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</sheets>
  <definedNames>
    <definedName name="_xlnm._FilterDatabase" localSheetId="4" hidden="1">'Productos'!$A$1:$AR$653</definedName>
    <definedName name="_xlnm._FilterDatabase" localSheetId="7" hidden="1">'Revisión Duplicados'!$A$1:$AU$2</definedName>
    <definedName name="_xlnm._FilterDatabase" localSheetId="8" hidden="1">'Stock por Ubicación'!$A$1:$J$491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</numFmts>
  <fonts count="40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</fonts>
  <fills count="21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8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65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5060923782129</t>
        </is>
      </c>
      <c r="B2" s="51" t="inlineStr">
        <is>
          <t>79244</t>
        </is>
      </c>
      <c r="C2" s="156" t="inlineStr">
        <is>
          <t>REFLO</t>
        </is>
      </c>
      <c r="D2" s="156" t="inlineStr">
        <is>
          <t>ADRIAQU</t>
        </is>
      </c>
      <c r="E2" s="156" t="inlineStr">
        <is>
          <t>ADRIAQU-M</t>
        </is>
      </c>
      <c r="F2" s="156" t="inlineStr">
        <is>
          <t>M</t>
        </is>
      </c>
      <c r="G2" s="156" t="inlineStr">
        <is>
          <t>M</t>
        </is>
      </c>
      <c r="H2" s="156" t="inlineStr">
        <is>
          <t>REFLO</t>
        </is>
      </c>
      <c r="I2" s="156" t="inlineStr">
        <is>
          <t>Playera tipo polo REFLO Adriatic Aqua/ White</t>
        </is>
      </c>
      <c r="J2" s="156" t="inlineStr">
        <is>
          <t>Ropa</t>
        </is>
      </c>
      <c r="K2" s="156" t="inlineStr">
        <is>
          <t>Playeras</t>
        </is>
      </c>
      <c r="L2" s="156" t="n"/>
      <c r="M2" s="156" t="inlineStr">
        <is>
          <t>REFLO</t>
        </is>
      </c>
      <c r="N2" s="156" t="n"/>
      <c r="O2" s="156" t="n"/>
      <c r="P2" s="156" t="inlineStr">
        <is>
          <t>Blanco</t>
        </is>
      </c>
      <c r="Q2" s="156" t="n"/>
      <c r="R2" s="156" t="n"/>
      <c r="S2" s="156" t="inlineStr">
        <is>
          <t>Poliéster reciclado</t>
        </is>
      </c>
      <c r="T2" s="156" t="inlineStr">
        <is>
          <t>Playera tipo polo de golf REFLO modelo Adriatic en color Aqua/ White, confeccionado con materiales reciclados. Estilo ADRIAQU.</t>
        </is>
      </c>
      <c r="U2" s="156" t="n"/>
      <c r="V2" s="156" t="inlineStr">
        <is>
          <t>PZS</t>
        </is>
      </c>
      <c r="W2" s="51" t="inlineStr">
        <is>
          <t>53101600</t>
        </is>
      </c>
      <c r="X2" s="156" t="inlineStr">
        <is>
          <t>https://i.ibb.co/k1NTDd3/ADRIAQU.jpg</t>
        </is>
      </c>
      <c r="Y2" s="54" t="n">
        <v>26</v>
      </c>
      <c r="Z2" s="54" t="n">
        <v>1899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IFERROR(_xlfn.XMATCH(A2,$A$2:$A$653,0,1)&lt;&gt;_xlfn.XMATCH(A2,$A$2:$A$653,0,-1),FALSE)), "Código de barras duplicado", ""), IF(AND(E2&lt;&gt;"", COUNTIF($E$2:$E$653,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>
        <v>7</v>
      </c>
      <c r="AE2" s="156" t="inlineStr">
        <is>
          <t>REFLO ALMACEN (4)</t>
        </is>
      </c>
      <c r="AF2" s="51" t="n">
        <v>7</v>
      </c>
      <c r="AG2" s="156" t="inlineStr">
        <is>
          <t>Nuevo – NetSuite con existencia</t>
        </is>
      </c>
      <c r="AH2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" s="156" t="inlineStr">
        <is>
          <t>No</t>
        </is>
      </c>
      <c r="AJ2" s="156" t="n"/>
      <c r="AK2" s="155" t="inlineStr">
        <is>
          <t>G1522ProductosTodosloscamposSandboxResults894.xlsx: fila 43897 [X,Y]; G1522_Extraccion_Articulos_NetSuite_2026-09-30.xlsx: fila 37577 [Z]</t>
        </is>
      </c>
      <c r="AL2" s="58" t="n">
        <v>26</v>
      </c>
      <c r="AM2" s="58" t="n"/>
      <c r="AN2" s="155" t="n"/>
      <c r="AO2" s="59" t="n"/>
      <c r="AP2" s="59" t="n"/>
      <c r="AQ2" s="59" t="n"/>
      <c r="AR2" s="155" t="n"/>
    </row>
    <row r="3">
      <c r="A3" s="50" t="inlineStr">
        <is>
          <t>5060923782136</t>
        </is>
      </c>
      <c r="B3" s="51" t="inlineStr">
        <is>
          <t>79245</t>
        </is>
      </c>
      <c r="C3" s="156" t="inlineStr">
        <is>
          <t>REFLO</t>
        </is>
      </c>
      <c r="D3" s="156" t="inlineStr">
        <is>
          <t>ADRIAQU</t>
        </is>
      </c>
      <c r="E3" s="156" t="inlineStr">
        <is>
          <t>ADRIAQU-L</t>
        </is>
      </c>
      <c r="F3" s="156" t="inlineStr">
        <is>
          <t>L</t>
        </is>
      </c>
      <c r="G3" s="156" t="inlineStr">
        <is>
          <t>L</t>
        </is>
      </c>
      <c r="H3" s="156" t="inlineStr">
        <is>
          <t>REFLO</t>
        </is>
      </c>
      <c r="I3" s="156" t="inlineStr">
        <is>
          <t>Playera tipo polo REFLO Adriatic Aqua/ White</t>
        </is>
      </c>
      <c r="J3" s="156" t="inlineStr">
        <is>
          <t>Ropa</t>
        </is>
      </c>
      <c r="K3" s="156" t="inlineStr">
        <is>
          <t>Playeras</t>
        </is>
      </c>
      <c r="L3" s="156" t="n"/>
      <c r="M3" s="156" t="inlineStr">
        <is>
          <t>REFLO</t>
        </is>
      </c>
      <c r="N3" s="156" t="n"/>
      <c r="O3" s="156" t="n"/>
      <c r="P3" s="156" t="inlineStr">
        <is>
          <t>Blanco</t>
        </is>
      </c>
      <c r="Q3" s="156" t="n"/>
      <c r="R3" s="156" t="n"/>
      <c r="S3" s="156" t="inlineStr">
        <is>
          <t>Poliéster reciclado</t>
        </is>
      </c>
      <c r="T3" s="156" t="inlineStr">
        <is>
          <t>Playera tipo polo de golf REFLO modelo Adriatic en color Aqua/ White, confeccionado con materiales reciclados. Estilo ADRIAQU.</t>
        </is>
      </c>
      <c r="U3" s="156" t="n"/>
      <c r="V3" s="156" t="inlineStr">
        <is>
          <t>PZS</t>
        </is>
      </c>
      <c r="W3" s="51" t="inlineStr">
        <is>
          <t>53101600</t>
        </is>
      </c>
      <c r="X3" s="156" t="inlineStr">
        <is>
          <t>https://i.ibb.co/k1NTDd3/ADRIAQU.jpg</t>
        </is>
      </c>
      <c r="Y3" s="54" t="n">
        <v>26</v>
      </c>
      <c r="Z3" s="54" t="n">
        <v>1899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IFERROR(_xlfn.XMATCH(A3,$A$2:$A$653,0,1)&lt;&gt;_xlfn.XMATCH(A3,$A$2:$A$653,0,-1),FALSE)), "Código de barras duplicado", ""), IF(AND(E3&lt;&gt;"", COUNTIF($E$2:$E$653,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>
        <v>10</v>
      </c>
      <c r="AE3" s="156" t="inlineStr">
        <is>
          <t>MUESTRAS REFLO (1); REFLO ALMACEN (5)</t>
        </is>
      </c>
      <c r="AF3" s="51" t="n">
        <v>9</v>
      </c>
      <c r="AG3" s="156" t="inlineStr">
        <is>
          <t>Nuevo – NetSuite con existencia</t>
        </is>
      </c>
      <c r="AH3" s="156" t="inlineStr">
        <is>
          <t>Género no indicado en NetSuite; Composición: poliéster reciclado (validar % en etiqueta); Físico total NetSuite 10 ≠ suma por ubicación 6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3" s="156" t="inlineStr">
        <is>
          <t>No</t>
        </is>
      </c>
      <c r="AJ3" s="156" t="n"/>
      <c r="AK3" s="155" t="inlineStr">
        <is>
          <t>G1522ProductosTodosloscamposSandboxResults894.xlsx: fila 43898 [X,Y]; G1522_Extraccion_Articulos_NetSuite_2026-09-30.xlsx: fila 37578 [Z]</t>
        </is>
      </c>
      <c r="AL3" s="58" t="n">
        <v>26</v>
      </c>
      <c r="AM3" s="58" t="n"/>
      <c r="AN3" s="155" t="n"/>
      <c r="AO3" s="59" t="n"/>
      <c r="AP3" s="59" t="n"/>
      <c r="AQ3" s="59" t="n"/>
      <c r="AR3" s="155" t="n"/>
    </row>
    <row r="4">
      <c r="A4" s="50" t="inlineStr">
        <is>
          <t>5060923782150</t>
        </is>
      </c>
      <c r="B4" s="51" t="inlineStr">
        <is>
          <t>79246</t>
        </is>
      </c>
      <c r="C4" s="156" t="inlineStr">
        <is>
          <t>REFLO</t>
        </is>
      </c>
      <c r="D4" s="156" t="inlineStr">
        <is>
          <t>ADRIAQU</t>
        </is>
      </c>
      <c r="E4" s="156" t="inlineStr">
        <is>
          <t>ADRIAQU-XXL</t>
        </is>
      </c>
      <c r="F4" s="156" t="inlineStr">
        <is>
          <t>XXL</t>
        </is>
      </c>
      <c r="G4" s="156" t="inlineStr">
        <is>
          <t>XXL</t>
        </is>
      </c>
      <c r="H4" s="156" t="inlineStr">
        <is>
          <t>REFLO</t>
        </is>
      </c>
      <c r="I4" s="156" t="inlineStr">
        <is>
          <t>Playera tipo polo REFLO Adriatic Aqua/ White</t>
        </is>
      </c>
      <c r="J4" s="156" t="inlineStr">
        <is>
          <t>Ropa</t>
        </is>
      </c>
      <c r="K4" s="156" t="inlineStr">
        <is>
          <t>Playeras</t>
        </is>
      </c>
      <c r="L4" s="156" t="n"/>
      <c r="M4" s="156" t="inlineStr">
        <is>
          <t>REFLO</t>
        </is>
      </c>
      <c r="N4" s="156" t="n"/>
      <c r="O4" s="156" t="n"/>
      <c r="P4" s="156" t="inlineStr">
        <is>
          <t>Blanco</t>
        </is>
      </c>
      <c r="Q4" s="156" t="n"/>
      <c r="R4" s="156" t="n"/>
      <c r="S4" s="156" t="inlineStr">
        <is>
          <t>Poliéster reciclado</t>
        </is>
      </c>
      <c r="T4" s="156" t="inlineStr">
        <is>
          <t>Playera tipo polo de golf REFLO modelo Adriatic en color Aqua/ White, confeccionado con materiales reciclados. Estilo ADRIAQU.</t>
        </is>
      </c>
      <c r="U4" s="156" t="n"/>
      <c r="V4" s="156" t="inlineStr">
        <is>
          <t>PZS</t>
        </is>
      </c>
      <c r="W4" s="51" t="inlineStr">
        <is>
          <t>53101600</t>
        </is>
      </c>
      <c r="X4" s="156" t="inlineStr">
        <is>
          <t>https://i.ibb.co/k1NTDd3/ADRIAQU.jpg</t>
        </is>
      </c>
      <c r="Y4" s="54" t="n">
        <v>26</v>
      </c>
      <c r="Z4" s="54" t="n">
        <v>1899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IFERROR(_xlfn.XMATCH(A4,$A$2:$A$653,0,1)&lt;&gt;_xlfn.XMATCH(A4,$A$2:$A$653,0,-1),FALSE)), "Código de barras duplicado", ""), IF(AND(E4&lt;&gt;"", COUNTIF($E$2:$E$653,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>
        <v>2</v>
      </c>
      <c r="AE4" s="156" t="inlineStr">
        <is>
          <t>REFLO ALMACEN (1)</t>
        </is>
      </c>
      <c r="AF4" s="51" t="n">
        <v>2</v>
      </c>
      <c r="AG4" s="156" t="inlineStr">
        <is>
          <t>Nuevo – NetSuite con existencia</t>
        </is>
      </c>
      <c r="AH4" s="156" t="inlineStr">
        <is>
          <t>Género no indicado en NetSuite; Composición: poliéster reciclado (validar % en etiqueta); Físico total NetSuite 2 ≠ suma por ubicación 1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4" s="156" t="inlineStr">
        <is>
          <t>No</t>
        </is>
      </c>
      <c r="AJ4" s="156" t="n"/>
      <c r="AK4" s="155" t="inlineStr">
        <is>
          <t>G1522ProductosTodosloscamposSandboxResults894.xlsx: fila 43899 [X,Y]; G1522_Extraccion_Articulos_NetSuite_2026-09-30.xlsx: fila 37579 [Z]</t>
        </is>
      </c>
      <c r="AL4" s="58" t="n">
        <v>26</v>
      </c>
      <c r="AM4" s="58" t="n"/>
      <c r="AN4" s="155" t="n"/>
      <c r="AO4" s="59" t="n"/>
      <c r="AP4" s="59" t="n"/>
      <c r="AQ4" s="59" t="n"/>
      <c r="AR4" s="155" t="n"/>
    </row>
    <row r="5">
      <c r="A5" s="50" t="inlineStr">
        <is>
          <t>5060923782112</t>
        </is>
      </c>
      <c r="B5" s="51" t="inlineStr">
        <is>
          <t>84419</t>
        </is>
      </c>
      <c r="C5" s="156" t="inlineStr">
        <is>
          <t>REFLO</t>
        </is>
      </c>
      <c r="D5" s="156" t="inlineStr">
        <is>
          <t>ADRIAQU</t>
        </is>
      </c>
      <c r="E5" s="156" t="inlineStr">
        <is>
          <t>ADRIAQU-S</t>
        </is>
      </c>
      <c r="F5" s="156" t="inlineStr">
        <is>
          <t>S</t>
        </is>
      </c>
      <c r="G5" s="156" t="inlineStr">
        <is>
          <t>S</t>
        </is>
      </c>
      <c r="H5" s="156" t="inlineStr">
        <is>
          <t>REFLO</t>
        </is>
      </c>
      <c r="I5" s="156" t="inlineStr">
        <is>
          <t>Playera tipo polo REFLO Adriatic Aqua/White</t>
        </is>
      </c>
      <c r="J5" s="156" t="inlineStr">
        <is>
          <t>Ropa</t>
        </is>
      </c>
      <c r="K5" s="156" t="inlineStr">
        <is>
          <t>Playeras</t>
        </is>
      </c>
      <c r="L5" s="156" t="n"/>
      <c r="M5" s="156" t="inlineStr">
        <is>
          <t>REFLO</t>
        </is>
      </c>
      <c r="N5" s="156" t="n"/>
      <c r="O5" s="156" t="n"/>
      <c r="P5" s="156" t="inlineStr">
        <is>
          <t>Blanco</t>
        </is>
      </c>
      <c r="Q5" s="156" t="n"/>
      <c r="R5" s="156" t="n"/>
      <c r="S5" s="156" t="inlineStr">
        <is>
          <t>Poliéster reciclado</t>
        </is>
      </c>
      <c r="T5" s="156" t="inlineStr">
        <is>
          <t>Playera tipo polo de golf REFLO modelo Adriatic en color Aqua/White, confeccionado con materiales reciclados. Estilo ADRIAQU.</t>
        </is>
      </c>
      <c r="U5" s="156" t="n"/>
      <c r="V5" s="156" t="inlineStr">
        <is>
          <t>PZS</t>
        </is>
      </c>
      <c r="W5" s="51" t="inlineStr">
        <is>
          <t>53101600</t>
        </is>
      </c>
      <c r="X5" s="156" t="inlineStr">
        <is>
          <t>https://i.ibb.co/k1NTDd3/ADRIAQU.jpg</t>
        </is>
      </c>
      <c r="Y5" s="54" t="n">
        <v>26</v>
      </c>
      <c r="Z5" s="54" t="n">
        <v>1899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IFERROR(_xlfn.XMATCH(A5,$A$2:$A$653,0,1)&lt;&gt;_xlfn.XMATCH(A5,$A$2:$A$653,0,-1),FALSE)), "Código de barras duplicado", ""), IF(AND(E5&lt;&gt;"", COUNTIF($E$2:$E$653,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>
        <v>8</v>
      </c>
      <c r="AE5" s="156" t="inlineStr">
        <is>
          <t>REFLO ALMACEN (2); CONSIGNA REFLO (2)</t>
        </is>
      </c>
      <c r="AF5" s="51" t="n">
        <v>8</v>
      </c>
      <c r="AG5" s="156" t="inlineStr">
        <is>
          <t>Nuevo – NetSuite con existencia</t>
        </is>
      </c>
      <c r="AH5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5" s="156" t="inlineStr">
        <is>
          <t>No</t>
        </is>
      </c>
      <c r="AJ5" s="156" t="n"/>
      <c r="AK5" s="155" t="inlineStr">
        <is>
          <t>G1522ProductosTodosloscamposSandboxResults894.xlsx: fila 43901 [X,Y]; G1522_Extraccion_Articulos_NetSuite_2026-09-30.xlsx: fila 39588 [Z]</t>
        </is>
      </c>
      <c r="AL5" s="58" t="n">
        <v>26</v>
      </c>
      <c r="AM5" s="58" t="n"/>
      <c r="AN5" s="155" t="n"/>
      <c r="AO5" s="59" t="n"/>
      <c r="AP5" s="59" t="n"/>
      <c r="AQ5" s="59" t="n"/>
      <c r="AR5" s="155" t="n"/>
    </row>
    <row r="6">
      <c r="A6" s="50" t="inlineStr">
        <is>
          <t>5060923782068</t>
        </is>
      </c>
      <c r="B6" s="51" t="inlineStr">
        <is>
          <t>79247</t>
        </is>
      </c>
      <c r="C6" s="156" t="inlineStr">
        <is>
          <t>REFLO</t>
        </is>
      </c>
      <c r="D6" s="156" t="inlineStr">
        <is>
          <t>ADRICLO</t>
        </is>
      </c>
      <c r="E6" s="156" t="inlineStr">
        <is>
          <t>ADRICLO-M</t>
        </is>
      </c>
      <c r="F6" s="156" t="inlineStr">
        <is>
          <t>M</t>
        </is>
      </c>
      <c r="G6" s="156" t="inlineStr">
        <is>
          <t>M</t>
        </is>
      </c>
      <c r="H6" s="156" t="inlineStr">
        <is>
          <t>REFLO</t>
        </is>
      </c>
      <c r="I6" s="156" t="inlineStr">
        <is>
          <t>Playera tipo polo REFLO Adriatic Cloud/ Black</t>
        </is>
      </c>
      <c r="J6" s="156" t="inlineStr">
        <is>
          <t>Ropa</t>
        </is>
      </c>
      <c r="K6" s="156" t="inlineStr">
        <is>
          <t>Playeras</t>
        </is>
      </c>
      <c r="L6" s="156" t="n"/>
      <c r="M6" s="156" t="inlineStr">
        <is>
          <t>REFLO</t>
        </is>
      </c>
      <c r="N6" s="156" t="n"/>
      <c r="O6" s="156" t="n"/>
      <c r="P6" s="156" t="inlineStr">
        <is>
          <t>Negro</t>
        </is>
      </c>
      <c r="Q6" s="156" t="n"/>
      <c r="R6" s="156" t="n"/>
      <c r="S6" s="156" t="inlineStr">
        <is>
          <t>Poliéster reciclado</t>
        </is>
      </c>
      <c r="T6" s="156" t="inlineStr">
        <is>
          <t>Playera tipo polo de golf REFLO modelo Adriatic en color Cloud/ Black, confeccionado con materiales reciclados. Estilo ADRICLO.</t>
        </is>
      </c>
      <c r="U6" s="156" t="n"/>
      <c r="V6" s="156" t="inlineStr">
        <is>
          <t>PZS</t>
        </is>
      </c>
      <c r="W6" s="51" t="inlineStr">
        <is>
          <t>53101600</t>
        </is>
      </c>
      <c r="X6" s="156" t="inlineStr">
        <is>
          <t>https://i.ibb.co/VSDV4Mp/ADRICLO.jpg</t>
        </is>
      </c>
      <c r="Y6" s="54" t="n">
        <v>26</v>
      </c>
      <c r="Z6" s="54" t="n">
        <v>1899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IFERROR(_xlfn.XMATCH(A6,$A$2:$A$653,0,1)&lt;&gt;_xlfn.XMATCH(A6,$A$2:$A$653,0,-1),FALSE)), "Código de barras duplicado", ""), IF(AND(E6&lt;&gt;"", COUNTIF($E$2:$E$653,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8</v>
      </c>
      <c r="AE6" s="156" t="inlineStr">
        <is>
          <t>REFLO ALMACEN (6)</t>
        </is>
      </c>
      <c r="AF6" s="51" t="n">
        <v>10</v>
      </c>
      <c r="AG6" s="156" t="inlineStr">
        <is>
          <t>Nuevo – NetSuite con existencia</t>
        </is>
      </c>
      <c r="AH6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6" s="156" t="inlineStr">
        <is>
          <t>Sí</t>
        </is>
      </c>
      <c r="AJ6" s="156" t="inlineStr">
        <is>
          <t>CONSIGNA REFLO (-2)</t>
        </is>
      </c>
      <c r="AK6" s="155" t="inlineStr">
        <is>
          <t>G1522ProductosTodosloscamposSandboxResults894.xlsx: fila 43903 [X,Y]; G1522_Extraccion_Articulos_NetSuite_2026-09-30.xlsx: fila 37580 [Z]</t>
        </is>
      </c>
      <c r="AL6" s="58" t="n">
        <v>26</v>
      </c>
      <c r="AM6" s="58" t="n"/>
      <c r="AN6" s="155" t="n"/>
      <c r="AO6" s="59" t="n"/>
      <c r="AP6" s="59" t="n"/>
      <c r="AQ6" s="59" t="n"/>
      <c r="AR6" s="155" t="n"/>
    </row>
    <row r="7">
      <c r="A7" s="50" t="inlineStr">
        <is>
          <t>5060923782075</t>
        </is>
      </c>
      <c r="B7" s="51" t="inlineStr">
        <is>
          <t>79248</t>
        </is>
      </c>
      <c r="C7" s="156" t="inlineStr">
        <is>
          <t>REFLO</t>
        </is>
      </c>
      <c r="D7" s="156" t="inlineStr">
        <is>
          <t>ADRICLO</t>
        </is>
      </c>
      <c r="E7" s="156" t="inlineStr">
        <is>
          <t>ADRICLO-L</t>
        </is>
      </c>
      <c r="F7" s="156" t="inlineStr">
        <is>
          <t>L</t>
        </is>
      </c>
      <c r="G7" s="156" t="inlineStr">
        <is>
          <t>L</t>
        </is>
      </c>
      <c r="H7" s="156" t="inlineStr">
        <is>
          <t>REFLO</t>
        </is>
      </c>
      <c r="I7" s="156" t="inlineStr">
        <is>
          <t>Playera tipo polo REFLO Adriatic Cloud/ Black</t>
        </is>
      </c>
      <c r="J7" s="156" t="inlineStr">
        <is>
          <t>Ropa</t>
        </is>
      </c>
      <c r="K7" s="156" t="inlineStr">
        <is>
          <t>Playeras</t>
        </is>
      </c>
      <c r="L7" s="156" t="n"/>
      <c r="M7" s="156" t="inlineStr">
        <is>
          <t>REFLO</t>
        </is>
      </c>
      <c r="N7" s="156" t="n"/>
      <c r="O7" s="156" t="n"/>
      <c r="P7" s="156" t="inlineStr">
        <is>
          <t>Negro</t>
        </is>
      </c>
      <c r="Q7" s="156" t="n"/>
      <c r="R7" s="156" t="n"/>
      <c r="S7" s="156" t="inlineStr">
        <is>
          <t>Poliéster reciclado</t>
        </is>
      </c>
      <c r="T7" s="156" t="inlineStr">
        <is>
          <t>Playera tipo polo de golf REFLO modelo Adriatic en color Cloud/ Black, confeccionado con materiales reciclados. Estilo ADRICLO.</t>
        </is>
      </c>
      <c r="U7" s="156" t="n"/>
      <c r="V7" s="156" t="inlineStr">
        <is>
          <t>PZS</t>
        </is>
      </c>
      <c r="W7" s="51" t="inlineStr">
        <is>
          <t>53101600</t>
        </is>
      </c>
      <c r="X7" s="156" t="inlineStr">
        <is>
          <t>https://i.ibb.co/VSDV4Mp/ADRICLO.jpg</t>
        </is>
      </c>
      <c r="Y7" s="54" t="n">
        <v>26</v>
      </c>
      <c r="Z7" s="54" t="n">
        <v>1899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IFERROR(_xlfn.XMATCH(A7,$A$2:$A$653,0,1)&lt;&gt;_xlfn.XMATCH(A7,$A$2:$A$653,0,-1),FALSE)), "Código de barras duplicado", ""), IF(AND(E7&lt;&gt;"", COUNTIF($E$2:$E$653,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10</v>
      </c>
      <c r="AE7" s="156" t="inlineStr">
        <is>
          <t>MUESTRAS REFLO (1); REFLO ALMACEN (7)</t>
        </is>
      </c>
      <c r="AF7" s="51" t="n">
        <v>11</v>
      </c>
      <c r="AG7" s="156" t="inlineStr">
        <is>
          <t>Nuevo – NetSuite con existencia</t>
        </is>
      </c>
      <c r="AH7" s="156" t="inlineStr">
        <is>
          <t>Género no indicado en NetSuite; Composición: poliéster reciclado (validar % en etiqueta); Físico total NetSuite 10 ≠ suma por ubicación 6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" s="156" t="inlineStr">
        <is>
          <t>Sí</t>
        </is>
      </c>
      <c r="AJ7" s="156" t="inlineStr">
        <is>
          <t>CONSIGNA REFLO (-2)</t>
        </is>
      </c>
      <c r="AK7" s="155" t="inlineStr">
        <is>
          <t>G1522ProductosTodosloscamposSandboxResults894.xlsx: fila 43904 [X,Y]; G1522_Extraccion_Articulos_NetSuite_2026-09-30.xlsx: fila 37581 [Z]</t>
        </is>
      </c>
      <c r="AL7" s="58" t="n">
        <v>26</v>
      </c>
      <c r="AM7" s="58" t="n"/>
      <c r="AN7" s="155" t="n"/>
      <c r="AO7" s="59" t="n"/>
      <c r="AP7" s="59" t="n"/>
      <c r="AQ7" s="59" t="n"/>
      <c r="AR7" s="155" t="n"/>
    </row>
    <row r="8">
      <c r="A8" s="50" t="inlineStr">
        <is>
          <t>5060923782082</t>
        </is>
      </c>
      <c r="B8" s="51" t="inlineStr">
        <is>
          <t>79249</t>
        </is>
      </c>
      <c r="C8" s="156" t="inlineStr">
        <is>
          <t>REFLO</t>
        </is>
      </c>
      <c r="D8" s="156" t="inlineStr">
        <is>
          <t>ADRICLO</t>
        </is>
      </c>
      <c r="E8" s="156" t="inlineStr">
        <is>
          <t>ADRICLO-XL</t>
        </is>
      </c>
      <c r="F8" s="156" t="inlineStr">
        <is>
          <t>XL</t>
        </is>
      </c>
      <c r="G8" s="156" t="inlineStr">
        <is>
          <t>XL</t>
        </is>
      </c>
      <c r="H8" s="156" t="inlineStr">
        <is>
          <t>REFLO</t>
        </is>
      </c>
      <c r="I8" s="156" t="inlineStr">
        <is>
          <t>Playera tipo polo REFLO Adriatic Cloud/ Black</t>
        </is>
      </c>
      <c r="J8" s="156" t="inlineStr">
        <is>
          <t>Ropa</t>
        </is>
      </c>
      <c r="K8" s="156" t="inlineStr">
        <is>
          <t>Playeras</t>
        </is>
      </c>
      <c r="L8" s="156" t="n"/>
      <c r="M8" s="156" t="inlineStr">
        <is>
          <t>REFLO</t>
        </is>
      </c>
      <c r="N8" s="156" t="n"/>
      <c r="O8" s="156" t="n"/>
      <c r="P8" s="156" t="inlineStr">
        <is>
          <t>Negro</t>
        </is>
      </c>
      <c r="Q8" s="156" t="n"/>
      <c r="R8" s="156" t="n"/>
      <c r="S8" s="156" t="inlineStr">
        <is>
          <t>Poliéster reciclado</t>
        </is>
      </c>
      <c r="T8" s="156" t="inlineStr">
        <is>
          <t>Playera tipo polo de golf REFLO modelo Adriatic en color Cloud/ Black, confeccionado con materiales reciclados. Estilo ADRICLO.</t>
        </is>
      </c>
      <c r="U8" s="156" t="n"/>
      <c r="V8" s="156" t="inlineStr">
        <is>
          <t>PZS</t>
        </is>
      </c>
      <c r="W8" s="51" t="inlineStr">
        <is>
          <t>53101600</t>
        </is>
      </c>
      <c r="X8" s="156" t="inlineStr">
        <is>
          <t>https://i.ibb.co/VSDV4Mp/ADRICLO.jpg</t>
        </is>
      </c>
      <c r="Y8" s="54" t="n">
        <v>26</v>
      </c>
      <c r="Z8" s="54" t="n">
        <v>1899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IFERROR(_xlfn.XMATCH(A8,$A$2:$A$653,0,1)&lt;&gt;_xlfn.XMATCH(A8,$A$2:$A$653,0,-1),FALSE)), "Código de barras duplicado", ""), IF(AND(E8&lt;&gt;"", COUNTIF($E$2:$E$653,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13</v>
      </c>
      <c r="AE8" s="156" t="inlineStr">
        <is>
          <t>REFLO ALMACEN (8)</t>
        </is>
      </c>
      <c r="AF8" s="51" t="n">
        <v>14</v>
      </c>
      <c r="AG8" s="156" t="inlineStr">
        <is>
          <t>Nuevo – NetSuite con existencia</t>
        </is>
      </c>
      <c r="AH8" s="156" t="inlineStr">
        <is>
          <t>Género no indicado en NetSuite; Composición: poliéster reciclado (validar % en etiqueta); Físico total NetSuite 13 ≠ suma por ubicación 7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8" s="156" t="inlineStr">
        <is>
          <t>Sí</t>
        </is>
      </c>
      <c r="AJ8" s="156" t="inlineStr">
        <is>
          <t>CONSIGNA REFLO (-1)</t>
        </is>
      </c>
      <c r="AK8" s="155" t="inlineStr">
        <is>
          <t>G1522ProductosTodosloscamposSandboxResults894.xlsx: fila 43905 [X,Y]; G1522_Extraccion_Articulos_NetSuite_2026-09-30.xlsx: fila 37582 [Z]</t>
        </is>
      </c>
      <c r="AL8" s="58" t="n">
        <v>26</v>
      </c>
      <c r="AM8" s="58" t="n"/>
      <c r="AN8" s="155" t="n"/>
      <c r="AO8" s="59" t="n"/>
      <c r="AP8" s="59" t="n"/>
      <c r="AQ8" s="59" t="n"/>
      <c r="AR8" s="155" t="n"/>
    </row>
    <row r="9">
      <c r="A9" s="50" t="inlineStr">
        <is>
          <t>5060923782099</t>
        </is>
      </c>
      <c r="B9" s="51" t="inlineStr">
        <is>
          <t>79250</t>
        </is>
      </c>
      <c r="C9" s="156" t="inlineStr">
        <is>
          <t>REFLO</t>
        </is>
      </c>
      <c r="D9" s="156" t="inlineStr">
        <is>
          <t>ADRICLO</t>
        </is>
      </c>
      <c r="E9" s="156" t="inlineStr">
        <is>
          <t>ADRICLO-XXL</t>
        </is>
      </c>
      <c r="F9" s="156" t="inlineStr">
        <is>
          <t>XXL</t>
        </is>
      </c>
      <c r="G9" s="156" t="inlineStr">
        <is>
          <t>XXL</t>
        </is>
      </c>
      <c r="H9" s="156" t="inlineStr">
        <is>
          <t>REFLO</t>
        </is>
      </c>
      <c r="I9" s="156" t="inlineStr">
        <is>
          <t>Playera tipo polo REFLO Adriatic Cloud/ Black</t>
        </is>
      </c>
      <c r="J9" s="156" t="inlineStr">
        <is>
          <t>Ropa</t>
        </is>
      </c>
      <c r="K9" s="156" t="inlineStr">
        <is>
          <t>Playeras</t>
        </is>
      </c>
      <c r="L9" s="156" t="n"/>
      <c r="M9" s="156" t="inlineStr">
        <is>
          <t>REFLO</t>
        </is>
      </c>
      <c r="N9" s="156" t="n"/>
      <c r="O9" s="156" t="n"/>
      <c r="P9" s="156" t="inlineStr">
        <is>
          <t>Negro</t>
        </is>
      </c>
      <c r="Q9" s="156" t="n"/>
      <c r="R9" s="156" t="n"/>
      <c r="S9" s="156" t="inlineStr">
        <is>
          <t>Poliéster reciclado</t>
        </is>
      </c>
      <c r="T9" s="156" t="inlineStr">
        <is>
          <t>Playera tipo polo de golf REFLO modelo Adriatic en color Cloud/ Black, confeccionado con materiales reciclados. Estilo ADRICLO.</t>
        </is>
      </c>
      <c r="U9" s="156" t="n"/>
      <c r="V9" s="156" t="inlineStr">
        <is>
          <t>PZS</t>
        </is>
      </c>
      <c r="W9" s="51" t="inlineStr">
        <is>
          <t>53101600</t>
        </is>
      </c>
      <c r="X9" s="156" t="inlineStr">
        <is>
          <t>https://i.ibb.co/VSDV4Mp/ADRICLO.jpg</t>
        </is>
      </c>
      <c r="Y9" s="54" t="n">
        <v>26</v>
      </c>
      <c r="Z9" s="54" t="n">
        <v>1899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IFERROR(_xlfn.XMATCH(A9,$A$2:$A$653,0,1)&lt;&gt;_xlfn.XMATCH(A9,$A$2:$A$653,0,-1),FALSE)), "Código de barras duplicado", ""), IF(AND(E9&lt;&gt;"", COUNTIF($E$2:$E$653,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8</v>
      </c>
      <c r="AE9" s="156" t="inlineStr">
        <is>
          <t>REFLO ALMACEN (5)</t>
        </is>
      </c>
      <c r="AF9" s="51" t="n">
        <v>9</v>
      </c>
      <c r="AG9" s="156" t="inlineStr">
        <is>
          <t>Nuevo – NetSuite con existencia</t>
        </is>
      </c>
      <c r="AH9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9" s="156" t="inlineStr">
        <is>
          <t>Sí</t>
        </is>
      </c>
      <c r="AJ9" s="156" t="inlineStr">
        <is>
          <t>CONSIGNA REFLO (-1)</t>
        </is>
      </c>
      <c r="AK9" s="155" t="inlineStr">
        <is>
          <t>G1522ProductosTodosloscamposSandboxResults894.xlsx: fila 43906 [X,Y]; G1522_Extraccion_Articulos_NetSuite_2026-09-30.xlsx: fila 37583 [Z]</t>
        </is>
      </c>
      <c r="AL9" s="58" t="n">
        <v>26</v>
      </c>
      <c r="AM9" s="58" t="n"/>
      <c r="AN9" s="155" t="n"/>
      <c r="AO9" s="59" t="n"/>
      <c r="AP9" s="59" t="n"/>
      <c r="AQ9" s="59" t="n"/>
      <c r="AR9" s="155" t="n"/>
    </row>
    <row r="10">
      <c r="A10" s="50" t="inlineStr">
        <is>
          <t>5060923782051</t>
        </is>
      </c>
      <c r="B10" s="51" t="inlineStr">
        <is>
          <t>84420</t>
        </is>
      </c>
      <c r="C10" s="156" t="inlineStr">
        <is>
          <t>REFLO</t>
        </is>
      </c>
      <c r="D10" s="156" t="inlineStr">
        <is>
          <t>ADRICLO</t>
        </is>
      </c>
      <c r="E10" s="156" t="inlineStr">
        <is>
          <t>ADRICLO-S</t>
        </is>
      </c>
      <c r="F10" s="156" t="inlineStr">
        <is>
          <t>S</t>
        </is>
      </c>
      <c r="G10" s="156" t="inlineStr">
        <is>
          <t>S</t>
        </is>
      </c>
      <c r="H10" s="156" t="inlineStr">
        <is>
          <t>REFLO</t>
        </is>
      </c>
      <c r="I10" s="156" t="inlineStr">
        <is>
          <t>Playera tipo polo REFLO Adriatic Cloud/Black</t>
        </is>
      </c>
      <c r="J10" s="156" t="inlineStr">
        <is>
          <t>Ropa</t>
        </is>
      </c>
      <c r="K10" s="156" t="inlineStr">
        <is>
          <t>Playeras</t>
        </is>
      </c>
      <c r="L10" s="156" t="n"/>
      <c r="M10" s="156" t="inlineStr">
        <is>
          <t>REFLO</t>
        </is>
      </c>
      <c r="N10" s="156" t="n"/>
      <c r="O10" s="156" t="n"/>
      <c r="P10" s="156" t="inlineStr">
        <is>
          <t>Negro</t>
        </is>
      </c>
      <c r="Q10" s="156" t="n"/>
      <c r="R10" s="156" t="n"/>
      <c r="S10" s="156" t="inlineStr">
        <is>
          <t>Poliéster reciclado</t>
        </is>
      </c>
      <c r="T10" s="156" t="inlineStr">
        <is>
          <t>Playera tipo polo de golf REFLO modelo Adriatic en color Cloud/Black, confeccionado con materiales reciclados. Estilo ADRICLO.</t>
        </is>
      </c>
      <c r="U10" s="156" t="n"/>
      <c r="V10" s="156" t="inlineStr">
        <is>
          <t>PZS</t>
        </is>
      </c>
      <c r="W10" s="51" t="inlineStr">
        <is>
          <t>53101600</t>
        </is>
      </c>
      <c r="X10" s="156" t="inlineStr">
        <is>
          <t>https://i.ibb.co/VSDV4Mp/ADRICLO.jpg</t>
        </is>
      </c>
      <c r="Y10" s="54" t="n">
        <v>26</v>
      </c>
      <c r="Z10" s="54" t="n">
        <v>1899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IFERROR(_xlfn.XMATCH(A10,$A$2:$A$653,0,1)&lt;&gt;_xlfn.XMATCH(A10,$A$2:$A$653,0,-1),FALSE)), "Código de barras duplicado", ""), IF(AND(E10&lt;&gt;"", COUNTIF($E$2:$E$653,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8</v>
      </c>
      <c r="AE10" s="156" t="inlineStr">
        <is>
          <t>REFLO ALMACEN (4)</t>
        </is>
      </c>
      <c r="AF10" s="51" t="n">
        <v>8</v>
      </c>
      <c r="AG10" s="156" t="inlineStr">
        <is>
          <t>Nuevo – NetSuite con existencia</t>
        </is>
      </c>
      <c r="AH10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0" s="156" t="inlineStr">
        <is>
          <t>No</t>
        </is>
      </c>
      <c r="AJ10" s="156" t="n"/>
      <c r="AK10" s="155" t="inlineStr">
        <is>
          <t>G1522ProductosTodosloscamposSandboxResults894.xlsx: fila 43908 [X,Y]; G1522_Extraccion_Articulos_NetSuite_2026-09-30.xlsx: fila 39589 [Z]</t>
        </is>
      </c>
      <c r="AL10" s="58" t="n">
        <v>26</v>
      </c>
      <c r="AM10" s="58" t="n"/>
      <c r="AN10" s="155" t="n"/>
      <c r="AO10" s="59" t="n"/>
      <c r="AP10" s="59" t="n"/>
      <c r="AQ10" s="59" t="n"/>
      <c r="AR10" s="155" t="n"/>
    </row>
    <row r="11">
      <c r="A11" s="50" t="inlineStr">
        <is>
          <t>5060923782006</t>
        </is>
      </c>
      <c r="B11" s="51" t="inlineStr">
        <is>
          <t>79251</t>
        </is>
      </c>
      <c r="C11" s="156" t="inlineStr">
        <is>
          <t>REFLO</t>
        </is>
      </c>
      <c r="D11" s="156" t="inlineStr">
        <is>
          <t>ADRIOXY</t>
        </is>
      </c>
      <c r="E11" s="156" t="inlineStr">
        <is>
          <t>ADRIOXY-M</t>
        </is>
      </c>
      <c r="F11" s="156" t="inlineStr">
        <is>
          <t>M</t>
        </is>
      </c>
      <c r="G11" s="156" t="inlineStr">
        <is>
          <t>M</t>
        </is>
      </c>
      <c r="H11" s="156" t="inlineStr">
        <is>
          <t>REFLO</t>
        </is>
      </c>
      <c r="I11" s="156" t="inlineStr">
        <is>
          <t>Playera tipo polo REFLO Adriatic Oxy/ Navy</t>
        </is>
      </c>
      <c r="J11" s="156" t="inlineStr">
        <is>
          <t>Ropa</t>
        </is>
      </c>
      <c r="K11" s="156" t="inlineStr">
        <is>
          <t>Playeras</t>
        </is>
      </c>
      <c r="L11" s="156" t="n"/>
      <c r="M11" s="156" t="inlineStr">
        <is>
          <t>REFLO</t>
        </is>
      </c>
      <c r="N11" s="156" t="n"/>
      <c r="O11" s="156" t="n"/>
      <c r="P11" s="156" t="inlineStr">
        <is>
          <t>Azul</t>
        </is>
      </c>
      <c r="Q11" s="156" t="n"/>
      <c r="R11" s="156" t="n"/>
      <c r="S11" s="156" t="inlineStr">
        <is>
          <t>Poliéster reciclado</t>
        </is>
      </c>
      <c r="T11" s="156" t="inlineStr">
        <is>
          <t>Playera tipo polo de golf REFLO modelo Adriatic en color Oxy/ Navy, confeccionado con materiales reciclados. Estilo ADRIOXY.</t>
        </is>
      </c>
      <c r="U11" s="156" t="n"/>
      <c r="V11" s="156" t="inlineStr">
        <is>
          <t>PZS</t>
        </is>
      </c>
      <c r="W11" s="51" t="inlineStr">
        <is>
          <t>53101600</t>
        </is>
      </c>
      <c r="X11" s="156" t="inlineStr">
        <is>
          <t>https://i.ibb.co/NCvyXJJ/ADRIOXY.jpg</t>
        </is>
      </c>
      <c r="Y11" s="54" t="n">
        <v>26</v>
      </c>
      <c r="Z11" s="54" t="n">
        <v>1899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IFERROR(_xlfn.XMATCH(A11,$A$2:$A$653,0,1)&lt;&gt;_xlfn.XMATCH(A11,$A$2:$A$653,0,-1),FALSE)), "Código de barras duplicado", ""), IF(AND(E11&lt;&gt;"", COUNTIF($E$2:$E$653,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3</v>
      </c>
      <c r="AE11" s="156" t="inlineStr">
        <is>
          <t>REFLO ALMACEN (1); CONSIGNA REFLO (1)</t>
        </is>
      </c>
      <c r="AF11" s="51" t="n">
        <v>3</v>
      </c>
      <c r="AG11" s="156" t="inlineStr">
        <is>
          <t>Nuevo – NetSuite con existencia</t>
        </is>
      </c>
      <c r="AH11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1" s="156" t="inlineStr">
        <is>
          <t>No</t>
        </is>
      </c>
      <c r="AJ11" s="156" t="n"/>
      <c r="AK11" s="155" t="inlineStr">
        <is>
          <t>G1522ProductosTodosloscamposSandboxResults894.xlsx: fila 43910 [X,Y]; G1522_Extraccion_Articulos_NetSuite_2026-09-30.xlsx: fila 37584 [Z]</t>
        </is>
      </c>
      <c r="AL11" s="58" t="n">
        <v>26</v>
      </c>
      <c r="AM11" s="58" t="n"/>
      <c r="AN11" s="155" t="n"/>
      <c r="AO11" s="59" t="n"/>
      <c r="AP11" s="59" t="n"/>
      <c r="AQ11" s="59" t="n"/>
      <c r="AR11" s="155" t="n"/>
    </row>
    <row r="12">
      <c r="A12" s="50" t="inlineStr">
        <is>
          <t>5060923782013</t>
        </is>
      </c>
      <c r="B12" s="51" t="inlineStr">
        <is>
          <t>79252</t>
        </is>
      </c>
      <c r="C12" s="156" t="inlineStr">
        <is>
          <t>REFLO</t>
        </is>
      </c>
      <c r="D12" s="156" t="inlineStr">
        <is>
          <t>ADRIOXY</t>
        </is>
      </c>
      <c r="E12" s="156" t="inlineStr">
        <is>
          <t>ADRIOXY-L</t>
        </is>
      </c>
      <c r="F12" s="156" t="inlineStr">
        <is>
          <t>L</t>
        </is>
      </c>
      <c r="G12" s="156" t="inlineStr">
        <is>
          <t>L</t>
        </is>
      </c>
      <c r="H12" s="156" t="inlineStr">
        <is>
          <t>REFLO</t>
        </is>
      </c>
      <c r="I12" s="156" t="inlineStr">
        <is>
          <t>Playera tipo polo REFLO Adriatic Oxy/ Navy</t>
        </is>
      </c>
      <c r="J12" s="156" t="inlineStr">
        <is>
          <t>Ropa</t>
        </is>
      </c>
      <c r="K12" s="156" t="inlineStr">
        <is>
          <t>Playeras</t>
        </is>
      </c>
      <c r="L12" s="156" t="n"/>
      <c r="M12" s="156" t="inlineStr">
        <is>
          <t>REFLO</t>
        </is>
      </c>
      <c r="N12" s="156" t="n"/>
      <c r="O12" s="156" t="n"/>
      <c r="P12" s="156" t="inlineStr">
        <is>
          <t>Azul</t>
        </is>
      </c>
      <c r="Q12" s="156" t="n"/>
      <c r="R12" s="156" t="n"/>
      <c r="S12" s="156" t="inlineStr">
        <is>
          <t>Poliéster reciclado</t>
        </is>
      </c>
      <c r="T12" s="156" t="inlineStr">
        <is>
          <t>Playera tipo polo de golf REFLO modelo Adriatic en color Oxy/ Navy, confeccionado con materiales reciclados. Estilo ADRIOXY.</t>
        </is>
      </c>
      <c r="U12" s="156" t="n"/>
      <c r="V12" s="156" t="inlineStr">
        <is>
          <t>PZS</t>
        </is>
      </c>
      <c r="W12" s="51" t="inlineStr">
        <is>
          <t>53101600</t>
        </is>
      </c>
      <c r="X12" s="156" t="inlineStr">
        <is>
          <t>https://i.ibb.co/NCvyXJJ/ADRIOXY.jpg</t>
        </is>
      </c>
      <c r="Y12" s="54" t="n">
        <v>26</v>
      </c>
      <c r="Z12" s="54" t="n">
        <v>1899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IFERROR(_xlfn.XMATCH(A12,$A$2:$A$653,0,1)&lt;&gt;_xlfn.XMATCH(A12,$A$2:$A$653,0,-1),FALSE)), "Código de barras duplicado", ""), IF(AND(E12&lt;&gt;"", COUNTIF($E$2:$E$653,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9</v>
      </c>
      <c r="AE12" s="156" t="inlineStr">
        <is>
          <t>CONSIGNA REFLO (1); MUESTRAS REFLO (1); REFLO ALMACEN (3)</t>
        </is>
      </c>
      <c r="AF12" s="51" t="n">
        <v>8</v>
      </c>
      <c r="AG12" s="156" t="inlineStr">
        <is>
          <t>Nuevo – NetSuite con existencia</t>
        </is>
      </c>
      <c r="AH12" s="156" t="inlineStr">
        <is>
          <t>Género no indicado en NetSuite; Composición: poliéster reciclado (validar % en etiqueta); Físico total NetSuite 9 ≠ suma por ubicación 5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2" s="156" t="inlineStr">
        <is>
          <t>No</t>
        </is>
      </c>
      <c r="AJ12" s="156" t="n"/>
      <c r="AK12" s="155" t="inlineStr">
        <is>
          <t>G1522ProductosTodosloscamposSandboxResults894.xlsx: fila 43911 [X,Y]; G1522_Extraccion_Articulos_NetSuite_2026-09-30.xlsx: fila 37585 [Z]</t>
        </is>
      </c>
      <c r="AL12" s="58" t="n">
        <v>26</v>
      </c>
      <c r="AM12" s="58" t="n"/>
      <c r="AN12" s="155" t="n"/>
      <c r="AO12" s="59" t="n"/>
      <c r="AP12" s="59" t="n"/>
      <c r="AQ12" s="59" t="n"/>
      <c r="AR12" s="155" t="n"/>
    </row>
    <row r="13">
      <c r="A13" s="50" t="inlineStr">
        <is>
          <t>5060923782020</t>
        </is>
      </c>
      <c r="B13" s="51" t="inlineStr">
        <is>
          <t>79253</t>
        </is>
      </c>
      <c r="C13" s="156" t="inlineStr">
        <is>
          <t>REFLO</t>
        </is>
      </c>
      <c r="D13" s="156" t="inlineStr">
        <is>
          <t>ADRIOXY</t>
        </is>
      </c>
      <c r="E13" s="156" t="inlineStr">
        <is>
          <t>ADRIOXY-XL</t>
        </is>
      </c>
      <c r="F13" s="156" t="inlineStr">
        <is>
          <t>XL</t>
        </is>
      </c>
      <c r="G13" s="156" t="inlineStr">
        <is>
          <t>XL</t>
        </is>
      </c>
      <c r="H13" s="156" t="inlineStr">
        <is>
          <t>REFLO</t>
        </is>
      </c>
      <c r="I13" s="156" t="inlineStr">
        <is>
          <t>Playera tipo polo REFLO Adriatic Oxy/ Navy</t>
        </is>
      </c>
      <c r="J13" s="156" t="inlineStr">
        <is>
          <t>Ropa</t>
        </is>
      </c>
      <c r="K13" s="156" t="inlineStr">
        <is>
          <t>Playeras</t>
        </is>
      </c>
      <c r="L13" s="156" t="n"/>
      <c r="M13" s="156" t="inlineStr">
        <is>
          <t>REFLO</t>
        </is>
      </c>
      <c r="N13" s="156" t="n"/>
      <c r="O13" s="156" t="n"/>
      <c r="P13" s="156" t="inlineStr">
        <is>
          <t>Azul</t>
        </is>
      </c>
      <c r="Q13" s="156" t="n"/>
      <c r="R13" s="156" t="n"/>
      <c r="S13" s="156" t="inlineStr">
        <is>
          <t>Poliéster reciclado</t>
        </is>
      </c>
      <c r="T13" s="156" t="inlineStr">
        <is>
          <t>Playera tipo polo de golf REFLO modelo Adriatic en color Oxy/ Navy, confeccionado con materiales reciclados. Estilo ADRIOXY.</t>
        </is>
      </c>
      <c r="U13" s="156" t="n"/>
      <c r="V13" s="156" t="inlineStr">
        <is>
          <t>PZS</t>
        </is>
      </c>
      <c r="W13" s="51" t="inlineStr">
        <is>
          <t>53101600</t>
        </is>
      </c>
      <c r="X13" s="156" t="inlineStr">
        <is>
          <t>https://i.ibb.co/NCvyXJJ/ADRIOXY.jpg</t>
        </is>
      </c>
      <c r="Y13" s="54" t="n">
        <v>26</v>
      </c>
      <c r="Z13" s="54" t="n">
        <v>1899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IFERROR(_xlfn.XMATCH(A13,$A$2:$A$653,0,1)&lt;&gt;_xlfn.XMATCH(A13,$A$2:$A$653,0,-1),FALSE)), "Código de barras duplicado", ""), IF(AND(E13&lt;&gt;"", COUNTIF($E$2:$E$653,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n"/>
      <c r="AD13" s="51" t="n">
        <v>12</v>
      </c>
      <c r="AE13" s="156" t="inlineStr">
        <is>
          <t>CONSIGNA REFLO (1); REFLO ALMACEN (5)</t>
        </is>
      </c>
      <c r="AF13" s="51" t="n">
        <v>12</v>
      </c>
      <c r="AG13" s="156" t="inlineStr">
        <is>
          <t>Nuevo – NetSuite con existencia</t>
        </is>
      </c>
      <c r="AH13" s="156" t="inlineStr">
        <is>
          <t>Género no indicado en NetSuite; Composición: poliéster reciclado (validar % en etiqueta); Físico total NetSuite 12 ≠ suma por ubicación 6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3" s="156" t="inlineStr">
        <is>
          <t>No</t>
        </is>
      </c>
      <c r="AJ13" s="156" t="n"/>
      <c r="AK13" s="155" t="inlineStr">
        <is>
          <t>G1522ProductosTodosloscamposSandboxResults894.xlsx: fila 43912 [X,Y]; G1522_Extraccion_Articulos_NetSuite_2026-09-30.xlsx: fila 37586 [Z]</t>
        </is>
      </c>
      <c r="AL13" s="58" t="n">
        <v>26</v>
      </c>
      <c r="AM13" s="58" t="n"/>
      <c r="AN13" s="155" t="n"/>
      <c r="AO13" s="59" t="n"/>
      <c r="AP13" s="59" t="n"/>
      <c r="AQ13" s="59" t="n"/>
      <c r="AR13" s="155" t="n"/>
    </row>
    <row r="14">
      <c r="A14" s="50" t="inlineStr">
        <is>
          <t>5060923782037</t>
        </is>
      </c>
      <c r="B14" s="51" t="inlineStr">
        <is>
          <t>79254</t>
        </is>
      </c>
      <c r="C14" s="156" t="inlineStr">
        <is>
          <t>REFLO</t>
        </is>
      </c>
      <c r="D14" s="156" t="inlineStr">
        <is>
          <t>ADRIOXY</t>
        </is>
      </c>
      <c r="E14" s="156" t="inlineStr">
        <is>
          <t>ADRIOXY-XXL</t>
        </is>
      </c>
      <c r="F14" s="156" t="inlineStr">
        <is>
          <t>XXL</t>
        </is>
      </c>
      <c r="G14" s="156" t="inlineStr">
        <is>
          <t>XXL</t>
        </is>
      </c>
      <c r="H14" s="156" t="inlineStr">
        <is>
          <t>REFLO</t>
        </is>
      </c>
      <c r="I14" s="156" t="inlineStr">
        <is>
          <t>Playera tipo polo REFLO Adriatic Oxy/ Navy</t>
        </is>
      </c>
      <c r="J14" s="156" t="inlineStr">
        <is>
          <t>Ropa</t>
        </is>
      </c>
      <c r="K14" s="156" t="inlineStr">
        <is>
          <t>Playeras</t>
        </is>
      </c>
      <c r="L14" s="156" t="n"/>
      <c r="M14" s="156" t="inlineStr">
        <is>
          <t>REFLO</t>
        </is>
      </c>
      <c r="N14" s="156" t="n"/>
      <c r="O14" s="156" t="n"/>
      <c r="P14" s="156" t="inlineStr">
        <is>
          <t>Azul</t>
        </is>
      </c>
      <c r="Q14" s="156" t="n"/>
      <c r="R14" s="156" t="n"/>
      <c r="S14" s="156" t="inlineStr">
        <is>
          <t>Poliéster reciclado</t>
        </is>
      </c>
      <c r="T14" s="156" t="inlineStr">
        <is>
          <t>Playera tipo polo de golf REFLO modelo Adriatic en color Oxy/ Navy, confeccionado con materiales reciclados. Estilo ADRIOXY.</t>
        </is>
      </c>
      <c r="U14" s="156" t="n"/>
      <c r="V14" s="156" t="inlineStr">
        <is>
          <t>PZS</t>
        </is>
      </c>
      <c r="W14" s="51" t="inlineStr">
        <is>
          <t>53101600</t>
        </is>
      </c>
      <c r="X14" s="156" t="inlineStr">
        <is>
          <t>https://i.ibb.co/NCvyXJJ/ADRIOXY.jpg</t>
        </is>
      </c>
      <c r="Y14" s="54" t="n">
        <v>26</v>
      </c>
      <c r="Z14" s="54" t="n">
        <v>1899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IFERROR(_xlfn.XMATCH(A14,$A$2:$A$653,0,1)&lt;&gt;_xlfn.XMATCH(A14,$A$2:$A$653,0,-1),FALSE)), "Código de barras duplicado", ""), IF(AND(E14&lt;&gt;"", COUNTIF($E$2:$E$653,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n"/>
      <c r="AD14" s="51" t="n">
        <v>6</v>
      </c>
      <c r="AE14" s="156" t="inlineStr">
        <is>
          <t>REFLO ALMACEN (3)</t>
        </is>
      </c>
      <c r="AF14" s="51" t="n">
        <v>6</v>
      </c>
      <c r="AG14" s="156" t="inlineStr">
        <is>
          <t>Nuevo – NetSuite con existencia</t>
        </is>
      </c>
      <c r="AH14" s="156" t="inlineStr">
        <is>
          <t>Género no indicado en NetSuite; Composición: poliéster reciclado (validar % en etiqueta); Físico total NetSuite 6 ≠ suma por ubicación 3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4" s="156" t="inlineStr">
        <is>
          <t>No</t>
        </is>
      </c>
      <c r="AJ14" s="156" t="n"/>
      <c r="AK14" s="155" t="inlineStr">
        <is>
          <t>G1522ProductosTodosloscamposSandboxResults894.xlsx: fila 43913 [X,Y]; G1522_Extraccion_Articulos_NetSuite_2026-09-30.xlsx: fila 37587 [Z]</t>
        </is>
      </c>
      <c r="AL14" s="58" t="n">
        <v>26</v>
      </c>
      <c r="AM14" s="58" t="n"/>
      <c r="AN14" s="155" t="n"/>
      <c r="AO14" s="59" t="n"/>
      <c r="AP14" s="59" t="n"/>
      <c r="AQ14" s="59" t="n"/>
      <c r="AR14" s="155" t="n"/>
    </row>
    <row r="15">
      <c r="A15" s="50" t="inlineStr">
        <is>
          <t>5060923781993</t>
        </is>
      </c>
      <c r="B15" s="51" t="inlineStr">
        <is>
          <t>84421</t>
        </is>
      </c>
      <c r="C15" s="156" t="inlineStr">
        <is>
          <t>REFLO</t>
        </is>
      </c>
      <c r="D15" s="156" t="inlineStr">
        <is>
          <t>ADRIOXY</t>
        </is>
      </c>
      <c r="E15" s="156" t="inlineStr">
        <is>
          <t>ADRIOXY-S</t>
        </is>
      </c>
      <c r="F15" s="156" t="inlineStr">
        <is>
          <t>S</t>
        </is>
      </c>
      <c r="G15" s="156" t="inlineStr">
        <is>
          <t>S</t>
        </is>
      </c>
      <c r="H15" s="156" t="inlineStr">
        <is>
          <t>REFLO</t>
        </is>
      </c>
      <c r="I15" s="156" t="inlineStr">
        <is>
          <t>Playera tipo polo REFLO Adriatic Oxy/Navy</t>
        </is>
      </c>
      <c r="J15" s="156" t="inlineStr">
        <is>
          <t>Ropa</t>
        </is>
      </c>
      <c r="K15" s="156" t="inlineStr">
        <is>
          <t>Playeras</t>
        </is>
      </c>
      <c r="L15" s="156" t="n"/>
      <c r="M15" s="156" t="inlineStr">
        <is>
          <t>REFLO</t>
        </is>
      </c>
      <c r="N15" s="156" t="n"/>
      <c r="O15" s="156" t="n"/>
      <c r="P15" s="156" t="inlineStr">
        <is>
          <t>Azul</t>
        </is>
      </c>
      <c r="Q15" s="156" t="n"/>
      <c r="R15" s="156" t="n"/>
      <c r="S15" s="156" t="inlineStr">
        <is>
          <t>Poliéster reciclado</t>
        </is>
      </c>
      <c r="T15" s="156" t="inlineStr">
        <is>
          <t>Playera tipo polo de golf REFLO modelo Adriatic en color Oxy/Navy, confeccionado con materiales reciclados. Estilo ADRIOXY.</t>
        </is>
      </c>
      <c r="U15" s="156" t="n"/>
      <c r="V15" s="156" t="inlineStr">
        <is>
          <t>PZS</t>
        </is>
      </c>
      <c r="W15" s="51" t="inlineStr">
        <is>
          <t>53101600</t>
        </is>
      </c>
      <c r="X15" s="156" t="inlineStr">
        <is>
          <t>https://i.ibb.co/NCvyXJJ/ADRIOXY.jpg</t>
        </is>
      </c>
      <c r="Y15" s="54" t="n">
        <v>26</v>
      </c>
      <c r="Z15" s="54" t="n">
        <v>1899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IFERROR(_xlfn.XMATCH(A15,$A$2:$A$653,0,1)&lt;&gt;_xlfn.XMATCH(A15,$A$2:$A$653,0,-1),FALSE)), "Código de barras duplicado", ""), IF(AND(E15&lt;&gt;"", COUNTIF($E$2:$E$653,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n"/>
      <c r="AD15" s="51" t="n">
        <v>8</v>
      </c>
      <c r="AE15" s="156" t="inlineStr">
        <is>
          <t>REFLO ALMACEN (2); CONSIGNA REFLO (2)</t>
        </is>
      </c>
      <c r="AF15" s="51" t="n">
        <v>8</v>
      </c>
      <c r="AG15" s="156" t="inlineStr">
        <is>
          <t>Nuevo – NetSuite con existencia</t>
        </is>
      </c>
      <c r="AH15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5" s="156" t="inlineStr">
        <is>
          <t>No</t>
        </is>
      </c>
      <c r="AJ15" s="156" t="n"/>
      <c r="AK15" s="155" t="inlineStr">
        <is>
          <t>G1522ProductosTodosloscamposSandboxResults894.xlsx: fila 43915 [X,Y]; G1522_Extraccion_Articulos_NetSuite_2026-09-30.xlsx: fila 39590 [Z]</t>
        </is>
      </c>
      <c r="AL15" s="58" t="n">
        <v>26</v>
      </c>
      <c r="AM15" s="58" t="n"/>
      <c r="AN15" s="155" t="n"/>
      <c r="AO15" s="59" t="n"/>
      <c r="AP15" s="59" t="n"/>
      <c r="AQ15" s="59" t="n"/>
      <c r="AR15" s="155" t="n"/>
    </row>
    <row r="16">
      <c r="A16" s="50" t="inlineStr">
        <is>
          <t>5060923780439</t>
        </is>
      </c>
      <c r="B16" s="51" t="inlineStr">
        <is>
          <t>79077</t>
        </is>
      </c>
      <c r="C16" s="156" t="inlineStr">
        <is>
          <t>REFLO</t>
        </is>
      </c>
      <c r="D16" s="156" t="inlineStr">
        <is>
          <t>BISCAQU</t>
        </is>
      </c>
      <c r="E16" s="156" t="inlineStr">
        <is>
          <t>BISCAQU-S</t>
        </is>
      </c>
      <c r="F16" s="156" t="inlineStr">
        <is>
          <t>S</t>
        </is>
      </c>
      <c r="G16" s="156" t="inlineStr">
        <is>
          <t>S</t>
        </is>
      </c>
      <c r="H16" s="156" t="inlineStr">
        <is>
          <t>REFLO</t>
        </is>
      </c>
      <c r="I16" s="156" t="inlineStr">
        <is>
          <t>Short REFLO Biscay Aqua</t>
        </is>
      </c>
      <c r="J16" s="156" t="inlineStr">
        <is>
          <t>Ropa</t>
        </is>
      </c>
      <c r="K16" s="156" t="inlineStr">
        <is>
          <t>Shorts</t>
        </is>
      </c>
      <c r="L16" s="156" t="n"/>
      <c r="M16" s="156" t="inlineStr">
        <is>
          <t>REFLO</t>
        </is>
      </c>
      <c r="N16" s="156" t="n"/>
      <c r="O16" s="156" t="n"/>
      <c r="P16" s="156" t="inlineStr">
        <is>
          <t>Azul</t>
        </is>
      </c>
      <c r="Q16" s="156" t="n"/>
      <c r="R16" s="156" t="n"/>
      <c r="S16" s="156" t="inlineStr">
        <is>
          <t>Poliéster reciclado</t>
        </is>
      </c>
      <c r="T16" s="156" t="inlineStr">
        <is>
          <t>Short de golf REFLO modelo Biscay en color Aqua, confeccionado con materiales reciclados. Estilo BISCAQU.</t>
        </is>
      </c>
      <c r="U16" s="156" t="n"/>
      <c r="V16" s="156" t="inlineStr">
        <is>
          <t>PZS</t>
        </is>
      </c>
      <c r="W16" s="51" t="inlineStr">
        <is>
          <t>53101500</t>
        </is>
      </c>
      <c r="X16" s="156" t="inlineStr">
        <is>
          <t>https://i.ibb.co/hsH5ZbD/BISCAQU.jpg</t>
        </is>
      </c>
      <c r="Y16" s="54" t="n">
        <v>19.5</v>
      </c>
      <c r="Z16" s="54" t="n">
        <v>1449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IFERROR(_xlfn.XMATCH(A16,$A$2:$A$653,0,1)&lt;&gt;_xlfn.XMATCH(A16,$A$2:$A$653,0,-1),FALSE)), "Código de barras duplicado", ""), IF(AND(E16&lt;&gt;"", COUNTIF($E$2:$E$653,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n"/>
      <c r="AD16" s="51" t="n">
        <v>1</v>
      </c>
      <c r="AE16" s="156" t="inlineStr">
        <is>
          <t>REFLO ALMACEN (2)</t>
        </is>
      </c>
      <c r="AF16" s="51" t="n">
        <v>2</v>
      </c>
      <c r="AG16" s="156" t="inlineStr">
        <is>
          <t>Nuevo – NetSuite con existencia</t>
        </is>
      </c>
      <c r="AH16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6" s="156" t="inlineStr">
        <is>
          <t>Sí</t>
        </is>
      </c>
      <c r="AJ16" s="156" t="inlineStr">
        <is>
          <t>CONSIGNA REFLO (-1)</t>
        </is>
      </c>
      <c r="AK16" s="155" t="inlineStr">
        <is>
          <t>G1522ProductosTodosloscamposSandboxResults894.xlsx: fila 45340 [X,Y]; G1522_Extraccion_Articulos_NetSuite_2026-09-30.xlsx: fila 37461 [Z]</t>
        </is>
      </c>
      <c r="AL16" s="58" t="n">
        <v>19.5</v>
      </c>
      <c r="AM16" s="58" t="n"/>
      <c r="AN16" s="155" t="n"/>
      <c r="AO16" s="59" t="n"/>
      <c r="AP16" s="59" t="n"/>
      <c r="AQ16" s="59" t="n"/>
      <c r="AR16" s="155" t="n"/>
    </row>
    <row r="17">
      <c r="A17" s="50" t="inlineStr">
        <is>
          <t>5060923780446</t>
        </is>
      </c>
      <c r="B17" s="51" t="inlineStr">
        <is>
          <t>79078</t>
        </is>
      </c>
      <c r="C17" s="156" t="inlineStr">
        <is>
          <t>REFLO</t>
        </is>
      </c>
      <c r="D17" s="156" t="inlineStr">
        <is>
          <t>BISCAQU</t>
        </is>
      </c>
      <c r="E17" s="156" t="inlineStr">
        <is>
          <t>BISCAQU-M</t>
        </is>
      </c>
      <c r="F17" s="156" t="inlineStr">
        <is>
          <t>M</t>
        </is>
      </c>
      <c r="G17" s="156" t="inlineStr">
        <is>
          <t>M</t>
        </is>
      </c>
      <c r="H17" s="156" t="inlineStr">
        <is>
          <t>REFLO</t>
        </is>
      </c>
      <c r="I17" s="156" t="inlineStr">
        <is>
          <t>Short REFLO Biscay Aqua</t>
        </is>
      </c>
      <c r="J17" s="156" t="inlineStr">
        <is>
          <t>Ropa</t>
        </is>
      </c>
      <c r="K17" s="156" t="inlineStr">
        <is>
          <t>Shorts</t>
        </is>
      </c>
      <c r="L17" s="156" t="n"/>
      <c r="M17" s="156" t="inlineStr">
        <is>
          <t>REFLO</t>
        </is>
      </c>
      <c r="N17" s="156" t="n"/>
      <c r="O17" s="156" t="n"/>
      <c r="P17" s="156" t="inlineStr">
        <is>
          <t>Azul</t>
        </is>
      </c>
      <c r="Q17" s="156" t="n"/>
      <c r="R17" s="156" t="n"/>
      <c r="S17" s="156" t="inlineStr">
        <is>
          <t>Poliéster reciclado</t>
        </is>
      </c>
      <c r="T17" s="156" t="inlineStr">
        <is>
          <t>Short de golf REFLO modelo Biscay en color Aqua, confeccionado con materiales reciclados. Estilo BISCAQU.</t>
        </is>
      </c>
      <c r="U17" s="156" t="n"/>
      <c r="V17" s="156" t="inlineStr">
        <is>
          <t>PZS</t>
        </is>
      </c>
      <c r="W17" s="51" t="inlineStr">
        <is>
          <t>53101500</t>
        </is>
      </c>
      <c r="X17" s="156" t="inlineStr">
        <is>
          <t>https://i.ibb.co/hsH5ZbD/BISCAQU.jpg</t>
        </is>
      </c>
      <c r="Y17" s="54" t="n">
        <v>19.5</v>
      </c>
      <c r="Z17" s="54" t="n">
        <v>1449</v>
      </c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IFERROR(_xlfn.XMATCH(A17,$A$2:$A$653,0,1)&lt;&gt;_xlfn.XMATCH(A17,$A$2:$A$653,0,-1),FALSE)), "Código de barras duplicado", ""), IF(AND(E17&lt;&gt;"", COUNTIF($E$2:$E$653,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n"/>
      <c r="AD17" s="51" t="n">
        <v>2</v>
      </c>
      <c r="AE17" s="156" t="inlineStr">
        <is>
          <t>REFLO ALMACEN (3)</t>
        </is>
      </c>
      <c r="AF17" s="51" t="n">
        <v>3</v>
      </c>
      <c r="AG17" s="156" t="inlineStr">
        <is>
          <t>Nuevo – NetSuite con existencia</t>
        </is>
      </c>
      <c r="AH17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7" s="156" t="inlineStr">
        <is>
          <t>Sí</t>
        </is>
      </c>
      <c r="AJ17" s="156" t="inlineStr">
        <is>
          <t>CONSIGNA REFLO (-1)</t>
        </is>
      </c>
      <c r="AK17" s="155" t="inlineStr">
        <is>
          <t>G1522ProductosTodosloscamposSandboxResults894.xlsx: fila 45341 [X,Y]; G1522_Extraccion_Articulos_NetSuite_2026-09-30.xlsx: fila 37462 [Z]</t>
        </is>
      </c>
      <c r="AL17" s="58" t="n">
        <v>19.5</v>
      </c>
      <c r="AM17" s="58" t="n"/>
      <c r="AN17" s="155" t="n"/>
      <c r="AO17" s="59" t="n"/>
      <c r="AP17" s="59" t="n"/>
      <c r="AQ17" s="59" t="n"/>
      <c r="AR17" s="155" t="n"/>
    </row>
    <row r="18">
      <c r="A18" s="50" t="inlineStr">
        <is>
          <t>5060923780453</t>
        </is>
      </c>
      <c r="B18" s="51" t="inlineStr">
        <is>
          <t>79079</t>
        </is>
      </c>
      <c r="C18" s="156" t="inlineStr">
        <is>
          <t>REFLO</t>
        </is>
      </c>
      <c r="D18" s="156" t="inlineStr">
        <is>
          <t>BISCAQU</t>
        </is>
      </c>
      <c r="E18" s="156" t="inlineStr">
        <is>
          <t>BISCAQU-L</t>
        </is>
      </c>
      <c r="F18" s="156" t="inlineStr">
        <is>
          <t>L</t>
        </is>
      </c>
      <c r="G18" s="156" t="inlineStr">
        <is>
          <t>L</t>
        </is>
      </c>
      <c r="H18" s="156" t="inlineStr">
        <is>
          <t>REFLO</t>
        </is>
      </c>
      <c r="I18" s="156" t="inlineStr">
        <is>
          <t>Short REFLO Biscay Aqua</t>
        </is>
      </c>
      <c r="J18" s="156" t="inlineStr">
        <is>
          <t>Ropa</t>
        </is>
      </c>
      <c r="K18" s="156" t="inlineStr">
        <is>
          <t>Shorts</t>
        </is>
      </c>
      <c r="L18" s="156" t="n"/>
      <c r="M18" s="156" t="inlineStr">
        <is>
          <t>REFLO</t>
        </is>
      </c>
      <c r="N18" s="156" t="n"/>
      <c r="O18" s="156" t="n"/>
      <c r="P18" s="156" t="inlineStr">
        <is>
          <t>Azul</t>
        </is>
      </c>
      <c r="Q18" s="156" t="n"/>
      <c r="R18" s="156" t="n"/>
      <c r="S18" s="156" t="inlineStr">
        <is>
          <t>Poliéster reciclado</t>
        </is>
      </c>
      <c r="T18" s="156" t="inlineStr">
        <is>
          <t>Short de golf REFLO modelo Biscay en color Aqua, confeccionado con materiales reciclados. Estilo BISCAQU.</t>
        </is>
      </c>
      <c r="U18" s="156" t="n"/>
      <c r="V18" s="156" t="inlineStr">
        <is>
          <t>PZS</t>
        </is>
      </c>
      <c r="W18" s="51" t="inlineStr">
        <is>
          <t>53101500</t>
        </is>
      </c>
      <c r="X18" s="156" t="inlineStr">
        <is>
          <t>https://i.ibb.co/hsH5ZbD/BISCAQU.jpg</t>
        </is>
      </c>
      <c r="Y18" s="54" t="n">
        <v>19.5</v>
      </c>
      <c r="Z18" s="54" t="n">
        <v>1449</v>
      </c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IFERROR(_xlfn.XMATCH(A18,$A$2:$A$653,0,1)&lt;&gt;_xlfn.XMATCH(A18,$A$2:$A$653,0,-1),FALSE)), "Código de barras duplicado", ""), IF(AND(E18&lt;&gt;"", COUNTIF($E$2:$E$653,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n"/>
      <c r="AD18" s="51" t="n">
        <v>3</v>
      </c>
      <c r="AE18" s="156" t="inlineStr">
        <is>
          <t>MUESTRAS REFLO (1); REFLO ALMACEN (1)</t>
        </is>
      </c>
      <c r="AF18" s="51" t="n">
        <v>2</v>
      </c>
      <c r="AG18" s="156" t="inlineStr">
        <is>
          <t>Nuevo – NetSuite con existencia</t>
        </is>
      </c>
      <c r="AH18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8" s="156" t="inlineStr">
        <is>
          <t>No</t>
        </is>
      </c>
      <c r="AJ18" s="156" t="n"/>
      <c r="AK18" s="155" t="inlineStr">
        <is>
          <t>G1522ProductosTodosloscamposSandboxResults894.xlsx: fila 45342 [X,Y]; G1522_Extraccion_Articulos_NetSuite_2026-09-30.xlsx: fila 37463 [Z]</t>
        </is>
      </c>
      <c r="AL18" s="58" t="n">
        <v>19.5</v>
      </c>
      <c r="AM18" s="58" t="n"/>
      <c r="AN18" s="155" t="n"/>
      <c r="AO18" s="59" t="n"/>
      <c r="AP18" s="59" t="n"/>
      <c r="AQ18" s="59" t="n"/>
      <c r="AR18" s="155" t="n"/>
    </row>
    <row r="19">
      <c r="A19" s="50" t="inlineStr">
        <is>
          <t>5060923780460</t>
        </is>
      </c>
      <c r="B19" s="51" t="inlineStr">
        <is>
          <t>79080</t>
        </is>
      </c>
      <c r="C19" s="156" t="inlineStr">
        <is>
          <t>REFLO</t>
        </is>
      </c>
      <c r="D19" s="156" t="inlineStr">
        <is>
          <t>BISCAQU</t>
        </is>
      </c>
      <c r="E19" s="156" t="inlineStr">
        <is>
          <t>BISCAQU-XL</t>
        </is>
      </c>
      <c r="F19" s="156" t="inlineStr">
        <is>
          <t>XL</t>
        </is>
      </c>
      <c r="G19" s="156" t="inlineStr">
        <is>
          <t>XL</t>
        </is>
      </c>
      <c r="H19" s="156" t="inlineStr">
        <is>
          <t>REFLO</t>
        </is>
      </c>
      <c r="I19" s="156" t="inlineStr">
        <is>
          <t>Short REFLO Biscay Aqua</t>
        </is>
      </c>
      <c r="J19" s="156" t="inlineStr">
        <is>
          <t>Ropa</t>
        </is>
      </c>
      <c r="K19" s="156" t="inlineStr">
        <is>
          <t>Shorts</t>
        </is>
      </c>
      <c r="L19" s="156" t="n"/>
      <c r="M19" s="156" t="inlineStr">
        <is>
          <t>REFLO</t>
        </is>
      </c>
      <c r="N19" s="156" t="n"/>
      <c r="O19" s="156" t="n"/>
      <c r="P19" s="156" t="inlineStr">
        <is>
          <t>Azul</t>
        </is>
      </c>
      <c r="Q19" s="156" t="n"/>
      <c r="R19" s="156" t="n"/>
      <c r="S19" s="156" t="inlineStr">
        <is>
          <t>Poliéster reciclado</t>
        </is>
      </c>
      <c r="T19" s="156" t="inlineStr">
        <is>
          <t>Short de golf REFLO modelo Biscay en color Aqua, confeccionado con materiales reciclados. Estilo BISCAQU.</t>
        </is>
      </c>
      <c r="U19" s="156" t="n"/>
      <c r="V19" s="156" t="inlineStr">
        <is>
          <t>PZS</t>
        </is>
      </c>
      <c r="W19" s="51" t="inlineStr">
        <is>
          <t>53101500</t>
        </is>
      </c>
      <c r="X19" s="156" t="inlineStr">
        <is>
          <t>https://i.ibb.co/hsH5ZbD/BISCAQU.jpg</t>
        </is>
      </c>
      <c r="Y19" s="54" t="n">
        <v>19.5</v>
      </c>
      <c r="Z19" s="54" t="n">
        <v>1449</v>
      </c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IFERROR(_xlfn.XMATCH(A19,$A$2:$A$653,0,1)&lt;&gt;_xlfn.XMATCH(A19,$A$2:$A$653,0,-1),FALSE)), "Código de barras duplicado", ""), IF(AND(E19&lt;&gt;"", COUNTIF($E$2:$E$653,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n"/>
      <c r="AD19" s="51" t="n">
        <v>2</v>
      </c>
      <c r="AE19" s="156" t="inlineStr">
        <is>
          <t>REFLO ALMACEN (1)</t>
        </is>
      </c>
      <c r="AF19" s="51" t="n">
        <v>2</v>
      </c>
      <c r="AG19" s="156" t="inlineStr">
        <is>
          <t>Nuevo – NetSuite con existencia</t>
        </is>
      </c>
      <c r="AH19" s="156" t="inlineStr">
        <is>
          <t>Género no indicado en NetSuite; Composición: poliéster reciclado (validar % en etiqueta); Físico total NetSuite 2 ≠ suma por ubicación 1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9" s="156" t="inlineStr">
        <is>
          <t>No</t>
        </is>
      </c>
      <c r="AJ19" s="156" t="n"/>
      <c r="AK19" s="155" t="inlineStr">
        <is>
          <t>G1522ProductosTodosloscamposSandboxResults894.xlsx: fila 45343 [X,Y]; G1522_Extraccion_Articulos_NetSuite_2026-09-30.xlsx: fila 37464 [Z]</t>
        </is>
      </c>
      <c r="AL19" s="58" t="n">
        <v>19.5</v>
      </c>
      <c r="AM19" s="58" t="n"/>
      <c r="AN19" s="155" t="n"/>
      <c r="AO19" s="59" t="n"/>
      <c r="AP19" s="59" t="n"/>
      <c r="AQ19" s="59" t="n"/>
      <c r="AR19" s="155" t="n"/>
    </row>
    <row r="20">
      <c r="A20" s="50" t="inlineStr">
        <is>
          <t>5060923780323</t>
        </is>
      </c>
      <c r="B20" s="51" t="inlineStr">
        <is>
          <t>79081</t>
        </is>
      </c>
      <c r="C20" s="156" t="inlineStr">
        <is>
          <t>REFLO</t>
        </is>
      </c>
      <c r="D20" s="156" t="inlineStr">
        <is>
          <t>BISCBLA</t>
        </is>
      </c>
      <c r="E20" s="156" t="inlineStr">
        <is>
          <t>BISCBLA-M</t>
        </is>
      </c>
      <c r="F20" s="156" t="inlineStr">
        <is>
          <t>M</t>
        </is>
      </c>
      <c r="G20" s="156" t="inlineStr">
        <is>
          <t>M</t>
        </is>
      </c>
      <c r="H20" s="156" t="inlineStr">
        <is>
          <t>REFLO</t>
        </is>
      </c>
      <c r="I20" s="156" t="inlineStr">
        <is>
          <t>Short REFLO Biscay Black</t>
        </is>
      </c>
      <c r="J20" s="156" t="inlineStr">
        <is>
          <t>Ropa</t>
        </is>
      </c>
      <c r="K20" s="156" t="inlineStr">
        <is>
          <t>Shorts</t>
        </is>
      </c>
      <c r="L20" s="156" t="n"/>
      <c r="M20" s="156" t="inlineStr">
        <is>
          <t>REFLO</t>
        </is>
      </c>
      <c r="N20" s="156" t="n"/>
      <c r="O20" s="156" t="n"/>
      <c r="P20" s="156" t="inlineStr">
        <is>
          <t>Negro</t>
        </is>
      </c>
      <c r="Q20" s="156" t="n"/>
      <c r="R20" s="156" t="n"/>
      <c r="S20" s="156" t="inlineStr">
        <is>
          <t>Poliéster reciclado</t>
        </is>
      </c>
      <c r="T20" s="156" t="inlineStr">
        <is>
          <t>Short de golf REFLO modelo Biscay en color Black, confeccionado con materiales reciclados. Estilo BISCBLA.</t>
        </is>
      </c>
      <c r="U20" s="156" t="n"/>
      <c r="V20" s="156" t="inlineStr">
        <is>
          <t>PZS</t>
        </is>
      </c>
      <c r="W20" s="51" t="inlineStr">
        <is>
          <t>53101500</t>
        </is>
      </c>
      <c r="X20" s="156" t="inlineStr">
        <is>
          <t>https://i.ibb.co/h2mgx7X/BISCBLA.jpg</t>
        </is>
      </c>
      <c r="Y20" s="54" t="n">
        <v>19.5</v>
      </c>
      <c r="Z20" s="54" t="n">
        <v>1449</v>
      </c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IFERROR(_xlfn.XMATCH(A20,$A$2:$A$653,0,1)&lt;&gt;_xlfn.XMATCH(A20,$A$2:$A$653,0,-1),FALSE)), "Código de barras duplicado", ""), IF(AND(E20&lt;&gt;"", COUNTIF($E$2:$E$653,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n"/>
      <c r="AD20" s="51" t="n">
        <v>0</v>
      </c>
      <c r="AE20" s="156" t="n"/>
      <c r="AF20" s="51" t="n">
        <v>0</v>
      </c>
      <c r="AG20" s="156" t="inlineStr">
        <is>
          <t>Nuevo – NetSuite sin existencia</t>
        </is>
      </c>
      <c r="AH20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0" s="156" t="inlineStr">
        <is>
          <t>No</t>
        </is>
      </c>
      <c r="AJ20" s="156" t="n"/>
      <c r="AK20" s="155" t="inlineStr">
        <is>
          <t>G1522ProductosTodosloscamposSandboxResults894.xlsx: fila 45345 [X,Y]; G1522_Extraccion_Articulos_NetSuite_2026-09-30.xlsx: fila 37465 [Z]</t>
        </is>
      </c>
      <c r="AL20" s="58" t="n">
        <v>19.5</v>
      </c>
      <c r="AM20" s="58" t="n"/>
      <c r="AN20" s="155" t="n"/>
      <c r="AO20" s="59" t="n"/>
      <c r="AP20" s="59" t="n"/>
      <c r="AQ20" s="59" t="n"/>
      <c r="AR20" s="155" t="n"/>
    </row>
    <row r="21">
      <c r="A21" s="50" t="inlineStr">
        <is>
          <t>5060923780330</t>
        </is>
      </c>
      <c r="B21" s="51" t="inlineStr">
        <is>
          <t>79082</t>
        </is>
      </c>
      <c r="C21" s="156" t="inlineStr">
        <is>
          <t>REFLO</t>
        </is>
      </c>
      <c r="D21" s="156" t="inlineStr">
        <is>
          <t>BISCBLA</t>
        </is>
      </c>
      <c r="E21" s="156" t="inlineStr">
        <is>
          <t>BISCBLA-L</t>
        </is>
      </c>
      <c r="F21" s="156" t="inlineStr">
        <is>
          <t>L</t>
        </is>
      </c>
      <c r="G21" s="156" t="inlineStr">
        <is>
          <t>L</t>
        </is>
      </c>
      <c r="H21" s="156" t="inlineStr">
        <is>
          <t>REFLO</t>
        </is>
      </c>
      <c r="I21" s="156" t="inlineStr">
        <is>
          <t>Short REFLO Biscay Black</t>
        </is>
      </c>
      <c r="J21" s="156" t="inlineStr">
        <is>
          <t>Ropa</t>
        </is>
      </c>
      <c r="K21" s="156" t="inlineStr">
        <is>
          <t>Shorts</t>
        </is>
      </c>
      <c r="L21" s="156" t="n"/>
      <c r="M21" s="156" t="inlineStr">
        <is>
          <t>REFLO</t>
        </is>
      </c>
      <c r="N21" s="156" t="n"/>
      <c r="O21" s="156" t="n"/>
      <c r="P21" s="156" t="inlineStr">
        <is>
          <t>Negro</t>
        </is>
      </c>
      <c r="Q21" s="156" t="n"/>
      <c r="R21" s="156" t="n"/>
      <c r="S21" s="156" t="inlineStr">
        <is>
          <t>Poliéster reciclado</t>
        </is>
      </c>
      <c r="T21" s="156" t="inlineStr">
        <is>
          <t>Short de golf REFLO modelo Biscay en color Black, confeccionado con materiales reciclados. Estilo BISCBLA.</t>
        </is>
      </c>
      <c r="U21" s="156" t="n"/>
      <c r="V21" s="156" t="inlineStr">
        <is>
          <t>PZS</t>
        </is>
      </c>
      <c r="W21" s="51" t="inlineStr">
        <is>
          <t>53101500</t>
        </is>
      </c>
      <c r="X21" s="156" t="inlineStr">
        <is>
          <t>https://i.ibb.co/h2mgx7X/BISCBLA.jpg</t>
        </is>
      </c>
      <c r="Y21" s="54" t="n">
        <v>19.5</v>
      </c>
      <c r="Z21" s="54" t="n">
        <v>1449</v>
      </c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IFERROR(_xlfn.XMATCH(A21,$A$2:$A$653,0,1)&lt;&gt;_xlfn.XMATCH(A21,$A$2:$A$653,0,-1),FALSE)), "Código de barras duplicado", ""), IF(AND(E21&lt;&gt;"", COUNTIF($E$2:$E$653,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n"/>
      <c r="AD21" s="51" t="n">
        <v>3</v>
      </c>
      <c r="AE21" s="156" t="inlineStr">
        <is>
          <t>MUESTRAS REFLO (1); REFLO ALMACEN (3)</t>
        </is>
      </c>
      <c r="AF21" s="51" t="n">
        <v>3</v>
      </c>
      <c r="AG21" s="156" t="inlineStr">
        <is>
          <t>Nuevo – NetSuite con existencia</t>
        </is>
      </c>
      <c r="AH21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1" s="156" t="inlineStr">
        <is>
          <t>Sí</t>
        </is>
      </c>
      <c r="AJ21" s="156" t="inlineStr">
        <is>
          <t>CONSIGNA REFLO (-1)</t>
        </is>
      </c>
      <c r="AK21" s="155" t="inlineStr">
        <is>
          <t>G1522ProductosTodosloscamposSandboxResults894.xlsx: fila 45346 [X,Y]; G1522_Extraccion_Articulos_NetSuite_2026-09-30.xlsx: fila 37466 [Z]</t>
        </is>
      </c>
      <c r="AL21" s="58" t="n">
        <v>19.5</v>
      </c>
      <c r="AM21" s="58" t="n"/>
      <c r="AN21" s="155" t="n"/>
      <c r="AO21" s="59" t="n"/>
      <c r="AP21" s="59" t="n"/>
      <c r="AQ21" s="59" t="n"/>
      <c r="AR21" s="155" t="n"/>
    </row>
    <row r="22">
      <c r="A22" s="50" t="inlineStr">
        <is>
          <t>5060923780347</t>
        </is>
      </c>
      <c r="B22" s="51" t="inlineStr">
        <is>
          <t>79083</t>
        </is>
      </c>
      <c r="C22" s="156" t="inlineStr">
        <is>
          <t>REFLO</t>
        </is>
      </c>
      <c r="D22" s="156" t="inlineStr">
        <is>
          <t>BISCBLA</t>
        </is>
      </c>
      <c r="E22" s="156" t="inlineStr">
        <is>
          <t>BISCBLA-XL</t>
        </is>
      </c>
      <c r="F22" s="156" t="inlineStr">
        <is>
          <t>XL</t>
        </is>
      </c>
      <c r="G22" s="156" t="inlineStr">
        <is>
          <t>XL</t>
        </is>
      </c>
      <c r="H22" s="156" t="inlineStr">
        <is>
          <t>REFLO</t>
        </is>
      </c>
      <c r="I22" s="156" t="inlineStr">
        <is>
          <t>Short REFLO Biscay Black</t>
        </is>
      </c>
      <c r="J22" s="156" t="inlineStr">
        <is>
          <t>Ropa</t>
        </is>
      </c>
      <c r="K22" s="156" t="inlineStr">
        <is>
          <t>Shorts</t>
        </is>
      </c>
      <c r="L22" s="156" t="n"/>
      <c r="M22" s="156" t="inlineStr">
        <is>
          <t>REFLO</t>
        </is>
      </c>
      <c r="N22" s="156" t="n"/>
      <c r="O22" s="156" t="n"/>
      <c r="P22" s="156" t="inlineStr">
        <is>
          <t>Negro</t>
        </is>
      </c>
      <c r="Q22" s="156" t="n"/>
      <c r="R22" s="156" t="n"/>
      <c r="S22" s="156" t="inlineStr">
        <is>
          <t>Poliéster reciclado</t>
        </is>
      </c>
      <c r="T22" s="156" t="inlineStr">
        <is>
          <t>Short de golf REFLO modelo Biscay en color Black, confeccionado con materiales reciclados. Estilo BISCBLA.</t>
        </is>
      </c>
      <c r="U22" s="156" t="n"/>
      <c r="V22" s="156" t="inlineStr">
        <is>
          <t>PZS</t>
        </is>
      </c>
      <c r="W22" s="51" t="inlineStr">
        <is>
          <t>53101500</t>
        </is>
      </c>
      <c r="X22" s="156" t="inlineStr">
        <is>
          <t>https://i.ibb.co/h2mgx7X/BISCBLA.jpg</t>
        </is>
      </c>
      <c r="Y22" s="54" t="n">
        <v>19.5</v>
      </c>
      <c r="Z22" s="54" t="n">
        <v>1449</v>
      </c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IFERROR(_xlfn.XMATCH(A22,$A$2:$A$653,0,1)&lt;&gt;_xlfn.XMATCH(A22,$A$2:$A$653,0,-1),FALSE)), "Código de barras duplicado", ""), IF(AND(E22&lt;&gt;"", COUNTIF($E$2:$E$653,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n"/>
      <c r="AD22" s="51" t="n">
        <v>4</v>
      </c>
      <c r="AE22" s="156" t="inlineStr">
        <is>
          <t>REFLO ALMACEN (3)</t>
        </is>
      </c>
      <c r="AF22" s="51" t="n">
        <v>5</v>
      </c>
      <c r="AG22" s="156" t="inlineStr">
        <is>
          <t>Nuevo – NetSuite con existencia</t>
        </is>
      </c>
      <c r="AH22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2" s="156" t="inlineStr">
        <is>
          <t>Sí</t>
        </is>
      </c>
      <c r="AJ22" s="156" t="inlineStr">
        <is>
          <t>CONSIGNA REFLO (-1)</t>
        </is>
      </c>
      <c r="AK22" s="155" t="inlineStr">
        <is>
          <t>G1522ProductosTodosloscamposSandboxResults894.xlsx: fila 45347 [X,Y]; G1522_Extraccion_Articulos_NetSuite_2026-09-30.xlsx: fila 37467 [Z]</t>
        </is>
      </c>
      <c r="AL22" s="58" t="n">
        <v>19.5</v>
      </c>
      <c r="AM22" s="58" t="n"/>
      <c r="AN22" s="155" t="n"/>
      <c r="AO22" s="59" t="n"/>
      <c r="AP22" s="59" t="n"/>
      <c r="AQ22" s="59" t="n"/>
      <c r="AR22" s="155" t="n"/>
    </row>
    <row r="23">
      <c r="A23" s="50" t="inlineStr">
        <is>
          <t>5060923780385</t>
        </is>
      </c>
      <c r="B23" s="51" t="inlineStr">
        <is>
          <t>79084</t>
        </is>
      </c>
      <c r="C23" s="156" t="inlineStr">
        <is>
          <t>REFLO</t>
        </is>
      </c>
      <c r="D23" s="156" t="inlineStr">
        <is>
          <t>BISCFRE</t>
        </is>
      </c>
      <c r="E23" s="156" t="inlineStr">
        <is>
          <t>BISCFRE-M</t>
        </is>
      </c>
      <c r="F23" s="156" t="inlineStr">
        <is>
          <t>M</t>
        </is>
      </c>
      <c r="G23" s="156" t="inlineStr">
        <is>
          <t>M</t>
        </is>
      </c>
      <c r="H23" s="156" t="inlineStr">
        <is>
          <t>REFLO</t>
        </is>
      </c>
      <c r="I23" s="156" t="inlineStr">
        <is>
          <t>Short REFLO Biscay French Navy</t>
        </is>
      </c>
      <c r="J23" s="156" t="inlineStr">
        <is>
          <t>Ropa</t>
        </is>
      </c>
      <c r="K23" s="156" t="inlineStr">
        <is>
          <t>Shorts</t>
        </is>
      </c>
      <c r="L23" s="156" t="n"/>
      <c r="M23" s="156" t="inlineStr">
        <is>
          <t>REFLO</t>
        </is>
      </c>
      <c r="N23" s="156" t="n"/>
      <c r="O23" s="156" t="n"/>
      <c r="P23" s="156" t="inlineStr">
        <is>
          <t>Azul</t>
        </is>
      </c>
      <c r="Q23" s="156" t="n"/>
      <c r="R23" s="156" t="n"/>
      <c r="S23" s="156" t="inlineStr">
        <is>
          <t>Poliéster reciclado</t>
        </is>
      </c>
      <c r="T23" s="156" t="inlineStr">
        <is>
          <t>Short de golf REFLO modelo Biscay en color French Navy, confeccionado con materiales reciclados. Estilo BISCFRE.</t>
        </is>
      </c>
      <c r="U23" s="156" t="n"/>
      <c r="V23" s="156" t="inlineStr">
        <is>
          <t>PZS</t>
        </is>
      </c>
      <c r="W23" s="51" t="inlineStr">
        <is>
          <t>53101500</t>
        </is>
      </c>
      <c r="X23" s="156" t="inlineStr">
        <is>
          <t>https://i.ibb.co/hDy0Lh5/BISCFRE.jpg</t>
        </is>
      </c>
      <c r="Y23" s="54" t="n">
        <v>19.5</v>
      </c>
      <c r="Z23" s="54" t="n">
        <v>1449</v>
      </c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IFERROR(_xlfn.XMATCH(A23,$A$2:$A$653,0,1)&lt;&gt;_xlfn.XMATCH(A23,$A$2:$A$653,0,-1),FALSE)), "Código de barras duplicado", ""), IF(AND(E23&lt;&gt;"", COUNTIF($E$2:$E$653,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n"/>
      <c r="AD23" s="51" t="n">
        <v>7</v>
      </c>
      <c r="AE23" s="156" t="inlineStr">
        <is>
          <t>MUESTRAS REFLO (1); REFLO ALMACEN (3)</t>
        </is>
      </c>
      <c r="AF23" s="51" t="n">
        <v>6</v>
      </c>
      <c r="AG23" s="156" t="inlineStr">
        <is>
          <t>Nuevo – NetSuite con existencia</t>
        </is>
      </c>
      <c r="AH23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3" s="156" t="inlineStr">
        <is>
          <t>No</t>
        </is>
      </c>
      <c r="AJ23" s="156" t="n"/>
      <c r="AK23" s="155" t="inlineStr">
        <is>
          <t>G1522ProductosTodosloscamposSandboxResults894.xlsx: fila 45349 [X,Y]; G1522_Extraccion_Articulos_NetSuite_2026-09-30.xlsx: fila 37468 [Z]</t>
        </is>
      </c>
      <c r="AL23" s="58" t="n">
        <v>19.5</v>
      </c>
      <c r="AM23" s="58" t="n"/>
      <c r="AN23" s="155" t="n"/>
      <c r="AO23" s="59" t="n"/>
      <c r="AP23" s="59" t="n"/>
      <c r="AQ23" s="59" t="n"/>
      <c r="AR23" s="155" t="n"/>
    </row>
    <row r="24">
      <c r="A24" s="50" t="inlineStr">
        <is>
          <t>5060923780392</t>
        </is>
      </c>
      <c r="B24" s="51" t="inlineStr">
        <is>
          <t>79085</t>
        </is>
      </c>
      <c r="C24" s="156" t="inlineStr">
        <is>
          <t>REFLO</t>
        </is>
      </c>
      <c r="D24" s="156" t="inlineStr">
        <is>
          <t>BISCFRE</t>
        </is>
      </c>
      <c r="E24" s="156" t="inlineStr">
        <is>
          <t>BISCFRE-L</t>
        </is>
      </c>
      <c r="F24" s="156" t="inlineStr">
        <is>
          <t>L</t>
        </is>
      </c>
      <c r="G24" s="156" t="inlineStr">
        <is>
          <t>L</t>
        </is>
      </c>
      <c r="H24" s="156" t="inlineStr">
        <is>
          <t>REFLO</t>
        </is>
      </c>
      <c r="I24" s="156" t="inlineStr">
        <is>
          <t>Short REFLO Biscay French Navy</t>
        </is>
      </c>
      <c r="J24" s="156" t="inlineStr">
        <is>
          <t>Ropa</t>
        </is>
      </c>
      <c r="K24" s="156" t="inlineStr">
        <is>
          <t>Shorts</t>
        </is>
      </c>
      <c r="L24" s="156" t="n"/>
      <c r="M24" s="156" t="inlineStr">
        <is>
          <t>REFLO</t>
        </is>
      </c>
      <c r="N24" s="156" t="n"/>
      <c r="O24" s="156" t="n"/>
      <c r="P24" s="156" t="inlineStr">
        <is>
          <t>Azul</t>
        </is>
      </c>
      <c r="Q24" s="156" t="n"/>
      <c r="R24" s="156" t="n"/>
      <c r="S24" s="156" t="inlineStr">
        <is>
          <t>Poliéster reciclado</t>
        </is>
      </c>
      <c r="T24" s="156" t="inlineStr">
        <is>
          <t>Short de golf REFLO modelo Biscay en color French Navy, confeccionado con materiales reciclados. Estilo BISCFRE.</t>
        </is>
      </c>
      <c r="U24" s="156" t="n"/>
      <c r="V24" s="156" t="inlineStr">
        <is>
          <t>PZS</t>
        </is>
      </c>
      <c r="W24" s="51" t="inlineStr">
        <is>
          <t>53101500</t>
        </is>
      </c>
      <c r="X24" s="156" t="inlineStr">
        <is>
          <t>https://i.ibb.co/hDy0Lh5/BISCFRE.jpg</t>
        </is>
      </c>
      <c r="Y24" s="54" t="n">
        <v>19.5</v>
      </c>
      <c r="Z24" s="54" t="n">
        <v>1449</v>
      </c>
      <c r="AA24" s="55">
        <f>IF(AND(A24="", B24="", E24=""), "", IF(AB24="", "Válido", IF((LEN(AB24)-LEN(SUBSTITUTE(AB24,"; ","")))/2+1&gt;(LEN(AB24)-LEN(SUBSTITUTE(AB24,"[Aviso]","")))/7, "Con Incidencias", "Válido")))</f>
        <v/>
      </c>
      <c r="AB24" s="56">
        <f>IF(AND(A24="", B24="", E24=""), "", TEXTJOIN("; ", TRUE, IF(OR(TRIM(A24&amp;"")="", ISNUMBER(SEARCH("FALTA", A24))), "UPC faltante/inválido", ""), IF(AND(A24&lt;&gt;"", IFERROR(_xlfn.XMATCH(A24,$A$2:$A$653,0,1)&lt;&gt;_xlfn.XMATCH(A24,$A$2:$A$653,0,-1),FALSE)), "Código de barras duplicado", ""), IF(AND(E24&lt;&gt;"", COUNTIF($E$2:$E$653, E24)&gt;1), "SKU duplicado", ""), IF(OR(J24="", J24=""), "[Aviso] División no capturada ()", IF(ISNA(MATCH(J24, Criterios!$A$123:$A$126, 0)), "División no válida", "")), IF(OR(K24="", K24=""), "[Aviso] Categoría no capturada ()", IF(ISNA(MATCH(K24, Criterios!$A$81:$A$120, 0)), "Categoría no válida", IF(AND(J24&lt;&gt;"", J24&lt;&gt;"", J24&lt;&gt;VLOOKUP(K24, Criterios!$A$81:$B$120, 2, FALSE)), "División no coincide con Categoría", ""))), IF(OR(L24="", L24=""), "[Aviso] Género no capturado ()", IF(ISNA(MATCH(L24, Criterios!$B$123:$B$127, 0)), "Género no válido", "")), IF(OR(N24="", N24=""), "[Aviso] Temporada no capturada ()", IF(ISNA(MATCH(N24, Criterios!$C$123:$C$128, 0)), "Temporada no válida", "")), IF(OR(O24="", O24=""), "[Aviso] Ciclo de vida no capturado ()", IF(ISNA(MATCH(O24, Criterios!$D$123:$D$124, 0)), "Ciclo de vida no válido", ""))))</f>
        <v/>
      </c>
      <c r="AC24" s="56" t="n"/>
      <c r="AD24" s="51" t="n">
        <v>6</v>
      </c>
      <c r="AE24" s="156" t="inlineStr">
        <is>
          <t>REFLO ALMACEN (3); MUESTRAS REFLO (1)</t>
        </is>
      </c>
      <c r="AF24" s="51" t="n">
        <v>5</v>
      </c>
      <c r="AG24" s="156" t="inlineStr">
        <is>
          <t>Nuevo – NetSuite con existencia</t>
        </is>
      </c>
      <c r="AH24" s="156" t="inlineStr">
        <is>
          <t>Género no indicado en NetSuite; Composición: poliéster reciclado (validar % en etiqueta); Físico total NetSuite 6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4" s="156" t="inlineStr">
        <is>
          <t>No</t>
        </is>
      </c>
      <c r="AJ24" s="156" t="n"/>
      <c r="AK24" s="155" t="inlineStr">
        <is>
          <t>G1522ProductosTodosloscamposSandboxResults894.xlsx: fila 45350 [X,Y]; G1522_Extraccion_Articulos_NetSuite_2026-09-30.xlsx: fila 37469 [Z]</t>
        </is>
      </c>
      <c r="AL24" s="58" t="n">
        <v>19.5</v>
      </c>
      <c r="AM24" s="58" t="n"/>
      <c r="AN24" s="155" t="n"/>
      <c r="AO24" s="59" t="n"/>
      <c r="AP24" s="59" t="n"/>
      <c r="AQ24" s="59" t="n"/>
      <c r="AR24" s="155" t="n"/>
    </row>
    <row r="25">
      <c r="A25" s="50" t="inlineStr">
        <is>
          <t>5060923780408</t>
        </is>
      </c>
      <c r="B25" s="51" t="inlineStr">
        <is>
          <t>79086</t>
        </is>
      </c>
      <c r="C25" s="156" t="inlineStr">
        <is>
          <t>REFLO</t>
        </is>
      </c>
      <c r="D25" s="156" t="inlineStr">
        <is>
          <t>BISCFRE</t>
        </is>
      </c>
      <c r="E25" s="156" t="inlineStr">
        <is>
          <t>BISCFRE-XL</t>
        </is>
      </c>
      <c r="F25" s="156" t="inlineStr">
        <is>
          <t>XL</t>
        </is>
      </c>
      <c r="G25" s="156" t="inlineStr">
        <is>
          <t>XL</t>
        </is>
      </c>
      <c r="H25" s="156" t="inlineStr">
        <is>
          <t>REFLO</t>
        </is>
      </c>
      <c r="I25" s="156" t="inlineStr">
        <is>
          <t>Short REFLO Biscay French Navy</t>
        </is>
      </c>
      <c r="J25" s="156" t="inlineStr">
        <is>
          <t>Ropa</t>
        </is>
      </c>
      <c r="K25" s="156" t="inlineStr">
        <is>
          <t>Shorts</t>
        </is>
      </c>
      <c r="L25" s="156" t="n"/>
      <c r="M25" s="156" t="inlineStr">
        <is>
          <t>REFLO</t>
        </is>
      </c>
      <c r="N25" s="156" t="n"/>
      <c r="O25" s="156" t="n"/>
      <c r="P25" s="156" t="inlineStr">
        <is>
          <t>Azul</t>
        </is>
      </c>
      <c r="Q25" s="156" t="n"/>
      <c r="R25" s="156" t="n"/>
      <c r="S25" s="156" t="inlineStr">
        <is>
          <t>Poliéster reciclado</t>
        </is>
      </c>
      <c r="T25" s="156" t="inlineStr">
        <is>
          <t>Short de golf REFLO modelo Biscay en color French Navy, confeccionado con materiales reciclados. Estilo BISCFRE.</t>
        </is>
      </c>
      <c r="U25" s="156" t="n"/>
      <c r="V25" s="156" t="inlineStr">
        <is>
          <t>PZS</t>
        </is>
      </c>
      <c r="W25" s="51" t="inlineStr">
        <is>
          <t>53101500</t>
        </is>
      </c>
      <c r="X25" s="156" t="inlineStr">
        <is>
          <t>https://i.ibb.co/hDy0Lh5/BISCFRE.jpg</t>
        </is>
      </c>
      <c r="Y25" s="54" t="n">
        <v>19.5</v>
      </c>
      <c r="Z25" s="54" t="n">
        <v>1449</v>
      </c>
      <c r="AA25" s="55">
        <f>IF(AND(A25="", B25="", E25=""), "", IF(AB25="", "Válido", IF((LEN(AB25)-LEN(SUBSTITUTE(AB25,"; ","")))/2+1&gt;(LEN(AB25)-LEN(SUBSTITUTE(AB25,"[Aviso]","")))/7, "Con Incidencias", "Válido")))</f>
        <v/>
      </c>
      <c r="AB25" s="56">
        <f>IF(AND(A25="", B25="", E25=""), "", TEXTJOIN("; ", TRUE, IF(OR(TRIM(A25&amp;"")="", ISNUMBER(SEARCH("FALTA", A25))), "UPC faltante/inválido", ""), IF(AND(A25&lt;&gt;"", IFERROR(_xlfn.XMATCH(A25,$A$2:$A$653,0,1)&lt;&gt;_xlfn.XMATCH(A25,$A$2:$A$653,0,-1),FALSE)), "Código de barras duplicado", ""), IF(AND(E25&lt;&gt;"", COUNTIF($E$2:$E$653, E25)&gt;1), "SKU duplicado", ""), IF(OR(J25="", J25=""), "[Aviso] División no capturada ()", IF(ISNA(MATCH(J25, Criterios!$A$123:$A$126, 0)), "División no válida", "")), IF(OR(K25="", K25=""), "[Aviso] Categoría no capturada ()", IF(ISNA(MATCH(K25, Criterios!$A$81:$A$120, 0)), "Categoría no válida", IF(AND(J25&lt;&gt;"", J25&lt;&gt;"", J25&lt;&gt;VLOOKUP(K25, Criterios!$A$81:$B$120, 2, FALSE)), "División no coincide con Categoría", ""))), IF(OR(L25="", L25=""), "[Aviso] Género no capturado ()", IF(ISNA(MATCH(L25, Criterios!$B$123:$B$127, 0)), "Género no válido", "")), IF(OR(N25="", N25=""), "[Aviso] Temporada no capturada ()", IF(ISNA(MATCH(N25, Criterios!$C$123:$C$128, 0)), "Temporada no válida", "")), IF(OR(O25="", O25=""), "[Aviso] Ciclo de vida no capturado ()", IF(ISNA(MATCH(O25, Criterios!$D$123:$D$124, 0)), "Ciclo de vida no válido", ""))))</f>
        <v/>
      </c>
      <c r="AC25" s="56" t="n"/>
      <c r="AD25" s="51" t="n">
        <v>6</v>
      </c>
      <c r="AE25" s="156" t="inlineStr">
        <is>
          <t>REFLO ALMACEN (2); CONSIGNA REFLO (2)</t>
        </is>
      </c>
      <c r="AF25" s="51" t="n">
        <v>6</v>
      </c>
      <c r="AG25" s="156" t="inlineStr">
        <is>
          <t>Nuevo – NetSuite con existencia</t>
        </is>
      </c>
      <c r="AH25" s="156" t="inlineStr">
        <is>
          <t>Género no indicado en NetSuite; Composición: poliéster reciclado (validar % en etiqueta); Físico total NetSuite 6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5" s="156" t="inlineStr">
        <is>
          <t>No</t>
        </is>
      </c>
      <c r="AJ25" s="156" t="n"/>
      <c r="AK25" s="155" t="inlineStr">
        <is>
          <t>G1522ProductosTodosloscamposSandboxResults894.xlsx: fila 45351 [X,Y]; G1522_Extraccion_Articulos_NetSuite_2026-09-30.xlsx: fila 37470 [Z]</t>
        </is>
      </c>
      <c r="AL25" s="58" t="n">
        <v>19.5</v>
      </c>
      <c r="AM25" s="58" t="n"/>
      <c r="AN25" s="155" t="n"/>
      <c r="AO25" s="59" t="n"/>
      <c r="AP25" s="59" t="n"/>
      <c r="AQ25" s="59" t="n"/>
      <c r="AR25" s="155" t="n"/>
    </row>
    <row r="26">
      <c r="A26" s="50" t="inlineStr">
        <is>
          <t>5060923780415</t>
        </is>
      </c>
      <c r="B26" s="51" t="inlineStr">
        <is>
          <t>79087</t>
        </is>
      </c>
      <c r="C26" s="156" t="inlineStr">
        <is>
          <t>REFLO</t>
        </is>
      </c>
      <c r="D26" s="156" t="inlineStr">
        <is>
          <t>BISCFRE</t>
        </is>
      </c>
      <c r="E26" s="156" t="inlineStr">
        <is>
          <t>BISCFRE-XXL</t>
        </is>
      </c>
      <c r="F26" s="156" t="inlineStr">
        <is>
          <t>XXL</t>
        </is>
      </c>
      <c r="G26" s="156" t="inlineStr">
        <is>
          <t>XXL</t>
        </is>
      </c>
      <c r="H26" s="156" t="inlineStr">
        <is>
          <t>REFLO</t>
        </is>
      </c>
      <c r="I26" s="156" t="inlineStr">
        <is>
          <t>Short REFLO Biscay French Navy</t>
        </is>
      </c>
      <c r="J26" s="156" t="inlineStr">
        <is>
          <t>Ropa</t>
        </is>
      </c>
      <c r="K26" s="156" t="inlineStr">
        <is>
          <t>Shorts</t>
        </is>
      </c>
      <c r="L26" s="156" t="n"/>
      <c r="M26" s="156" t="inlineStr">
        <is>
          <t>REFLO</t>
        </is>
      </c>
      <c r="N26" s="156" t="n"/>
      <c r="O26" s="156" t="n"/>
      <c r="P26" s="156" t="inlineStr">
        <is>
          <t>Azul</t>
        </is>
      </c>
      <c r="Q26" s="156" t="n"/>
      <c r="R26" s="156" t="n"/>
      <c r="S26" s="156" t="inlineStr">
        <is>
          <t>Poliéster reciclado</t>
        </is>
      </c>
      <c r="T26" s="156" t="inlineStr">
        <is>
          <t>Short de golf REFLO modelo Biscay en color French Navy, confeccionado con materiales reciclados. Estilo BISCFRE.</t>
        </is>
      </c>
      <c r="U26" s="156" t="n"/>
      <c r="V26" s="156" t="inlineStr">
        <is>
          <t>PZS</t>
        </is>
      </c>
      <c r="W26" s="51" t="inlineStr">
        <is>
          <t>53101500</t>
        </is>
      </c>
      <c r="X26" s="156" t="inlineStr">
        <is>
          <t>https://i.ibb.co/hDy0Lh5/BISCFRE.jpg</t>
        </is>
      </c>
      <c r="Y26" s="54" t="n">
        <v>19.5</v>
      </c>
      <c r="Z26" s="54" t="n">
        <v>1449</v>
      </c>
      <c r="AA26" s="55">
        <f>IF(AND(A26="", B26="", E26=""), "", IF(AB26="", "Válido", IF((LEN(AB26)-LEN(SUBSTITUTE(AB26,"; ","")))/2+1&gt;(LEN(AB26)-LEN(SUBSTITUTE(AB26,"[Aviso]","")))/7, "Con Incidencias", "Válido")))</f>
        <v/>
      </c>
      <c r="AB26" s="56">
        <f>IF(AND(A26="", B26="", E26=""), "", TEXTJOIN("; ", TRUE, IF(OR(TRIM(A26&amp;"")="", ISNUMBER(SEARCH("FALTA", A26))), "UPC faltante/inválido", ""), IF(AND(A26&lt;&gt;"", IFERROR(_xlfn.XMATCH(A26,$A$2:$A$653,0,1)&lt;&gt;_xlfn.XMATCH(A26,$A$2:$A$653,0,-1),FALSE)), "Código de barras duplicado", ""), IF(AND(E26&lt;&gt;"", COUNTIF($E$2:$E$653, E26)&gt;1), "SKU duplicado", ""), IF(OR(J26="", J26=""), "[Aviso] División no capturada ()", IF(ISNA(MATCH(J26, Criterios!$A$123:$A$126, 0)), "División no válida", "")), IF(OR(K26="", K26=""), "[Aviso] Categoría no capturada ()", IF(ISNA(MATCH(K26, Criterios!$A$81:$A$120, 0)), "Categoría no válida", IF(AND(J26&lt;&gt;"", J26&lt;&gt;"", J26&lt;&gt;VLOOKUP(K26, Criterios!$A$81:$B$120, 2, FALSE)), "División no coincide con Categoría", ""))), IF(OR(L26="", L26=""), "[Aviso] Género no capturado ()", IF(ISNA(MATCH(L26, Criterios!$B$123:$B$127, 0)), "Género no válido", "")), IF(OR(N26="", N26=""), "[Aviso] Temporada no capturada ()", IF(ISNA(MATCH(N26, Criterios!$C$123:$C$128, 0)), "Temporada no válida", "")), IF(OR(O26="", O26=""), "[Aviso] Ciclo de vida no capturado ()", IF(ISNA(MATCH(O26, Criterios!$D$123:$D$124, 0)), "Ciclo de vida no válido", ""))))</f>
        <v/>
      </c>
      <c r="AC26" s="56" t="n"/>
      <c r="AD26" s="51" t="n">
        <v>3</v>
      </c>
      <c r="AE26" s="156" t="inlineStr">
        <is>
          <t>REFLO ALMACEN (1)</t>
        </is>
      </c>
      <c r="AF26" s="51" t="n">
        <v>3</v>
      </c>
      <c r="AG26" s="156" t="inlineStr">
        <is>
          <t>Nuevo – NetSuite con existencia</t>
        </is>
      </c>
      <c r="AH26" s="156" t="inlineStr">
        <is>
          <t>Género no indicado en NetSuite; Composición: poliéster reciclado (validar % en etiqueta); Físico total NetSuite 3 ≠ suma por ubicación 1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6" s="156" t="inlineStr">
        <is>
          <t>No</t>
        </is>
      </c>
      <c r="AJ26" s="156" t="n"/>
      <c r="AK26" s="155" t="inlineStr">
        <is>
          <t>G1522ProductosTodosloscamposSandboxResults894.xlsx: fila 45352 [X,Y]; G1522_Extraccion_Articulos_NetSuite_2026-09-30.xlsx: fila 37471 [Z]</t>
        </is>
      </c>
      <c r="AL26" s="58" t="n">
        <v>19.5</v>
      </c>
      <c r="AM26" s="58" t="n"/>
      <c r="AN26" s="155" t="n"/>
      <c r="AO26" s="59" t="n"/>
      <c r="AP26" s="59" t="n"/>
      <c r="AQ26" s="59" t="n"/>
      <c r="AR26" s="155" t="n"/>
    </row>
    <row r="27">
      <c r="A27" s="50" t="inlineStr">
        <is>
          <t>5056658700729</t>
        </is>
      </c>
      <c r="B27" s="51" t="inlineStr">
        <is>
          <t>79255</t>
        </is>
      </c>
      <c r="C27" s="156" t="inlineStr">
        <is>
          <t>REFLO</t>
        </is>
      </c>
      <c r="D27" s="156" t="inlineStr">
        <is>
          <t>BOHABLA</t>
        </is>
      </c>
      <c r="E27" s="156" t="inlineStr">
        <is>
          <t>BOHABLA-M</t>
        </is>
      </c>
      <c r="F27" s="156" t="inlineStr">
        <is>
          <t>M</t>
        </is>
      </c>
      <c r="G27" s="156" t="inlineStr">
        <is>
          <t>M</t>
        </is>
      </c>
      <c r="H27" s="156" t="inlineStr">
        <is>
          <t>REFLO</t>
        </is>
      </c>
      <c r="I27" s="156" t="inlineStr">
        <is>
          <t>Playera tipo polo REFLO Bohai Black</t>
        </is>
      </c>
      <c r="J27" s="156" t="inlineStr">
        <is>
          <t>Ropa</t>
        </is>
      </c>
      <c r="K27" s="156" t="inlineStr">
        <is>
          <t>Playeras</t>
        </is>
      </c>
      <c r="L27" s="156" t="n"/>
      <c r="M27" s="156" t="inlineStr">
        <is>
          <t>REFLO</t>
        </is>
      </c>
      <c r="N27" s="156" t="n"/>
      <c r="O27" s="156" t="n"/>
      <c r="P27" s="156" t="inlineStr">
        <is>
          <t>Negro</t>
        </is>
      </c>
      <c r="Q27" s="156" t="n"/>
      <c r="R27" s="156" t="n"/>
      <c r="S27" s="156" t="inlineStr">
        <is>
          <t>100% Poliéster reciclado</t>
        </is>
      </c>
      <c r="T27" s="156" t="inlineStr">
        <is>
          <t>Playera tipo polo de golf REFLO modelo Bohai en color Black, confeccionado con materiales reciclados. Estilo BOHABLA.</t>
        </is>
      </c>
      <c r="U27" s="156" t="inlineStr">
        <is>
          <t>China</t>
        </is>
      </c>
      <c r="V27" s="156" t="inlineStr">
        <is>
          <t>PZS</t>
        </is>
      </c>
      <c r="W27" s="51" t="inlineStr">
        <is>
          <t>53101600</t>
        </is>
      </c>
      <c r="X27" s="156" t="inlineStr">
        <is>
          <t>https://i.ibb.co/W5zf03J/BOHABLA.jpg</t>
        </is>
      </c>
      <c r="Y27" s="54" t="n">
        <v>22.75</v>
      </c>
      <c r="Z27" s="54" t="n">
        <v>1649</v>
      </c>
      <c r="AA27" s="55">
        <f>IF(AND(A27="", B27="", E27=""), "", IF(AB27="", "Válido", IF((LEN(AB27)-LEN(SUBSTITUTE(AB27,"; ","")))/2+1&gt;(LEN(AB27)-LEN(SUBSTITUTE(AB27,"[Aviso]","")))/7, "Con Incidencias", "Válido")))</f>
        <v/>
      </c>
      <c r="AB27" s="56">
        <f>IF(AND(A27="", B27="", E27=""), "", TEXTJOIN("; ", TRUE, IF(OR(TRIM(A27&amp;"")="", ISNUMBER(SEARCH("FALTA", A27))), "UPC faltante/inválido", ""), IF(AND(A27&lt;&gt;"", IFERROR(_xlfn.XMATCH(A27,$A$2:$A$653,0,1)&lt;&gt;_xlfn.XMATCH(A27,$A$2:$A$653,0,-1),FALSE)), "Código de barras duplicado", ""), IF(AND(E27&lt;&gt;"", COUNTIF($E$2:$E$653, E27)&gt;1), "SKU duplicado", ""), IF(OR(J27="", J27=""), "[Aviso] División no capturada ()", IF(ISNA(MATCH(J27, Criterios!$A$123:$A$126, 0)), "División no válida", "")), IF(OR(K27="", K27=""), "[Aviso] Categoría no capturada ()", IF(ISNA(MATCH(K27, Criterios!$A$81:$A$120, 0)), "Categoría no válida", IF(AND(J27&lt;&gt;"", J27&lt;&gt;"", J27&lt;&gt;VLOOKUP(K27, Criterios!$A$81:$B$120, 2, FALSE)), "División no coincide con Categoría", ""))), IF(OR(L27="", L27=""), "[Aviso] Género no capturado ()", IF(ISNA(MATCH(L27, Criterios!$B$123:$B$127, 0)), "Género no válido", "")), IF(OR(N27="", N27=""), "[Aviso] Temporada no capturada ()", IF(ISNA(MATCH(N27, Criterios!$C$123:$C$128, 0)), "Temporada no válida", "")), IF(OR(O27="", O27=""), "[Aviso] Ciclo de vida no capturado ()", IF(ISNA(MATCH(O27, Criterios!$D$123:$D$124, 0)), "Ciclo de vida no válido", ""))))</f>
        <v/>
      </c>
      <c r="AC27" s="56" t="n"/>
      <c r="AD27" s="51" t="n">
        <v>0</v>
      </c>
      <c r="AE27" s="156" t="n"/>
      <c r="AF27" s="51" t="n">
        <v>0</v>
      </c>
      <c r="AG27" s="156" t="inlineStr">
        <is>
          <t>Nuevo – NetSuite sin existencia</t>
        </is>
      </c>
      <c r="AH27" s="156" t="inlineStr">
        <is>
          <t>Género no indicado en NetSuite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27" s="156" t="inlineStr">
        <is>
          <t>No</t>
        </is>
      </c>
      <c r="AJ27" s="156" t="n"/>
      <c r="AK27" s="155" t="inlineStr">
        <is>
          <t>G1522ProductosTodosloscamposSandboxResults894.xlsx: fila 45488 [X,Y]; G1522_Extraccion_Articulos_NetSuite_2026-09-30.xlsx: fila 37588 [Z]</t>
        </is>
      </c>
      <c r="AL27" s="58" t="n">
        <v>22.75</v>
      </c>
      <c r="AM27" s="58" t="n"/>
      <c r="AN27" s="155" t="n"/>
      <c r="AO27" s="59" t="n"/>
      <c r="AP27" s="59" t="n"/>
      <c r="AQ27" s="59" t="n"/>
      <c r="AR27" s="155" t="n"/>
    </row>
    <row r="28">
      <c r="A28" s="50" t="inlineStr">
        <is>
          <t>5056658700736</t>
        </is>
      </c>
      <c r="B28" s="51" t="inlineStr">
        <is>
          <t>79256</t>
        </is>
      </c>
      <c r="C28" s="156" t="inlineStr">
        <is>
          <t>REFLO</t>
        </is>
      </c>
      <c r="D28" s="156" t="inlineStr">
        <is>
          <t>BOHABLA</t>
        </is>
      </c>
      <c r="E28" s="156" t="inlineStr">
        <is>
          <t>BOHABLA-L</t>
        </is>
      </c>
      <c r="F28" s="156" t="inlineStr">
        <is>
          <t>L</t>
        </is>
      </c>
      <c r="G28" s="156" t="inlineStr">
        <is>
          <t>L</t>
        </is>
      </c>
      <c r="H28" s="156" t="inlineStr">
        <is>
          <t>REFLO</t>
        </is>
      </c>
      <c r="I28" s="156" t="inlineStr">
        <is>
          <t>Playera tipo polo REFLO Bohai Black</t>
        </is>
      </c>
      <c r="J28" s="156" t="inlineStr">
        <is>
          <t>Ropa</t>
        </is>
      </c>
      <c r="K28" s="156" t="inlineStr">
        <is>
          <t>Playeras</t>
        </is>
      </c>
      <c r="L28" s="156" t="n"/>
      <c r="M28" s="156" t="inlineStr">
        <is>
          <t>REFLO</t>
        </is>
      </c>
      <c r="N28" s="156" t="n"/>
      <c r="O28" s="156" t="n"/>
      <c r="P28" s="156" t="inlineStr">
        <is>
          <t>Negro</t>
        </is>
      </c>
      <c r="Q28" s="156" t="n"/>
      <c r="R28" s="156" t="n"/>
      <c r="S28" s="156" t="inlineStr">
        <is>
          <t>100% Poliéster reciclado</t>
        </is>
      </c>
      <c r="T28" s="156" t="inlineStr">
        <is>
          <t>Playera tipo polo de golf REFLO modelo Bohai en color Black, confeccionado con materiales reciclados. Estilo BOHABLA.</t>
        </is>
      </c>
      <c r="U28" s="156" t="inlineStr">
        <is>
          <t>China</t>
        </is>
      </c>
      <c r="V28" s="156" t="inlineStr">
        <is>
          <t>PZS</t>
        </is>
      </c>
      <c r="W28" s="51" t="inlineStr">
        <is>
          <t>53101600</t>
        </is>
      </c>
      <c r="X28" s="156" t="inlineStr">
        <is>
          <t>https://i.ibb.co/W5zf03J/BOHABLA.jpg</t>
        </is>
      </c>
      <c r="Y28" s="54" t="n">
        <v>22.75</v>
      </c>
      <c r="Z28" s="54" t="n">
        <v>1649</v>
      </c>
      <c r="AA28" s="55">
        <f>IF(AND(A28="", B28="", E28=""), "", IF(AB28="", "Válido", IF((LEN(AB28)-LEN(SUBSTITUTE(AB28,"; ","")))/2+1&gt;(LEN(AB28)-LEN(SUBSTITUTE(AB28,"[Aviso]","")))/7, "Con Incidencias", "Válido")))</f>
        <v/>
      </c>
      <c r="AB28" s="56">
        <f>IF(AND(A28="", B28="", E28=""), "", TEXTJOIN("; ", TRUE, IF(OR(TRIM(A28&amp;"")="", ISNUMBER(SEARCH("FALTA", A28))), "UPC faltante/inválido", ""), IF(AND(A28&lt;&gt;"", IFERROR(_xlfn.XMATCH(A28,$A$2:$A$653,0,1)&lt;&gt;_xlfn.XMATCH(A28,$A$2:$A$653,0,-1),FALSE)), "Código de barras duplicado", ""), IF(AND(E28&lt;&gt;"", COUNTIF($E$2:$E$653, E28)&gt;1), "SKU duplicado", ""), IF(OR(J28="", J28=""), "[Aviso] División no capturada ()", IF(ISNA(MATCH(J28, Criterios!$A$123:$A$126, 0)), "División no válida", "")), IF(OR(K28="", K28=""), "[Aviso] Categoría no capturada ()", IF(ISNA(MATCH(K28, Criterios!$A$81:$A$120, 0)), "Categoría no válida", IF(AND(J28&lt;&gt;"", J28&lt;&gt;"", J28&lt;&gt;VLOOKUP(K28, Criterios!$A$81:$B$120, 2, FALSE)), "División no coincide con Categoría", ""))), IF(OR(L28="", L28=""), "[Aviso] Género no capturado ()", IF(ISNA(MATCH(L28, Criterios!$B$123:$B$127, 0)), "Género no válido", "")), IF(OR(N28="", N28=""), "[Aviso] Temporada no capturada ()", IF(ISNA(MATCH(N28, Criterios!$C$123:$C$128, 0)), "Temporada no válida", "")), IF(OR(O28="", O28=""), "[Aviso] Ciclo de vida no capturado ()", IF(ISNA(MATCH(O28, Criterios!$D$123:$D$124, 0)), "Ciclo de vida no válido", ""))))</f>
        <v/>
      </c>
      <c r="AC28" s="56" t="n"/>
      <c r="AD28" s="51" t="n">
        <v>5</v>
      </c>
      <c r="AE28" s="156" t="inlineStr">
        <is>
          <t>REFLO ALMACEN (2); MUESTRAS REFLO (1)</t>
        </is>
      </c>
      <c r="AF28" s="51" t="n">
        <v>4</v>
      </c>
      <c r="AG28" s="156" t="inlineStr">
        <is>
          <t>Nuevo – NetSuite con existencia</t>
        </is>
      </c>
      <c r="AH28" s="156" t="inlineStr">
        <is>
          <t>Género no indicado en NetSuite; Físico total NetSuite 5 ≠ suma por ubicación 3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28" s="156" t="inlineStr">
        <is>
          <t>No</t>
        </is>
      </c>
      <c r="AJ28" s="156" t="n"/>
      <c r="AK28" s="155" t="inlineStr">
        <is>
          <t>G1522ProductosTodosloscamposSandboxResults894.xlsx: fila 45489 [X,Y]; G1522_Extraccion_Articulos_NetSuite_2026-09-30.xlsx: fila 37589 [Z]</t>
        </is>
      </c>
      <c r="AL28" s="58" t="n">
        <v>22.75</v>
      </c>
      <c r="AM28" s="58" t="n"/>
      <c r="AN28" s="155" t="n"/>
      <c r="AO28" s="59" t="n"/>
      <c r="AP28" s="59" t="n"/>
      <c r="AQ28" s="59" t="n"/>
      <c r="AR28" s="155" t="n"/>
    </row>
    <row r="29">
      <c r="A29" s="50" t="inlineStr">
        <is>
          <t>5056658700743</t>
        </is>
      </c>
      <c r="B29" s="51" t="inlineStr">
        <is>
          <t>79257</t>
        </is>
      </c>
      <c r="C29" s="156" t="inlineStr">
        <is>
          <t>REFLO</t>
        </is>
      </c>
      <c r="D29" s="156" t="inlineStr">
        <is>
          <t>BOHABLA</t>
        </is>
      </c>
      <c r="E29" s="156" t="inlineStr">
        <is>
          <t>BOHABLA-XL</t>
        </is>
      </c>
      <c r="F29" s="156" t="inlineStr">
        <is>
          <t>XL</t>
        </is>
      </c>
      <c r="G29" s="156" t="inlineStr">
        <is>
          <t>XL</t>
        </is>
      </c>
      <c r="H29" s="156" t="inlineStr">
        <is>
          <t>REFLO</t>
        </is>
      </c>
      <c r="I29" s="156" t="inlineStr">
        <is>
          <t>Playera tipo polo REFLO Bohai Black</t>
        </is>
      </c>
      <c r="J29" s="156" t="inlineStr">
        <is>
          <t>Ropa</t>
        </is>
      </c>
      <c r="K29" s="156" t="inlineStr">
        <is>
          <t>Playeras</t>
        </is>
      </c>
      <c r="L29" s="156" t="n"/>
      <c r="M29" s="156" t="inlineStr">
        <is>
          <t>REFLO</t>
        </is>
      </c>
      <c r="N29" s="156" t="n"/>
      <c r="O29" s="156" t="n"/>
      <c r="P29" s="156" t="inlineStr">
        <is>
          <t>Negro</t>
        </is>
      </c>
      <c r="Q29" s="156" t="n"/>
      <c r="R29" s="156" t="n"/>
      <c r="S29" s="156" t="inlineStr">
        <is>
          <t>100% Poliéster reciclado</t>
        </is>
      </c>
      <c r="T29" s="156" t="inlineStr">
        <is>
          <t>Playera tipo polo de golf REFLO modelo Bohai en color Black, confeccionado con materiales reciclados. Estilo BOHABLA.</t>
        </is>
      </c>
      <c r="U29" s="156" t="inlineStr">
        <is>
          <t>China</t>
        </is>
      </c>
      <c r="V29" s="156" t="inlineStr">
        <is>
          <t>PZS</t>
        </is>
      </c>
      <c r="W29" s="51" t="inlineStr">
        <is>
          <t>53101600</t>
        </is>
      </c>
      <c r="X29" s="156" t="inlineStr">
        <is>
          <t>https://i.ibb.co/W5zf03J/BOHABLA.jpg</t>
        </is>
      </c>
      <c r="Y29" s="54" t="n">
        <v>22.75</v>
      </c>
      <c r="Z29" s="54" t="n">
        <v>1649</v>
      </c>
      <c r="AA29" s="55">
        <f>IF(AND(A29="", B29="", E29=""), "", IF(AB29="", "Válido", IF((LEN(AB29)-LEN(SUBSTITUTE(AB29,"; ","")))/2+1&gt;(LEN(AB29)-LEN(SUBSTITUTE(AB29,"[Aviso]","")))/7, "Con Incidencias", "Válido")))</f>
        <v/>
      </c>
      <c r="AB29" s="56">
        <f>IF(AND(A29="", B29="", E29=""), "", TEXTJOIN("; ", TRUE, IF(OR(TRIM(A29&amp;"")="", ISNUMBER(SEARCH("FALTA", A29))), "UPC faltante/inválido", ""), IF(AND(A29&lt;&gt;"", IFERROR(_xlfn.XMATCH(A29,$A$2:$A$653,0,1)&lt;&gt;_xlfn.XMATCH(A29,$A$2:$A$653,0,-1),FALSE)), "Código de barras duplicado", ""), IF(AND(E29&lt;&gt;"", COUNTIF($E$2:$E$653, E29)&gt;1), "SKU duplicado", ""), IF(OR(J29="", J29=""), "[Aviso] División no capturada ()", IF(ISNA(MATCH(J29, Criterios!$A$123:$A$126, 0)), "División no válida", "")), IF(OR(K29="", K29=""), "[Aviso] Categoría no capturada ()", IF(ISNA(MATCH(K29, Criterios!$A$81:$A$120, 0)), "Categoría no válida", IF(AND(J29&lt;&gt;"", J29&lt;&gt;"", J29&lt;&gt;VLOOKUP(K29, Criterios!$A$81:$B$120, 2, FALSE)), "División no coincide con Categoría", ""))), IF(OR(L29="", L29=""), "[Aviso] Género no capturado ()", IF(ISNA(MATCH(L29, Criterios!$B$123:$B$127, 0)), "Género no válido", "")), IF(OR(N29="", N29=""), "[Aviso] Temporada no capturada ()", IF(ISNA(MATCH(N29, Criterios!$C$123:$C$128, 0)), "Temporada no válida", "")), IF(OR(O29="", O29=""), "[Aviso] Ciclo de vida no capturado ()", IF(ISNA(MATCH(O29, Criterios!$D$123:$D$124, 0)), "Ciclo de vida no válido", ""))))</f>
        <v/>
      </c>
      <c r="AC29" s="56" t="n"/>
      <c r="AD29" s="51" t="n">
        <v>8</v>
      </c>
      <c r="AE29" s="156" t="inlineStr">
        <is>
          <t>REFLO ALMACEN (5)</t>
        </is>
      </c>
      <c r="AF29" s="51" t="n">
        <v>8</v>
      </c>
      <c r="AG29" s="156" t="inlineStr">
        <is>
          <t>Nuevo – NetSuite con existencia</t>
        </is>
      </c>
      <c r="AH29" s="156" t="inlineStr">
        <is>
          <t>Género no indicado en NetSuite; Físico total NetSuite 8 ≠ suma por ubicación 5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29" s="156" t="inlineStr">
        <is>
          <t>No</t>
        </is>
      </c>
      <c r="AJ29" s="156" t="n"/>
      <c r="AK29" s="155" t="inlineStr">
        <is>
          <t>G1522ProductosTodosloscamposSandboxResults894.xlsx: fila 45490 [X,Y]; G1522_Extraccion_Articulos_NetSuite_2026-09-30.xlsx: fila 37590 [Z]</t>
        </is>
      </c>
      <c r="AL29" s="58" t="n">
        <v>22.75</v>
      </c>
      <c r="AM29" s="58" t="n"/>
      <c r="AN29" s="155" t="n"/>
      <c r="AO29" s="59" t="n"/>
      <c r="AP29" s="59" t="n"/>
      <c r="AQ29" s="59" t="n"/>
      <c r="AR29" s="155" t="n"/>
    </row>
    <row r="30">
      <c r="A30" s="50" t="inlineStr">
        <is>
          <t>5056658700750</t>
        </is>
      </c>
      <c r="B30" s="51" t="inlineStr">
        <is>
          <t>79258</t>
        </is>
      </c>
      <c r="C30" s="156" t="inlineStr">
        <is>
          <t>REFLO</t>
        </is>
      </c>
      <c r="D30" s="156" t="inlineStr">
        <is>
          <t>BOHABLA</t>
        </is>
      </c>
      <c r="E30" s="156" t="inlineStr">
        <is>
          <t>BOHABLA-XXL</t>
        </is>
      </c>
      <c r="F30" s="156" t="inlineStr">
        <is>
          <t>XXL</t>
        </is>
      </c>
      <c r="G30" s="156" t="inlineStr">
        <is>
          <t>XXL</t>
        </is>
      </c>
      <c r="H30" s="156" t="inlineStr">
        <is>
          <t>REFLO</t>
        </is>
      </c>
      <c r="I30" s="156" t="inlineStr">
        <is>
          <t>Playera tipo polo REFLO Bohai Black</t>
        </is>
      </c>
      <c r="J30" s="156" t="inlineStr">
        <is>
          <t>Ropa</t>
        </is>
      </c>
      <c r="K30" s="156" t="inlineStr">
        <is>
          <t>Playeras</t>
        </is>
      </c>
      <c r="L30" s="156" t="n"/>
      <c r="M30" s="156" t="inlineStr">
        <is>
          <t>REFLO</t>
        </is>
      </c>
      <c r="N30" s="156" t="n"/>
      <c r="O30" s="156" t="n"/>
      <c r="P30" s="156" t="inlineStr">
        <is>
          <t>Negro</t>
        </is>
      </c>
      <c r="Q30" s="156" t="n"/>
      <c r="R30" s="156" t="n"/>
      <c r="S30" s="156" t="inlineStr">
        <is>
          <t>100% Poliéster reciclado</t>
        </is>
      </c>
      <c r="T30" s="156" t="inlineStr">
        <is>
          <t>Playera tipo polo de golf REFLO modelo Bohai en color Black, confeccionado con materiales reciclados. Estilo BOHABLA.</t>
        </is>
      </c>
      <c r="U30" s="156" t="inlineStr">
        <is>
          <t>China</t>
        </is>
      </c>
      <c r="V30" s="156" t="inlineStr">
        <is>
          <t>PZS</t>
        </is>
      </c>
      <c r="W30" s="51" t="inlineStr">
        <is>
          <t>53101600</t>
        </is>
      </c>
      <c r="X30" s="156" t="inlineStr">
        <is>
          <t>https://i.ibb.co/W5zf03J/BOHABLA.jpg</t>
        </is>
      </c>
      <c r="Y30" s="54" t="n">
        <v>22.75</v>
      </c>
      <c r="Z30" s="54" t="n">
        <v>1649</v>
      </c>
      <c r="AA30" s="55">
        <f>IF(AND(A30="", B30="", E30=""), "", IF(AB30="", "Válido", IF((LEN(AB30)-LEN(SUBSTITUTE(AB30,"; ","")))/2+1&gt;(LEN(AB30)-LEN(SUBSTITUTE(AB30,"[Aviso]","")))/7, "Con Incidencias", "Válido")))</f>
        <v/>
      </c>
      <c r="AB30" s="56">
        <f>IF(AND(A30="", B30="", E30=""), "", TEXTJOIN("; ", TRUE, IF(OR(TRIM(A30&amp;"")="", ISNUMBER(SEARCH("FALTA", A30))), "UPC faltante/inválido", ""), IF(AND(A30&lt;&gt;"", IFERROR(_xlfn.XMATCH(A30,$A$2:$A$653,0,1)&lt;&gt;_xlfn.XMATCH(A30,$A$2:$A$653,0,-1),FALSE)), "Código de barras duplicado", ""), IF(AND(E30&lt;&gt;"", COUNTIF($E$2:$E$653, E30)&gt;1), "SKU duplicado", ""), IF(OR(J30="", J30=""), "[Aviso] División no capturada ()", IF(ISNA(MATCH(J30, Criterios!$A$123:$A$126, 0)), "División no válida", "")), IF(OR(K30="", K30=""), "[Aviso] Categoría no capturada ()", IF(ISNA(MATCH(K30, Criterios!$A$81:$A$120, 0)), "Categoría no válida", IF(AND(J30&lt;&gt;"", J30&lt;&gt;"", J30&lt;&gt;VLOOKUP(K30, Criterios!$A$81:$B$120, 2, FALSE)), "División no coincide con Categoría", ""))), IF(OR(L30="", L30=""), "[Aviso] Género no capturado ()", IF(ISNA(MATCH(L30, Criterios!$B$123:$B$127, 0)), "Género no válido", "")), IF(OR(N30="", N30=""), "[Aviso] Temporada no capturada ()", IF(ISNA(MATCH(N30, Criterios!$C$123:$C$128, 0)), "Temporada no válida", "")), IF(OR(O30="", O30=""), "[Aviso] Ciclo de vida no capturado ()", IF(ISNA(MATCH(O30, Criterios!$D$123:$D$124, 0)), "Ciclo de vida no válido", ""))))</f>
        <v/>
      </c>
      <c r="AC30" s="56" t="n"/>
      <c r="AD30" s="51" t="n">
        <v>3</v>
      </c>
      <c r="AE30" s="156" t="inlineStr">
        <is>
          <t>REFLO ALMACEN (2)</t>
        </is>
      </c>
      <c r="AF30" s="51" t="n">
        <v>3</v>
      </c>
      <c r="AG30" s="156" t="inlineStr">
        <is>
          <t>Nuevo – NetSuite con existencia</t>
        </is>
      </c>
      <c r="AH30" s="156" t="inlineStr">
        <is>
          <t>Género no indicado en NetSuite; Físico total NetSuite 3 ≠ suma por ubicación 2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0" s="156" t="inlineStr">
        <is>
          <t>No</t>
        </is>
      </c>
      <c r="AJ30" s="156" t="n"/>
      <c r="AK30" s="155" t="inlineStr">
        <is>
          <t>G1522ProductosTodosloscamposSandboxResults894.xlsx: fila 45491 [X,Y]; G1522_Extraccion_Articulos_NetSuite_2026-09-30.xlsx: fila 37591 [Z]</t>
        </is>
      </c>
      <c r="AL30" s="58" t="n">
        <v>22.75</v>
      </c>
      <c r="AM30" s="58" t="n"/>
      <c r="AN30" s="155" t="n"/>
      <c r="AO30" s="59" t="n"/>
      <c r="AP30" s="59" t="n"/>
      <c r="AQ30" s="59" t="n"/>
      <c r="AR30" s="155" t="n"/>
    </row>
    <row r="31">
      <c r="A31" s="50" t="inlineStr">
        <is>
          <t>5056658700545</t>
        </is>
      </c>
      <c r="B31" s="51" t="inlineStr">
        <is>
          <t>79259</t>
        </is>
      </c>
      <c r="C31" s="156" t="inlineStr">
        <is>
          <t>REFLO</t>
        </is>
      </c>
      <c r="D31" s="156" t="inlineStr">
        <is>
          <t>BOHAGRE</t>
        </is>
      </c>
      <c r="E31" s="156" t="inlineStr">
        <is>
          <t>BOHAGRE-M</t>
        </is>
      </c>
      <c r="F31" s="156" t="inlineStr">
        <is>
          <t>M</t>
        </is>
      </c>
      <c r="G31" s="156" t="inlineStr">
        <is>
          <t>M</t>
        </is>
      </c>
      <c r="H31" s="156" t="inlineStr">
        <is>
          <t>REFLO</t>
        </is>
      </c>
      <c r="I31" s="156" t="inlineStr">
        <is>
          <t>Playera tipo polo REFLO Bohai Green</t>
        </is>
      </c>
      <c r="J31" s="156" t="inlineStr">
        <is>
          <t>Ropa</t>
        </is>
      </c>
      <c r="K31" s="156" t="inlineStr">
        <is>
          <t>Playeras</t>
        </is>
      </c>
      <c r="L31" s="156" t="n"/>
      <c r="M31" s="156" t="inlineStr">
        <is>
          <t>REFLO</t>
        </is>
      </c>
      <c r="N31" s="156" t="n"/>
      <c r="O31" s="156" t="n"/>
      <c r="P31" s="156" t="inlineStr">
        <is>
          <t>Verde</t>
        </is>
      </c>
      <c r="Q31" s="156" t="n"/>
      <c r="R31" s="156" t="n"/>
      <c r="S31" s="156" t="inlineStr">
        <is>
          <t>100% Poliéster reciclado</t>
        </is>
      </c>
      <c r="T31" s="156" t="inlineStr">
        <is>
          <t>Playera tipo polo de golf REFLO modelo Bohai en color Green, confeccionado con materiales reciclados. Estilo BOHAGRE.</t>
        </is>
      </c>
      <c r="U31" s="156" t="inlineStr">
        <is>
          <t>China</t>
        </is>
      </c>
      <c r="V31" s="156" t="inlineStr">
        <is>
          <t>PZS</t>
        </is>
      </c>
      <c r="W31" s="51" t="inlineStr">
        <is>
          <t>53101600</t>
        </is>
      </c>
      <c r="X31" s="156" t="inlineStr">
        <is>
          <t>https://i.ibb.co/KyVSC4J/BOHAGRE.jpg</t>
        </is>
      </c>
      <c r="Y31" s="54" t="n">
        <v>22.75</v>
      </c>
      <c r="Z31" s="54" t="n">
        <v>1649</v>
      </c>
      <c r="AA31" s="55">
        <f>IF(AND(A31="", B31="", E31=""), "", IF(AB31="", "Válido", IF((LEN(AB31)-LEN(SUBSTITUTE(AB31,"; ","")))/2+1&gt;(LEN(AB31)-LEN(SUBSTITUTE(AB31,"[Aviso]","")))/7, "Con Incidencias", "Válido")))</f>
        <v/>
      </c>
      <c r="AB31" s="56">
        <f>IF(AND(A31="", B31="", E31=""), "", TEXTJOIN("; ", TRUE, IF(OR(TRIM(A31&amp;"")="", ISNUMBER(SEARCH("FALTA", A31))), "UPC faltante/inválido", ""), IF(AND(A31&lt;&gt;"", IFERROR(_xlfn.XMATCH(A31,$A$2:$A$653,0,1)&lt;&gt;_xlfn.XMATCH(A31,$A$2:$A$653,0,-1),FALSE)), "Código de barras duplicado", ""), IF(AND(E31&lt;&gt;"", COUNTIF($E$2:$E$653, E31)&gt;1), "SKU duplicado", ""), IF(OR(J31="", J31=""), "[Aviso] División no capturada ()", IF(ISNA(MATCH(J31, Criterios!$A$123:$A$126, 0)), "División no válida", "")), IF(OR(K31="", K31=""), "[Aviso] Categoría no capturada ()", IF(ISNA(MATCH(K31, Criterios!$A$81:$A$120, 0)), "Categoría no válida", IF(AND(J31&lt;&gt;"", J31&lt;&gt;"", J31&lt;&gt;VLOOKUP(K31, Criterios!$A$81:$B$120, 2, FALSE)), "División no coincide con Categoría", ""))), IF(OR(L31="", L31=""), "[Aviso] Género no capturado ()", IF(ISNA(MATCH(L31, Criterios!$B$123:$B$127, 0)), "Género no válido", "")), IF(OR(N31="", N31=""), "[Aviso] Temporada no capturada ()", IF(ISNA(MATCH(N31, Criterios!$C$123:$C$128, 0)), "Temporada no válida", "")), IF(OR(O31="", O31=""), "[Aviso] Ciclo de vida no capturado ()", IF(ISNA(MATCH(O31, Criterios!$D$123:$D$124, 0)), "Ciclo de vida no válido", ""))))</f>
        <v/>
      </c>
      <c r="AC31" s="56" t="n"/>
      <c r="AD31" s="51" t="n">
        <v>0</v>
      </c>
      <c r="AE31" s="156" t="n"/>
      <c r="AF31" s="51" t="n">
        <v>0</v>
      </c>
      <c r="AG31" s="156" t="inlineStr">
        <is>
          <t>Nuevo – NetSuite sin existencia</t>
        </is>
      </c>
      <c r="AH31" s="156" t="inlineStr">
        <is>
          <t>Género no indicado en NetSuite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1" s="156" t="inlineStr">
        <is>
          <t>No</t>
        </is>
      </c>
      <c r="AJ31" s="156" t="n"/>
      <c r="AK31" s="155" t="inlineStr">
        <is>
          <t>G1522ProductosTodosloscamposSandboxResults894.xlsx: fila 45495 [X,Y]; G1522_Extraccion_Articulos_NetSuite_2026-09-30.xlsx: fila 37592 [Z]</t>
        </is>
      </c>
      <c r="AL31" s="58" t="n">
        <v>22.75</v>
      </c>
      <c r="AM31" s="58" t="n"/>
      <c r="AN31" s="155" t="n"/>
      <c r="AO31" s="59" t="n"/>
      <c r="AP31" s="59" t="n"/>
      <c r="AQ31" s="59" t="n"/>
      <c r="AR31" s="155" t="n"/>
    </row>
    <row r="32">
      <c r="A32" s="50" t="inlineStr">
        <is>
          <t>5056658700552</t>
        </is>
      </c>
      <c r="B32" s="51" t="inlineStr">
        <is>
          <t>79260</t>
        </is>
      </c>
      <c r="C32" s="156" t="inlineStr">
        <is>
          <t>REFLO</t>
        </is>
      </c>
      <c r="D32" s="156" t="inlineStr">
        <is>
          <t>BOHAGRE</t>
        </is>
      </c>
      <c r="E32" s="156" t="inlineStr">
        <is>
          <t>BOHAGRE-L</t>
        </is>
      </c>
      <c r="F32" s="156" t="inlineStr">
        <is>
          <t>L</t>
        </is>
      </c>
      <c r="G32" s="156" t="inlineStr">
        <is>
          <t>L</t>
        </is>
      </c>
      <c r="H32" s="156" t="inlineStr">
        <is>
          <t>REFLO</t>
        </is>
      </c>
      <c r="I32" s="156" t="inlineStr">
        <is>
          <t>Playera tipo polo REFLO Bohai Green</t>
        </is>
      </c>
      <c r="J32" s="156" t="inlineStr">
        <is>
          <t>Ropa</t>
        </is>
      </c>
      <c r="K32" s="156" t="inlineStr">
        <is>
          <t>Playeras</t>
        </is>
      </c>
      <c r="L32" s="156" t="n"/>
      <c r="M32" s="156" t="inlineStr">
        <is>
          <t>REFLO</t>
        </is>
      </c>
      <c r="N32" s="156" t="n"/>
      <c r="O32" s="156" t="n"/>
      <c r="P32" s="156" t="inlineStr">
        <is>
          <t>Verde</t>
        </is>
      </c>
      <c r="Q32" s="156" t="n"/>
      <c r="R32" s="156" t="n"/>
      <c r="S32" s="156" t="inlineStr">
        <is>
          <t>100% Poliéster reciclado</t>
        </is>
      </c>
      <c r="T32" s="156" t="inlineStr">
        <is>
          <t>Playera tipo polo de golf REFLO modelo Bohai en color Green, confeccionado con materiales reciclados. Estilo BOHAGRE.</t>
        </is>
      </c>
      <c r="U32" s="156" t="inlineStr">
        <is>
          <t>China</t>
        </is>
      </c>
      <c r="V32" s="156" t="inlineStr">
        <is>
          <t>PZS</t>
        </is>
      </c>
      <c r="W32" s="51" t="inlineStr">
        <is>
          <t>53101600</t>
        </is>
      </c>
      <c r="X32" s="156" t="inlineStr">
        <is>
          <t>https://i.ibb.co/KyVSC4J/BOHAGRE.jpg</t>
        </is>
      </c>
      <c r="Y32" s="54" t="n">
        <v>22.75</v>
      </c>
      <c r="Z32" s="54" t="n">
        <v>1649</v>
      </c>
      <c r="AA32" s="55">
        <f>IF(AND(A32="", B32="", E32=""), "", IF(AB32="", "Válido", IF((LEN(AB32)-LEN(SUBSTITUTE(AB32,"; ","")))/2+1&gt;(LEN(AB32)-LEN(SUBSTITUTE(AB32,"[Aviso]","")))/7, "Con Incidencias", "Válido")))</f>
        <v/>
      </c>
      <c r="AB32" s="56">
        <f>IF(AND(A32="", B32="", E32=""), "", TEXTJOIN("; ", TRUE, IF(OR(TRIM(A32&amp;"")="", ISNUMBER(SEARCH("FALTA", A32))), "UPC faltante/inválido", ""), IF(AND(A32&lt;&gt;"", IFERROR(_xlfn.XMATCH(A32,$A$2:$A$653,0,1)&lt;&gt;_xlfn.XMATCH(A32,$A$2:$A$653,0,-1),FALSE)), "Código de barras duplicado", ""), IF(AND(E32&lt;&gt;"", COUNTIF($E$2:$E$653, E32)&gt;1), "SKU duplicado", ""), IF(OR(J32="", J32=""), "[Aviso] División no capturada ()", IF(ISNA(MATCH(J32, Criterios!$A$123:$A$126, 0)), "División no válida", "")), IF(OR(K32="", K32=""), "[Aviso] Categoría no capturada ()", IF(ISNA(MATCH(K32, Criterios!$A$81:$A$120, 0)), "Categoría no válida", IF(AND(J32&lt;&gt;"", J32&lt;&gt;"", J32&lt;&gt;VLOOKUP(K32, Criterios!$A$81:$B$120, 2, FALSE)), "División no coincide con Categoría", ""))), IF(OR(L32="", L32=""), "[Aviso] Género no capturado ()", IF(ISNA(MATCH(L32, Criterios!$B$123:$B$127, 0)), "Género no válido", "")), IF(OR(N32="", N32=""), "[Aviso] Temporada no capturada ()", IF(ISNA(MATCH(N32, Criterios!$C$123:$C$128, 0)), "Temporada no válida", "")), IF(OR(O32="", O32=""), "[Aviso] Ciclo de vida no capturado ()", IF(ISNA(MATCH(O32, Criterios!$D$123:$D$124, 0)), "Ciclo de vida no válido", ""))))</f>
        <v/>
      </c>
      <c r="AC32" s="56" t="n"/>
      <c r="AD32" s="51" t="n">
        <v>1</v>
      </c>
      <c r="AE32" s="156" t="inlineStr">
        <is>
          <t>REFLO ALMACEN (1)</t>
        </is>
      </c>
      <c r="AF32" s="51" t="n">
        <v>1</v>
      </c>
      <c r="AG32" s="156" t="inlineStr">
        <is>
          <t>Nuevo – NetSuite con existencia</t>
        </is>
      </c>
      <c r="AH32" s="156" t="inlineStr">
        <is>
          <t>Género no indicado en NetSuite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2" s="156" t="inlineStr">
        <is>
          <t>No</t>
        </is>
      </c>
      <c r="AJ32" s="156" t="n"/>
      <c r="AK32" s="155" t="inlineStr">
        <is>
          <t>G1522ProductosTodosloscamposSandboxResults894.xlsx: fila 45496 [X,Y]; G1522_Extraccion_Articulos_NetSuite_2026-09-30.xlsx: fila 37593 [Z]</t>
        </is>
      </c>
      <c r="AL32" s="58" t="n">
        <v>22.75</v>
      </c>
      <c r="AM32" s="58" t="n"/>
      <c r="AN32" s="155" t="n"/>
      <c r="AO32" s="59" t="n"/>
      <c r="AP32" s="59" t="n"/>
      <c r="AQ32" s="59" t="n"/>
      <c r="AR32" s="155" t="n"/>
    </row>
    <row r="33">
      <c r="A33" s="50" t="inlineStr">
        <is>
          <t>5056658700569</t>
        </is>
      </c>
      <c r="B33" s="51" t="inlineStr">
        <is>
          <t>79261</t>
        </is>
      </c>
      <c r="C33" s="156" t="inlineStr">
        <is>
          <t>REFLO</t>
        </is>
      </c>
      <c r="D33" s="156" t="inlineStr">
        <is>
          <t>BOHAGRE</t>
        </is>
      </c>
      <c r="E33" s="156" t="inlineStr">
        <is>
          <t>BOHAGRE-XL</t>
        </is>
      </c>
      <c r="F33" s="156" t="inlineStr">
        <is>
          <t>XL</t>
        </is>
      </c>
      <c r="G33" s="156" t="inlineStr">
        <is>
          <t>XL</t>
        </is>
      </c>
      <c r="H33" s="156" t="inlineStr">
        <is>
          <t>REFLO</t>
        </is>
      </c>
      <c r="I33" s="156" t="inlineStr">
        <is>
          <t>Playera tipo polo REFLO Bohai Green</t>
        </is>
      </c>
      <c r="J33" s="156" t="inlineStr">
        <is>
          <t>Ropa</t>
        </is>
      </c>
      <c r="K33" s="156" t="inlineStr">
        <is>
          <t>Playeras</t>
        </is>
      </c>
      <c r="L33" s="156" t="n"/>
      <c r="M33" s="156" t="inlineStr">
        <is>
          <t>REFLO</t>
        </is>
      </c>
      <c r="N33" s="156" t="n"/>
      <c r="O33" s="156" t="n"/>
      <c r="P33" s="156" t="inlineStr">
        <is>
          <t>Verde</t>
        </is>
      </c>
      <c r="Q33" s="156" t="n"/>
      <c r="R33" s="156" t="n"/>
      <c r="S33" s="156" t="inlineStr">
        <is>
          <t>100% Poliéster reciclado</t>
        </is>
      </c>
      <c r="T33" s="156" t="inlineStr">
        <is>
          <t>Playera tipo polo de golf REFLO modelo Bohai en color Green, confeccionado con materiales reciclados. Estilo BOHAGRE.</t>
        </is>
      </c>
      <c r="U33" s="156" t="inlineStr">
        <is>
          <t>China</t>
        </is>
      </c>
      <c r="V33" s="156" t="inlineStr">
        <is>
          <t>PZS</t>
        </is>
      </c>
      <c r="W33" s="51" t="inlineStr">
        <is>
          <t>53101600</t>
        </is>
      </c>
      <c r="X33" s="156" t="inlineStr">
        <is>
          <t>https://i.ibb.co/KyVSC4J/BOHAGRE.jpg</t>
        </is>
      </c>
      <c r="Y33" s="54" t="n">
        <v>22.75</v>
      </c>
      <c r="Z33" s="54" t="n">
        <v>1649</v>
      </c>
      <c r="AA33" s="55">
        <f>IF(AND(A33="", B33="", E33=""), "", IF(AB33="", "Válido", IF((LEN(AB33)-LEN(SUBSTITUTE(AB33,"; ","")))/2+1&gt;(LEN(AB33)-LEN(SUBSTITUTE(AB33,"[Aviso]","")))/7, "Con Incidencias", "Válido")))</f>
        <v/>
      </c>
      <c r="AB33" s="56">
        <f>IF(AND(A33="", B33="", E33=""), "", TEXTJOIN("; ", TRUE, IF(OR(TRIM(A33&amp;"")="", ISNUMBER(SEARCH("FALTA", A33))), "UPC faltante/inválido", ""), IF(AND(A33&lt;&gt;"", IFERROR(_xlfn.XMATCH(A33,$A$2:$A$653,0,1)&lt;&gt;_xlfn.XMATCH(A33,$A$2:$A$653,0,-1),FALSE)), "Código de barras duplicado", ""), IF(AND(E33&lt;&gt;"", COUNTIF($E$2:$E$653, E33)&gt;1), "SKU duplicado", ""), IF(OR(J33="", J33=""), "[Aviso] División no capturada ()", IF(ISNA(MATCH(J33, Criterios!$A$123:$A$126, 0)), "División no válida", "")), IF(OR(K33="", K33=""), "[Aviso] Categoría no capturada ()", IF(ISNA(MATCH(K33, Criterios!$A$81:$A$120, 0)), "Categoría no válida", IF(AND(J33&lt;&gt;"", J33&lt;&gt;"", J33&lt;&gt;VLOOKUP(K33, Criterios!$A$81:$B$120, 2, FALSE)), "División no coincide con Categoría", ""))), IF(OR(L33="", L33=""), "[Aviso] Género no capturado ()", IF(ISNA(MATCH(L33, Criterios!$B$123:$B$127, 0)), "Género no válido", "")), IF(OR(N33="", N33=""), "[Aviso] Temporada no capturada ()", IF(ISNA(MATCH(N33, Criterios!$C$123:$C$128, 0)), "Temporada no válida", "")), IF(OR(O33="", O33=""), "[Aviso] Ciclo de vida no capturado ()", IF(ISNA(MATCH(O33, Criterios!$D$123:$D$124, 0)), "Ciclo de vida no válido", ""))))</f>
        <v/>
      </c>
      <c r="AC33" s="56" t="n"/>
      <c r="AD33" s="51" t="n">
        <v>9</v>
      </c>
      <c r="AE33" s="156" t="inlineStr">
        <is>
          <t>MUESTRAS REFLO (1); REFLO ALMACEN (6)</t>
        </is>
      </c>
      <c r="AF33" s="51" t="n">
        <v>8</v>
      </c>
      <c r="AG33" s="156" t="inlineStr">
        <is>
          <t>Nuevo – NetSuite con existencia</t>
        </is>
      </c>
      <c r="AH33" s="156" t="inlineStr">
        <is>
          <t>Género no indicado en NetSuite; Físico total NetSuite 9 ≠ suma por ubicación 7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3" s="156" t="inlineStr">
        <is>
          <t>No</t>
        </is>
      </c>
      <c r="AJ33" s="156" t="n"/>
      <c r="AK33" s="155" t="inlineStr">
        <is>
          <t>G1522ProductosTodosloscamposSandboxResults894.xlsx: fila 45497 [X,Y]; G1522_Extraccion_Articulos_NetSuite_2026-09-30.xlsx: fila 37594 [Z]</t>
        </is>
      </c>
      <c r="AL33" s="58" t="n">
        <v>22.75</v>
      </c>
      <c r="AM33" s="58" t="n"/>
      <c r="AN33" s="155" t="n"/>
      <c r="AO33" s="59" t="n"/>
      <c r="AP33" s="59" t="n"/>
      <c r="AQ33" s="59" t="n"/>
      <c r="AR33" s="155" t="n"/>
    </row>
    <row r="34">
      <c r="A34" s="50" t="inlineStr">
        <is>
          <t>5056658700576</t>
        </is>
      </c>
      <c r="B34" s="51" t="inlineStr">
        <is>
          <t>79262</t>
        </is>
      </c>
      <c r="C34" s="156" t="inlineStr">
        <is>
          <t>REFLO</t>
        </is>
      </c>
      <c r="D34" s="156" t="inlineStr">
        <is>
          <t>BOHAGRE</t>
        </is>
      </c>
      <c r="E34" s="156" t="inlineStr">
        <is>
          <t>BOHAGRE-XXL</t>
        </is>
      </c>
      <c r="F34" s="156" t="inlineStr">
        <is>
          <t>XXL</t>
        </is>
      </c>
      <c r="G34" s="156" t="inlineStr">
        <is>
          <t>XXL</t>
        </is>
      </c>
      <c r="H34" s="156" t="inlineStr">
        <is>
          <t>REFLO</t>
        </is>
      </c>
      <c r="I34" s="156" t="inlineStr">
        <is>
          <t>Playera tipo polo REFLO Bohai Green</t>
        </is>
      </c>
      <c r="J34" s="156" t="inlineStr">
        <is>
          <t>Ropa</t>
        </is>
      </c>
      <c r="K34" s="156" t="inlineStr">
        <is>
          <t>Playeras</t>
        </is>
      </c>
      <c r="L34" s="156" t="n"/>
      <c r="M34" s="156" t="inlineStr">
        <is>
          <t>REFLO</t>
        </is>
      </c>
      <c r="N34" s="156" t="n"/>
      <c r="O34" s="156" t="n"/>
      <c r="P34" s="156" t="inlineStr">
        <is>
          <t>Verde</t>
        </is>
      </c>
      <c r="Q34" s="156" t="n"/>
      <c r="R34" s="156" t="n"/>
      <c r="S34" s="156" t="inlineStr">
        <is>
          <t>100% Poliéster reciclado</t>
        </is>
      </c>
      <c r="T34" s="156" t="inlineStr">
        <is>
          <t>Playera tipo polo de golf REFLO modelo Bohai en color Green, confeccionado con materiales reciclados. Estilo BOHAGRE.</t>
        </is>
      </c>
      <c r="U34" s="156" t="inlineStr">
        <is>
          <t>China</t>
        </is>
      </c>
      <c r="V34" s="156" t="inlineStr">
        <is>
          <t>PZS</t>
        </is>
      </c>
      <c r="W34" s="51" t="inlineStr">
        <is>
          <t>53101600</t>
        </is>
      </c>
      <c r="X34" s="156" t="inlineStr">
        <is>
          <t>https://i.ibb.co/KyVSC4J/BOHAGRE.jpg</t>
        </is>
      </c>
      <c r="Y34" s="54" t="n">
        <v>22.75</v>
      </c>
      <c r="Z34" s="54" t="n">
        <v>1649</v>
      </c>
      <c r="AA34" s="55">
        <f>IF(AND(A34="", B34="", E34=""), "", IF(AB34="", "Válido", IF((LEN(AB34)-LEN(SUBSTITUTE(AB34,"; ","")))/2+1&gt;(LEN(AB34)-LEN(SUBSTITUTE(AB34,"[Aviso]","")))/7, "Con Incidencias", "Válido")))</f>
        <v/>
      </c>
      <c r="AB34" s="56">
        <f>IF(AND(A34="", B34="", E34=""), "", TEXTJOIN("; ", TRUE, IF(OR(TRIM(A34&amp;"")="", ISNUMBER(SEARCH("FALTA", A34))), "UPC faltante/inválido", ""), IF(AND(A34&lt;&gt;"", IFERROR(_xlfn.XMATCH(A34,$A$2:$A$653,0,1)&lt;&gt;_xlfn.XMATCH(A34,$A$2:$A$653,0,-1),FALSE)), "Código de barras duplicado", ""), IF(AND(E34&lt;&gt;"", COUNTIF($E$2:$E$653, E34)&gt;1), "SKU duplicado", ""), IF(OR(J34="", J34=""), "[Aviso] División no capturada ()", IF(ISNA(MATCH(J34, Criterios!$A$123:$A$126, 0)), "División no válida", "")), IF(OR(K34="", K34=""), "[Aviso] Categoría no capturada ()", IF(ISNA(MATCH(K34, Criterios!$A$81:$A$120, 0)), "Categoría no válida", IF(AND(J34&lt;&gt;"", J34&lt;&gt;"", J34&lt;&gt;VLOOKUP(K34, Criterios!$A$81:$B$120, 2, FALSE)), "División no coincide con Categoría", ""))), IF(OR(L34="", L34=""), "[Aviso] Género no capturado ()", IF(ISNA(MATCH(L34, Criterios!$B$123:$B$127, 0)), "Género no válido", "")), IF(OR(N34="", N34=""), "[Aviso] Temporada no capturada ()", IF(ISNA(MATCH(N34, Criterios!$C$123:$C$128, 0)), "Temporada no válida", "")), IF(OR(O34="", O34=""), "[Aviso] Ciclo de vida no capturado ()", IF(ISNA(MATCH(O34, Criterios!$D$123:$D$124, 0)), "Ciclo de vida no válido", ""))))</f>
        <v/>
      </c>
      <c r="AC34" s="56" t="n"/>
      <c r="AD34" s="51" t="n">
        <v>4</v>
      </c>
      <c r="AE34" s="156" t="inlineStr">
        <is>
          <t>REFLO ALMACEN (4)</t>
        </is>
      </c>
      <c r="AF34" s="51" t="n">
        <v>5</v>
      </c>
      <c r="AG34" s="156" t="inlineStr">
        <is>
          <t>Nuevo – NetSuite con existencia</t>
        </is>
      </c>
      <c r="AH34" s="156" t="inlineStr">
        <is>
          <t>Género no indicado en NetSuite; Físico total NetSuite 4 ≠ suma por ubicación 3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4" s="156" t="inlineStr">
        <is>
          <t>Sí</t>
        </is>
      </c>
      <c r="AJ34" s="156" t="inlineStr">
        <is>
          <t>CONSIGNA REFLO (-1)</t>
        </is>
      </c>
      <c r="AK34" s="155" t="inlineStr">
        <is>
          <t>G1522ProductosTodosloscamposSandboxResults894.xlsx: fila 45498 [X,Y]; G1522_Extraccion_Articulos_NetSuite_2026-09-30.xlsx: fila 37595 [Z]</t>
        </is>
      </c>
      <c r="AL34" s="58" t="n">
        <v>22.75</v>
      </c>
      <c r="AM34" s="58" t="n"/>
      <c r="AN34" s="155" t="n"/>
      <c r="AO34" s="59" t="n"/>
      <c r="AP34" s="59" t="n"/>
      <c r="AQ34" s="59" t="n"/>
      <c r="AR34" s="155" t="n"/>
    </row>
    <row r="35">
      <c r="A35" s="50" t="inlineStr">
        <is>
          <t>5056658700675</t>
        </is>
      </c>
      <c r="B35" s="51" t="inlineStr">
        <is>
          <t>79263</t>
        </is>
      </c>
      <c r="C35" s="156" t="inlineStr">
        <is>
          <t>REFLO</t>
        </is>
      </c>
      <c r="D35" s="156" t="inlineStr">
        <is>
          <t>BOHAWHI</t>
        </is>
      </c>
      <c r="E35" s="156" t="inlineStr">
        <is>
          <t>BOHAWHI-L</t>
        </is>
      </c>
      <c r="F35" s="156" t="inlineStr">
        <is>
          <t>L</t>
        </is>
      </c>
      <c r="G35" s="156" t="inlineStr">
        <is>
          <t>L</t>
        </is>
      </c>
      <c r="H35" s="156" t="inlineStr">
        <is>
          <t>REFLO</t>
        </is>
      </c>
      <c r="I35" s="156" t="inlineStr">
        <is>
          <t>Playera tipo polo REFLO Bohai White</t>
        </is>
      </c>
      <c r="J35" s="156" t="inlineStr">
        <is>
          <t>Ropa</t>
        </is>
      </c>
      <c r="K35" s="156" t="inlineStr">
        <is>
          <t>Playeras</t>
        </is>
      </c>
      <c r="L35" s="156" t="n"/>
      <c r="M35" s="156" t="inlineStr">
        <is>
          <t>REFLO</t>
        </is>
      </c>
      <c r="N35" s="156" t="n"/>
      <c r="O35" s="156" t="n"/>
      <c r="P35" s="156" t="inlineStr">
        <is>
          <t>Blanco</t>
        </is>
      </c>
      <c r="Q35" s="156" t="n"/>
      <c r="R35" s="156" t="n"/>
      <c r="S35" s="156" t="inlineStr">
        <is>
          <t>100% Poliéster reciclado</t>
        </is>
      </c>
      <c r="T35" s="156" t="inlineStr">
        <is>
          <t>Playera tipo polo de golf REFLO modelo Bohai en color White, confeccionado con materiales reciclados. Estilo BOHAWHI.</t>
        </is>
      </c>
      <c r="U35" s="156" t="inlineStr">
        <is>
          <t>China</t>
        </is>
      </c>
      <c r="V35" s="156" t="inlineStr">
        <is>
          <t>PZS</t>
        </is>
      </c>
      <c r="W35" s="51" t="inlineStr">
        <is>
          <t>53101600</t>
        </is>
      </c>
      <c r="X35" s="156" t="inlineStr">
        <is>
          <t>https://i.ibb.co/9H5D20G/BOHAWHI.jpg</t>
        </is>
      </c>
      <c r="Y35" s="54" t="n">
        <v>22.75</v>
      </c>
      <c r="Z35" s="54" t="n">
        <v>1649</v>
      </c>
      <c r="AA35" s="55">
        <f>IF(AND(A35="", B35="", E35=""), "", IF(AB35="", "Válido", IF((LEN(AB35)-LEN(SUBSTITUTE(AB35,"; ","")))/2+1&gt;(LEN(AB35)-LEN(SUBSTITUTE(AB35,"[Aviso]","")))/7, "Con Incidencias", "Válido")))</f>
        <v/>
      </c>
      <c r="AB35" s="56">
        <f>IF(AND(A35="", B35="", E35=""), "", TEXTJOIN("; ", TRUE, IF(OR(TRIM(A35&amp;"")="", ISNUMBER(SEARCH("FALTA", A35))), "UPC faltante/inválido", ""), IF(AND(A35&lt;&gt;"", IFERROR(_xlfn.XMATCH(A35,$A$2:$A$653,0,1)&lt;&gt;_xlfn.XMATCH(A35,$A$2:$A$653,0,-1),FALSE)), "Código de barras duplicado", ""), IF(AND(E35&lt;&gt;"", COUNTIF($E$2:$E$653, E35)&gt;1), "SKU duplicado", ""), IF(OR(J35="", J35=""), "[Aviso] División no capturada ()", IF(ISNA(MATCH(J35, Criterios!$A$123:$A$126, 0)), "División no válida", "")), IF(OR(K35="", K35=""), "[Aviso] Categoría no capturada ()", IF(ISNA(MATCH(K35, Criterios!$A$81:$A$120, 0)), "Categoría no válida", IF(AND(J35&lt;&gt;"", J35&lt;&gt;"", J35&lt;&gt;VLOOKUP(K35, Criterios!$A$81:$B$120, 2, FALSE)), "División no coincide con Categoría", ""))), IF(OR(L35="", L35=""), "[Aviso] Género no capturado ()", IF(ISNA(MATCH(L35, Criterios!$B$123:$B$127, 0)), "Género no válido", "")), IF(OR(N35="", N35=""), "[Aviso] Temporada no capturada ()", IF(ISNA(MATCH(N35, Criterios!$C$123:$C$128, 0)), "Temporada no válida", "")), IF(OR(O35="", O35=""), "[Aviso] Ciclo de vida no capturado ()", IF(ISNA(MATCH(O35, Criterios!$D$123:$D$124, 0)), "Ciclo de vida no válido", ""))))</f>
        <v/>
      </c>
      <c r="AC35" s="56" t="n"/>
      <c r="AD35" s="51" t="n">
        <v>3</v>
      </c>
      <c r="AE35" s="156" t="inlineStr">
        <is>
          <t>REFLO ALMACEN (1); MUESTRAS REFLO (1)</t>
        </is>
      </c>
      <c r="AF35" s="51" t="n">
        <v>2</v>
      </c>
      <c r="AG35" s="156" t="inlineStr">
        <is>
          <t>Nuevo – NetSuite con existencia</t>
        </is>
      </c>
      <c r="AH35" s="156" t="inlineStr">
        <is>
          <t>Género no indicado en NetSuite; Físico total NetSuite 3 ≠ suma por ubicación 2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5" s="156" t="inlineStr">
        <is>
          <t>No</t>
        </is>
      </c>
      <c r="AJ35" s="156" t="n"/>
      <c r="AK35" s="155" t="inlineStr">
        <is>
          <t>G1522ProductosTodosloscamposSandboxResults894.xlsx: fila 45504 [X,Y]; G1522_Extraccion_Articulos_NetSuite_2026-09-30.xlsx: fila 37596 [Z]</t>
        </is>
      </c>
      <c r="AL35" s="58" t="n">
        <v>22.75</v>
      </c>
      <c r="AM35" s="58" t="n"/>
      <c r="AN35" s="155" t="n"/>
      <c r="AO35" s="59" t="n"/>
      <c r="AP35" s="59" t="n"/>
      <c r="AQ35" s="59" t="n"/>
      <c r="AR35" s="155" t="n"/>
    </row>
    <row r="36">
      <c r="A36" s="50" t="inlineStr">
        <is>
          <t>5056658700682</t>
        </is>
      </c>
      <c r="B36" s="51" t="inlineStr">
        <is>
          <t>79264</t>
        </is>
      </c>
      <c r="C36" s="156" t="inlineStr">
        <is>
          <t>REFLO</t>
        </is>
      </c>
      <c r="D36" s="156" t="inlineStr">
        <is>
          <t>BOHAWHI</t>
        </is>
      </c>
      <c r="E36" s="156" t="inlineStr">
        <is>
          <t>BOHAWHI-XL</t>
        </is>
      </c>
      <c r="F36" s="156" t="inlineStr">
        <is>
          <t>XL</t>
        </is>
      </c>
      <c r="G36" s="156" t="inlineStr">
        <is>
          <t>XL</t>
        </is>
      </c>
      <c r="H36" s="156" t="inlineStr">
        <is>
          <t>REFLO</t>
        </is>
      </c>
      <c r="I36" s="156" t="inlineStr">
        <is>
          <t>Playera tipo polo REFLO Bohai White</t>
        </is>
      </c>
      <c r="J36" s="156" t="inlineStr">
        <is>
          <t>Ropa</t>
        </is>
      </c>
      <c r="K36" s="156" t="inlineStr">
        <is>
          <t>Playeras</t>
        </is>
      </c>
      <c r="L36" s="156" t="n"/>
      <c r="M36" s="156" t="inlineStr">
        <is>
          <t>REFLO</t>
        </is>
      </c>
      <c r="N36" s="156" t="n"/>
      <c r="O36" s="156" t="n"/>
      <c r="P36" s="156" t="inlineStr">
        <is>
          <t>Blanco</t>
        </is>
      </c>
      <c r="Q36" s="156" t="n"/>
      <c r="R36" s="156" t="n"/>
      <c r="S36" s="156" t="inlineStr">
        <is>
          <t>100% Poliéster reciclado</t>
        </is>
      </c>
      <c r="T36" s="156" t="inlineStr">
        <is>
          <t>Playera tipo polo de golf REFLO modelo Bohai en color White, confeccionado con materiales reciclados. Estilo BOHAWHI.</t>
        </is>
      </c>
      <c r="U36" s="156" t="inlineStr">
        <is>
          <t>China</t>
        </is>
      </c>
      <c r="V36" s="156" t="inlineStr">
        <is>
          <t>PZS</t>
        </is>
      </c>
      <c r="W36" s="51" t="inlineStr">
        <is>
          <t>53101600</t>
        </is>
      </c>
      <c r="X36" s="156" t="inlineStr">
        <is>
          <t>https://i.ibb.co/9H5D20G/BOHAWHI.jpg</t>
        </is>
      </c>
      <c r="Y36" s="54" t="n">
        <v>22.75</v>
      </c>
      <c r="Z36" s="54" t="n">
        <v>1649</v>
      </c>
      <c r="AA36" s="55">
        <f>IF(AND(A36="", B36="", E36=""), "", IF(AB36="", "Válido", IF((LEN(AB36)-LEN(SUBSTITUTE(AB36,"; ","")))/2+1&gt;(LEN(AB36)-LEN(SUBSTITUTE(AB36,"[Aviso]","")))/7, "Con Incidencias", "Válido")))</f>
        <v/>
      </c>
      <c r="AB36" s="56">
        <f>IF(AND(A36="", B36="", E36=""), "", TEXTJOIN("; ", TRUE, IF(OR(TRIM(A36&amp;"")="", ISNUMBER(SEARCH("FALTA", A36))), "UPC faltante/inválido", ""), IF(AND(A36&lt;&gt;"", IFERROR(_xlfn.XMATCH(A36,$A$2:$A$653,0,1)&lt;&gt;_xlfn.XMATCH(A36,$A$2:$A$653,0,-1),FALSE)), "Código de barras duplicado", ""), IF(AND(E36&lt;&gt;"", COUNTIF($E$2:$E$653, E36)&gt;1), "SKU duplicado", ""), IF(OR(J36="", J36=""), "[Aviso] División no capturada ()", IF(ISNA(MATCH(J36, Criterios!$A$123:$A$126, 0)), "División no válida", "")), IF(OR(K36="", K36=""), "[Aviso] Categoría no capturada ()", IF(ISNA(MATCH(K36, Criterios!$A$81:$A$120, 0)), "Categoría no válida", IF(AND(J36&lt;&gt;"", J36&lt;&gt;"", J36&lt;&gt;VLOOKUP(K36, Criterios!$A$81:$B$120, 2, FALSE)), "División no coincide con Categoría", ""))), IF(OR(L36="", L36=""), "[Aviso] Género no capturado ()", IF(ISNA(MATCH(L36, Criterios!$B$123:$B$127, 0)), "Género no válido", "")), IF(OR(N36="", N36=""), "[Aviso] Temporada no capturada ()", IF(ISNA(MATCH(N36, Criterios!$C$123:$C$128, 0)), "Temporada no válida", "")), IF(OR(O36="", O36=""), "[Aviso] Ciclo de vida no capturado ()", IF(ISNA(MATCH(O36, Criterios!$D$123:$D$124, 0)), "Ciclo de vida no válido", ""))))</f>
        <v/>
      </c>
      <c r="AC36" s="56" t="n"/>
      <c r="AD36" s="51" t="n">
        <v>2</v>
      </c>
      <c r="AE36" s="156" t="inlineStr">
        <is>
          <t>REFLO ALMACEN (3)</t>
        </is>
      </c>
      <c r="AF36" s="51" t="n">
        <v>3</v>
      </c>
      <c r="AG36" s="156" t="inlineStr">
        <is>
          <t>Nuevo – NetSuite con existencia</t>
        </is>
      </c>
      <c r="AH36" s="156" t="inlineStr">
        <is>
          <t>Género no indicado en NetSuite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6" s="156" t="inlineStr">
        <is>
          <t>Sí</t>
        </is>
      </c>
      <c r="AJ36" s="156" t="inlineStr">
        <is>
          <t>CONSIGNA REFLO (-1)</t>
        </is>
      </c>
      <c r="AK36" s="155" t="inlineStr">
        <is>
          <t>G1522ProductosTodosloscamposSandboxResults894.xlsx: fila 45505 [X,Y]; G1522_Extraccion_Articulos_NetSuite_2026-09-30.xlsx: fila 37597 [Z]</t>
        </is>
      </c>
      <c r="AL36" s="58" t="n">
        <v>22.75</v>
      </c>
      <c r="AM36" s="58" t="n"/>
      <c r="AN36" s="155" t="n"/>
      <c r="AO36" s="59" t="n"/>
      <c r="AP36" s="59" t="n"/>
      <c r="AQ36" s="59" t="n"/>
      <c r="AR36" s="155" t="n"/>
    </row>
    <row r="37">
      <c r="A37" s="50" t="inlineStr">
        <is>
          <t>5056658700606</t>
        </is>
      </c>
      <c r="B37" s="51" t="inlineStr">
        <is>
          <t>79265</t>
        </is>
      </c>
      <c r="C37" s="156" t="inlineStr">
        <is>
          <t>REFLO</t>
        </is>
      </c>
      <c r="D37" s="156" t="inlineStr">
        <is>
          <t>BOHAYEL</t>
        </is>
      </c>
      <c r="E37" s="156" t="inlineStr">
        <is>
          <t>BOHAYEL-M</t>
        </is>
      </c>
      <c r="F37" s="156" t="inlineStr">
        <is>
          <t>M</t>
        </is>
      </c>
      <c r="G37" s="156" t="inlineStr">
        <is>
          <t>M</t>
        </is>
      </c>
      <c r="H37" s="156" t="inlineStr">
        <is>
          <t>REFLO</t>
        </is>
      </c>
      <c r="I37" s="156" t="inlineStr">
        <is>
          <t>Playera tipo polo REFLO Bohai Yellow</t>
        </is>
      </c>
      <c r="J37" s="156" t="inlineStr">
        <is>
          <t>Ropa</t>
        </is>
      </c>
      <c r="K37" s="156" t="inlineStr">
        <is>
          <t>Playeras</t>
        </is>
      </c>
      <c r="L37" s="156" t="n"/>
      <c r="M37" s="156" t="inlineStr">
        <is>
          <t>REFLO</t>
        </is>
      </c>
      <c r="N37" s="156" t="n"/>
      <c r="O37" s="156" t="n"/>
      <c r="P37" s="156" t="inlineStr">
        <is>
          <t>Amarillo</t>
        </is>
      </c>
      <c r="Q37" s="156" t="n"/>
      <c r="R37" s="156" t="n"/>
      <c r="S37" s="156" t="inlineStr">
        <is>
          <t>100% Poliéster reciclado</t>
        </is>
      </c>
      <c r="T37" s="156" t="inlineStr">
        <is>
          <t>Playera tipo polo de golf REFLO modelo Bohai en color Yellow, confeccionado con materiales reciclados. Estilo BOHAYEL.</t>
        </is>
      </c>
      <c r="U37" s="156" t="inlineStr">
        <is>
          <t>China</t>
        </is>
      </c>
      <c r="V37" s="156" t="inlineStr">
        <is>
          <t>PZS</t>
        </is>
      </c>
      <c r="W37" s="51" t="inlineStr">
        <is>
          <t>53101600</t>
        </is>
      </c>
      <c r="X37" s="156" t="inlineStr">
        <is>
          <t>https://i.ibb.co/r4swMFx/BOHAYEL.jpg</t>
        </is>
      </c>
      <c r="Y37" s="54" t="n">
        <v>22.75</v>
      </c>
      <c r="Z37" s="54" t="n">
        <v>1649</v>
      </c>
      <c r="AA37" s="55">
        <f>IF(AND(A37="", B37="", E37=""), "", IF(AB37="", "Válido", IF((LEN(AB37)-LEN(SUBSTITUTE(AB37,"; ","")))/2+1&gt;(LEN(AB37)-LEN(SUBSTITUTE(AB37,"[Aviso]","")))/7, "Con Incidencias", "Válido")))</f>
        <v/>
      </c>
      <c r="AB37" s="56">
        <f>IF(AND(A37="", B37="", E37=""), "", TEXTJOIN("; ", TRUE, IF(OR(TRIM(A37&amp;"")="", ISNUMBER(SEARCH("FALTA", A37))), "UPC faltante/inválido", ""), IF(AND(A37&lt;&gt;"", IFERROR(_xlfn.XMATCH(A37,$A$2:$A$653,0,1)&lt;&gt;_xlfn.XMATCH(A37,$A$2:$A$653,0,-1),FALSE)), "Código de barras duplicado", ""), IF(AND(E37&lt;&gt;"", COUNTIF($E$2:$E$653, E37)&gt;1), "SKU duplicado", ""), IF(OR(J37="", J37=""), "[Aviso] División no capturada ()", IF(ISNA(MATCH(J37, Criterios!$A$123:$A$126, 0)), "División no válida", "")), IF(OR(K37="", K37=""), "[Aviso] Categoría no capturada ()", IF(ISNA(MATCH(K37, Criterios!$A$81:$A$120, 0)), "Categoría no válida", IF(AND(J37&lt;&gt;"", J37&lt;&gt;"", J37&lt;&gt;VLOOKUP(K37, Criterios!$A$81:$B$120, 2, FALSE)), "División no coincide con Categoría", ""))), IF(OR(L37="", L37=""), "[Aviso] Género no capturado ()", IF(ISNA(MATCH(L37, Criterios!$B$123:$B$127, 0)), "Género no válido", "")), IF(OR(N37="", N37=""), "[Aviso] Temporada no capturada ()", IF(ISNA(MATCH(N37, Criterios!$C$123:$C$128, 0)), "Temporada no válida", "")), IF(OR(O37="", O37=""), "[Aviso] Ciclo de vida no capturado ()", IF(ISNA(MATCH(O37, Criterios!$D$123:$D$124, 0)), "Ciclo de vida no válido", ""))))</f>
        <v/>
      </c>
      <c r="AC37" s="56" t="n"/>
      <c r="AD37" s="51" t="n">
        <v>4</v>
      </c>
      <c r="AE37" s="156" t="inlineStr">
        <is>
          <t>REFLO ALMACEN (3); CONSIGNA REFLO (1)</t>
        </is>
      </c>
      <c r="AF37" s="51" t="n">
        <v>4</v>
      </c>
      <c r="AG37" s="156" t="inlineStr">
        <is>
          <t>Nuevo – NetSuite con existencia</t>
        </is>
      </c>
      <c r="AH37" s="156" t="inlineStr">
        <is>
          <t>Género no indicado en NetSuite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7" s="156" t="inlineStr">
        <is>
          <t>No</t>
        </is>
      </c>
      <c r="AJ37" s="156" t="n"/>
      <c r="AK37" s="155" t="inlineStr">
        <is>
          <t>G1522ProductosTodosloscamposSandboxResults894.xlsx: fila 45507 [X,Y]; G1522_Extraccion_Articulos_NetSuite_2026-09-30.xlsx: fila 37598 [Z]</t>
        </is>
      </c>
      <c r="AL37" s="58" t="n">
        <v>22.75</v>
      </c>
      <c r="AM37" s="58" t="n"/>
      <c r="AN37" s="155" t="n"/>
      <c r="AO37" s="59" t="n"/>
      <c r="AP37" s="59" t="n"/>
      <c r="AQ37" s="59" t="n"/>
      <c r="AR37" s="155" t="n"/>
    </row>
    <row r="38">
      <c r="A38" s="50" t="inlineStr">
        <is>
          <t>5056658700613</t>
        </is>
      </c>
      <c r="B38" s="51" t="inlineStr">
        <is>
          <t>79266</t>
        </is>
      </c>
      <c r="C38" s="156" t="inlineStr">
        <is>
          <t>REFLO</t>
        </is>
      </c>
      <c r="D38" s="156" t="inlineStr">
        <is>
          <t>BOHAYEL</t>
        </is>
      </c>
      <c r="E38" s="156" t="inlineStr">
        <is>
          <t>BOHAYEL-L</t>
        </is>
      </c>
      <c r="F38" s="156" t="inlineStr">
        <is>
          <t>L</t>
        </is>
      </c>
      <c r="G38" s="156" t="inlineStr">
        <is>
          <t>L</t>
        </is>
      </c>
      <c r="H38" s="156" t="inlineStr">
        <is>
          <t>REFLO</t>
        </is>
      </c>
      <c r="I38" s="156" t="inlineStr">
        <is>
          <t>Playera tipo polo REFLO Bohai Yellow</t>
        </is>
      </c>
      <c r="J38" s="156" t="inlineStr">
        <is>
          <t>Ropa</t>
        </is>
      </c>
      <c r="K38" s="156" t="inlineStr">
        <is>
          <t>Playeras</t>
        </is>
      </c>
      <c r="L38" s="156" t="n"/>
      <c r="M38" s="156" t="inlineStr">
        <is>
          <t>REFLO</t>
        </is>
      </c>
      <c r="N38" s="156" t="n"/>
      <c r="O38" s="156" t="n"/>
      <c r="P38" s="156" t="inlineStr">
        <is>
          <t>Amarillo</t>
        </is>
      </c>
      <c r="Q38" s="156" t="n"/>
      <c r="R38" s="156" t="n"/>
      <c r="S38" s="156" t="inlineStr">
        <is>
          <t>100% Poliéster reciclado</t>
        </is>
      </c>
      <c r="T38" s="156" t="inlineStr">
        <is>
          <t>Playera tipo polo de golf REFLO modelo Bohai en color Yellow, confeccionado con materiales reciclados. Estilo BOHAYEL.</t>
        </is>
      </c>
      <c r="U38" s="156" t="inlineStr">
        <is>
          <t>China</t>
        </is>
      </c>
      <c r="V38" s="156" t="inlineStr">
        <is>
          <t>PZS</t>
        </is>
      </c>
      <c r="W38" s="51" t="inlineStr">
        <is>
          <t>53101600</t>
        </is>
      </c>
      <c r="X38" s="156" t="inlineStr">
        <is>
          <t>https://i.ibb.co/r4swMFx/BOHAYEL.jpg</t>
        </is>
      </c>
      <c r="Y38" s="54" t="n">
        <v>22.75</v>
      </c>
      <c r="Z38" s="54" t="n">
        <v>1649</v>
      </c>
      <c r="AA38" s="55">
        <f>IF(AND(A38="", B38="", E38=""), "", IF(AB38="", "Válido", IF((LEN(AB38)-LEN(SUBSTITUTE(AB38,"; ","")))/2+1&gt;(LEN(AB38)-LEN(SUBSTITUTE(AB38,"[Aviso]","")))/7, "Con Incidencias", "Válido")))</f>
        <v/>
      </c>
      <c r="AB38" s="56">
        <f>IF(AND(A38="", B38="", E38=""), "", TEXTJOIN("; ", TRUE, IF(OR(TRIM(A38&amp;"")="", ISNUMBER(SEARCH("FALTA", A38))), "UPC faltante/inválido", ""), IF(AND(A38&lt;&gt;"", IFERROR(_xlfn.XMATCH(A38,$A$2:$A$653,0,1)&lt;&gt;_xlfn.XMATCH(A38,$A$2:$A$653,0,-1),FALSE)), "Código de barras duplicado", ""), IF(AND(E38&lt;&gt;"", COUNTIF($E$2:$E$653, E38)&gt;1), "SKU duplicado", ""), IF(OR(J38="", J38=""), "[Aviso] División no capturada ()", IF(ISNA(MATCH(J38, Criterios!$A$123:$A$126, 0)), "División no válida", "")), IF(OR(K38="", K38=""), "[Aviso] Categoría no capturada ()", IF(ISNA(MATCH(K38, Criterios!$A$81:$A$120, 0)), "Categoría no válida", IF(AND(J38&lt;&gt;"", J38&lt;&gt;"", J38&lt;&gt;VLOOKUP(K38, Criterios!$A$81:$B$120, 2, FALSE)), "División no coincide con Categoría", ""))), IF(OR(L38="", L38=""), "[Aviso] Género no capturado ()", IF(ISNA(MATCH(L38, Criterios!$B$123:$B$127, 0)), "Género no válido", "")), IF(OR(N38="", N38=""), "[Aviso] Temporada no capturada ()", IF(ISNA(MATCH(N38, Criterios!$C$123:$C$128, 0)), "Temporada no válida", "")), IF(OR(O38="", O38=""), "[Aviso] Ciclo de vida no capturado ()", IF(ISNA(MATCH(O38, Criterios!$D$123:$D$124, 0)), "Ciclo de vida no válido", ""))))</f>
        <v/>
      </c>
      <c r="AC38" s="56" t="n"/>
      <c r="AD38" s="51" t="n">
        <v>9</v>
      </c>
      <c r="AE38" s="156" t="inlineStr">
        <is>
          <t>CONSIGNA REFLO (1); MUESTRAS REFLO (1); REFLO ALMACEN (4)</t>
        </is>
      </c>
      <c r="AF38" s="51" t="n">
        <v>8</v>
      </c>
      <c r="AG38" s="156" t="inlineStr">
        <is>
          <t>Nuevo – NetSuite con existencia</t>
        </is>
      </c>
      <c r="AH38" s="156" t="inlineStr">
        <is>
          <t>Género no indicado en NetSuite; Físico total NetSuite 9 ≠ suma por ubicación 6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8" s="156" t="inlineStr">
        <is>
          <t>No</t>
        </is>
      </c>
      <c r="AJ38" s="156" t="n"/>
      <c r="AK38" s="155" t="inlineStr">
        <is>
          <t>G1522ProductosTodosloscamposSandboxResults894.xlsx: fila 45508 [X,Y]; G1522_Extraccion_Articulos_NetSuite_2026-09-30.xlsx: fila 37599 [Z]</t>
        </is>
      </c>
      <c r="AL38" s="58" t="n">
        <v>22.75</v>
      </c>
      <c r="AM38" s="58" t="n"/>
      <c r="AN38" s="155" t="n"/>
      <c r="AO38" s="59" t="n"/>
      <c r="AP38" s="59" t="n"/>
      <c r="AQ38" s="59" t="n"/>
      <c r="AR38" s="155" t="n"/>
    </row>
    <row r="39">
      <c r="A39" s="50" t="inlineStr">
        <is>
          <t>5056658700620</t>
        </is>
      </c>
      <c r="B39" s="51" t="inlineStr">
        <is>
          <t>79267</t>
        </is>
      </c>
      <c r="C39" s="156" t="inlineStr">
        <is>
          <t>REFLO</t>
        </is>
      </c>
      <c r="D39" s="156" t="inlineStr">
        <is>
          <t>BOHAYEL</t>
        </is>
      </c>
      <c r="E39" s="156" t="inlineStr">
        <is>
          <t>BOHAYEL-XL</t>
        </is>
      </c>
      <c r="F39" s="156" t="inlineStr">
        <is>
          <t>XL</t>
        </is>
      </c>
      <c r="G39" s="156" t="inlineStr">
        <is>
          <t>XL</t>
        </is>
      </c>
      <c r="H39" s="156" t="inlineStr">
        <is>
          <t>REFLO</t>
        </is>
      </c>
      <c r="I39" s="156" t="inlineStr">
        <is>
          <t>Playera tipo polo REFLO Bohai Yellow</t>
        </is>
      </c>
      <c r="J39" s="156" t="inlineStr">
        <is>
          <t>Ropa</t>
        </is>
      </c>
      <c r="K39" s="156" t="inlineStr">
        <is>
          <t>Playeras</t>
        </is>
      </c>
      <c r="L39" s="156" t="n"/>
      <c r="M39" s="156" t="inlineStr">
        <is>
          <t>REFLO</t>
        </is>
      </c>
      <c r="N39" s="156" t="n"/>
      <c r="O39" s="156" t="n"/>
      <c r="P39" s="156" t="inlineStr">
        <is>
          <t>Amarillo</t>
        </is>
      </c>
      <c r="Q39" s="156" t="n"/>
      <c r="R39" s="156" t="n"/>
      <c r="S39" s="156" t="inlineStr">
        <is>
          <t>100% Poliéster reciclado</t>
        </is>
      </c>
      <c r="T39" s="156" t="inlineStr">
        <is>
          <t>Playera tipo polo de golf REFLO modelo Bohai en color Yellow, confeccionado con materiales reciclados. Estilo BOHAYEL.</t>
        </is>
      </c>
      <c r="U39" s="156" t="inlineStr">
        <is>
          <t>China</t>
        </is>
      </c>
      <c r="V39" s="156" t="inlineStr">
        <is>
          <t>PZS</t>
        </is>
      </c>
      <c r="W39" s="51" t="inlineStr">
        <is>
          <t>53101600</t>
        </is>
      </c>
      <c r="X39" s="156" t="inlineStr">
        <is>
          <t>https://i.ibb.co/r4swMFx/BOHAYEL.jpg</t>
        </is>
      </c>
      <c r="Y39" s="54" t="n">
        <v>22.75</v>
      </c>
      <c r="Z39" s="54" t="n">
        <v>1649</v>
      </c>
      <c r="AA39" s="55">
        <f>IF(AND(A39="", B39="", E39=""), "", IF(AB39="", "Válido", IF((LEN(AB39)-LEN(SUBSTITUTE(AB39,"; ","")))/2+1&gt;(LEN(AB39)-LEN(SUBSTITUTE(AB39,"[Aviso]","")))/7, "Con Incidencias", "Válido")))</f>
        <v/>
      </c>
      <c r="AB39" s="56">
        <f>IF(AND(A39="", B39="", E39=""), "", TEXTJOIN("; ", TRUE, IF(OR(TRIM(A39&amp;"")="", ISNUMBER(SEARCH("FALTA", A39))), "UPC faltante/inválido", ""), IF(AND(A39&lt;&gt;"", IFERROR(_xlfn.XMATCH(A39,$A$2:$A$653,0,1)&lt;&gt;_xlfn.XMATCH(A39,$A$2:$A$653,0,-1),FALSE)), "Código de barras duplicado", ""), IF(AND(E39&lt;&gt;"", COUNTIF($E$2:$E$653, E39)&gt;1), "SKU duplicado", ""), IF(OR(J39="", J39=""), "[Aviso] División no capturada ()", IF(ISNA(MATCH(J39, Criterios!$A$123:$A$126, 0)), "División no válida", "")), IF(OR(K39="", K39=""), "[Aviso] Categoría no capturada ()", IF(ISNA(MATCH(K39, Criterios!$A$81:$A$120, 0)), "Categoría no válida", IF(AND(J39&lt;&gt;"", J39&lt;&gt;"", J39&lt;&gt;VLOOKUP(K39, Criterios!$A$81:$B$120, 2, FALSE)), "División no coincide con Categoría", ""))), IF(OR(L39="", L39=""), "[Aviso] Género no capturado ()", IF(ISNA(MATCH(L39, Criterios!$B$123:$B$127, 0)), "Género no válido", "")), IF(OR(N39="", N39=""), "[Aviso] Temporada no capturada ()", IF(ISNA(MATCH(N39, Criterios!$C$123:$C$128, 0)), "Temporada no válida", "")), IF(OR(O39="", O39=""), "[Aviso] Ciclo de vida no capturado ()", IF(ISNA(MATCH(O39, Criterios!$D$123:$D$124, 0)), "Ciclo de vida no válido", ""))))</f>
        <v/>
      </c>
      <c r="AC39" s="56" t="n"/>
      <c r="AD39" s="51" t="n">
        <v>10</v>
      </c>
      <c r="AE39" s="156" t="inlineStr">
        <is>
          <t>REFLO ALMACEN (6)</t>
        </is>
      </c>
      <c r="AF39" s="51" t="n">
        <v>10</v>
      </c>
      <c r="AG39" s="156" t="inlineStr">
        <is>
          <t>Nuevo – NetSuite con existencia</t>
        </is>
      </c>
      <c r="AH39" s="156" t="inlineStr">
        <is>
          <t>Género no indicado en NetSuite; Físico total NetSuite 10 ≠ suma por ubicación 6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39" s="156" t="inlineStr">
        <is>
          <t>No</t>
        </is>
      </c>
      <c r="AJ39" s="156" t="n"/>
      <c r="AK39" s="155" t="inlineStr">
        <is>
          <t>G1522ProductosTodosloscamposSandboxResults894.xlsx: fila 45509 [X,Y]; G1522_Extraccion_Articulos_NetSuite_2026-09-30.xlsx: fila 37600 [Z]</t>
        </is>
      </c>
      <c r="AL39" s="58" t="n">
        <v>22.75</v>
      </c>
      <c r="AM39" s="58" t="n"/>
      <c r="AN39" s="155" t="n"/>
      <c r="AO39" s="59" t="n"/>
      <c r="AP39" s="59" t="n"/>
      <c r="AQ39" s="59" t="n"/>
      <c r="AR39" s="155" t="n"/>
    </row>
    <row r="40">
      <c r="A40" s="50" t="inlineStr">
        <is>
          <t>5056658700637</t>
        </is>
      </c>
      <c r="B40" s="51" t="inlineStr">
        <is>
          <t>79268</t>
        </is>
      </c>
      <c r="C40" s="156" t="inlineStr">
        <is>
          <t>REFLO</t>
        </is>
      </c>
      <c r="D40" s="156" t="inlineStr">
        <is>
          <t>BOHAYEL</t>
        </is>
      </c>
      <c r="E40" s="156" t="inlineStr">
        <is>
          <t>BOHAYEL-XXL</t>
        </is>
      </c>
      <c r="F40" s="156" t="inlineStr">
        <is>
          <t>XXL</t>
        </is>
      </c>
      <c r="G40" s="156" t="inlineStr">
        <is>
          <t>XXL</t>
        </is>
      </c>
      <c r="H40" s="156" t="inlineStr">
        <is>
          <t>REFLO</t>
        </is>
      </c>
      <c r="I40" s="156" t="inlineStr">
        <is>
          <t>Playera tipo polo REFLO Bohai Yellow</t>
        </is>
      </c>
      <c r="J40" s="156" t="inlineStr">
        <is>
          <t>Ropa</t>
        </is>
      </c>
      <c r="K40" s="156" t="inlineStr">
        <is>
          <t>Playeras</t>
        </is>
      </c>
      <c r="L40" s="156" t="n"/>
      <c r="M40" s="156" t="inlineStr">
        <is>
          <t>REFLO</t>
        </is>
      </c>
      <c r="N40" s="156" t="n"/>
      <c r="O40" s="156" t="n"/>
      <c r="P40" s="156" t="inlineStr">
        <is>
          <t>Amarillo</t>
        </is>
      </c>
      <c r="Q40" s="156" t="n"/>
      <c r="R40" s="156" t="n"/>
      <c r="S40" s="156" t="inlineStr">
        <is>
          <t>100% Poliéster reciclado</t>
        </is>
      </c>
      <c r="T40" s="156" t="inlineStr">
        <is>
          <t>Playera tipo polo de golf REFLO modelo Bohai en color Yellow, confeccionado con materiales reciclados. Estilo BOHAYEL.</t>
        </is>
      </c>
      <c r="U40" s="156" t="inlineStr">
        <is>
          <t>China</t>
        </is>
      </c>
      <c r="V40" s="156" t="inlineStr">
        <is>
          <t>PZS</t>
        </is>
      </c>
      <c r="W40" s="51" t="inlineStr">
        <is>
          <t>53101600</t>
        </is>
      </c>
      <c r="X40" s="156" t="inlineStr">
        <is>
          <t>https://i.ibb.co/r4swMFx/BOHAYEL.jpg</t>
        </is>
      </c>
      <c r="Y40" s="54" t="n">
        <v>22.75</v>
      </c>
      <c r="Z40" s="54" t="n">
        <v>1649</v>
      </c>
      <c r="AA40" s="55">
        <f>IF(AND(A40="", B40="", E40=""), "", IF(AB40="", "Válido", IF((LEN(AB40)-LEN(SUBSTITUTE(AB40,"; ","")))/2+1&gt;(LEN(AB40)-LEN(SUBSTITUTE(AB40,"[Aviso]","")))/7, "Con Incidencias", "Válido")))</f>
        <v/>
      </c>
      <c r="AB40" s="56">
        <f>IF(AND(A40="", B40="", E40=""), "", TEXTJOIN("; ", TRUE, IF(OR(TRIM(A40&amp;"")="", ISNUMBER(SEARCH("FALTA", A40))), "UPC faltante/inválido", ""), IF(AND(A40&lt;&gt;"", IFERROR(_xlfn.XMATCH(A40,$A$2:$A$653,0,1)&lt;&gt;_xlfn.XMATCH(A40,$A$2:$A$653,0,-1),FALSE)), "Código de barras duplicado", ""), IF(AND(E40&lt;&gt;"", COUNTIF($E$2:$E$653, E40)&gt;1), "SKU duplicado", ""), IF(OR(J40="", J40=""), "[Aviso] División no capturada ()", IF(ISNA(MATCH(J40, Criterios!$A$123:$A$126, 0)), "División no válida", "")), IF(OR(K40="", K40=""), "[Aviso] Categoría no capturada ()", IF(ISNA(MATCH(K40, Criterios!$A$81:$A$120, 0)), "Categoría no válida", IF(AND(J40&lt;&gt;"", J40&lt;&gt;"", J40&lt;&gt;VLOOKUP(K40, Criterios!$A$81:$B$120, 2, FALSE)), "División no coincide con Categoría", ""))), IF(OR(L40="", L40=""), "[Aviso] Género no capturado ()", IF(ISNA(MATCH(L40, Criterios!$B$123:$B$127, 0)), "Género no válido", "")), IF(OR(N40="", N40=""), "[Aviso] Temporada no capturada ()", IF(ISNA(MATCH(N40, Criterios!$C$123:$C$128, 0)), "Temporada no válida", "")), IF(OR(O40="", O40=""), "[Aviso] Ciclo de vida no capturado ()", IF(ISNA(MATCH(O40, Criterios!$D$123:$D$124, 0)), "Ciclo de vida no válido", ""))))</f>
        <v/>
      </c>
      <c r="AC40" s="56" t="n"/>
      <c r="AD40" s="51" t="n">
        <v>5</v>
      </c>
      <c r="AE40" s="156" t="inlineStr">
        <is>
          <t>REFLO ALMACEN (3)</t>
        </is>
      </c>
      <c r="AF40" s="51" t="n">
        <v>5</v>
      </c>
      <c r="AG40" s="156" t="inlineStr">
        <is>
          <t>Nuevo – NetSuite con existencia</t>
        </is>
      </c>
      <c r="AH40" s="156" t="inlineStr">
        <is>
          <t>Género no indicado en NetSuite; Físico total NetSuite 5 ≠ suma por ubicación 3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0" s="156" t="inlineStr">
        <is>
          <t>No</t>
        </is>
      </c>
      <c r="AJ40" s="156" t="n"/>
      <c r="AK40" s="155" t="inlineStr">
        <is>
          <t>G1522ProductosTodosloscamposSandboxResults894.xlsx: fila 45510 [X,Y]; G1522_Extraccion_Articulos_NetSuite_2026-09-30.xlsx: fila 37601 [Z]</t>
        </is>
      </c>
      <c r="AL40" s="58" t="n">
        <v>22.75</v>
      </c>
      <c r="AM40" s="58" t="n"/>
      <c r="AN40" s="155" t="n"/>
      <c r="AO40" s="59" t="n"/>
      <c r="AP40" s="59" t="n"/>
      <c r="AQ40" s="59" t="n"/>
      <c r="AR40" s="155" t="n"/>
    </row>
    <row r="41">
      <c r="A41" s="50" t="inlineStr">
        <is>
          <t>5056658702310</t>
        </is>
      </c>
      <c r="B41" s="51" t="inlineStr">
        <is>
          <t>79269</t>
        </is>
      </c>
      <c r="C41" s="156" t="inlineStr">
        <is>
          <t>REFLO</t>
        </is>
      </c>
      <c r="D41" s="156" t="inlineStr">
        <is>
          <t>BOHCOR</t>
        </is>
      </c>
      <c r="E41" s="156" t="inlineStr">
        <is>
          <t>BOHCOR-M</t>
        </is>
      </c>
      <c r="F41" s="156" t="inlineStr">
        <is>
          <t>M</t>
        </is>
      </c>
      <c r="G41" s="156" t="inlineStr">
        <is>
          <t>M</t>
        </is>
      </c>
      <c r="H41" s="156" t="inlineStr">
        <is>
          <t>REFLO</t>
        </is>
      </c>
      <c r="I41" s="156" t="inlineStr">
        <is>
          <t>Playera tipo polo REFLO Bohai 2.0 Coronet Blue</t>
        </is>
      </c>
      <c r="J41" s="156" t="inlineStr">
        <is>
          <t>Ropa</t>
        </is>
      </c>
      <c r="K41" s="156" t="inlineStr">
        <is>
          <t>Playeras</t>
        </is>
      </c>
      <c r="L41" s="156" t="n"/>
      <c r="M41" s="156" t="inlineStr">
        <is>
          <t>REFLO</t>
        </is>
      </c>
      <c r="N41" s="156" t="n"/>
      <c r="O41" s="156" t="n"/>
      <c r="P41" s="156" t="inlineStr">
        <is>
          <t>Azul</t>
        </is>
      </c>
      <c r="Q41" s="156" t="n"/>
      <c r="R41" s="156" t="n"/>
      <c r="S41" s="156" t="inlineStr">
        <is>
          <t>100% Poliéster reciclado</t>
        </is>
      </c>
      <c r="T41" s="156" t="inlineStr">
        <is>
          <t>Playera tipo polo de golf REFLO modelo Bohai 2.0 en color Coronet Blue, confeccionado con materiales reciclados. Estilo BOHCOR.</t>
        </is>
      </c>
      <c r="U41" s="156" t="inlineStr">
        <is>
          <t>China</t>
        </is>
      </c>
      <c r="V41" s="156" t="inlineStr">
        <is>
          <t>PZS</t>
        </is>
      </c>
      <c r="W41" s="51" t="inlineStr">
        <is>
          <t>53101600</t>
        </is>
      </c>
      <c r="X41" s="156" t="inlineStr">
        <is>
          <t>https://i.ibb.co/ctWjPwY/BOHCOR.jpg</t>
        </is>
      </c>
      <c r="Y41" s="54" t="n">
        <v>22.75</v>
      </c>
      <c r="Z41" s="54" t="n">
        <v>1649</v>
      </c>
      <c r="AA41" s="55">
        <f>IF(AND(A41="", B41="", E41=""), "", IF(AB41="", "Válido", IF((LEN(AB41)-LEN(SUBSTITUTE(AB41,"; ","")))/2+1&gt;(LEN(AB41)-LEN(SUBSTITUTE(AB41,"[Aviso]","")))/7, "Con Incidencias", "Válido")))</f>
        <v/>
      </c>
      <c r="AB41" s="56">
        <f>IF(AND(A41="", B41="", E41=""), "", TEXTJOIN("; ", TRUE, IF(OR(TRIM(A41&amp;"")="", ISNUMBER(SEARCH("FALTA", A41))), "UPC faltante/inválido", ""), IF(AND(A41&lt;&gt;"", IFERROR(_xlfn.XMATCH(A41,$A$2:$A$653,0,1)&lt;&gt;_xlfn.XMATCH(A41,$A$2:$A$653,0,-1),FALSE)), "Código de barras duplicado", ""), IF(AND(E41&lt;&gt;"", COUNTIF($E$2:$E$653, E41)&gt;1), "SKU duplicado", ""), IF(OR(J41="", J41=""), "[Aviso] División no capturada ()", IF(ISNA(MATCH(J41, Criterios!$A$123:$A$126, 0)), "División no válida", "")), IF(OR(K41="", K41=""), "[Aviso] Categoría no capturada ()", IF(ISNA(MATCH(K41, Criterios!$A$81:$A$120, 0)), "Categoría no válida", IF(AND(J41&lt;&gt;"", J41&lt;&gt;"", J41&lt;&gt;VLOOKUP(K41, Criterios!$A$81:$B$120, 2, FALSE)), "División no coincide con Categoría", ""))), IF(OR(L41="", L41=""), "[Aviso] Género no capturado ()", IF(ISNA(MATCH(L41, Criterios!$B$123:$B$127, 0)), "Género no válido", "")), IF(OR(N41="", N41=""), "[Aviso] Temporada no capturada ()", IF(ISNA(MATCH(N41, Criterios!$C$123:$C$128, 0)), "Temporada no válida", "")), IF(OR(O41="", O41=""), "[Aviso] Ciclo de vida no capturado ()", IF(ISNA(MATCH(O41, Criterios!$D$123:$D$124, 0)), "Ciclo de vida no válido", ""))))</f>
        <v/>
      </c>
      <c r="AC41" s="56" t="n"/>
      <c r="AD41" s="51" t="n">
        <v>4</v>
      </c>
      <c r="AE41" s="156" t="inlineStr">
        <is>
          <t>REFLO ALMACEN (3)</t>
        </is>
      </c>
      <c r="AF41" s="51" t="n">
        <v>4</v>
      </c>
      <c r="AG41" s="156" t="inlineStr">
        <is>
          <t>Nuevo – NetSuite con existencia</t>
        </is>
      </c>
      <c r="AH41" s="156" t="inlineStr">
        <is>
          <t>Género no indicado en NetSuite; Físico total NetSuite 4 ≠ suma por ubicación 3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1" s="156" t="inlineStr">
        <is>
          <t>No</t>
        </is>
      </c>
      <c r="AJ41" s="156" t="n"/>
      <c r="AK41" s="155" t="inlineStr">
        <is>
          <t>G1522ProductosTodosloscamposSandboxResults894.xlsx: fila 45463 [X,Y]; G1522_Extraccion_Articulos_NetSuite_2026-09-30.xlsx: fila 37602 [Z]</t>
        </is>
      </c>
      <c r="AL41" s="58" t="n">
        <v>22.75</v>
      </c>
      <c r="AM41" s="58" t="n"/>
      <c r="AN41" s="155" t="n"/>
      <c r="AO41" s="59" t="n"/>
      <c r="AP41" s="59" t="n"/>
      <c r="AQ41" s="59" t="n"/>
      <c r="AR41" s="155" t="n"/>
    </row>
    <row r="42">
      <c r="A42" s="50" t="inlineStr">
        <is>
          <t>5056658702327</t>
        </is>
      </c>
      <c r="B42" s="51" t="inlineStr">
        <is>
          <t>79270</t>
        </is>
      </c>
      <c r="C42" s="156" t="inlineStr">
        <is>
          <t>REFLO</t>
        </is>
      </c>
      <c r="D42" s="156" t="inlineStr">
        <is>
          <t>BOHCOR</t>
        </is>
      </c>
      <c r="E42" s="156" t="inlineStr">
        <is>
          <t>BOHCOR-L</t>
        </is>
      </c>
      <c r="F42" s="156" t="inlineStr">
        <is>
          <t>L</t>
        </is>
      </c>
      <c r="G42" s="156" t="inlineStr">
        <is>
          <t>L</t>
        </is>
      </c>
      <c r="H42" s="156" t="inlineStr">
        <is>
          <t>REFLO</t>
        </is>
      </c>
      <c r="I42" s="156" t="inlineStr">
        <is>
          <t>Playera tipo polo REFLO Bohai 2.0 Coronet Blue</t>
        </is>
      </c>
      <c r="J42" s="156" t="inlineStr">
        <is>
          <t>Ropa</t>
        </is>
      </c>
      <c r="K42" s="156" t="inlineStr">
        <is>
          <t>Playeras</t>
        </is>
      </c>
      <c r="L42" s="156" t="n"/>
      <c r="M42" s="156" t="inlineStr">
        <is>
          <t>REFLO</t>
        </is>
      </c>
      <c r="N42" s="156" t="n"/>
      <c r="O42" s="156" t="n"/>
      <c r="P42" s="156" t="inlineStr">
        <is>
          <t>Azul</t>
        </is>
      </c>
      <c r="Q42" s="156" t="n"/>
      <c r="R42" s="156" t="n"/>
      <c r="S42" s="156" t="inlineStr">
        <is>
          <t>100% Poliéster reciclado</t>
        </is>
      </c>
      <c r="T42" s="156" t="inlineStr">
        <is>
          <t>Playera tipo polo de golf REFLO modelo Bohai 2.0 en color Coronet Blue, confeccionado con materiales reciclados. Estilo BOHCOR.</t>
        </is>
      </c>
      <c r="U42" s="156" t="inlineStr">
        <is>
          <t>China</t>
        </is>
      </c>
      <c r="V42" s="156" t="inlineStr">
        <is>
          <t>PZS</t>
        </is>
      </c>
      <c r="W42" s="51" t="inlineStr">
        <is>
          <t>53101600</t>
        </is>
      </c>
      <c r="X42" s="156" t="inlineStr">
        <is>
          <t>https://i.ibb.co/ctWjPwY/BOHCOR.jpg</t>
        </is>
      </c>
      <c r="Y42" s="54" t="n">
        <v>22.75</v>
      </c>
      <c r="Z42" s="54" t="n">
        <v>1649</v>
      </c>
      <c r="AA42" s="55">
        <f>IF(AND(A42="", B42="", E42=""), "", IF(AB42="", "Válido", IF((LEN(AB42)-LEN(SUBSTITUTE(AB42,"; ","")))/2+1&gt;(LEN(AB42)-LEN(SUBSTITUTE(AB42,"[Aviso]","")))/7, "Con Incidencias", "Válido")))</f>
        <v/>
      </c>
      <c r="AB42" s="56">
        <f>IF(AND(A42="", B42="", E42=""), "", TEXTJOIN("; ", TRUE, IF(OR(TRIM(A42&amp;"")="", ISNUMBER(SEARCH("FALTA", A42))), "UPC faltante/inválido", ""), IF(AND(A42&lt;&gt;"", IFERROR(_xlfn.XMATCH(A42,$A$2:$A$653,0,1)&lt;&gt;_xlfn.XMATCH(A42,$A$2:$A$653,0,-1),FALSE)), "Código de barras duplicado", ""), IF(AND(E42&lt;&gt;"", COUNTIF($E$2:$E$653, E42)&gt;1), "SKU duplicado", ""), IF(OR(J42="", J42=""), "[Aviso] División no capturada ()", IF(ISNA(MATCH(J42, Criterios!$A$123:$A$126, 0)), "División no válida", "")), IF(OR(K42="", K42=""), "[Aviso] Categoría no capturada ()", IF(ISNA(MATCH(K42, Criterios!$A$81:$A$120, 0)), "Categoría no válida", IF(AND(J42&lt;&gt;"", J42&lt;&gt;"", J42&lt;&gt;VLOOKUP(K42, Criterios!$A$81:$B$120, 2, FALSE)), "División no coincide con Categoría", ""))), IF(OR(L42="", L42=""), "[Aviso] Género no capturado ()", IF(ISNA(MATCH(L42, Criterios!$B$123:$B$127, 0)), "Género no válido", "")), IF(OR(N42="", N42=""), "[Aviso] Temporada no capturada ()", IF(ISNA(MATCH(N42, Criterios!$C$123:$C$128, 0)), "Temporada no válida", "")), IF(OR(O42="", O42=""), "[Aviso] Ciclo de vida no capturado ()", IF(ISNA(MATCH(O42, Criterios!$D$123:$D$124, 0)), "Ciclo de vida no válido", ""))))</f>
        <v/>
      </c>
      <c r="AC42" s="56" t="n"/>
      <c r="AD42" s="51" t="n">
        <v>5</v>
      </c>
      <c r="AE42" s="156" t="inlineStr">
        <is>
          <t>REFLO ALMACEN (2); CONSIGNA REFLO (1); MUESTRAS REFLO (1)</t>
        </is>
      </c>
      <c r="AF42" s="51" t="n">
        <v>4</v>
      </c>
      <c r="AG42" s="156" t="inlineStr">
        <is>
          <t>Nuevo – NetSuite con existencia</t>
        </is>
      </c>
      <c r="AH42" s="156" t="inlineStr">
        <is>
          <t>Género no indicado en NetSuite; Físico total NetSuite 5 ≠ suma por ubicación 4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2" s="156" t="inlineStr">
        <is>
          <t>No</t>
        </is>
      </c>
      <c r="AJ42" s="156" t="n"/>
      <c r="AK42" s="155" t="inlineStr">
        <is>
          <t>G1522ProductosTodosloscamposSandboxResults894.xlsx: fila 45464 [X,Y]; G1522_Extraccion_Articulos_NetSuite_2026-09-30.xlsx: fila 37603 [Z]</t>
        </is>
      </c>
      <c r="AL42" s="58" t="n">
        <v>22.75</v>
      </c>
      <c r="AM42" s="58" t="n"/>
      <c r="AN42" s="155" t="n"/>
      <c r="AO42" s="59" t="n"/>
      <c r="AP42" s="59" t="n"/>
      <c r="AQ42" s="59" t="n"/>
      <c r="AR42" s="155" t="n"/>
    </row>
    <row r="43">
      <c r="A43" s="50" t="inlineStr">
        <is>
          <t>5056658702334</t>
        </is>
      </c>
      <c r="B43" s="51" t="inlineStr">
        <is>
          <t>79271</t>
        </is>
      </c>
      <c r="C43" s="156" t="inlineStr">
        <is>
          <t>REFLO</t>
        </is>
      </c>
      <c r="D43" s="156" t="inlineStr">
        <is>
          <t>BOHCOR</t>
        </is>
      </c>
      <c r="E43" s="156" t="inlineStr">
        <is>
          <t>BOHCOR-XL</t>
        </is>
      </c>
      <c r="F43" s="156" t="inlineStr">
        <is>
          <t>XL</t>
        </is>
      </c>
      <c r="G43" s="156" t="inlineStr">
        <is>
          <t>XL</t>
        </is>
      </c>
      <c r="H43" s="156" t="inlineStr">
        <is>
          <t>REFLO</t>
        </is>
      </c>
      <c r="I43" s="156" t="inlineStr">
        <is>
          <t>Playera tipo polo REFLO Bohai 2.0 Coronet Blue</t>
        </is>
      </c>
      <c r="J43" s="156" t="inlineStr">
        <is>
          <t>Ropa</t>
        </is>
      </c>
      <c r="K43" s="156" t="inlineStr">
        <is>
          <t>Playeras</t>
        </is>
      </c>
      <c r="L43" s="156" t="n"/>
      <c r="M43" s="156" t="inlineStr">
        <is>
          <t>REFLO</t>
        </is>
      </c>
      <c r="N43" s="156" t="n"/>
      <c r="O43" s="156" t="n"/>
      <c r="P43" s="156" t="inlineStr">
        <is>
          <t>Azul</t>
        </is>
      </c>
      <c r="Q43" s="156" t="n"/>
      <c r="R43" s="156" t="n"/>
      <c r="S43" s="156" t="inlineStr">
        <is>
          <t>100% Poliéster reciclado</t>
        </is>
      </c>
      <c r="T43" s="156" t="inlineStr">
        <is>
          <t>Playera tipo polo de golf REFLO modelo Bohai 2.0 en color Coronet Blue, confeccionado con materiales reciclados. Estilo BOHCOR.</t>
        </is>
      </c>
      <c r="U43" s="156" t="inlineStr">
        <is>
          <t>China</t>
        </is>
      </c>
      <c r="V43" s="156" t="inlineStr">
        <is>
          <t>PZS</t>
        </is>
      </c>
      <c r="W43" s="51" t="inlineStr">
        <is>
          <t>53101600</t>
        </is>
      </c>
      <c r="X43" s="156" t="inlineStr">
        <is>
          <t>https://i.ibb.co/ctWjPwY/BOHCOR.jpg</t>
        </is>
      </c>
      <c r="Y43" s="54" t="n">
        <v>22.75</v>
      </c>
      <c r="Z43" s="54" t="n">
        <v>1649</v>
      </c>
      <c r="AA43" s="55">
        <f>IF(AND(A43="", B43="", E43=""), "", IF(AB43="", "Válido", IF((LEN(AB43)-LEN(SUBSTITUTE(AB43,"; ","")))/2+1&gt;(LEN(AB43)-LEN(SUBSTITUTE(AB43,"[Aviso]","")))/7, "Con Incidencias", "Válido")))</f>
        <v/>
      </c>
      <c r="AB43" s="56">
        <f>IF(AND(A43="", B43="", E43=""), "", TEXTJOIN("; ", TRUE, IF(OR(TRIM(A43&amp;"")="", ISNUMBER(SEARCH("FALTA", A43))), "UPC faltante/inválido", ""), IF(AND(A43&lt;&gt;"", IFERROR(_xlfn.XMATCH(A43,$A$2:$A$653,0,1)&lt;&gt;_xlfn.XMATCH(A43,$A$2:$A$653,0,-1),FALSE)), "Código de barras duplicado", ""), IF(AND(E43&lt;&gt;"", COUNTIF($E$2:$E$653, E43)&gt;1), "SKU duplicado", ""), IF(OR(J43="", J43=""), "[Aviso] División no capturada ()", IF(ISNA(MATCH(J43, Criterios!$A$123:$A$126, 0)), "División no válida", "")), IF(OR(K43="", K43=""), "[Aviso] Categoría no capturada ()", IF(ISNA(MATCH(K43, Criterios!$A$81:$A$120, 0)), "Categoría no válida", IF(AND(J43&lt;&gt;"", J43&lt;&gt;"", J43&lt;&gt;VLOOKUP(K43, Criterios!$A$81:$B$120, 2, FALSE)), "División no coincide con Categoría", ""))), IF(OR(L43="", L43=""), "[Aviso] Género no capturado ()", IF(ISNA(MATCH(L43, Criterios!$B$123:$B$127, 0)), "Género no válido", "")), IF(OR(N43="", N43=""), "[Aviso] Temporada no capturada ()", IF(ISNA(MATCH(N43, Criterios!$C$123:$C$128, 0)), "Temporada no válida", "")), IF(OR(O43="", O43=""), "[Aviso] Ciclo de vida no capturado ()", IF(ISNA(MATCH(O43, Criterios!$D$123:$D$124, 0)), "Ciclo de vida no válido", ""))))</f>
        <v/>
      </c>
      <c r="AC43" s="56" t="n"/>
      <c r="AD43" s="51" t="n">
        <v>6</v>
      </c>
      <c r="AE43" s="156" t="inlineStr">
        <is>
          <t>REFLO ALMACEN (5)</t>
        </is>
      </c>
      <c r="AF43" s="51" t="n">
        <v>6</v>
      </c>
      <c r="AG43" s="156" t="inlineStr">
        <is>
          <t>Nuevo – NetSuite con existencia</t>
        </is>
      </c>
      <c r="AH43" s="156" t="inlineStr">
        <is>
          <t>Género no indicado en NetSuite; Físico total NetSuite 6 ≠ suma por ubicación 5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3" s="156" t="inlineStr">
        <is>
          <t>No</t>
        </is>
      </c>
      <c r="AJ43" s="156" t="n"/>
      <c r="AK43" s="155" t="inlineStr">
        <is>
          <t>G1522ProductosTodosloscamposSandboxResults894.xlsx: fila 45465 [X,Y]; G1522_Extraccion_Articulos_NetSuite_2026-09-30.xlsx: fila 37604 [Z]</t>
        </is>
      </c>
      <c r="AL43" s="58" t="n">
        <v>22.75</v>
      </c>
      <c r="AM43" s="58" t="n"/>
      <c r="AN43" s="155" t="n"/>
      <c r="AO43" s="59" t="n"/>
      <c r="AP43" s="59" t="n"/>
      <c r="AQ43" s="59" t="n"/>
      <c r="AR43" s="155" t="n"/>
    </row>
    <row r="44">
      <c r="A44" s="50" t="inlineStr">
        <is>
          <t>5056658702341</t>
        </is>
      </c>
      <c r="B44" s="51" t="inlineStr">
        <is>
          <t>79272</t>
        </is>
      </c>
      <c r="C44" s="156" t="inlineStr">
        <is>
          <t>REFLO</t>
        </is>
      </c>
      <c r="D44" s="156" t="inlineStr">
        <is>
          <t>BOHCOR</t>
        </is>
      </c>
      <c r="E44" s="156" t="inlineStr">
        <is>
          <t>BOHCOR-2XL</t>
        </is>
      </c>
      <c r="F44" s="156" t="inlineStr">
        <is>
          <t>XXL</t>
        </is>
      </c>
      <c r="G44" s="156" t="inlineStr">
        <is>
          <t>XXL</t>
        </is>
      </c>
      <c r="H44" s="156" t="inlineStr">
        <is>
          <t>REFLO</t>
        </is>
      </c>
      <c r="I44" s="156" t="inlineStr">
        <is>
          <t>Playera tipo polo REFLO Bohai 2.0 Coronet Blue</t>
        </is>
      </c>
      <c r="J44" s="156" t="inlineStr">
        <is>
          <t>Ropa</t>
        </is>
      </c>
      <c r="K44" s="156" t="inlineStr">
        <is>
          <t>Playeras</t>
        </is>
      </c>
      <c r="L44" s="156" t="n"/>
      <c r="M44" s="156" t="inlineStr">
        <is>
          <t>REFLO</t>
        </is>
      </c>
      <c r="N44" s="156" t="n"/>
      <c r="O44" s="156" t="n"/>
      <c r="P44" s="156" t="inlineStr">
        <is>
          <t>Azul</t>
        </is>
      </c>
      <c r="Q44" s="156" t="n"/>
      <c r="R44" s="156" t="n"/>
      <c r="S44" s="156" t="inlineStr">
        <is>
          <t>100% Poliéster reciclado</t>
        </is>
      </c>
      <c r="T44" s="156" t="inlineStr">
        <is>
          <t>Playera tipo polo de golf REFLO modelo Bohai 2.0 en color Coronet Blue, confeccionado con materiales reciclados. Estilo BOHCOR.</t>
        </is>
      </c>
      <c r="U44" s="156" t="inlineStr">
        <is>
          <t>China</t>
        </is>
      </c>
      <c r="V44" s="156" t="inlineStr">
        <is>
          <t>PZS</t>
        </is>
      </c>
      <c r="W44" s="51" t="inlineStr">
        <is>
          <t>53101600</t>
        </is>
      </c>
      <c r="X44" s="156" t="inlineStr">
        <is>
          <t>https://i.ibb.co/ctWjPwY/BOHCOR.jpg</t>
        </is>
      </c>
      <c r="Y44" s="54" t="n">
        <v>22.75</v>
      </c>
      <c r="Z44" s="54" t="n">
        <v>1649</v>
      </c>
      <c r="AA44" s="55">
        <f>IF(AND(A44="", B44="", E44=""), "", IF(AB44="", "Válido", IF((LEN(AB44)-LEN(SUBSTITUTE(AB44,"; ","")))/2+1&gt;(LEN(AB44)-LEN(SUBSTITUTE(AB44,"[Aviso]","")))/7, "Con Incidencias", "Válido")))</f>
        <v/>
      </c>
      <c r="AB44" s="56">
        <f>IF(AND(A44="", B44="", E44=""), "", TEXTJOIN("; ", TRUE, IF(OR(TRIM(A44&amp;"")="", ISNUMBER(SEARCH("FALTA", A44))), "UPC faltante/inválido", ""), IF(AND(A44&lt;&gt;"", IFERROR(_xlfn.XMATCH(A44,$A$2:$A$653,0,1)&lt;&gt;_xlfn.XMATCH(A44,$A$2:$A$653,0,-1),FALSE)), "Código de barras duplicado", ""), IF(AND(E44&lt;&gt;"", COUNTIF($E$2:$E$653, E44)&gt;1), "SKU duplicado", ""), IF(OR(J44="", J44=""), "[Aviso] División no capturada ()", IF(ISNA(MATCH(J44, Criterios!$A$123:$A$126, 0)), "División no válida", "")), IF(OR(K44="", K44=""), "[Aviso] Categoría no capturada ()", IF(ISNA(MATCH(K44, Criterios!$A$81:$A$120, 0)), "Categoría no válida", IF(AND(J44&lt;&gt;"", J44&lt;&gt;"", J44&lt;&gt;VLOOKUP(K44, Criterios!$A$81:$B$120, 2, FALSE)), "División no coincide con Categoría", ""))), IF(OR(L44="", L44=""), "[Aviso] Género no capturado ()", IF(ISNA(MATCH(L44, Criterios!$B$123:$B$127, 0)), "Género no válido", "")), IF(OR(N44="", N44=""), "[Aviso] Temporada no capturada ()", IF(ISNA(MATCH(N44, Criterios!$C$123:$C$128, 0)), "Temporada no válida", "")), IF(OR(O44="", O44=""), "[Aviso] Ciclo de vida no capturado ()", IF(ISNA(MATCH(O44, Criterios!$D$123:$D$124, 0)), "Ciclo de vida no válido", ""))))</f>
        <v/>
      </c>
      <c r="AC44" s="56" t="n"/>
      <c r="AD44" s="51" t="n">
        <v>2</v>
      </c>
      <c r="AE44" s="156" t="inlineStr">
        <is>
          <t>REFLO ALMACEN (1)</t>
        </is>
      </c>
      <c r="AF44" s="51" t="n">
        <v>2</v>
      </c>
      <c r="AG44" s="156" t="inlineStr">
        <is>
          <t>Nuevo – NetSuite con existencia</t>
        </is>
      </c>
      <c r="AH44" s="156" t="inlineStr">
        <is>
          <t>Género no indicado en NetSuite; Físico total NetSuite 2 ≠ suma por ubicación 1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4" s="156" t="inlineStr">
        <is>
          <t>No</t>
        </is>
      </c>
      <c r="AJ44" s="156" t="n"/>
      <c r="AK44" s="155" t="inlineStr">
        <is>
          <t>G1522ProductosTodosloscamposSandboxResults894.xlsx: fila 45466 [X,Y]; G1522_Extraccion_Articulos_NetSuite_2026-09-30.xlsx: fila 37605 [Z]</t>
        </is>
      </c>
      <c r="AL44" s="58" t="n">
        <v>22.75</v>
      </c>
      <c r="AM44" s="58" t="n"/>
      <c r="AN44" s="155" t="n"/>
      <c r="AO44" s="59" t="n"/>
      <c r="AP44" s="59" t="n"/>
      <c r="AQ44" s="59" t="n"/>
      <c r="AR44" s="155" t="n"/>
    </row>
    <row r="45">
      <c r="A45" s="50" t="inlineStr">
        <is>
          <t>5056658702303</t>
        </is>
      </c>
      <c r="B45" s="51" t="inlineStr">
        <is>
          <t>84422</t>
        </is>
      </c>
      <c r="C45" s="156" t="inlineStr">
        <is>
          <t>REFLO</t>
        </is>
      </c>
      <c r="D45" s="156" t="inlineStr">
        <is>
          <t>BOHCOR</t>
        </is>
      </c>
      <c r="E45" s="156" t="inlineStr">
        <is>
          <t>BOHCOR-S</t>
        </is>
      </c>
      <c r="F45" s="156" t="inlineStr">
        <is>
          <t>S</t>
        </is>
      </c>
      <c r="G45" s="156" t="inlineStr">
        <is>
          <t>S</t>
        </is>
      </c>
      <c r="H45" s="156" t="inlineStr">
        <is>
          <t>REFLO</t>
        </is>
      </c>
      <c r="I45" s="156" t="inlineStr">
        <is>
          <t>Playera tipo polo REFLO Bohai Coronet Blue</t>
        </is>
      </c>
      <c r="J45" s="156" t="inlineStr">
        <is>
          <t>Ropa</t>
        </is>
      </c>
      <c r="K45" s="156" t="inlineStr">
        <is>
          <t>Playeras</t>
        </is>
      </c>
      <c r="L45" s="156" t="n"/>
      <c r="M45" s="156" t="inlineStr">
        <is>
          <t>REFLO</t>
        </is>
      </c>
      <c r="N45" s="156" t="n"/>
      <c r="O45" s="156" t="n"/>
      <c r="P45" s="156" t="inlineStr">
        <is>
          <t>Azul</t>
        </is>
      </c>
      <c r="Q45" s="156" t="n"/>
      <c r="R45" s="156" t="n"/>
      <c r="S45" s="156" t="inlineStr">
        <is>
          <t>100% Poliéster reciclado</t>
        </is>
      </c>
      <c r="T45" s="156" t="inlineStr">
        <is>
          <t>Playera tipo polo de golf REFLO modelo Bohai en color Coronet Blue, confeccionado con materiales reciclados. Estilo BOHCOR.</t>
        </is>
      </c>
      <c r="U45" s="156" t="inlineStr">
        <is>
          <t>China</t>
        </is>
      </c>
      <c r="V45" s="156" t="inlineStr">
        <is>
          <t>PZS</t>
        </is>
      </c>
      <c r="W45" s="51" t="inlineStr">
        <is>
          <t>53101600</t>
        </is>
      </c>
      <c r="X45" s="156" t="inlineStr">
        <is>
          <t>https://i.ibb.co/ctWjPwY/BOHCOR.jpg</t>
        </is>
      </c>
      <c r="Y45" s="54" t="n">
        <v>22.75</v>
      </c>
      <c r="Z45" s="54" t="n">
        <v>1649</v>
      </c>
      <c r="AA45" s="55">
        <f>IF(AND(A45="", B45="", E45=""), "", IF(AB45="", "Válido", IF((LEN(AB45)-LEN(SUBSTITUTE(AB45,"; ","")))/2+1&gt;(LEN(AB45)-LEN(SUBSTITUTE(AB45,"[Aviso]","")))/7, "Con Incidencias", "Válido")))</f>
        <v/>
      </c>
      <c r="AB45" s="56">
        <f>IF(AND(A45="", B45="", E45=""), "", TEXTJOIN("; ", TRUE, IF(OR(TRIM(A45&amp;"")="", ISNUMBER(SEARCH("FALTA", A45))), "UPC faltante/inválido", ""), IF(AND(A45&lt;&gt;"", IFERROR(_xlfn.XMATCH(A45,$A$2:$A$653,0,1)&lt;&gt;_xlfn.XMATCH(A45,$A$2:$A$653,0,-1),FALSE)), "Código de barras duplicado", ""), IF(AND(E45&lt;&gt;"", COUNTIF($E$2:$E$653, E45)&gt;1), "SKU duplicado", ""), IF(OR(J45="", J45=""), "[Aviso] División no capturada ()", IF(ISNA(MATCH(J45, Criterios!$A$123:$A$126, 0)), "División no válida", "")), IF(OR(K45="", K45=""), "[Aviso] Categoría no capturada ()", IF(ISNA(MATCH(K45, Criterios!$A$81:$A$120, 0)), "Categoría no válida", IF(AND(J45&lt;&gt;"", J45&lt;&gt;"", J45&lt;&gt;VLOOKUP(K45, Criterios!$A$81:$B$120, 2, FALSE)), "División no coincide con Categoría", ""))), IF(OR(L45="", L45=""), "[Aviso] Género no capturado ()", IF(ISNA(MATCH(L45, Criterios!$B$123:$B$127, 0)), "Género no válido", "")), IF(OR(N45="", N45=""), "[Aviso] Temporada no capturada ()", IF(ISNA(MATCH(N45, Criterios!$C$123:$C$128, 0)), "Temporada no válida", "")), IF(OR(O45="", O45=""), "[Aviso] Ciclo de vida no capturado ()", IF(ISNA(MATCH(O45, Criterios!$D$123:$D$124, 0)), "Ciclo de vida no válido", ""))))</f>
        <v/>
      </c>
      <c r="AC45" s="56" t="n"/>
      <c r="AD45" s="51" t="n">
        <v>2</v>
      </c>
      <c r="AE45" s="156" t="inlineStr">
        <is>
          <t>CONSIGNA REFLO (1)</t>
        </is>
      </c>
      <c r="AF45" s="51" t="n">
        <v>2</v>
      </c>
      <c r="AG45" s="156" t="inlineStr">
        <is>
          <t>Nuevo – NetSuite con existencia</t>
        </is>
      </c>
      <c r="AH45" s="156" t="inlineStr">
        <is>
          <t>Género no indicado en NetSuite; Físico total NetSuite 2 ≠ suma por ubicación 1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5" s="156" t="inlineStr">
        <is>
          <t>No</t>
        </is>
      </c>
      <c r="AJ45" s="156" t="n"/>
      <c r="AK45" s="155" t="inlineStr">
        <is>
          <t>G1522ProductosTodosloscamposSandboxResults894.xlsx: fila 45493 [X,Y]; G1522_Extraccion_Articulos_NetSuite_2026-09-30.xlsx: fila 39591 [Z]</t>
        </is>
      </c>
      <c r="AL45" s="58" t="n">
        <v>22.75</v>
      </c>
      <c r="AM45" s="58" t="n"/>
      <c r="AN45" s="155" t="n"/>
      <c r="AO45" s="59" t="n"/>
      <c r="AP45" s="59" t="n"/>
      <c r="AQ45" s="59" t="n"/>
      <c r="AR45" s="155" t="n"/>
    </row>
    <row r="46">
      <c r="A46" s="50" t="inlineStr">
        <is>
          <t>5056658702372</t>
        </is>
      </c>
      <c r="B46" s="51" t="inlineStr">
        <is>
          <t>79273</t>
        </is>
      </c>
      <c r="C46" s="156" t="inlineStr">
        <is>
          <t>REFLO</t>
        </is>
      </c>
      <c r="D46" s="156" t="inlineStr">
        <is>
          <t>BOHDAR</t>
        </is>
      </c>
      <c r="E46" s="156" t="inlineStr">
        <is>
          <t>BOHDAR-M</t>
        </is>
      </c>
      <c r="F46" s="156" t="inlineStr">
        <is>
          <t>M</t>
        </is>
      </c>
      <c r="G46" s="156" t="inlineStr">
        <is>
          <t>M</t>
        </is>
      </c>
      <c r="H46" s="156" t="inlineStr">
        <is>
          <t>REFLO</t>
        </is>
      </c>
      <c r="I46" s="156" t="inlineStr">
        <is>
          <t>Playera tipo polo REFLO Bohai 2.0 Dark Forest</t>
        </is>
      </c>
      <c r="J46" s="156" t="inlineStr">
        <is>
          <t>Ropa</t>
        </is>
      </c>
      <c r="K46" s="156" t="inlineStr">
        <is>
          <t>Playeras</t>
        </is>
      </c>
      <c r="L46" s="156" t="n"/>
      <c r="M46" s="156" t="inlineStr">
        <is>
          <t>REFLO</t>
        </is>
      </c>
      <c r="N46" s="156" t="n"/>
      <c r="O46" s="156" t="n"/>
      <c r="P46" s="156" t="inlineStr">
        <is>
          <t>Verde</t>
        </is>
      </c>
      <c r="Q46" s="156" t="n"/>
      <c r="R46" s="156" t="n"/>
      <c r="S46" s="156" t="inlineStr">
        <is>
          <t>100% Poliéster reciclado</t>
        </is>
      </c>
      <c r="T46" s="156" t="inlineStr">
        <is>
          <t>Playera tipo polo de golf REFLO modelo Bohai 2.0 en color Dark Forest, confeccionado con materiales reciclados. Estilo BOHDAR.</t>
        </is>
      </c>
      <c r="U46" s="156" t="inlineStr">
        <is>
          <t>China</t>
        </is>
      </c>
      <c r="V46" s="156" t="inlineStr">
        <is>
          <t>PZS</t>
        </is>
      </c>
      <c r="W46" s="51" t="inlineStr">
        <is>
          <t>53101600</t>
        </is>
      </c>
      <c r="X46" s="156" t="inlineStr">
        <is>
          <t>https://i.ibb.co/BZxsv6W/BOHDAR.jpg</t>
        </is>
      </c>
      <c r="Y46" s="54" t="n">
        <v>22.75</v>
      </c>
      <c r="Z46" s="54" t="n">
        <v>1649</v>
      </c>
      <c r="AA46" s="55">
        <f>IF(AND(A46="", B46="", E46=""), "", IF(AB46="", "Válido", IF((LEN(AB46)-LEN(SUBSTITUTE(AB46,"; ","")))/2+1&gt;(LEN(AB46)-LEN(SUBSTITUTE(AB46,"[Aviso]","")))/7, "Con Incidencias", "Válido")))</f>
        <v/>
      </c>
      <c r="AB46" s="56">
        <f>IF(AND(A46="", B46="", E46=""), "", TEXTJOIN("; ", TRUE, IF(OR(TRIM(A46&amp;"")="", ISNUMBER(SEARCH("FALTA", A46))), "UPC faltante/inválido", ""), IF(AND(A46&lt;&gt;"", IFERROR(_xlfn.XMATCH(A46,$A$2:$A$653,0,1)&lt;&gt;_xlfn.XMATCH(A46,$A$2:$A$653,0,-1),FALSE)), "Código de barras duplicado", ""), IF(AND(E46&lt;&gt;"", COUNTIF($E$2:$E$653, E46)&gt;1), "SKU duplicado", ""), IF(OR(J46="", J46=""), "[Aviso] División no capturada ()", IF(ISNA(MATCH(J46, Criterios!$A$123:$A$126, 0)), "División no válida", "")), IF(OR(K46="", K46=""), "[Aviso] Categoría no capturada ()", IF(ISNA(MATCH(K46, Criterios!$A$81:$A$120, 0)), "Categoría no válida", IF(AND(J46&lt;&gt;"", J46&lt;&gt;"", J46&lt;&gt;VLOOKUP(K46, Criterios!$A$81:$B$120, 2, FALSE)), "División no coincide con Categoría", ""))), IF(OR(L46="", L46=""), "[Aviso] Género no capturado ()", IF(ISNA(MATCH(L46, Criterios!$B$123:$B$127, 0)), "Género no válido", "")), IF(OR(N46="", N46=""), "[Aviso] Temporada no capturada ()", IF(ISNA(MATCH(N46, Criterios!$C$123:$C$128, 0)), "Temporada no válida", "")), IF(OR(O46="", O46=""), "[Aviso] Ciclo de vida no capturado ()", IF(ISNA(MATCH(O46, Criterios!$D$123:$D$124, 0)), "Ciclo de vida no válido", ""))))</f>
        <v/>
      </c>
      <c r="AC46" s="56" t="n"/>
      <c r="AD46" s="51" t="n">
        <v>8</v>
      </c>
      <c r="AE46" s="156" t="inlineStr">
        <is>
          <t>CONSIGNA REFLO (1); REFLO ALMACEN (3)</t>
        </is>
      </c>
      <c r="AF46" s="51" t="n">
        <v>8</v>
      </c>
      <c r="AG46" s="156" t="inlineStr">
        <is>
          <t>Nuevo – NetSuite con existencia</t>
        </is>
      </c>
      <c r="AH46" s="156" t="inlineStr">
        <is>
          <t>Género no indicado en NetSuite; Físico total NetSuite 8 ≠ suma por ubicación 4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6" s="156" t="inlineStr">
        <is>
          <t>No</t>
        </is>
      </c>
      <c r="AJ46" s="156" t="n"/>
      <c r="AK46" s="155" t="inlineStr">
        <is>
          <t>G1522ProductosTodosloscamposSandboxResults894.xlsx: fila 45468 [X,Y]; G1522_Extraccion_Articulos_NetSuite_2026-09-30.xlsx: fila 37606 [Z]</t>
        </is>
      </c>
      <c r="AL46" s="58" t="n">
        <v>22.75</v>
      </c>
      <c r="AM46" s="58" t="n"/>
      <c r="AN46" s="155" t="n"/>
      <c r="AO46" s="59" t="n"/>
      <c r="AP46" s="59" t="n"/>
      <c r="AQ46" s="59" t="n"/>
      <c r="AR46" s="155" t="n"/>
    </row>
    <row r="47">
      <c r="A47" s="50" t="inlineStr">
        <is>
          <t>5056658702389</t>
        </is>
      </c>
      <c r="B47" s="51" t="inlineStr">
        <is>
          <t>79274</t>
        </is>
      </c>
      <c r="C47" s="156" t="inlineStr">
        <is>
          <t>REFLO</t>
        </is>
      </c>
      <c r="D47" s="156" t="inlineStr">
        <is>
          <t>BOHDAR</t>
        </is>
      </c>
      <c r="E47" s="156" t="inlineStr">
        <is>
          <t>BOHDAR-L</t>
        </is>
      </c>
      <c r="F47" s="156" t="inlineStr">
        <is>
          <t>L</t>
        </is>
      </c>
      <c r="G47" s="156" t="inlineStr">
        <is>
          <t>L</t>
        </is>
      </c>
      <c r="H47" s="156" t="inlineStr">
        <is>
          <t>REFLO</t>
        </is>
      </c>
      <c r="I47" s="156" t="inlineStr">
        <is>
          <t>Playera tipo polo REFLO Bohai 2.0 Dark Forest</t>
        </is>
      </c>
      <c r="J47" s="156" t="inlineStr">
        <is>
          <t>Ropa</t>
        </is>
      </c>
      <c r="K47" s="156" t="inlineStr">
        <is>
          <t>Playeras</t>
        </is>
      </c>
      <c r="L47" s="156" t="n"/>
      <c r="M47" s="156" t="inlineStr">
        <is>
          <t>REFLO</t>
        </is>
      </c>
      <c r="N47" s="156" t="n"/>
      <c r="O47" s="156" t="n"/>
      <c r="P47" s="156" t="inlineStr">
        <is>
          <t>Verde</t>
        </is>
      </c>
      <c r="Q47" s="156" t="n"/>
      <c r="R47" s="156" t="n"/>
      <c r="S47" s="156" t="inlineStr">
        <is>
          <t>100% Poliéster reciclado</t>
        </is>
      </c>
      <c r="T47" s="156" t="inlineStr">
        <is>
          <t>Playera tipo polo de golf REFLO modelo Bohai 2.0 en color Dark Forest, confeccionado con materiales reciclados. Estilo BOHDAR.</t>
        </is>
      </c>
      <c r="U47" s="156" t="inlineStr">
        <is>
          <t>China</t>
        </is>
      </c>
      <c r="V47" s="156" t="inlineStr">
        <is>
          <t>PZS</t>
        </is>
      </c>
      <c r="W47" s="51" t="inlineStr">
        <is>
          <t>53101600</t>
        </is>
      </c>
      <c r="X47" s="156" t="inlineStr">
        <is>
          <t>https://i.ibb.co/BZxsv6W/BOHDAR.jpg</t>
        </is>
      </c>
      <c r="Y47" s="54" t="n">
        <v>22.75</v>
      </c>
      <c r="Z47" s="54" t="n">
        <v>1649</v>
      </c>
      <c r="AA47" s="55">
        <f>IF(AND(A47="", B47="", E47=""), "", IF(AB47="", "Válido", IF((LEN(AB47)-LEN(SUBSTITUTE(AB47,"; ","")))/2+1&gt;(LEN(AB47)-LEN(SUBSTITUTE(AB47,"[Aviso]","")))/7, "Con Incidencias", "Válido")))</f>
        <v/>
      </c>
      <c r="AB47" s="56">
        <f>IF(AND(A47="", B47="", E47=""), "", TEXTJOIN("; ", TRUE, IF(OR(TRIM(A47&amp;"")="", ISNUMBER(SEARCH("FALTA", A47))), "UPC faltante/inválido", ""), IF(AND(A47&lt;&gt;"", IFERROR(_xlfn.XMATCH(A47,$A$2:$A$653,0,1)&lt;&gt;_xlfn.XMATCH(A47,$A$2:$A$653,0,-1),FALSE)), "Código de barras duplicado", ""), IF(AND(E47&lt;&gt;"", COUNTIF($E$2:$E$653, E47)&gt;1), "SKU duplicado", ""), IF(OR(J47="", J47=""), "[Aviso] División no capturada ()", IF(ISNA(MATCH(J47, Criterios!$A$123:$A$126, 0)), "División no válida", "")), IF(OR(K47="", K47=""), "[Aviso] Categoría no capturada ()", IF(ISNA(MATCH(K47, Criterios!$A$81:$A$120, 0)), "Categoría no válida", IF(AND(J47&lt;&gt;"", J47&lt;&gt;"", J47&lt;&gt;VLOOKUP(K47, Criterios!$A$81:$B$120, 2, FALSE)), "División no coincide con Categoría", ""))), IF(OR(L47="", L47=""), "[Aviso] Género no capturado ()", IF(ISNA(MATCH(L47, Criterios!$B$123:$B$127, 0)), "Género no válido", "")), IF(OR(N47="", N47=""), "[Aviso] Temporada no capturada ()", IF(ISNA(MATCH(N47, Criterios!$C$123:$C$128, 0)), "Temporada no válida", "")), IF(OR(O47="", O47=""), "[Aviso] Ciclo de vida no capturado ()", IF(ISNA(MATCH(O47, Criterios!$D$123:$D$124, 0)), "Ciclo de vida no válido", ""))))</f>
        <v/>
      </c>
      <c r="AC47" s="56" t="n"/>
      <c r="AD47" s="51" t="n">
        <v>6</v>
      </c>
      <c r="AE47" s="156" t="inlineStr">
        <is>
          <t>CONSIGNA REFLO (2); REFLO ALMACEN (1); MUESTRAS REFLO (1)</t>
        </is>
      </c>
      <c r="AF47" s="51" t="n">
        <v>5</v>
      </c>
      <c r="AG47" s="156" t="inlineStr">
        <is>
          <t>Nuevo – NetSuite con existencia</t>
        </is>
      </c>
      <c r="AH47" s="156" t="inlineStr">
        <is>
          <t>Género no indicado en NetSuite; Físico total NetSuite 6 ≠ suma por ubicación 4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7" s="156" t="inlineStr">
        <is>
          <t>No</t>
        </is>
      </c>
      <c r="AJ47" s="156" t="n"/>
      <c r="AK47" s="155" t="inlineStr">
        <is>
          <t>G1522ProductosTodosloscamposSandboxResults894.xlsx: fila 45469 [X,Y]; G1522_Extraccion_Articulos_NetSuite_2026-09-30.xlsx: fila 37607 [Z]</t>
        </is>
      </c>
      <c r="AL47" s="58" t="n">
        <v>22.75</v>
      </c>
      <c r="AM47" s="58" t="n"/>
      <c r="AN47" s="155" t="n"/>
      <c r="AO47" s="59" t="n"/>
      <c r="AP47" s="59" t="n"/>
      <c r="AQ47" s="59" t="n"/>
      <c r="AR47" s="155" t="n"/>
    </row>
    <row r="48">
      <c r="A48" s="50" t="inlineStr">
        <is>
          <t>5056658702396</t>
        </is>
      </c>
      <c r="B48" s="51" t="inlineStr">
        <is>
          <t>79275</t>
        </is>
      </c>
      <c r="C48" s="156" t="inlineStr">
        <is>
          <t>REFLO</t>
        </is>
      </c>
      <c r="D48" s="156" t="inlineStr">
        <is>
          <t>BOHDAR</t>
        </is>
      </c>
      <c r="E48" s="156" t="inlineStr">
        <is>
          <t>BOHDAR-XL</t>
        </is>
      </c>
      <c r="F48" s="156" t="inlineStr">
        <is>
          <t>XL</t>
        </is>
      </c>
      <c r="G48" s="156" t="inlineStr">
        <is>
          <t>XL</t>
        </is>
      </c>
      <c r="H48" s="156" t="inlineStr">
        <is>
          <t>REFLO</t>
        </is>
      </c>
      <c r="I48" s="156" t="inlineStr">
        <is>
          <t>Playera tipo polo REFLO Bohai 2.0 Dark Forest</t>
        </is>
      </c>
      <c r="J48" s="156" t="inlineStr">
        <is>
          <t>Ropa</t>
        </is>
      </c>
      <c r="K48" s="156" t="inlineStr">
        <is>
          <t>Playeras</t>
        </is>
      </c>
      <c r="L48" s="156" t="n"/>
      <c r="M48" s="156" t="inlineStr">
        <is>
          <t>REFLO</t>
        </is>
      </c>
      <c r="N48" s="156" t="n"/>
      <c r="O48" s="156" t="n"/>
      <c r="P48" s="156" t="inlineStr">
        <is>
          <t>Verde</t>
        </is>
      </c>
      <c r="Q48" s="156" t="n"/>
      <c r="R48" s="156" t="n"/>
      <c r="S48" s="156" t="inlineStr">
        <is>
          <t>100% Poliéster reciclado</t>
        </is>
      </c>
      <c r="T48" s="156" t="inlineStr">
        <is>
          <t>Playera tipo polo de golf REFLO modelo Bohai 2.0 en color Dark Forest, confeccionado con materiales reciclados. Estilo BOHDAR.</t>
        </is>
      </c>
      <c r="U48" s="156" t="inlineStr">
        <is>
          <t>China</t>
        </is>
      </c>
      <c r="V48" s="156" t="inlineStr">
        <is>
          <t>PZS</t>
        </is>
      </c>
      <c r="W48" s="51" t="inlineStr">
        <is>
          <t>53101600</t>
        </is>
      </c>
      <c r="X48" s="156" t="inlineStr">
        <is>
          <t>https://i.ibb.co/BZxsv6W/BOHDAR.jpg</t>
        </is>
      </c>
      <c r="Y48" s="54" t="n">
        <v>22.75</v>
      </c>
      <c r="Z48" s="54" t="n">
        <v>1649</v>
      </c>
      <c r="AA48" s="55">
        <f>IF(AND(A48="", B48="", E48=""), "", IF(AB48="", "Válido", IF((LEN(AB48)-LEN(SUBSTITUTE(AB48,"; ","")))/2+1&gt;(LEN(AB48)-LEN(SUBSTITUTE(AB48,"[Aviso]","")))/7, "Con Incidencias", "Válido")))</f>
        <v/>
      </c>
      <c r="AB48" s="56">
        <f>IF(AND(A48="", B48="", E48=""), "", TEXTJOIN("; ", TRUE, IF(OR(TRIM(A48&amp;"")="", ISNUMBER(SEARCH("FALTA", A48))), "UPC faltante/inválido", ""), IF(AND(A48&lt;&gt;"", IFERROR(_xlfn.XMATCH(A48,$A$2:$A$653,0,1)&lt;&gt;_xlfn.XMATCH(A48,$A$2:$A$653,0,-1),FALSE)), "Código de barras duplicado", ""), IF(AND(E48&lt;&gt;"", COUNTIF($E$2:$E$653, E48)&gt;1), "SKU duplicado", ""), IF(OR(J48="", J48=""), "[Aviso] División no capturada ()", IF(ISNA(MATCH(J48, Criterios!$A$123:$A$126, 0)), "División no válida", "")), IF(OR(K48="", K48=""), "[Aviso] Categoría no capturada ()", IF(ISNA(MATCH(K48, Criterios!$A$81:$A$120, 0)), "Categoría no válida", IF(AND(J48&lt;&gt;"", J48&lt;&gt;"", J48&lt;&gt;VLOOKUP(K48, Criterios!$A$81:$B$120, 2, FALSE)), "División no coincide con Categoría", ""))), IF(OR(L48="", L48=""), "[Aviso] Género no capturado ()", IF(ISNA(MATCH(L48, Criterios!$B$123:$B$127, 0)), "Género no válido", "")), IF(OR(N48="", N48=""), "[Aviso] Temporada no capturada ()", IF(ISNA(MATCH(N48, Criterios!$C$123:$C$128, 0)), "Temporada no válida", "")), IF(OR(O48="", O48=""), "[Aviso] Ciclo de vida no capturado ()", IF(ISNA(MATCH(O48, Criterios!$D$123:$D$124, 0)), "Ciclo de vida no válido", ""))))</f>
        <v/>
      </c>
      <c r="AC48" s="56" t="n"/>
      <c r="AD48" s="51" t="n">
        <v>12</v>
      </c>
      <c r="AE48" s="156" t="inlineStr">
        <is>
          <t>CONSIGNA REFLO (1); REFLO ALMACEN (5)</t>
        </is>
      </c>
      <c r="AF48" s="51" t="n">
        <v>12</v>
      </c>
      <c r="AG48" s="156" t="inlineStr">
        <is>
          <t>Nuevo – NetSuite con existencia</t>
        </is>
      </c>
      <c r="AH48" s="156" t="inlineStr">
        <is>
          <t>Género no indicado en NetSuite; Físico total NetSuite 12 ≠ suma por ubicación 6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8" s="156" t="inlineStr">
        <is>
          <t>No</t>
        </is>
      </c>
      <c r="AJ48" s="156" t="n"/>
      <c r="AK48" s="155" t="inlineStr">
        <is>
          <t>G1522ProductosTodosloscamposSandboxResults894.xlsx: fila 45470 [X,Y]; G1522_Extraccion_Articulos_NetSuite_2026-09-30.xlsx: fila 37608 [Z]</t>
        </is>
      </c>
      <c r="AL48" s="58" t="n">
        <v>22.75</v>
      </c>
      <c r="AM48" s="58" t="n"/>
      <c r="AN48" s="155" t="n"/>
      <c r="AO48" s="59" t="n"/>
      <c r="AP48" s="59" t="n"/>
      <c r="AQ48" s="59" t="n"/>
      <c r="AR48" s="155" t="n"/>
    </row>
    <row r="49">
      <c r="A49" s="50" t="inlineStr">
        <is>
          <t>5056658702402</t>
        </is>
      </c>
      <c r="B49" s="51" t="inlineStr">
        <is>
          <t>79276</t>
        </is>
      </c>
      <c r="C49" s="156" t="inlineStr">
        <is>
          <t>REFLO</t>
        </is>
      </c>
      <c r="D49" s="156" t="inlineStr">
        <is>
          <t>BOHDAR</t>
        </is>
      </c>
      <c r="E49" s="156" t="inlineStr">
        <is>
          <t>BOHDAR-2XL</t>
        </is>
      </c>
      <c r="F49" s="156" t="inlineStr">
        <is>
          <t>XXL</t>
        </is>
      </c>
      <c r="G49" s="156" t="inlineStr">
        <is>
          <t>XXL</t>
        </is>
      </c>
      <c r="H49" s="156" t="inlineStr">
        <is>
          <t>REFLO</t>
        </is>
      </c>
      <c r="I49" s="156" t="inlineStr">
        <is>
          <t>Playera tipo polo REFLO Bohai 2.0 Dark Forest</t>
        </is>
      </c>
      <c r="J49" s="156" t="inlineStr">
        <is>
          <t>Ropa</t>
        </is>
      </c>
      <c r="K49" s="156" t="inlineStr">
        <is>
          <t>Playeras</t>
        </is>
      </c>
      <c r="L49" s="156" t="n"/>
      <c r="M49" s="156" t="inlineStr">
        <is>
          <t>REFLO</t>
        </is>
      </c>
      <c r="N49" s="156" t="n"/>
      <c r="O49" s="156" t="n"/>
      <c r="P49" s="156" t="inlineStr">
        <is>
          <t>Verde</t>
        </is>
      </c>
      <c r="Q49" s="156" t="n"/>
      <c r="R49" s="156" t="n"/>
      <c r="S49" s="156" t="inlineStr">
        <is>
          <t>100% Poliéster reciclado</t>
        </is>
      </c>
      <c r="T49" s="156" t="inlineStr">
        <is>
          <t>Playera tipo polo de golf REFLO modelo Bohai 2.0 en color Dark Forest, confeccionado con materiales reciclados. Estilo BOHDAR.</t>
        </is>
      </c>
      <c r="U49" s="156" t="inlineStr">
        <is>
          <t>China</t>
        </is>
      </c>
      <c r="V49" s="156" t="inlineStr">
        <is>
          <t>PZS</t>
        </is>
      </c>
      <c r="W49" s="51" t="inlineStr">
        <is>
          <t>53101600</t>
        </is>
      </c>
      <c r="X49" s="156" t="inlineStr">
        <is>
          <t>https://i.ibb.co/BZxsv6W/BOHDAR.jpg</t>
        </is>
      </c>
      <c r="Y49" s="54" t="n">
        <v>22.75</v>
      </c>
      <c r="Z49" s="54" t="n">
        <v>1649</v>
      </c>
      <c r="AA49" s="55">
        <f>IF(AND(A49="", B49="", E49=""), "", IF(AB49="", "Válido", IF((LEN(AB49)-LEN(SUBSTITUTE(AB49,"; ","")))/2+1&gt;(LEN(AB49)-LEN(SUBSTITUTE(AB49,"[Aviso]","")))/7, "Con Incidencias", "Válido")))</f>
        <v/>
      </c>
      <c r="AB49" s="56">
        <f>IF(AND(A49="", B49="", E49=""), "", TEXTJOIN("; ", TRUE, IF(OR(TRIM(A49&amp;"")="", ISNUMBER(SEARCH("FALTA", A49))), "UPC faltante/inválido", ""), IF(AND(A49&lt;&gt;"", IFERROR(_xlfn.XMATCH(A49,$A$2:$A$653,0,1)&lt;&gt;_xlfn.XMATCH(A49,$A$2:$A$653,0,-1),FALSE)), "Código de barras duplicado", ""), IF(AND(E49&lt;&gt;"", COUNTIF($E$2:$E$653, E49)&gt;1), "SKU duplicado", ""), IF(OR(J49="", J49=""), "[Aviso] División no capturada ()", IF(ISNA(MATCH(J49, Criterios!$A$123:$A$126, 0)), "División no válida", "")), IF(OR(K49="", K49=""), "[Aviso] Categoría no capturada ()", IF(ISNA(MATCH(K49, Criterios!$A$81:$A$120, 0)), "Categoría no válida", IF(AND(J49&lt;&gt;"", J49&lt;&gt;"", J49&lt;&gt;VLOOKUP(K49, Criterios!$A$81:$B$120, 2, FALSE)), "División no coincide con Categoría", ""))), IF(OR(L49="", L49=""), "[Aviso] Género no capturado ()", IF(ISNA(MATCH(L49, Criterios!$B$123:$B$127, 0)), "Género no válido", "")), IF(OR(N49="", N49=""), "[Aviso] Temporada no capturada ()", IF(ISNA(MATCH(N49, Criterios!$C$123:$C$128, 0)), "Temporada no válida", "")), IF(OR(O49="", O49=""), "[Aviso] Ciclo de vida no capturado ()", IF(ISNA(MATCH(O49, Criterios!$D$123:$D$124, 0)), "Ciclo de vida no válido", ""))))</f>
        <v/>
      </c>
      <c r="AC49" s="56" t="n"/>
      <c r="AD49" s="51" t="n">
        <v>3</v>
      </c>
      <c r="AE49" s="156" t="inlineStr">
        <is>
          <t>REFLO ALMACEN (2)</t>
        </is>
      </c>
      <c r="AF49" s="51" t="n">
        <v>3</v>
      </c>
      <c r="AG49" s="156" t="inlineStr">
        <is>
          <t>Nuevo – NetSuite con existencia</t>
        </is>
      </c>
      <c r="AH49" s="156" t="inlineStr">
        <is>
          <t>Género no indicado en NetSuite; Físico total NetSuite 3 ≠ suma por ubicación 2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49" s="156" t="inlineStr">
        <is>
          <t>No</t>
        </is>
      </c>
      <c r="AJ49" s="156" t="n"/>
      <c r="AK49" s="155" t="inlineStr">
        <is>
          <t>G1522ProductosTodosloscamposSandboxResults894.xlsx: fila 45471 [X,Y]; G1522_Extraccion_Articulos_NetSuite_2026-09-30.xlsx: fila 37609 [Z]</t>
        </is>
      </c>
      <c r="AL49" s="58" t="n">
        <v>22.75</v>
      </c>
      <c r="AM49" s="58" t="n"/>
      <c r="AN49" s="155" t="n"/>
      <c r="AO49" s="59" t="n"/>
      <c r="AP49" s="59" t="n"/>
      <c r="AQ49" s="59" t="n"/>
      <c r="AR49" s="155" t="n"/>
    </row>
    <row r="50">
      <c r="A50" s="50" t="inlineStr">
        <is>
          <t>5056658702556</t>
        </is>
      </c>
      <c r="B50" s="51" t="inlineStr">
        <is>
          <t>79277</t>
        </is>
      </c>
      <c r="C50" s="156" t="inlineStr">
        <is>
          <t>REFLO</t>
        </is>
      </c>
      <c r="D50" s="156" t="inlineStr">
        <is>
          <t>BOHMED</t>
        </is>
      </c>
      <c r="E50" s="156" t="inlineStr">
        <is>
          <t>BOHMED-M</t>
        </is>
      </c>
      <c r="F50" s="156" t="inlineStr">
        <is>
          <t>M</t>
        </is>
      </c>
      <c r="G50" s="156" t="inlineStr">
        <is>
          <t>M</t>
        </is>
      </c>
      <c r="H50" s="156" t="inlineStr">
        <is>
          <t>REFLO</t>
        </is>
      </c>
      <c r="I50" s="156" t="inlineStr">
        <is>
          <t>Playera tipo polo REFLO Bohai 2.0 Medieval Blue</t>
        </is>
      </c>
      <c r="J50" s="156" t="inlineStr">
        <is>
          <t>Ropa</t>
        </is>
      </c>
      <c r="K50" s="156" t="inlineStr">
        <is>
          <t>Playeras</t>
        </is>
      </c>
      <c r="L50" s="156" t="n"/>
      <c r="M50" s="156" t="inlineStr">
        <is>
          <t>REFLO</t>
        </is>
      </c>
      <c r="N50" s="156" t="n"/>
      <c r="O50" s="156" t="n"/>
      <c r="P50" s="156" t="inlineStr">
        <is>
          <t>Azul</t>
        </is>
      </c>
      <c r="Q50" s="156" t="n"/>
      <c r="R50" s="156" t="n"/>
      <c r="S50" s="156" t="inlineStr">
        <is>
          <t>100% Poliéster reciclado</t>
        </is>
      </c>
      <c r="T50" s="156" t="inlineStr">
        <is>
          <t>Playera tipo polo de golf REFLO modelo Bohai 2.0 en color Medieval Blue, confeccionado con materiales reciclados. Estilo BOHMED.</t>
        </is>
      </c>
      <c r="U50" s="156" t="inlineStr">
        <is>
          <t>China</t>
        </is>
      </c>
      <c r="V50" s="156" t="inlineStr">
        <is>
          <t>PZS</t>
        </is>
      </c>
      <c r="W50" s="51" t="inlineStr">
        <is>
          <t>53101600</t>
        </is>
      </c>
      <c r="X50" s="156" t="inlineStr">
        <is>
          <t>https://i.ibb.co/N2KhXY4/BOHMED.jpg</t>
        </is>
      </c>
      <c r="Y50" s="54" t="n">
        <v>22.75</v>
      </c>
      <c r="Z50" s="54" t="n">
        <v>1649</v>
      </c>
      <c r="AA50" s="55">
        <f>IF(AND(A50="", B50="", E50=""), "", IF(AB50="", "Válido", IF((LEN(AB50)-LEN(SUBSTITUTE(AB50,"; ","")))/2+1&gt;(LEN(AB50)-LEN(SUBSTITUTE(AB50,"[Aviso]","")))/7, "Con Incidencias", "Válido")))</f>
        <v/>
      </c>
      <c r="AB50" s="56">
        <f>IF(AND(A50="", B50="", E50=""), "", TEXTJOIN("; ", TRUE, IF(OR(TRIM(A50&amp;"")="", ISNUMBER(SEARCH("FALTA", A50))), "UPC faltante/inválido", ""), IF(AND(A50&lt;&gt;"", IFERROR(_xlfn.XMATCH(A50,$A$2:$A$653,0,1)&lt;&gt;_xlfn.XMATCH(A50,$A$2:$A$653,0,-1),FALSE)), "Código de barras duplicado", ""), IF(AND(E50&lt;&gt;"", COUNTIF($E$2:$E$653, E50)&gt;1), "SKU duplicado", ""), IF(OR(J50="", J50=""), "[Aviso] División no capturada ()", IF(ISNA(MATCH(J50, Criterios!$A$123:$A$126, 0)), "División no válida", "")), IF(OR(K50="", K50=""), "[Aviso] Categoría no capturada ()", IF(ISNA(MATCH(K50, Criterios!$A$81:$A$120, 0)), "Categoría no válida", IF(AND(J50&lt;&gt;"", J50&lt;&gt;"", J50&lt;&gt;VLOOKUP(K50, Criterios!$A$81:$B$120, 2, FALSE)), "División no coincide con Categoría", ""))), IF(OR(L50="", L50=""), "[Aviso] Género no capturado ()", IF(ISNA(MATCH(L50, Criterios!$B$123:$B$127, 0)), "Género no válido", "")), IF(OR(N50="", N50=""), "[Aviso] Temporada no capturada ()", IF(ISNA(MATCH(N50, Criterios!$C$123:$C$128, 0)), "Temporada no válida", "")), IF(OR(O50="", O50=""), "[Aviso] Ciclo de vida no capturado ()", IF(ISNA(MATCH(O50, Criterios!$D$123:$D$124, 0)), "Ciclo de vida no válido", ""))))</f>
        <v/>
      </c>
      <c r="AC50" s="56" t="n"/>
      <c r="AD50" s="51" t="n">
        <v>4</v>
      </c>
      <c r="AE50" s="156" t="inlineStr">
        <is>
          <t>REFLO ALMACEN (3)</t>
        </is>
      </c>
      <c r="AF50" s="51" t="n">
        <v>4</v>
      </c>
      <c r="AG50" s="156" t="inlineStr">
        <is>
          <t>Nuevo – NetSuite con existencia</t>
        </is>
      </c>
      <c r="AH50" s="156" t="inlineStr">
        <is>
          <t>Género no indicado en NetSuite; Físico total NetSuite 4 ≠ suma por ubicación 3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0" s="156" t="inlineStr">
        <is>
          <t>No</t>
        </is>
      </c>
      <c r="AJ50" s="156" t="n"/>
      <c r="AK50" s="155" t="inlineStr">
        <is>
          <t>G1522ProductosTodosloscamposSandboxResults894.xlsx: fila 45473 [X,Y]; G1522_Extraccion_Articulos_NetSuite_2026-09-30.xlsx: fila 37610 [Z]</t>
        </is>
      </c>
      <c r="AL50" s="58" t="n">
        <v>22.75</v>
      </c>
      <c r="AM50" s="58" t="n"/>
      <c r="AN50" s="155" t="n"/>
      <c r="AO50" s="59" t="n"/>
      <c r="AP50" s="59" t="n"/>
      <c r="AQ50" s="59" t="n"/>
      <c r="AR50" s="155" t="n"/>
    </row>
    <row r="51">
      <c r="A51" s="50" t="inlineStr">
        <is>
          <t>5056658702563</t>
        </is>
      </c>
      <c r="B51" s="51" t="inlineStr">
        <is>
          <t>79278</t>
        </is>
      </c>
      <c r="C51" s="156" t="inlineStr">
        <is>
          <t>REFLO</t>
        </is>
      </c>
      <c r="D51" s="156" t="inlineStr">
        <is>
          <t>BOHMED</t>
        </is>
      </c>
      <c r="E51" s="156" t="inlineStr">
        <is>
          <t>BOHMED-L</t>
        </is>
      </c>
      <c r="F51" s="156" t="inlineStr">
        <is>
          <t>L</t>
        </is>
      </c>
      <c r="G51" s="156" t="inlineStr">
        <is>
          <t>L</t>
        </is>
      </c>
      <c r="H51" s="156" t="inlineStr">
        <is>
          <t>REFLO</t>
        </is>
      </c>
      <c r="I51" s="156" t="inlineStr">
        <is>
          <t>Playera tipo polo REFLO Bohai 2.0 Medieval Blue</t>
        </is>
      </c>
      <c r="J51" s="156" t="inlineStr">
        <is>
          <t>Ropa</t>
        </is>
      </c>
      <c r="K51" s="156" t="inlineStr">
        <is>
          <t>Playeras</t>
        </is>
      </c>
      <c r="L51" s="156" t="n"/>
      <c r="M51" s="156" t="inlineStr">
        <is>
          <t>REFLO</t>
        </is>
      </c>
      <c r="N51" s="156" t="n"/>
      <c r="O51" s="156" t="n"/>
      <c r="P51" s="156" t="inlineStr">
        <is>
          <t>Azul</t>
        </is>
      </c>
      <c r="Q51" s="156" t="n"/>
      <c r="R51" s="156" t="n"/>
      <c r="S51" s="156" t="inlineStr">
        <is>
          <t>100% Poliéster reciclado</t>
        </is>
      </c>
      <c r="T51" s="156" t="inlineStr">
        <is>
          <t>Playera tipo polo de golf REFLO modelo Bohai 2.0 en color Medieval Blue, confeccionado con materiales reciclados. Estilo BOHMED.</t>
        </is>
      </c>
      <c r="U51" s="156" t="inlineStr">
        <is>
          <t>China</t>
        </is>
      </c>
      <c r="V51" s="156" t="inlineStr">
        <is>
          <t>PZS</t>
        </is>
      </c>
      <c r="W51" s="51" t="inlineStr">
        <is>
          <t>53101600</t>
        </is>
      </c>
      <c r="X51" s="156" t="inlineStr">
        <is>
          <t>https://i.ibb.co/N2KhXY4/BOHMED.jpg</t>
        </is>
      </c>
      <c r="Y51" s="54" t="n">
        <v>22.75</v>
      </c>
      <c r="Z51" s="54" t="n">
        <v>1649</v>
      </c>
      <c r="AA51" s="55">
        <f>IF(AND(A51="", B51="", E51=""), "", IF(AB51="", "Válido", IF((LEN(AB51)-LEN(SUBSTITUTE(AB51,"; ","")))/2+1&gt;(LEN(AB51)-LEN(SUBSTITUTE(AB51,"[Aviso]","")))/7, "Con Incidencias", "Válido")))</f>
        <v/>
      </c>
      <c r="AB51" s="56">
        <f>IF(AND(A51="", B51="", E51=""), "", TEXTJOIN("; ", TRUE, IF(OR(TRIM(A51&amp;"")="", ISNUMBER(SEARCH("FALTA", A51))), "UPC faltante/inválido", ""), IF(AND(A51&lt;&gt;"", IFERROR(_xlfn.XMATCH(A51,$A$2:$A$653,0,1)&lt;&gt;_xlfn.XMATCH(A51,$A$2:$A$653,0,-1),FALSE)), "Código de barras duplicado", ""), IF(AND(E51&lt;&gt;"", COUNTIF($E$2:$E$653, E51)&gt;1), "SKU duplicado", ""), IF(OR(J51="", J51=""), "[Aviso] División no capturada ()", IF(ISNA(MATCH(J51, Criterios!$A$123:$A$126, 0)), "División no válida", "")), IF(OR(K51="", K51=""), "[Aviso] Categoría no capturada ()", IF(ISNA(MATCH(K51, Criterios!$A$81:$A$120, 0)), "Categoría no válida", IF(AND(J51&lt;&gt;"", J51&lt;&gt;"", J51&lt;&gt;VLOOKUP(K51, Criterios!$A$81:$B$120, 2, FALSE)), "División no coincide con Categoría", ""))), IF(OR(L51="", L51=""), "[Aviso] Género no capturado ()", IF(ISNA(MATCH(L51, Criterios!$B$123:$B$127, 0)), "Género no válido", "")), IF(OR(N51="", N51=""), "[Aviso] Temporada no capturada ()", IF(ISNA(MATCH(N51, Criterios!$C$123:$C$128, 0)), "Temporada no válida", "")), IF(OR(O51="", O51=""), "[Aviso] Ciclo de vida no capturado ()", IF(ISNA(MATCH(O51, Criterios!$D$123:$D$124, 0)), "Ciclo de vida no válido", ""))))</f>
        <v/>
      </c>
      <c r="AC51" s="56" t="n"/>
      <c r="AD51" s="51" t="n">
        <v>6</v>
      </c>
      <c r="AE51" s="156" t="inlineStr">
        <is>
          <t>REFLO ALMACEN (3); MUESTRAS REFLO (1); CONSIGNA REFLO (1)</t>
        </is>
      </c>
      <c r="AF51" s="51" t="n">
        <v>5</v>
      </c>
      <c r="AG51" s="156" t="inlineStr">
        <is>
          <t>Nuevo – NetSuite con existencia</t>
        </is>
      </c>
      <c r="AH51" s="156" t="inlineStr">
        <is>
          <t>Género no indicado en NetSuite; Físico total NetSuite 6 ≠ suma por ubicación 5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1" s="156" t="inlineStr">
        <is>
          <t>No</t>
        </is>
      </c>
      <c r="AJ51" s="156" t="n"/>
      <c r="AK51" s="155" t="inlineStr">
        <is>
          <t>G1522ProductosTodosloscamposSandboxResults894.xlsx: fila 45474 [X,Y]; G1522_Extraccion_Articulos_NetSuite_2026-09-30.xlsx: fila 37611 [Z]</t>
        </is>
      </c>
      <c r="AL51" s="58" t="n">
        <v>22.75</v>
      </c>
      <c r="AM51" s="58" t="n"/>
      <c r="AN51" s="155" t="n"/>
      <c r="AO51" s="59" t="n"/>
      <c r="AP51" s="59" t="n"/>
      <c r="AQ51" s="59" t="n"/>
      <c r="AR51" s="155" t="n"/>
    </row>
    <row r="52">
      <c r="A52" s="50" t="inlineStr">
        <is>
          <t>5056658702570</t>
        </is>
      </c>
      <c r="B52" s="51" t="inlineStr">
        <is>
          <t>79279</t>
        </is>
      </c>
      <c r="C52" s="156" t="inlineStr">
        <is>
          <t>REFLO</t>
        </is>
      </c>
      <c r="D52" s="156" t="inlineStr">
        <is>
          <t>BOHMED</t>
        </is>
      </c>
      <c r="E52" s="156" t="inlineStr">
        <is>
          <t>BOHMED-XL</t>
        </is>
      </c>
      <c r="F52" s="156" t="inlineStr">
        <is>
          <t>XL</t>
        </is>
      </c>
      <c r="G52" s="156" t="inlineStr">
        <is>
          <t>XL</t>
        </is>
      </c>
      <c r="H52" s="156" t="inlineStr">
        <is>
          <t>REFLO</t>
        </is>
      </c>
      <c r="I52" s="156" t="inlineStr">
        <is>
          <t>Playera tipo polo REFLO Bohai 2.0 Medieval Blue</t>
        </is>
      </c>
      <c r="J52" s="156" t="inlineStr">
        <is>
          <t>Ropa</t>
        </is>
      </c>
      <c r="K52" s="156" t="inlineStr">
        <is>
          <t>Playeras</t>
        </is>
      </c>
      <c r="L52" s="156" t="n"/>
      <c r="M52" s="156" t="inlineStr">
        <is>
          <t>REFLO</t>
        </is>
      </c>
      <c r="N52" s="156" t="n"/>
      <c r="O52" s="156" t="n"/>
      <c r="P52" s="156" t="inlineStr">
        <is>
          <t>Azul</t>
        </is>
      </c>
      <c r="Q52" s="156" t="n"/>
      <c r="R52" s="156" t="n"/>
      <c r="S52" s="156" t="inlineStr">
        <is>
          <t>100% Poliéster reciclado</t>
        </is>
      </c>
      <c r="T52" s="156" t="inlineStr">
        <is>
          <t>Playera tipo polo de golf REFLO modelo Bohai 2.0 en color Medieval Blue, confeccionado con materiales reciclados. Estilo BOHMED.</t>
        </is>
      </c>
      <c r="U52" s="156" t="inlineStr">
        <is>
          <t>China</t>
        </is>
      </c>
      <c r="V52" s="156" t="inlineStr">
        <is>
          <t>PZS</t>
        </is>
      </c>
      <c r="W52" s="51" t="inlineStr">
        <is>
          <t>53101600</t>
        </is>
      </c>
      <c r="X52" s="156" t="inlineStr">
        <is>
          <t>https://i.ibb.co/N2KhXY4/BOHMED.jpg</t>
        </is>
      </c>
      <c r="Y52" s="54" t="n">
        <v>22.75</v>
      </c>
      <c r="Z52" s="54" t="n">
        <v>1649</v>
      </c>
      <c r="AA52" s="55">
        <f>IF(AND(A52="", B52="", E52=""), "", IF(AB52="", "Válido", IF((LEN(AB52)-LEN(SUBSTITUTE(AB52,"; ","")))/2+1&gt;(LEN(AB52)-LEN(SUBSTITUTE(AB52,"[Aviso]","")))/7, "Con Incidencias", "Válido")))</f>
        <v/>
      </c>
      <c r="AB52" s="56">
        <f>IF(AND(A52="", B52="", E52=""), "", TEXTJOIN("; ", TRUE, IF(OR(TRIM(A52&amp;"")="", ISNUMBER(SEARCH("FALTA", A52))), "UPC faltante/inválido", ""), IF(AND(A52&lt;&gt;"", IFERROR(_xlfn.XMATCH(A52,$A$2:$A$653,0,1)&lt;&gt;_xlfn.XMATCH(A52,$A$2:$A$653,0,-1),FALSE)), "Código de barras duplicado", ""), IF(AND(E52&lt;&gt;"", COUNTIF($E$2:$E$653, E52)&gt;1), "SKU duplicado", ""), IF(OR(J52="", J52=""), "[Aviso] División no capturada ()", IF(ISNA(MATCH(J52, Criterios!$A$123:$A$126, 0)), "División no válida", "")), IF(OR(K52="", K52=""), "[Aviso] Categoría no capturada ()", IF(ISNA(MATCH(K52, Criterios!$A$81:$A$120, 0)), "Categoría no válida", IF(AND(J52&lt;&gt;"", J52&lt;&gt;"", J52&lt;&gt;VLOOKUP(K52, Criterios!$A$81:$B$120, 2, FALSE)), "División no coincide con Categoría", ""))), IF(OR(L52="", L52=""), "[Aviso] Género no capturado ()", IF(ISNA(MATCH(L52, Criterios!$B$123:$B$127, 0)), "Género no válido", "")), IF(OR(N52="", N52=""), "[Aviso] Temporada no capturada ()", IF(ISNA(MATCH(N52, Criterios!$C$123:$C$128, 0)), "Temporada no válida", "")), IF(OR(O52="", O52=""), "[Aviso] Ciclo de vida no capturado ()", IF(ISNA(MATCH(O52, Criterios!$D$123:$D$124, 0)), "Ciclo de vida no válido", ""))))</f>
        <v/>
      </c>
      <c r="AC52" s="56" t="n"/>
      <c r="AD52" s="51" t="n">
        <v>12</v>
      </c>
      <c r="AE52" s="156" t="inlineStr">
        <is>
          <t>REFLO ALMACEN (6)</t>
        </is>
      </c>
      <c r="AF52" s="51" t="n">
        <v>12</v>
      </c>
      <c r="AG52" s="156" t="inlineStr">
        <is>
          <t>Nuevo – NetSuite con existencia</t>
        </is>
      </c>
      <c r="AH52" s="156" t="inlineStr">
        <is>
          <t>Género no indicado en NetSuite; Físico total NetSuite 12 ≠ suma por ubicación 6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2" s="156" t="inlineStr">
        <is>
          <t>No</t>
        </is>
      </c>
      <c r="AJ52" s="156" t="n"/>
      <c r="AK52" s="155" t="inlineStr">
        <is>
          <t>G1522ProductosTodosloscamposSandboxResults894.xlsx: fila 45475 [X,Y]; G1522_Extraccion_Articulos_NetSuite_2026-09-30.xlsx: fila 37612 [Z]</t>
        </is>
      </c>
      <c r="AL52" s="58" t="n">
        <v>22.75</v>
      </c>
      <c r="AM52" s="58" t="n"/>
      <c r="AN52" s="155" t="n"/>
      <c r="AO52" s="59" t="n"/>
      <c r="AP52" s="59" t="n"/>
      <c r="AQ52" s="59" t="n"/>
      <c r="AR52" s="155" t="n"/>
    </row>
    <row r="53">
      <c r="A53" s="50" t="inlineStr">
        <is>
          <t>5056658702587</t>
        </is>
      </c>
      <c r="B53" s="51" t="inlineStr">
        <is>
          <t>79280</t>
        </is>
      </c>
      <c r="C53" s="156" t="inlineStr">
        <is>
          <t>REFLO</t>
        </is>
      </c>
      <c r="D53" s="156" t="inlineStr">
        <is>
          <t>BOHMED</t>
        </is>
      </c>
      <c r="E53" s="156" t="inlineStr">
        <is>
          <t>BOHMED-2XL</t>
        </is>
      </c>
      <c r="F53" s="156" t="inlineStr">
        <is>
          <t>XXL</t>
        </is>
      </c>
      <c r="G53" s="156" t="inlineStr">
        <is>
          <t>XXL</t>
        </is>
      </c>
      <c r="H53" s="156" t="inlineStr">
        <is>
          <t>REFLO</t>
        </is>
      </c>
      <c r="I53" s="156" t="inlineStr">
        <is>
          <t>Playera tipo polo REFLO Bohai 2.0 Medieval Blue</t>
        </is>
      </c>
      <c r="J53" s="156" t="inlineStr">
        <is>
          <t>Ropa</t>
        </is>
      </c>
      <c r="K53" s="156" t="inlineStr">
        <is>
          <t>Playeras</t>
        </is>
      </c>
      <c r="L53" s="156" t="n"/>
      <c r="M53" s="156" t="inlineStr">
        <is>
          <t>REFLO</t>
        </is>
      </c>
      <c r="N53" s="156" t="n"/>
      <c r="O53" s="156" t="n"/>
      <c r="P53" s="156" t="inlineStr">
        <is>
          <t>Azul</t>
        </is>
      </c>
      <c r="Q53" s="156" t="n"/>
      <c r="R53" s="156" t="n"/>
      <c r="S53" s="156" t="inlineStr">
        <is>
          <t>100% Poliéster reciclado</t>
        </is>
      </c>
      <c r="T53" s="156" t="inlineStr">
        <is>
          <t>Playera tipo polo de golf REFLO modelo Bohai 2.0 en color Medieval Blue, confeccionado con materiales reciclados. Estilo BOHMED.</t>
        </is>
      </c>
      <c r="U53" s="156" t="inlineStr">
        <is>
          <t>China</t>
        </is>
      </c>
      <c r="V53" s="156" t="inlineStr">
        <is>
          <t>PZS</t>
        </is>
      </c>
      <c r="W53" s="51" t="inlineStr">
        <is>
          <t>53101600</t>
        </is>
      </c>
      <c r="X53" s="156" t="inlineStr">
        <is>
          <t>https://i.ibb.co/N2KhXY4/BOHMED.jpg</t>
        </is>
      </c>
      <c r="Y53" s="54" t="n">
        <v>22.75</v>
      </c>
      <c r="Z53" s="54" t="n">
        <v>1649</v>
      </c>
      <c r="AA53" s="55">
        <f>IF(AND(A53="", B53="", E53=""), "", IF(AB53="", "Válido", IF((LEN(AB53)-LEN(SUBSTITUTE(AB53,"; ","")))/2+1&gt;(LEN(AB53)-LEN(SUBSTITUTE(AB53,"[Aviso]","")))/7, "Con Incidencias", "Válido")))</f>
        <v/>
      </c>
      <c r="AB53" s="56">
        <f>IF(AND(A53="", B53="", E53=""), "", TEXTJOIN("; ", TRUE, IF(OR(TRIM(A53&amp;"")="", ISNUMBER(SEARCH("FALTA", A53))), "UPC faltante/inválido", ""), IF(AND(A53&lt;&gt;"", IFERROR(_xlfn.XMATCH(A53,$A$2:$A$653,0,1)&lt;&gt;_xlfn.XMATCH(A53,$A$2:$A$653,0,-1),FALSE)), "Código de barras duplicado", ""), IF(AND(E53&lt;&gt;"", COUNTIF($E$2:$E$653, E53)&gt;1), "SKU duplicado", ""), IF(OR(J53="", J53=""), "[Aviso] División no capturada ()", IF(ISNA(MATCH(J53, Criterios!$A$123:$A$126, 0)), "División no válida", "")), IF(OR(K53="", K53=""), "[Aviso] Categoría no capturada ()", IF(ISNA(MATCH(K53, Criterios!$A$81:$A$120, 0)), "Categoría no válida", IF(AND(J53&lt;&gt;"", J53&lt;&gt;"", J53&lt;&gt;VLOOKUP(K53, Criterios!$A$81:$B$120, 2, FALSE)), "División no coincide con Categoría", ""))), IF(OR(L53="", L53=""), "[Aviso] Género no capturado ()", IF(ISNA(MATCH(L53, Criterios!$B$123:$B$127, 0)), "Género no válido", "")), IF(OR(N53="", N53=""), "[Aviso] Temporada no capturada ()", IF(ISNA(MATCH(N53, Criterios!$C$123:$C$128, 0)), "Temporada no válida", "")), IF(OR(O53="", O53=""), "[Aviso] Ciclo de vida no capturado ()", IF(ISNA(MATCH(O53, Criterios!$D$123:$D$124, 0)), "Ciclo de vida no válido", ""))))</f>
        <v/>
      </c>
      <c r="AC53" s="56" t="n"/>
      <c r="AD53" s="51" t="n">
        <v>4</v>
      </c>
      <c r="AE53" s="156" t="inlineStr">
        <is>
          <t>REFLO ALMACEN (2)</t>
        </is>
      </c>
      <c r="AF53" s="51" t="n">
        <v>4</v>
      </c>
      <c r="AG53" s="156" t="inlineStr">
        <is>
          <t>Nuevo – NetSuite con existencia</t>
        </is>
      </c>
      <c r="AH53" s="156" t="inlineStr">
        <is>
          <t>Género no indicado en NetSuite; Físico total NetSuite 4 ≠ suma por ubicación 2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3" s="156" t="inlineStr">
        <is>
          <t>No</t>
        </is>
      </c>
      <c r="AJ53" s="156" t="n"/>
      <c r="AK53" s="155" t="inlineStr">
        <is>
          <t>G1522ProductosTodosloscamposSandboxResults894.xlsx: fila 45476 [X,Y]; G1522_Extraccion_Articulos_NetSuite_2026-09-30.xlsx: fila 37613 [Z]</t>
        </is>
      </c>
      <c r="AL53" s="58" t="n">
        <v>22.75</v>
      </c>
      <c r="AM53" s="58" t="n"/>
      <c r="AN53" s="155" t="n"/>
      <c r="AO53" s="59" t="n"/>
      <c r="AP53" s="59" t="n"/>
      <c r="AQ53" s="59" t="n"/>
      <c r="AR53" s="155" t="n"/>
    </row>
    <row r="54">
      <c r="A54" s="50" t="inlineStr">
        <is>
          <t>5056658702433</t>
        </is>
      </c>
      <c r="B54" s="51" t="inlineStr">
        <is>
          <t>79281</t>
        </is>
      </c>
      <c r="C54" s="156" t="inlineStr">
        <is>
          <t>REFLO</t>
        </is>
      </c>
      <c r="D54" s="156" t="inlineStr">
        <is>
          <t>BOHQUA</t>
        </is>
      </c>
      <c r="E54" s="156" t="inlineStr">
        <is>
          <t>BOHQUA-M</t>
        </is>
      </c>
      <c r="F54" s="156" t="inlineStr">
        <is>
          <t>M</t>
        </is>
      </c>
      <c r="G54" s="156" t="inlineStr">
        <is>
          <t>M</t>
        </is>
      </c>
      <c r="H54" s="156" t="inlineStr">
        <is>
          <t>REFLO</t>
        </is>
      </c>
      <c r="I54" s="156" t="inlineStr">
        <is>
          <t>Playera tipo polo REFLO Bohai 2.0 Quarry</t>
        </is>
      </c>
      <c r="J54" s="156" t="inlineStr">
        <is>
          <t>Ropa</t>
        </is>
      </c>
      <c r="K54" s="156" t="inlineStr">
        <is>
          <t>Playeras</t>
        </is>
      </c>
      <c r="L54" s="156" t="n"/>
      <c r="M54" s="156" t="inlineStr">
        <is>
          <t>REFLO</t>
        </is>
      </c>
      <c r="N54" s="156" t="n"/>
      <c r="O54" s="156" t="n"/>
      <c r="P54" s="156" t="inlineStr">
        <is>
          <t>Gris</t>
        </is>
      </c>
      <c r="Q54" s="156" t="n"/>
      <c r="R54" s="156" t="n"/>
      <c r="S54" s="156" t="inlineStr">
        <is>
          <t>100% Poliéster reciclado</t>
        </is>
      </c>
      <c r="T54" s="156" t="inlineStr">
        <is>
          <t>Playera tipo polo de golf REFLO modelo Bohai 2.0 en color Quarry, confeccionado con materiales reciclados. Estilo BOHQUA.</t>
        </is>
      </c>
      <c r="U54" s="156" t="inlineStr">
        <is>
          <t>China</t>
        </is>
      </c>
      <c r="V54" s="156" t="inlineStr">
        <is>
          <t>PZS</t>
        </is>
      </c>
      <c r="W54" s="51" t="inlineStr">
        <is>
          <t>53101600</t>
        </is>
      </c>
      <c r="X54" s="156" t="inlineStr">
        <is>
          <t>https://i.ibb.co/vhk3d0z/BOHQUA.jpg</t>
        </is>
      </c>
      <c r="Y54" s="54" t="n">
        <v>22.75</v>
      </c>
      <c r="Z54" s="54" t="n">
        <v>1649</v>
      </c>
      <c r="AA54" s="55">
        <f>IF(AND(A54="", B54="", E54=""), "", IF(AB54="", "Válido", IF((LEN(AB54)-LEN(SUBSTITUTE(AB54,"; ","")))/2+1&gt;(LEN(AB54)-LEN(SUBSTITUTE(AB54,"[Aviso]","")))/7, "Con Incidencias", "Válido")))</f>
        <v/>
      </c>
      <c r="AB54" s="56">
        <f>IF(AND(A54="", B54="", E54=""), "", TEXTJOIN("; ", TRUE, IF(OR(TRIM(A54&amp;"")="", ISNUMBER(SEARCH("FALTA", A54))), "UPC faltante/inválido", ""), IF(AND(A54&lt;&gt;"", IFERROR(_xlfn.XMATCH(A54,$A$2:$A$653,0,1)&lt;&gt;_xlfn.XMATCH(A54,$A$2:$A$653,0,-1),FALSE)), "Código de barras duplicado", ""), IF(AND(E54&lt;&gt;"", COUNTIF($E$2:$E$653, E54)&gt;1), "SKU duplicado", ""), IF(OR(J54="", J54=""), "[Aviso] División no capturada ()", IF(ISNA(MATCH(J54, Criterios!$A$123:$A$126, 0)), "División no válida", "")), IF(OR(K54="", K54=""), "[Aviso] Categoría no capturada ()", IF(ISNA(MATCH(K54, Criterios!$A$81:$A$120, 0)), "Categoría no válida", IF(AND(J54&lt;&gt;"", J54&lt;&gt;"", J54&lt;&gt;VLOOKUP(K54, Criterios!$A$81:$B$120, 2, FALSE)), "División no coincide con Categoría", ""))), IF(OR(L54="", L54=""), "[Aviso] Género no capturado ()", IF(ISNA(MATCH(L54, Criterios!$B$123:$B$127, 0)), "Género no válido", "")), IF(OR(N54="", N54=""), "[Aviso] Temporada no capturada ()", IF(ISNA(MATCH(N54, Criterios!$C$123:$C$128, 0)), "Temporada no válida", "")), IF(OR(O54="", O54=""), "[Aviso] Ciclo de vida no capturado ()", IF(ISNA(MATCH(O54, Criterios!$D$123:$D$124, 0)), "Ciclo de vida no válido", ""))))</f>
        <v/>
      </c>
      <c r="AC54" s="56" t="n"/>
      <c r="AD54" s="51" t="n">
        <v>5</v>
      </c>
      <c r="AE54" s="156" t="inlineStr">
        <is>
          <t>CONSIGNA REFLO (1); REFLO ALMACEN (4)</t>
        </is>
      </c>
      <c r="AF54" s="51" t="n">
        <v>5</v>
      </c>
      <c r="AG54" s="156" t="inlineStr">
        <is>
          <t>Nuevo – NetSuite con existencia</t>
        </is>
      </c>
      <c r="AH54" s="156" t="inlineStr">
        <is>
          <t>Género no indicado en NetSuite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4" s="156" t="inlineStr">
        <is>
          <t>No</t>
        </is>
      </c>
      <c r="AJ54" s="156" t="n"/>
      <c r="AK54" s="155" t="inlineStr">
        <is>
          <t>G1522ProductosTodosloscamposSandboxResults894.xlsx: fila 45478 [X,Y]; G1522_Extraccion_Articulos_NetSuite_2026-09-30.xlsx: fila 37614 [Z]</t>
        </is>
      </c>
      <c r="AL54" s="58" t="n">
        <v>22.75</v>
      </c>
      <c r="AM54" s="58" t="n"/>
      <c r="AN54" s="155" t="n"/>
      <c r="AO54" s="59" t="n"/>
      <c r="AP54" s="59" t="n"/>
      <c r="AQ54" s="59" t="n"/>
      <c r="AR54" s="155" t="n"/>
    </row>
    <row r="55">
      <c r="A55" s="50" t="inlineStr">
        <is>
          <t>5056658702440</t>
        </is>
      </c>
      <c r="B55" s="51" t="inlineStr">
        <is>
          <t>79282</t>
        </is>
      </c>
      <c r="C55" s="156" t="inlineStr">
        <is>
          <t>REFLO</t>
        </is>
      </c>
      <c r="D55" s="156" t="inlineStr">
        <is>
          <t>BOHQUA</t>
        </is>
      </c>
      <c r="E55" s="156" t="inlineStr">
        <is>
          <t>BOHQUA-L</t>
        </is>
      </c>
      <c r="F55" s="156" t="inlineStr">
        <is>
          <t>L</t>
        </is>
      </c>
      <c r="G55" s="156" t="inlineStr">
        <is>
          <t>L</t>
        </is>
      </c>
      <c r="H55" s="156" t="inlineStr">
        <is>
          <t>REFLO</t>
        </is>
      </c>
      <c r="I55" s="156" t="inlineStr">
        <is>
          <t>Playera tipo polo REFLO Bohai 2.0 Quarry</t>
        </is>
      </c>
      <c r="J55" s="156" t="inlineStr">
        <is>
          <t>Ropa</t>
        </is>
      </c>
      <c r="K55" s="156" t="inlineStr">
        <is>
          <t>Playeras</t>
        </is>
      </c>
      <c r="L55" s="156" t="n"/>
      <c r="M55" s="156" t="inlineStr">
        <is>
          <t>REFLO</t>
        </is>
      </c>
      <c r="N55" s="156" t="n"/>
      <c r="O55" s="156" t="n"/>
      <c r="P55" s="156" t="inlineStr">
        <is>
          <t>Gris</t>
        </is>
      </c>
      <c r="Q55" s="156" t="n"/>
      <c r="R55" s="156" t="n"/>
      <c r="S55" s="156" t="inlineStr">
        <is>
          <t>100% Poliéster reciclado</t>
        </is>
      </c>
      <c r="T55" s="156" t="inlineStr">
        <is>
          <t>Playera tipo polo de golf REFLO modelo Bohai 2.0 en color Quarry, confeccionado con materiales reciclados. Estilo BOHQUA.</t>
        </is>
      </c>
      <c r="U55" s="156" t="inlineStr">
        <is>
          <t>China</t>
        </is>
      </c>
      <c r="V55" s="156" t="inlineStr">
        <is>
          <t>PZS</t>
        </is>
      </c>
      <c r="W55" s="51" t="inlineStr">
        <is>
          <t>53101600</t>
        </is>
      </c>
      <c r="X55" s="156" t="inlineStr">
        <is>
          <t>https://i.ibb.co/vhk3d0z/BOHQUA.jpg</t>
        </is>
      </c>
      <c r="Y55" s="54" t="n">
        <v>22.75</v>
      </c>
      <c r="Z55" s="54" t="n">
        <v>1649</v>
      </c>
      <c r="AA55" s="55">
        <f>IF(AND(A55="", B55="", E55=""), "", IF(AB55="", "Válido", IF((LEN(AB55)-LEN(SUBSTITUTE(AB55,"; ","")))/2+1&gt;(LEN(AB55)-LEN(SUBSTITUTE(AB55,"[Aviso]","")))/7, "Con Incidencias", "Válido")))</f>
        <v/>
      </c>
      <c r="AB55" s="56">
        <f>IF(AND(A55="", B55="", E55=""), "", TEXTJOIN("; ", TRUE, IF(OR(TRIM(A55&amp;"")="", ISNUMBER(SEARCH("FALTA", A55))), "UPC faltante/inválido", ""), IF(AND(A55&lt;&gt;"", IFERROR(_xlfn.XMATCH(A55,$A$2:$A$653,0,1)&lt;&gt;_xlfn.XMATCH(A55,$A$2:$A$653,0,-1),FALSE)), "Código de barras duplicado", ""), IF(AND(E55&lt;&gt;"", COUNTIF($E$2:$E$653, E55)&gt;1), "SKU duplicado", ""), IF(OR(J55="", J55=""), "[Aviso] División no capturada ()", IF(ISNA(MATCH(J55, Criterios!$A$123:$A$126, 0)), "División no válida", "")), IF(OR(K55="", K55=""), "[Aviso] Categoría no capturada ()", IF(ISNA(MATCH(K55, Criterios!$A$81:$A$120, 0)), "Categoría no válida", IF(AND(J55&lt;&gt;"", J55&lt;&gt;"", J55&lt;&gt;VLOOKUP(K55, Criterios!$A$81:$B$120, 2, FALSE)), "División no coincide con Categoría", ""))), IF(OR(L55="", L55=""), "[Aviso] Género no capturado ()", IF(ISNA(MATCH(L55, Criterios!$B$123:$B$127, 0)), "Género no válido", "")), IF(OR(N55="", N55=""), "[Aviso] Temporada no capturada ()", IF(ISNA(MATCH(N55, Criterios!$C$123:$C$128, 0)), "Temporada no válida", "")), IF(OR(O55="", O55=""), "[Aviso] Ciclo de vida no capturado ()", IF(ISNA(MATCH(O55, Criterios!$D$123:$D$124, 0)), "Ciclo de vida no válido", ""))))</f>
        <v/>
      </c>
      <c r="AC55" s="56" t="n"/>
      <c r="AD55" s="51" t="n">
        <v>9</v>
      </c>
      <c r="AE55" s="156" t="inlineStr">
        <is>
          <t>REFLO ALMACEN (4); MUESTRAS REFLO (1); CONSIGNA REFLO (1)</t>
        </is>
      </c>
      <c r="AF55" s="51" t="n">
        <v>8</v>
      </c>
      <c r="AG55" s="156" t="inlineStr">
        <is>
          <t>Nuevo – NetSuite con existencia</t>
        </is>
      </c>
      <c r="AH55" s="156" t="inlineStr">
        <is>
          <t>Género no indicado en NetSuite; Físico total NetSuite 9 ≠ suma por ubicación 6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5" s="156" t="inlineStr">
        <is>
          <t>No</t>
        </is>
      </c>
      <c r="AJ55" s="156" t="n"/>
      <c r="AK55" s="155" t="inlineStr">
        <is>
          <t>G1522ProductosTodosloscamposSandboxResults894.xlsx: fila 45479 [X,Y]; G1522_Extraccion_Articulos_NetSuite_2026-09-30.xlsx: fila 37615 [Z]</t>
        </is>
      </c>
      <c r="AL55" s="58" t="n">
        <v>22.75</v>
      </c>
      <c r="AM55" s="58" t="n"/>
      <c r="AN55" s="155" t="n"/>
      <c r="AO55" s="59" t="n"/>
      <c r="AP55" s="59" t="n"/>
      <c r="AQ55" s="59" t="n"/>
      <c r="AR55" s="155" t="n"/>
    </row>
    <row r="56">
      <c r="A56" s="50" t="inlineStr">
        <is>
          <t>5056658702457</t>
        </is>
      </c>
      <c r="B56" s="51" t="inlineStr">
        <is>
          <t>79283</t>
        </is>
      </c>
      <c r="C56" s="156" t="inlineStr">
        <is>
          <t>REFLO</t>
        </is>
      </c>
      <c r="D56" s="156" t="inlineStr">
        <is>
          <t>BOHQUA</t>
        </is>
      </c>
      <c r="E56" s="156" t="inlineStr">
        <is>
          <t>BOHQUA-XL</t>
        </is>
      </c>
      <c r="F56" s="156" t="inlineStr">
        <is>
          <t>XL</t>
        </is>
      </c>
      <c r="G56" s="156" t="inlineStr">
        <is>
          <t>XL</t>
        </is>
      </c>
      <c r="H56" s="156" t="inlineStr">
        <is>
          <t>REFLO</t>
        </is>
      </c>
      <c r="I56" s="156" t="inlineStr">
        <is>
          <t>Playera tipo polo REFLO Bohai 2.0 Quarry</t>
        </is>
      </c>
      <c r="J56" s="156" t="inlineStr">
        <is>
          <t>Ropa</t>
        </is>
      </c>
      <c r="K56" s="156" t="inlineStr">
        <is>
          <t>Playeras</t>
        </is>
      </c>
      <c r="L56" s="156" t="n"/>
      <c r="M56" s="156" t="inlineStr">
        <is>
          <t>REFLO</t>
        </is>
      </c>
      <c r="N56" s="156" t="n"/>
      <c r="O56" s="156" t="n"/>
      <c r="P56" s="156" t="inlineStr">
        <is>
          <t>Gris</t>
        </is>
      </c>
      <c r="Q56" s="156" t="n"/>
      <c r="R56" s="156" t="n"/>
      <c r="S56" s="156" t="inlineStr">
        <is>
          <t>100% Poliéster reciclado</t>
        </is>
      </c>
      <c r="T56" s="156" t="inlineStr">
        <is>
          <t>Playera tipo polo de golf REFLO modelo Bohai 2.0 en color Quarry, confeccionado con materiales reciclados. Estilo BOHQUA.</t>
        </is>
      </c>
      <c r="U56" s="156" t="inlineStr">
        <is>
          <t>China</t>
        </is>
      </c>
      <c r="V56" s="156" t="inlineStr">
        <is>
          <t>PZS</t>
        </is>
      </c>
      <c r="W56" s="51" t="inlineStr">
        <is>
          <t>53101600</t>
        </is>
      </c>
      <c r="X56" s="156" t="inlineStr">
        <is>
          <t>https://i.ibb.co/vhk3d0z/BOHQUA.jpg</t>
        </is>
      </c>
      <c r="Y56" s="54" t="n">
        <v>22.75</v>
      </c>
      <c r="Z56" s="54" t="n">
        <v>1649</v>
      </c>
      <c r="AA56" s="55">
        <f>IF(AND(A56="", B56="", E56=""), "", IF(AB56="", "Válido", IF((LEN(AB56)-LEN(SUBSTITUTE(AB56,"; ","")))/2+1&gt;(LEN(AB56)-LEN(SUBSTITUTE(AB56,"[Aviso]","")))/7, "Con Incidencias", "Válido")))</f>
        <v/>
      </c>
      <c r="AB56" s="56">
        <f>IF(AND(A56="", B56="", E56=""), "", TEXTJOIN("; ", TRUE, IF(OR(TRIM(A56&amp;"")="", ISNUMBER(SEARCH("FALTA", A56))), "UPC faltante/inválido", ""), IF(AND(A56&lt;&gt;"", IFERROR(_xlfn.XMATCH(A56,$A$2:$A$653,0,1)&lt;&gt;_xlfn.XMATCH(A56,$A$2:$A$653,0,-1),FALSE)), "Código de barras duplicado", ""), IF(AND(E56&lt;&gt;"", COUNTIF($E$2:$E$653, E56)&gt;1), "SKU duplicado", ""), IF(OR(J56="", J56=""), "[Aviso] División no capturada ()", IF(ISNA(MATCH(J56, Criterios!$A$123:$A$126, 0)), "División no válida", "")), IF(OR(K56="", K56=""), "[Aviso] Categoría no capturada ()", IF(ISNA(MATCH(K56, Criterios!$A$81:$A$120, 0)), "Categoría no válida", IF(AND(J56&lt;&gt;"", J56&lt;&gt;"", J56&lt;&gt;VLOOKUP(K56, Criterios!$A$81:$B$120, 2, FALSE)), "División no coincide con Categoría", ""))), IF(OR(L56="", L56=""), "[Aviso] Género no capturado ()", IF(ISNA(MATCH(L56, Criterios!$B$123:$B$127, 0)), "Género no válido", "")), IF(OR(N56="", N56=""), "[Aviso] Temporada no capturada ()", IF(ISNA(MATCH(N56, Criterios!$C$123:$C$128, 0)), "Temporada no válida", "")), IF(OR(O56="", O56=""), "[Aviso] Ciclo de vida no capturado ()", IF(ISNA(MATCH(O56, Criterios!$D$123:$D$124, 0)), "Ciclo de vida no válido", ""))))</f>
        <v/>
      </c>
      <c r="AC56" s="56" t="n"/>
      <c r="AD56" s="51" t="n">
        <v>16</v>
      </c>
      <c r="AE56" s="156" t="inlineStr">
        <is>
          <t>REFLO ALMACEN (7); CONSIGNA REFLO (1)</t>
        </is>
      </c>
      <c r="AF56" s="51" t="n">
        <v>16</v>
      </c>
      <c r="AG56" s="156" t="inlineStr">
        <is>
          <t>Nuevo – NetSuite con existencia</t>
        </is>
      </c>
      <c r="AH56" s="156" t="inlineStr">
        <is>
          <t>Género no indicado en NetSuite; Físico total NetSuite 16 ≠ suma por ubicación 8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6" s="156" t="inlineStr">
        <is>
          <t>No</t>
        </is>
      </c>
      <c r="AJ56" s="156" t="n"/>
      <c r="AK56" s="155" t="inlineStr">
        <is>
          <t>G1522ProductosTodosloscamposSandboxResults894.xlsx: fila 45480 [X,Y]; G1522_Extraccion_Articulos_NetSuite_2026-09-30.xlsx: fila 37616 [Z]</t>
        </is>
      </c>
      <c r="AL56" s="58" t="n">
        <v>22.75</v>
      </c>
      <c r="AM56" s="58" t="n"/>
      <c r="AN56" s="155" t="n"/>
      <c r="AO56" s="59" t="n"/>
      <c r="AP56" s="59" t="n"/>
      <c r="AQ56" s="59" t="n"/>
      <c r="AR56" s="155" t="n"/>
    </row>
    <row r="57">
      <c r="A57" s="50" t="inlineStr">
        <is>
          <t>5056658702464</t>
        </is>
      </c>
      <c r="B57" s="51" t="inlineStr">
        <is>
          <t>79284</t>
        </is>
      </c>
      <c r="C57" s="156" t="inlineStr">
        <is>
          <t>REFLO</t>
        </is>
      </c>
      <c r="D57" s="156" t="inlineStr">
        <is>
          <t>BOHQUA</t>
        </is>
      </c>
      <c r="E57" s="156" t="inlineStr">
        <is>
          <t>BOHQUA-2XL</t>
        </is>
      </c>
      <c r="F57" s="156" t="inlineStr">
        <is>
          <t>XXL</t>
        </is>
      </c>
      <c r="G57" s="156" t="inlineStr">
        <is>
          <t>XXL</t>
        </is>
      </c>
      <c r="H57" s="156" t="inlineStr">
        <is>
          <t>REFLO</t>
        </is>
      </c>
      <c r="I57" s="156" t="inlineStr">
        <is>
          <t>Playera tipo polo REFLO Bohai 2.0 Quarry</t>
        </is>
      </c>
      <c r="J57" s="156" t="inlineStr">
        <is>
          <t>Ropa</t>
        </is>
      </c>
      <c r="K57" s="156" t="inlineStr">
        <is>
          <t>Playeras</t>
        </is>
      </c>
      <c r="L57" s="156" t="n"/>
      <c r="M57" s="156" t="inlineStr">
        <is>
          <t>REFLO</t>
        </is>
      </c>
      <c r="N57" s="156" t="n"/>
      <c r="O57" s="156" t="n"/>
      <c r="P57" s="156" t="inlineStr">
        <is>
          <t>Gris</t>
        </is>
      </c>
      <c r="Q57" s="156" t="n"/>
      <c r="R57" s="156" t="n"/>
      <c r="S57" s="156" t="inlineStr">
        <is>
          <t>100% Poliéster reciclado</t>
        </is>
      </c>
      <c r="T57" s="156" t="inlineStr">
        <is>
          <t>Playera tipo polo de golf REFLO modelo Bohai 2.0 en color Quarry, confeccionado con materiales reciclados. Estilo BOHQUA.</t>
        </is>
      </c>
      <c r="U57" s="156" t="inlineStr">
        <is>
          <t>China</t>
        </is>
      </c>
      <c r="V57" s="156" t="inlineStr">
        <is>
          <t>PZS</t>
        </is>
      </c>
      <c r="W57" s="51" t="inlineStr">
        <is>
          <t>53101600</t>
        </is>
      </c>
      <c r="X57" s="156" t="inlineStr">
        <is>
          <t>https://i.ibb.co/vhk3d0z/BOHQUA.jpg</t>
        </is>
      </c>
      <c r="Y57" s="54" t="n">
        <v>22.75</v>
      </c>
      <c r="Z57" s="54" t="n">
        <v>1649</v>
      </c>
      <c r="AA57" s="55">
        <f>IF(AND(A57="", B57="", E57=""), "", IF(AB57="", "Válido", IF((LEN(AB57)-LEN(SUBSTITUTE(AB57,"; ","")))/2+1&gt;(LEN(AB57)-LEN(SUBSTITUTE(AB57,"[Aviso]","")))/7, "Con Incidencias", "Válido")))</f>
        <v/>
      </c>
      <c r="AB57" s="56">
        <f>IF(AND(A57="", B57="", E57=""), "", TEXTJOIN("; ", TRUE, IF(OR(TRIM(A57&amp;"")="", ISNUMBER(SEARCH("FALTA", A57))), "UPC faltante/inválido", ""), IF(AND(A57&lt;&gt;"", IFERROR(_xlfn.XMATCH(A57,$A$2:$A$653,0,1)&lt;&gt;_xlfn.XMATCH(A57,$A$2:$A$653,0,-1),FALSE)), "Código de barras duplicado", ""), IF(AND(E57&lt;&gt;"", COUNTIF($E$2:$E$653, E57)&gt;1), "SKU duplicado", ""), IF(OR(J57="", J57=""), "[Aviso] División no capturada ()", IF(ISNA(MATCH(J57, Criterios!$A$123:$A$126, 0)), "División no válida", "")), IF(OR(K57="", K57=""), "[Aviso] Categoría no capturada ()", IF(ISNA(MATCH(K57, Criterios!$A$81:$A$120, 0)), "Categoría no válida", IF(AND(J57&lt;&gt;"", J57&lt;&gt;"", J57&lt;&gt;VLOOKUP(K57, Criterios!$A$81:$B$120, 2, FALSE)), "División no coincide con Categoría", ""))), IF(OR(L57="", L57=""), "[Aviso] Género no capturado ()", IF(ISNA(MATCH(L57, Criterios!$B$123:$B$127, 0)), "Género no válido", "")), IF(OR(N57="", N57=""), "[Aviso] Temporada no capturada ()", IF(ISNA(MATCH(N57, Criterios!$C$123:$C$128, 0)), "Temporada no válida", "")), IF(OR(O57="", O57=""), "[Aviso] Ciclo de vida no capturado ()", IF(ISNA(MATCH(O57, Criterios!$D$123:$D$124, 0)), "Ciclo de vida no válido", ""))))</f>
        <v/>
      </c>
      <c r="AC57" s="56" t="n"/>
      <c r="AD57" s="51" t="n">
        <v>8</v>
      </c>
      <c r="AE57" s="156" t="inlineStr">
        <is>
          <t>REFLO ALMACEN (4)</t>
        </is>
      </c>
      <c r="AF57" s="51" t="n">
        <v>8</v>
      </c>
      <c r="AG57" s="156" t="inlineStr">
        <is>
          <t>Nuevo – NetSuite con existencia</t>
        </is>
      </c>
      <c r="AH57" s="156" t="inlineStr">
        <is>
          <t>Género no indicado en NetSuite; Físico total NetSuite 8 ≠ suma por ubicación 4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7" s="156" t="inlineStr">
        <is>
          <t>No</t>
        </is>
      </c>
      <c r="AJ57" s="156" t="n"/>
      <c r="AK57" s="155" t="inlineStr">
        <is>
          <t>G1522ProductosTodosloscamposSandboxResults894.xlsx: fila 45481 [X,Y]; G1522_Extraccion_Articulos_NetSuite_2026-09-30.xlsx: fila 37617 [Z]</t>
        </is>
      </c>
      <c r="AL57" s="58" t="n">
        <v>22.75</v>
      </c>
      <c r="AM57" s="58" t="n"/>
      <c r="AN57" s="155" t="n"/>
      <c r="AO57" s="59" t="n"/>
      <c r="AP57" s="59" t="n"/>
      <c r="AQ57" s="59" t="n"/>
      <c r="AR57" s="155" t="n"/>
    </row>
    <row r="58">
      <c r="A58" s="50" t="inlineStr">
        <is>
          <t>5056658702426</t>
        </is>
      </c>
      <c r="B58" s="51" t="inlineStr">
        <is>
          <t>84423</t>
        </is>
      </c>
      <c r="C58" s="156" t="inlineStr">
        <is>
          <t>REFLO</t>
        </is>
      </c>
      <c r="D58" s="156" t="inlineStr">
        <is>
          <t>BOHQUA</t>
        </is>
      </c>
      <c r="E58" s="156" t="inlineStr">
        <is>
          <t>BOHQUA-S</t>
        </is>
      </c>
      <c r="F58" s="156" t="inlineStr">
        <is>
          <t>S</t>
        </is>
      </c>
      <c r="G58" s="156" t="inlineStr">
        <is>
          <t>S</t>
        </is>
      </c>
      <c r="H58" s="156" t="inlineStr">
        <is>
          <t>REFLO</t>
        </is>
      </c>
      <c r="I58" s="156" t="inlineStr">
        <is>
          <t>Playera tipo polo REFLO Bohai Quarry</t>
        </is>
      </c>
      <c r="J58" s="156" t="inlineStr">
        <is>
          <t>Ropa</t>
        </is>
      </c>
      <c r="K58" s="156" t="inlineStr">
        <is>
          <t>Playeras</t>
        </is>
      </c>
      <c r="L58" s="156" t="n"/>
      <c r="M58" s="156" t="inlineStr">
        <is>
          <t>REFLO</t>
        </is>
      </c>
      <c r="N58" s="156" t="n"/>
      <c r="O58" s="156" t="n"/>
      <c r="P58" s="156" t="inlineStr">
        <is>
          <t>Gris</t>
        </is>
      </c>
      <c r="Q58" s="156" t="n"/>
      <c r="R58" s="156" t="n"/>
      <c r="S58" s="156" t="inlineStr">
        <is>
          <t>100% Poliéster reciclado</t>
        </is>
      </c>
      <c r="T58" s="156" t="inlineStr">
        <is>
          <t>Playera tipo polo de golf REFLO modelo Bohai en color Quarry, confeccionado con materiales reciclados. Estilo BOHQUA.</t>
        </is>
      </c>
      <c r="U58" s="156" t="inlineStr">
        <is>
          <t>China</t>
        </is>
      </c>
      <c r="V58" s="156" t="inlineStr">
        <is>
          <t>PZS</t>
        </is>
      </c>
      <c r="W58" s="51" t="inlineStr">
        <is>
          <t>53101600</t>
        </is>
      </c>
      <c r="X58" s="156" t="inlineStr">
        <is>
          <t>https://i.ibb.co/vhk3d0z/BOHQUA.jpg</t>
        </is>
      </c>
      <c r="Y58" s="54" t="n">
        <v>22.75</v>
      </c>
      <c r="Z58" s="54" t="n">
        <v>1649</v>
      </c>
      <c r="AA58" s="55">
        <f>IF(AND(A58="", B58="", E58=""), "", IF(AB58="", "Válido", IF((LEN(AB58)-LEN(SUBSTITUTE(AB58,"; ","")))/2+1&gt;(LEN(AB58)-LEN(SUBSTITUTE(AB58,"[Aviso]","")))/7, "Con Incidencias", "Válido")))</f>
        <v/>
      </c>
      <c r="AB58" s="56">
        <f>IF(AND(A58="", B58="", E58=""), "", TEXTJOIN("; ", TRUE, IF(OR(TRIM(A58&amp;"")="", ISNUMBER(SEARCH("FALTA", A58))), "UPC faltante/inválido", ""), IF(AND(A58&lt;&gt;"", IFERROR(_xlfn.XMATCH(A58,$A$2:$A$653,0,1)&lt;&gt;_xlfn.XMATCH(A58,$A$2:$A$653,0,-1),FALSE)), "Código de barras duplicado", ""), IF(AND(E58&lt;&gt;"", COUNTIF($E$2:$E$653, E58)&gt;1), "SKU duplicado", ""), IF(OR(J58="", J58=""), "[Aviso] División no capturada ()", IF(ISNA(MATCH(J58, Criterios!$A$123:$A$126, 0)), "División no válida", "")), IF(OR(K58="", K58=""), "[Aviso] Categoría no capturada ()", IF(ISNA(MATCH(K58, Criterios!$A$81:$A$120, 0)), "Categoría no válida", IF(AND(J58&lt;&gt;"", J58&lt;&gt;"", J58&lt;&gt;VLOOKUP(K58, Criterios!$A$81:$B$120, 2, FALSE)), "División no coincide con Categoría", ""))), IF(OR(L58="", L58=""), "[Aviso] Género no capturado ()", IF(ISNA(MATCH(L58, Criterios!$B$123:$B$127, 0)), "Género no válido", "")), IF(OR(N58="", N58=""), "[Aviso] Temporada no capturada ()", IF(ISNA(MATCH(N58, Criterios!$C$123:$C$128, 0)), "Temporada no válida", "")), IF(OR(O58="", O58=""), "[Aviso] Ciclo de vida no capturado ()", IF(ISNA(MATCH(O58, Criterios!$D$123:$D$124, 0)), "Ciclo de vida no válido", ""))))</f>
        <v/>
      </c>
      <c r="AC58" s="56" t="n"/>
      <c r="AD58" s="51" t="n">
        <v>6</v>
      </c>
      <c r="AE58" s="156" t="inlineStr">
        <is>
          <t>REFLO ALMACEN (3)</t>
        </is>
      </c>
      <c r="AF58" s="51" t="n">
        <v>6</v>
      </c>
      <c r="AG58" s="156" t="inlineStr">
        <is>
          <t>Nuevo – NetSuite con existencia</t>
        </is>
      </c>
      <c r="AH58" s="156" t="inlineStr">
        <is>
          <t>Género no indicado en NetSuite; Físico total NetSuite 6 ≠ suma por ubicación 3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8" s="156" t="inlineStr">
        <is>
          <t>No</t>
        </is>
      </c>
      <c r="AJ58" s="156" t="n"/>
      <c r="AK58" s="155" t="inlineStr">
        <is>
          <t>G1522ProductosTodosloscamposSandboxResults894.xlsx: fila 45500 [X,Y]; G1522_Extraccion_Articulos_NetSuite_2026-09-30.xlsx: fila 39592 [Z]</t>
        </is>
      </c>
      <c r="AL58" s="58" t="n">
        <v>22.75</v>
      </c>
      <c r="AM58" s="58" t="n"/>
      <c r="AN58" s="155" t="n"/>
      <c r="AO58" s="59" t="n"/>
      <c r="AP58" s="59" t="n"/>
      <c r="AQ58" s="59" t="n"/>
      <c r="AR58" s="155" t="n"/>
    </row>
    <row r="59">
      <c r="A59" s="50" t="inlineStr">
        <is>
          <t>5056658702495</t>
        </is>
      </c>
      <c r="B59" s="51" t="inlineStr">
        <is>
          <t>79285</t>
        </is>
      </c>
      <c r="C59" s="156" t="inlineStr">
        <is>
          <t>REFLO</t>
        </is>
      </c>
      <c r="D59" s="156" t="inlineStr">
        <is>
          <t>BOHTAN</t>
        </is>
      </c>
      <c r="E59" s="156" t="inlineStr">
        <is>
          <t>BOHTAN-M</t>
        </is>
      </c>
      <c r="F59" s="156" t="inlineStr">
        <is>
          <t>M</t>
        </is>
      </c>
      <c r="G59" s="156" t="inlineStr">
        <is>
          <t>M</t>
        </is>
      </c>
      <c r="H59" s="156" t="inlineStr">
        <is>
          <t>REFLO</t>
        </is>
      </c>
      <c r="I59" s="156" t="inlineStr">
        <is>
          <t>Playera tipo polo REFLO Bohai 2.0 Tangerine</t>
        </is>
      </c>
      <c r="J59" s="156" t="inlineStr">
        <is>
          <t>Ropa</t>
        </is>
      </c>
      <c r="K59" s="156" t="inlineStr">
        <is>
          <t>Playeras</t>
        </is>
      </c>
      <c r="L59" s="156" t="n"/>
      <c r="M59" s="156" t="inlineStr">
        <is>
          <t>REFLO</t>
        </is>
      </c>
      <c r="N59" s="156" t="n"/>
      <c r="O59" s="156" t="n"/>
      <c r="P59" s="156" t="inlineStr">
        <is>
          <t>Naranja</t>
        </is>
      </c>
      <c r="Q59" s="156" t="n"/>
      <c r="R59" s="156" t="n"/>
      <c r="S59" s="156" t="inlineStr">
        <is>
          <t>100% Poliéster reciclado</t>
        </is>
      </c>
      <c r="T59" s="156" t="inlineStr">
        <is>
          <t>Playera tipo polo de golf REFLO modelo Bohai 2.0 en color Tangerine, confeccionado con materiales reciclados. Estilo BOHTAN.</t>
        </is>
      </c>
      <c r="U59" s="156" t="inlineStr">
        <is>
          <t>China</t>
        </is>
      </c>
      <c r="V59" s="156" t="inlineStr">
        <is>
          <t>PZS</t>
        </is>
      </c>
      <c r="W59" s="51" t="inlineStr">
        <is>
          <t>53101600</t>
        </is>
      </c>
      <c r="X59" s="156" t="inlineStr">
        <is>
          <t>https://i.ibb.co/zXBdrqT/BOHTAN.jpg</t>
        </is>
      </c>
      <c r="Y59" s="54" t="n">
        <v>22.75</v>
      </c>
      <c r="Z59" s="54" t="n">
        <v>1649</v>
      </c>
      <c r="AA59" s="55">
        <f>IF(AND(A59="", B59="", E59=""), "", IF(AB59="", "Válido", IF((LEN(AB59)-LEN(SUBSTITUTE(AB59,"; ","")))/2+1&gt;(LEN(AB59)-LEN(SUBSTITUTE(AB59,"[Aviso]","")))/7, "Con Incidencias", "Válido")))</f>
        <v/>
      </c>
      <c r="AB59" s="56">
        <f>IF(AND(A59="", B59="", E59=""), "", TEXTJOIN("; ", TRUE, IF(OR(TRIM(A59&amp;"")="", ISNUMBER(SEARCH("FALTA", A59))), "UPC faltante/inválido", ""), IF(AND(A59&lt;&gt;"", IFERROR(_xlfn.XMATCH(A59,$A$2:$A$653,0,1)&lt;&gt;_xlfn.XMATCH(A59,$A$2:$A$653,0,-1),FALSE)), "Código de barras duplicado", ""), IF(AND(E59&lt;&gt;"", COUNTIF($E$2:$E$653, E59)&gt;1), "SKU duplicado", ""), IF(OR(J59="", J59=""), "[Aviso] División no capturada ()", IF(ISNA(MATCH(J59, Criterios!$A$123:$A$126, 0)), "División no válida", "")), IF(OR(K59="", K59=""), "[Aviso] Categoría no capturada ()", IF(ISNA(MATCH(K59, Criterios!$A$81:$A$120, 0)), "Categoría no válida", IF(AND(J59&lt;&gt;"", J59&lt;&gt;"", J59&lt;&gt;VLOOKUP(K59, Criterios!$A$81:$B$120, 2, FALSE)), "División no coincide con Categoría", ""))), IF(OR(L59="", L59=""), "[Aviso] Género no capturado ()", IF(ISNA(MATCH(L59, Criterios!$B$123:$B$127, 0)), "Género no válido", "")), IF(OR(N59="", N59=""), "[Aviso] Temporada no capturada ()", IF(ISNA(MATCH(N59, Criterios!$C$123:$C$128, 0)), "Temporada no válida", "")), IF(OR(O59="", O59=""), "[Aviso] Ciclo de vida no capturado ()", IF(ISNA(MATCH(O59, Criterios!$D$123:$D$124, 0)), "Ciclo de vida no válido", ""))))</f>
        <v/>
      </c>
      <c r="AC59" s="56" t="n"/>
      <c r="AD59" s="51" t="n">
        <v>5</v>
      </c>
      <c r="AE59" s="156" t="inlineStr">
        <is>
          <t>REFLO ALMACEN (3); CONSIGNA REFLO (1)</t>
        </is>
      </c>
      <c r="AF59" s="51" t="n">
        <v>5</v>
      </c>
      <c r="AG59" s="156" t="inlineStr">
        <is>
          <t>Nuevo – NetSuite con existencia</t>
        </is>
      </c>
      <c r="AH59" s="156" t="inlineStr">
        <is>
          <t>Género no indicado en NetSuite; Físico total NetSuite 5 ≠ suma por ubicación 4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59" s="156" t="inlineStr">
        <is>
          <t>No</t>
        </is>
      </c>
      <c r="AJ59" s="156" t="n"/>
      <c r="AK59" s="155" t="inlineStr">
        <is>
          <t>G1522ProductosTodosloscamposSandboxResults894.xlsx: fila 45483 [X,Y]; G1522_Extraccion_Articulos_NetSuite_2026-09-30.xlsx: fila 37618 [Z]</t>
        </is>
      </c>
      <c r="AL59" s="58" t="n">
        <v>22.75</v>
      </c>
      <c r="AM59" s="58" t="n"/>
      <c r="AN59" s="155" t="n"/>
      <c r="AO59" s="59" t="n"/>
      <c r="AP59" s="59" t="n"/>
      <c r="AQ59" s="59" t="n"/>
      <c r="AR59" s="155" t="n"/>
    </row>
    <row r="60">
      <c r="A60" s="50" t="inlineStr">
        <is>
          <t>5056658702501</t>
        </is>
      </c>
      <c r="B60" s="51" t="inlineStr">
        <is>
          <t>79286</t>
        </is>
      </c>
      <c r="C60" s="156" t="inlineStr">
        <is>
          <t>REFLO</t>
        </is>
      </c>
      <c r="D60" s="156" t="inlineStr">
        <is>
          <t>BOHTAN</t>
        </is>
      </c>
      <c r="E60" s="156" t="inlineStr">
        <is>
          <t>BOHTAN-L</t>
        </is>
      </c>
      <c r="F60" s="156" t="inlineStr">
        <is>
          <t>L</t>
        </is>
      </c>
      <c r="G60" s="156" t="inlineStr">
        <is>
          <t>L</t>
        </is>
      </c>
      <c r="H60" s="156" t="inlineStr">
        <is>
          <t>REFLO</t>
        </is>
      </c>
      <c r="I60" s="156" t="inlineStr">
        <is>
          <t>Playera tipo polo REFLO Bohai 2.0 Tangerine</t>
        </is>
      </c>
      <c r="J60" s="156" t="inlineStr">
        <is>
          <t>Ropa</t>
        </is>
      </c>
      <c r="K60" s="156" t="inlineStr">
        <is>
          <t>Playeras</t>
        </is>
      </c>
      <c r="L60" s="156" t="n"/>
      <c r="M60" s="156" t="inlineStr">
        <is>
          <t>REFLO</t>
        </is>
      </c>
      <c r="N60" s="156" t="n"/>
      <c r="O60" s="156" t="n"/>
      <c r="P60" s="156" t="inlineStr">
        <is>
          <t>Naranja</t>
        </is>
      </c>
      <c r="Q60" s="156" t="n"/>
      <c r="R60" s="156" t="n"/>
      <c r="S60" s="156" t="inlineStr">
        <is>
          <t>100% Poliéster reciclado</t>
        </is>
      </c>
      <c r="T60" s="156" t="inlineStr">
        <is>
          <t>Playera tipo polo de golf REFLO modelo Bohai 2.0 en color Tangerine, confeccionado con materiales reciclados. Estilo BOHTAN.</t>
        </is>
      </c>
      <c r="U60" s="156" t="inlineStr">
        <is>
          <t>China</t>
        </is>
      </c>
      <c r="V60" s="156" t="inlineStr">
        <is>
          <t>PZS</t>
        </is>
      </c>
      <c r="W60" s="51" t="inlineStr">
        <is>
          <t>53101600</t>
        </is>
      </c>
      <c r="X60" s="156" t="inlineStr">
        <is>
          <t>https://i.ibb.co/zXBdrqT/BOHTAN.jpg</t>
        </is>
      </c>
      <c r="Y60" s="54" t="n">
        <v>22.75</v>
      </c>
      <c r="Z60" s="54" t="n">
        <v>1649</v>
      </c>
      <c r="AA60" s="55">
        <f>IF(AND(A60="", B60="", E60=""), "", IF(AB60="", "Válido", IF((LEN(AB60)-LEN(SUBSTITUTE(AB60,"; ","")))/2+1&gt;(LEN(AB60)-LEN(SUBSTITUTE(AB60,"[Aviso]","")))/7, "Con Incidencias", "Válido")))</f>
        <v/>
      </c>
      <c r="AB60" s="56">
        <f>IF(AND(A60="", B60="", E60=""), "", TEXTJOIN("; ", TRUE, IF(OR(TRIM(A60&amp;"")="", ISNUMBER(SEARCH("FALTA", A60))), "UPC faltante/inválido", ""), IF(AND(A60&lt;&gt;"", IFERROR(_xlfn.XMATCH(A60,$A$2:$A$653,0,1)&lt;&gt;_xlfn.XMATCH(A60,$A$2:$A$653,0,-1),FALSE)), "Código de barras duplicado", ""), IF(AND(E60&lt;&gt;"", COUNTIF($E$2:$E$653, E60)&gt;1), "SKU duplicado", ""), IF(OR(J60="", J60=""), "[Aviso] División no capturada ()", IF(ISNA(MATCH(J60, Criterios!$A$123:$A$126, 0)), "División no válida", "")), IF(OR(K60="", K60=""), "[Aviso] Categoría no capturada ()", IF(ISNA(MATCH(K60, Criterios!$A$81:$A$120, 0)), "Categoría no válida", IF(AND(J60&lt;&gt;"", J60&lt;&gt;"", J60&lt;&gt;VLOOKUP(K60, Criterios!$A$81:$B$120, 2, FALSE)), "División no coincide con Categoría", ""))), IF(OR(L60="", L60=""), "[Aviso] Género no capturado ()", IF(ISNA(MATCH(L60, Criterios!$B$123:$B$127, 0)), "Género no válido", "")), IF(OR(N60="", N60=""), "[Aviso] Temporada no capturada ()", IF(ISNA(MATCH(N60, Criterios!$C$123:$C$128, 0)), "Temporada no válida", "")), IF(OR(O60="", O60=""), "[Aviso] Ciclo de vida no capturado ()", IF(ISNA(MATCH(O60, Criterios!$D$123:$D$124, 0)), "Ciclo de vida no válido", ""))))</f>
        <v/>
      </c>
      <c r="AC60" s="56" t="n"/>
      <c r="AD60" s="51" t="n">
        <v>8</v>
      </c>
      <c r="AE60" s="156" t="inlineStr">
        <is>
          <t>CONSIGNA REFLO (1); REFLO ALMACEN (4); MUESTRAS REFLO (1)</t>
        </is>
      </c>
      <c r="AF60" s="51" t="n">
        <v>7</v>
      </c>
      <c r="AG60" s="156" t="inlineStr">
        <is>
          <t>Nuevo – NetSuite con existencia</t>
        </is>
      </c>
      <c r="AH60" s="156" t="inlineStr">
        <is>
          <t>Género no indicado en NetSuite; Físico total NetSuite 8 ≠ suma por ubicación 6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60" s="156" t="inlineStr">
        <is>
          <t>No</t>
        </is>
      </c>
      <c r="AJ60" s="156" t="n"/>
      <c r="AK60" s="155" t="inlineStr">
        <is>
          <t>G1522ProductosTodosloscamposSandboxResults894.xlsx: fila 45484 [X,Y]; G1522_Extraccion_Articulos_NetSuite_2026-09-30.xlsx: fila 37619 [Z]</t>
        </is>
      </c>
      <c r="AL60" s="58" t="n">
        <v>22.75</v>
      </c>
      <c r="AM60" s="58" t="n"/>
      <c r="AN60" s="155" t="n"/>
      <c r="AO60" s="59" t="n"/>
      <c r="AP60" s="59" t="n"/>
      <c r="AQ60" s="59" t="n"/>
      <c r="AR60" s="155" t="n"/>
    </row>
    <row r="61">
      <c r="A61" s="50" t="inlineStr">
        <is>
          <t>5056658702518</t>
        </is>
      </c>
      <c r="B61" s="51" t="inlineStr">
        <is>
          <t>79287</t>
        </is>
      </c>
      <c r="C61" s="156" t="inlineStr">
        <is>
          <t>REFLO</t>
        </is>
      </c>
      <c r="D61" s="156" t="inlineStr">
        <is>
          <t>BOHTAN</t>
        </is>
      </c>
      <c r="E61" s="156" t="inlineStr">
        <is>
          <t>BOHTAN-XL</t>
        </is>
      </c>
      <c r="F61" s="156" t="inlineStr">
        <is>
          <t>XL</t>
        </is>
      </c>
      <c r="G61" s="156" t="inlineStr">
        <is>
          <t>XL</t>
        </is>
      </c>
      <c r="H61" s="156" t="inlineStr">
        <is>
          <t>REFLO</t>
        </is>
      </c>
      <c r="I61" s="156" t="inlineStr">
        <is>
          <t>Playera tipo polo REFLO Bohai 2.0 Tangerine</t>
        </is>
      </c>
      <c r="J61" s="156" t="inlineStr">
        <is>
          <t>Ropa</t>
        </is>
      </c>
      <c r="K61" s="156" t="inlineStr">
        <is>
          <t>Playeras</t>
        </is>
      </c>
      <c r="L61" s="156" t="n"/>
      <c r="M61" s="156" t="inlineStr">
        <is>
          <t>REFLO</t>
        </is>
      </c>
      <c r="N61" s="156" t="n"/>
      <c r="O61" s="156" t="n"/>
      <c r="P61" s="156" t="inlineStr">
        <is>
          <t>Naranja</t>
        </is>
      </c>
      <c r="Q61" s="156" t="n"/>
      <c r="R61" s="156" t="n"/>
      <c r="S61" s="156" t="inlineStr">
        <is>
          <t>100% Poliéster reciclado</t>
        </is>
      </c>
      <c r="T61" s="156" t="inlineStr">
        <is>
          <t>Playera tipo polo de golf REFLO modelo Bohai 2.0 en color Tangerine, confeccionado con materiales reciclados. Estilo BOHTAN.</t>
        </is>
      </c>
      <c r="U61" s="156" t="inlineStr">
        <is>
          <t>China</t>
        </is>
      </c>
      <c r="V61" s="156" t="inlineStr">
        <is>
          <t>PZS</t>
        </is>
      </c>
      <c r="W61" s="51" t="inlineStr">
        <is>
          <t>53101600</t>
        </is>
      </c>
      <c r="X61" s="156" t="inlineStr">
        <is>
          <t>https://i.ibb.co/zXBdrqT/BOHTAN.jpg</t>
        </is>
      </c>
      <c r="Y61" s="54" t="n">
        <v>22.75</v>
      </c>
      <c r="Z61" s="54" t="n">
        <v>1649</v>
      </c>
      <c r="AA61" s="55">
        <f>IF(AND(A61="", B61="", E61=""), "", IF(AB61="", "Válido", IF((LEN(AB61)-LEN(SUBSTITUTE(AB61,"; ","")))/2+1&gt;(LEN(AB61)-LEN(SUBSTITUTE(AB61,"[Aviso]","")))/7, "Con Incidencias", "Válido")))</f>
        <v/>
      </c>
      <c r="AB61" s="56">
        <f>IF(AND(A61="", B61="", E61=""), "", TEXTJOIN("; ", TRUE, IF(OR(TRIM(A61&amp;"")="", ISNUMBER(SEARCH("FALTA", A61))), "UPC faltante/inválido", ""), IF(AND(A61&lt;&gt;"", IFERROR(_xlfn.XMATCH(A61,$A$2:$A$653,0,1)&lt;&gt;_xlfn.XMATCH(A61,$A$2:$A$653,0,-1),FALSE)), "Código de barras duplicado", ""), IF(AND(E61&lt;&gt;"", COUNTIF($E$2:$E$653, E61)&gt;1), "SKU duplicado", ""), IF(OR(J61="", J61=""), "[Aviso] División no capturada ()", IF(ISNA(MATCH(J61, Criterios!$A$123:$A$126, 0)), "División no válida", "")), IF(OR(K61="", K61=""), "[Aviso] Categoría no capturada ()", IF(ISNA(MATCH(K61, Criterios!$A$81:$A$120, 0)), "Categoría no válida", IF(AND(J61&lt;&gt;"", J61&lt;&gt;"", J61&lt;&gt;VLOOKUP(K61, Criterios!$A$81:$B$120, 2, FALSE)), "División no coincide con Categoría", ""))), IF(OR(L61="", L61=""), "[Aviso] Género no capturado ()", IF(ISNA(MATCH(L61, Criterios!$B$123:$B$127, 0)), "Género no válido", "")), IF(OR(N61="", N61=""), "[Aviso] Temporada no capturada ()", IF(ISNA(MATCH(N61, Criterios!$C$123:$C$128, 0)), "Temporada no válida", "")), IF(OR(O61="", O61=""), "[Aviso] Ciclo de vida no capturado ()", IF(ISNA(MATCH(O61, Criterios!$D$123:$D$124, 0)), "Ciclo de vida no válido", ""))))</f>
        <v/>
      </c>
      <c r="AC61" s="56" t="n"/>
      <c r="AD61" s="51" t="n">
        <v>11</v>
      </c>
      <c r="AE61" s="156" t="inlineStr">
        <is>
          <t>REFLO ALMACEN (6)</t>
        </is>
      </c>
      <c r="AF61" s="51" t="n">
        <v>11</v>
      </c>
      <c r="AG61" s="156" t="inlineStr">
        <is>
          <t>Nuevo – NetSuite con existencia</t>
        </is>
      </c>
      <c r="AH61" s="156" t="inlineStr">
        <is>
          <t>Género no indicado en NetSuite; Físico total NetSuite 11 ≠ suma por ubicación 6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61" s="156" t="inlineStr">
        <is>
          <t>No</t>
        </is>
      </c>
      <c r="AJ61" s="156" t="n"/>
      <c r="AK61" s="155" t="inlineStr">
        <is>
          <t>G1522ProductosTodosloscamposSandboxResults894.xlsx: fila 45485 [X,Y]; G1522_Extraccion_Articulos_NetSuite_2026-09-30.xlsx: fila 37620 [Z]</t>
        </is>
      </c>
      <c r="AL61" s="58" t="n">
        <v>22.75</v>
      </c>
      <c r="AM61" s="58" t="n"/>
      <c r="AN61" s="155" t="n"/>
      <c r="AO61" s="59" t="n"/>
      <c r="AP61" s="59" t="n"/>
      <c r="AQ61" s="59" t="n"/>
      <c r="AR61" s="155" t="n"/>
    </row>
    <row r="62">
      <c r="A62" s="50" t="inlineStr">
        <is>
          <t>5056658702525</t>
        </is>
      </c>
      <c r="B62" s="51" t="inlineStr">
        <is>
          <t>79288</t>
        </is>
      </c>
      <c r="C62" s="156" t="inlineStr">
        <is>
          <t>REFLO</t>
        </is>
      </c>
      <c r="D62" s="156" t="inlineStr">
        <is>
          <t>BOHTAN</t>
        </is>
      </c>
      <c r="E62" s="156" t="inlineStr">
        <is>
          <t>BOHTAN-2XL</t>
        </is>
      </c>
      <c r="F62" s="156" t="inlineStr">
        <is>
          <t>XXL</t>
        </is>
      </c>
      <c r="G62" s="156" t="inlineStr">
        <is>
          <t>XXL</t>
        </is>
      </c>
      <c r="H62" s="156" t="inlineStr">
        <is>
          <t>REFLO</t>
        </is>
      </c>
      <c r="I62" s="156" t="inlineStr">
        <is>
          <t>Playera tipo polo REFLO Bohai 2.0 Tangerine</t>
        </is>
      </c>
      <c r="J62" s="156" t="inlineStr">
        <is>
          <t>Ropa</t>
        </is>
      </c>
      <c r="K62" s="156" t="inlineStr">
        <is>
          <t>Playeras</t>
        </is>
      </c>
      <c r="L62" s="156" t="n"/>
      <c r="M62" s="156" t="inlineStr">
        <is>
          <t>REFLO</t>
        </is>
      </c>
      <c r="N62" s="156" t="n"/>
      <c r="O62" s="156" t="n"/>
      <c r="P62" s="156" t="inlineStr">
        <is>
          <t>Naranja</t>
        </is>
      </c>
      <c r="Q62" s="156" t="n"/>
      <c r="R62" s="156" t="n"/>
      <c r="S62" s="156" t="inlineStr">
        <is>
          <t>100% Poliéster reciclado</t>
        </is>
      </c>
      <c r="T62" s="156" t="inlineStr">
        <is>
          <t>Playera tipo polo de golf REFLO modelo Bohai 2.0 en color Tangerine, confeccionado con materiales reciclados. Estilo BOHTAN.</t>
        </is>
      </c>
      <c r="U62" s="156" t="inlineStr">
        <is>
          <t>China</t>
        </is>
      </c>
      <c r="V62" s="156" t="inlineStr">
        <is>
          <t>PZS</t>
        </is>
      </c>
      <c r="W62" s="51" t="inlineStr">
        <is>
          <t>53101600</t>
        </is>
      </c>
      <c r="X62" s="156" t="inlineStr">
        <is>
          <t>https://i.ibb.co/zXBdrqT/BOHTAN.jpg</t>
        </is>
      </c>
      <c r="Y62" s="54" t="n">
        <v>22.75</v>
      </c>
      <c r="Z62" s="54" t="n">
        <v>1649</v>
      </c>
      <c r="AA62" s="55">
        <f>IF(AND(A62="", B62="", E62=""), "", IF(AB62="", "Válido", IF((LEN(AB62)-LEN(SUBSTITUTE(AB62,"; ","")))/2+1&gt;(LEN(AB62)-LEN(SUBSTITUTE(AB62,"[Aviso]","")))/7, "Con Incidencias", "Válido")))</f>
        <v/>
      </c>
      <c r="AB62" s="56">
        <f>IF(AND(A62="", B62="", E62=""), "", TEXTJOIN("; ", TRUE, IF(OR(TRIM(A62&amp;"")="", ISNUMBER(SEARCH("FALTA", A62))), "UPC faltante/inválido", ""), IF(AND(A62&lt;&gt;"", IFERROR(_xlfn.XMATCH(A62,$A$2:$A$653,0,1)&lt;&gt;_xlfn.XMATCH(A62,$A$2:$A$653,0,-1),FALSE)), "Código de barras duplicado", ""), IF(AND(E62&lt;&gt;"", COUNTIF($E$2:$E$653, E62)&gt;1), "SKU duplicado", ""), IF(OR(J62="", J62=""), "[Aviso] División no capturada ()", IF(ISNA(MATCH(J62, Criterios!$A$123:$A$126, 0)), "División no válida", "")), IF(OR(K62="", K62=""), "[Aviso] Categoría no capturada ()", IF(ISNA(MATCH(K62, Criterios!$A$81:$A$120, 0)), "Categoría no válida", IF(AND(J62&lt;&gt;"", J62&lt;&gt;"", J62&lt;&gt;VLOOKUP(K62, Criterios!$A$81:$B$120, 2, FALSE)), "División no coincide con Categoría", ""))), IF(OR(L62="", L62=""), "[Aviso] Género no capturado ()", IF(ISNA(MATCH(L62, Criterios!$B$123:$B$127, 0)), "Género no válido", "")), IF(OR(N62="", N62=""), "[Aviso] Temporada no capturada ()", IF(ISNA(MATCH(N62, Criterios!$C$123:$C$128, 0)), "Temporada no válida", "")), IF(OR(O62="", O62=""), "[Aviso] Ciclo de vida no capturado ()", IF(ISNA(MATCH(O62, Criterios!$D$123:$D$124, 0)), "Ciclo de vida no válido", ""))))</f>
        <v/>
      </c>
      <c r="AC62" s="56" t="n"/>
      <c r="AD62" s="51" t="n">
        <v>3</v>
      </c>
      <c r="AE62" s="156" t="inlineStr">
        <is>
          <t>REFLO ALMACEN (2)</t>
        </is>
      </c>
      <c r="AF62" s="51" t="n">
        <v>3</v>
      </c>
      <c r="AG62" s="156" t="inlineStr">
        <is>
          <t>Nuevo – NetSuite con existencia</t>
        </is>
      </c>
      <c r="AH62" s="156" t="inlineStr">
        <is>
          <t>Género no indicado en NetSuite; Físico total NetSuite 3 ≠ suma por ubicación 2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62" s="156" t="inlineStr">
        <is>
          <t>No</t>
        </is>
      </c>
      <c r="AJ62" s="156" t="n"/>
      <c r="AK62" s="155" t="inlineStr">
        <is>
          <t>G1522ProductosTodosloscamposSandboxResults894.xlsx: fila 45486 [X,Y]; G1522_Extraccion_Articulos_NetSuite_2026-09-30.xlsx: fila 37621 [Z]</t>
        </is>
      </c>
      <c r="AL62" s="58" t="n">
        <v>22.75</v>
      </c>
      <c r="AM62" s="58" t="n"/>
      <c r="AN62" s="155" t="n"/>
      <c r="AO62" s="59" t="n"/>
      <c r="AP62" s="59" t="n"/>
      <c r="AQ62" s="59" t="n"/>
      <c r="AR62" s="155" t="n"/>
    </row>
    <row r="63">
      <c r="A63" s="50" t="inlineStr">
        <is>
          <t>5056658702488</t>
        </is>
      </c>
      <c r="B63" s="51" t="inlineStr">
        <is>
          <t>84424</t>
        </is>
      </c>
      <c r="C63" s="156" t="inlineStr">
        <is>
          <t>REFLO</t>
        </is>
      </c>
      <c r="D63" s="156" t="inlineStr">
        <is>
          <t>BOHTAN</t>
        </is>
      </c>
      <c r="E63" s="156" t="inlineStr">
        <is>
          <t>BOHTAN-S</t>
        </is>
      </c>
      <c r="F63" s="156" t="inlineStr">
        <is>
          <t>S</t>
        </is>
      </c>
      <c r="G63" s="156" t="inlineStr">
        <is>
          <t>S</t>
        </is>
      </c>
      <c r="H63" s="156" t="inlineStr">
        <is>
          <t>REFLO</t>
        </is>
      </c>
      <c r="I63" s="156" t="inlineStr">
        <is>
          <t>Playera tipo polo REFLO Bohai Tangerine</t>
        </is>
      </c>
      <c r="J63" s="156" t="inlineStr">
        <is>
          <t>Ropa</t>
        </is>
      </c>
      <c r="K63" s="156" t="inlineStr">
        <is>
          <t>Playeras</t>
        </is>
      </c>
      <c r="L63" s="156" t="n"/>
      <c r="M63" s="156" t="inlineStr">
        <is>
          <t>REFLO</t>
        </is>
      </c>
      <c r="N63" s="156" t="n"/>
      <c r="O63" s="156" t="n"/>
      <c r="P63" s="156" t="inlineStr">
        <is>
          <t>Naranja</t>
        </is>
      </c>
      <c r="Q63" s="156" t="n"/>
      <c r="R63" s="156" t="n"/>
      <c r="S63" s="156" t="inlineStr">
        <is>
          <t>100% Poliéster reciclado</t>
        </is>
      </c>
      <c r="T63" s="156" t="inlineStr">
        <is>
          <t>Playera tipo polo de golf REFLO modelo Bohai en color Tangerine, confeccionado con materiales reciclados. Estilo BOHTAN.</t>
        </is>
      </c>
      <c r="U63" s="156" t="inlineStr">
        <is>
          <t>China</t>
        </is>
      </c>
      <c r="V63" s="156" t="inlineStr">
        <is>
          <t>PZS</t>
        </is>
      </c>
      <c r="W63" s="51" t="inlineStr">
        <is>
          <t>53101600</t>
        </is>
      </c>
      <c r="X63" s="156" t="inlineStr">
        <is>
          <t>https://i.ibb.co/zXBdrqT/BOHTAN.jpg</t>
        </is>
      </c>
      <c r="Y63" s="54" t="n">
        <v>22.75</v>
      </c>
      <c r="Z63" s="54" t="n">
        <v>1649</v>
      </c>
      <c r="AA63" s="55">
        <f>IF(AND(A63="", B63="", E63=""), "", IF(AB63="", "Válido", IF((LEN(AB63)-LEN(SUBSTITUTE(AB63,"; ","")))/2+1&gt;(LEN(AB63)-LEN(SUBSTITUTE(AB63,"[Aviso]","")))/7, "Con Incidencias", "Válido")))</f>
        <v/>
      </c>
      <c r="AB63" s="56">
        <f>IF(AND(A63="", B63="", E63=""), "", TEXTJOIN("; ", TRUE, IF(OR(TRIM(A63&amp;"")="", ISNUMBER(SEARCH("FALTA", A63))), "UPC faltante/inválido", ""), IF(AND(A63&lt;&gt;"", IFERROR(_xlfn.XMATCH(A63,$A$2:$A$653,0,1)&lt;&gt;_xlfn.XMATCH(A63,$A$2:$A$653,0,-1),FALSE)), "Código de barras duplicado", ""), IF(AND(E63&lt;&gt;"", COUNTIF($E$2:$E$653, E63)&gt;1), "SKU duplicado", ""), IF(OR(J63="", J63=""), "[Aviso] División no capturada ()", IF(ISNA(MATCH(J63, Criterios!$A$123:$A$126, 0)), "División no válida", "")), IF(OR(K63="", K63=""), "[Aviso] Categoría no capturada ()", IF(ISNA(MATCH(K63, Criterios!$A$81:$A$120, 0)), "Categoría no válida", IF(AND(J63&lt;&gt;"", J63&lt;&gt;"", J63&lt;&gt;VLOOKUP(K63, Criterios!$A$81:$B$120, 2, FALSE)), "División no coincide con Categoría", ""))), IF(OR(L63="", L63=""), "[Aviso] Género no capturado ()", IF(ISNA(MATCH(L63, Criterios!$B$123:$B$127, 0)), "Género no válido", "")), IF(OR(N63="", N63=""), "[Aviso] Temporada no capturada ()", IF(ISNA(MATCH(N63, Criterios!$C$123:$C$128, 0)), "Temporada no válida", "")), IF(OR(O63="", O63=""), "[Aviso] Ciclo de vida no capturado ()", IF(ISNA(MATCH(O63, Criterios!$D$123:$D$124, 0)), "Ciclo de vida no válido", ""))))</f>
        <v/>
      </c>
      <c r="AC63" s="56" t="n"/>
      <c r="AD63" s="51" t="n">
        <v>8</v>
      </c>
      <c r="AE63" s="156" t="inlineStr">
        <is>
          <t>CONSIGNA REFLO (2); REFLO ALMACEN (2)</t>
        </is>
      </c>
      <c r="AF63" s="51" t="n">
        <v>8</v>
      </c>
      <c r="AG63" s="156" t="inlineStr">
        <is>
          <t>Nuevo – NetSuite con existencia</t>
        </is>
      </c>
      <c r="AH63" s="156" t="inlineStr">
        <is>
          <t>Género no indicado en NetSuite; Físico total NetSuite 8 ≠ suma por ubicación 4 | Revisión 29/09/2026: Marca REFLO fuera de lista Criterios; Campos sin respaldo: L, N, O, Q; Auditoría NetSuite 30/09/2026: llenado desde NetSuite [Z] | Homologación G1522 06/10/2026: Validador Shopify: WB: precio con IVA no termina en 9</t>
        </is>
      </c>
      <c r="AI63" s="156" t="inlineStr">
        <is>
          <t>No</t>
        </is>
      </c>
      <c r="AJ63" s="156" t="n"/>
      <c r="AK63" s="155" t="inlineStr">
        <is>
          <t>G1522ProductosTodosloscamposSandboxResults894.xlsx: fila 45502 [X,Y]; G1522_Extraccion_Articulos_NetSuite_2026-09-30.xlsx: fila 39593 [Z]</t>
        </is>
      </c>
      <c r="AL63" s="58" t="n">
        <v>22.75</v>
      </c>
      <c r="AM63" s="58" t="n"/>
      <c r="AN63" s="155" t="n"/>
      <c r="AO63" s="59" t="n"/>
      <c r="AP63" s="59" t="n"/>
      <c r="AQ63" s="59" t="n"/>
      <c r="AR63" s="155" t="n"/>
    </row>
    <row r="64">
      <c r="A64" s="50" t="inlineStr">
        <is>
          <t>5056658700187</t>
        </is>
      </c>
      <c r="B64" s="51" t="inlineStr">
        <is>
          <t>79289</t>
        </is>
      </c>
      <c r="C64" s="156" t="inlineStr">
        <is>
          <t>REFLO</t>
        </is>
      </c>
      <c r="D64" s="156" t="inlineStr">
        <is>
          <t>CONGQGRE</t>
        </is>
      </c>
      <c r="E64" s="156" t="inlineStr">
        <is>
          <t>CONGQGRE-M</t>
        </is>
      </c>
      <c r="F64" s="156" t="inlineStr">
        <is>
          <t>M</t>
        </is>
      </c>
      <c r="G64" s="156" t="inlineStr">
        <is>
          <t>M</t>
        </is>
      </c>
      <c r="H64" s="156" t="inlineStr">
        <is>
          <t>REFLO</t>
        </is>
      </c>
      <c r="I64" s="156" t="inlineStr">
        <is>
          <t>Playera tipo polo REFLO Congo Green</t>
        </is>
      </c>
      <c r="J64" s="156" t="inlineStr">
        <is>
          <t>Ropa</t>
        </is>
      </c>
      <c r="K64" s="156" t="inlineStr">
        <is>
          <t>Playeras</t>
        </is>
      </c>
      <c r="L64" s="156" t="n"/>
      <c r="M64" s="156" t="inlineStr">
        <is>
          <t>REFLO</t>
        </is>
      </c>
      <c r="N64" s="156" t="n"/>
      <c r="O64" s="156" t="n"/>
      <c r="P64" s="156" t="inlineStr">
        <is>
          <t>Verde</t>
        </is>
      </c>
      <c r="Q64" s="156" t="n"/>
      <c r="R64" s="156" t="n"/>
      <c r="S64" s="156" t="inlineStr">
        <is>
          <t>Poliéster reciclado</t>
        </is>
      </c>
      <c r="T64" s="156" t="inlineStr">
        <is>
          <t>Playera tipo polo de golf REFLO modelo Congo en color Green, confeccionado con materiales reciclados. Estilo CONGQGRE.</t>
        </is>
      </c>
      <c r="U64" s="156" t="n"/>
      <c r="V64" s="156" t="inlineStr">
        <is>
          <t>PZS</t>
        </is>
      </c>
      <c r="W64" s="51" t="inlineStr">
        <is>
          <t>53101600</t>
        </is>
      </c>
      <c r="X64" s="156" t="inlineStr">
        <is>
          <t>https://i.ibb.co/q5LPMPZ/CONGQGRE.jpg</t>
        </is>
      </c>
      <c r="Y64" s="54" t="n">
        <v>26</v>
      </c>
      <c r="Z64" s="54" t="n">
        <v>1899</v>
      </c>
      <c r="AA64" s="55">
        <f>IF(AND(A64="", B64="", E64=""), "", IF(AB64="", "Válido", IF((LEN(AB64)-LEN(SUBSTITUTE(AB64,"; ","")))/2+1&gt;(LEN(AB64)-LEN(SUBSTITUTE(AB64,"[Aviso]","")))/7, "Con Incidencias", "Válido")))</f>
        <v/>
      </c>
      <c r="AB64" s="56">
        <f>IF(AND(A64="", B64="", E64=""), "", TEXTJOIN("; ", TRUE, IF(OR(TRIM(A64&amp;"")="", ISNUMBER(SEARCH("FALTA", A64))), "UPC faltante/inválido", ""), IF(AND(A64&lt;&gt;"", IFERROR(_xlfn.XMATCH(A64,$A$2:$A$653,0,1)&lt;&gt;_xlfn.XMATCH(A64,$A$2:$A$653,0,-1),FALSE)), "Código de barras duplicado", ""), IF(AND(E64&lt;&gt;"", COUNTIF($E$2:$E$653, E64)&gt;1), "SKU duplicado", ""), IF(OR(J64="", J64=""), "[Aviso] División no capturada ()", IF(ISNA(MATCH(J64, Criterios!$A$123:$A$126, 0)), "División no válida", "")), IF(OR(K64="", K64=""), "[Aviso] Categoría no capturada ()", IF(ISNA(MATCH(K64, Criterios!$A$81:$A$120, 0)), "Categoría no válida", IF(AND(J64&lt;&gt;"", J64&lt;&gt;"", J64&lt;&gt;VLOOKUP(K64, Criterios!$A$81:$B$120, 2, FALSE)), "División no coincide con Categoría", ""))), IF(OR(L64="", L64=""), "[Aviso] Género no capturado ()", IF(ISNA(MATCH(L64, Criterios!$B$123:$B$127, 0)), "Género no válido", "")), IF(OR(N64="", N64=""), "[Aviso] Temporada no capturada ()", IF(ISNA(MATCH(N64, Criterios!$C$123:$C$128, 0)), "Temporada no válida", "")), IF(OR(O64="", O64=""), "[Aviso] Ciclo de vida no capturado ()", IF(ISNA(MATCH(O64, Criterios!$D$123:$D$124, 0)), "Ciclo de vida no válido", ""))))</f>
        <v/>
      </c>
      <c r="AC64" s="56" t="n"/>
      <c r="AD64" s="51" t="n">
        <v>4</v>
      </c>
      <c r="AE64" s="156" t="inlineStr">
        <is>
          <t>REFLO ALMACEN (2); CONSIGNA REFLO (1)</t>
        </is>
      </c>
      <c r="AF64" s="51" t="n">
        <v>4</v>
      </c>
      <c r="AG64" s="156" t="inlineStr">
        <is>
          <t>Nuevo – NetSuite con existencia</t>
        </is>
      </c>
      <c r="AH64" s="156" t="inlineStr">
        <is>
          <t>Género no indicado en NetSuite; Composición: poliéster reciclado (validar % en etiqueta); Físico total NetSuite 4 ≠ suma por ubicación 3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64" s="156" t="inlineStr">
        <is>
          <t>No</t>
        </is>
      </c>
      <c r="AJ64" s="156" t="n"/>
      <c r="AK64" s="155" t="inlineStr">
        <is>
          <t>G1522ProductosTodosloscamposSandboxResults894.xlsx: fila 48440 [X,Y]; G1522_Extraccion_Articulos_NetSuite_2026-09-30.xlsx: fila 37622 [Z]</t>
        </is>
      </c>
      <c r="AL64" s="58" t="n">
        <v>26</v>
      </c>
      <c r="AM64" s="58" t="n"/>
      <c r="AN64" s="155" t="n"/>
      <c r="AO64" s="59" t="n"/>
      <c r="AP64" s="59" t="n"/>
      <c r="AQ64" s="59" t="n"/>
      <c r="AR64" s="155" t="n"/>
    </row>
    <row r="65">
      <c r="A65" s="50" t="inlineStr">
        <is>
          <t>5056658700194</t>
        </is>
      </c>
      <c r="B65" s="51" t="inlineStr">
        <is>
          <t>79290</t>
        </is>
      </c>
      <c r="C65" s="156" t="inlineStr">
        <is>
          <t>REFLO</t>
        </is>
      </c>
      <c r="D65" s="156" t="inlineStr">
        <is>
          <t>CONGQGRE</t>
        </is>
      </c>
      <c r="E65" s="156" t="inlineStr">
        <is>
          <t>CONGQGRE-L</t>
        </is>
      </c>
      <c r="F65" s="156" t="inlineStr">
        <is>
          <t>L</t>
        </is>
      </c>
      <c r="G65" s="156" t="inlineStr">
        <is>
          <t>L</t>
        </is>
      </c>
      <c r="H65" s="156" t="inlineStr">
        <is>
          <t>REFLO</t>
        </is>
      </c>
      <c r="I65" s="156" t="inlineStr">
        <is>
          <t>Playera tipo polo REFLO Congo Green</t>
        </is>
      </c>
      <c r="J65" s="156" t="inlineStr">
        <is>
          <t>Ropa</t>
        </is>
      </c>
      <c r="K65" s="156" t="inlineStr">
        <is>
          <t>Playeras</t>
        </is>
      </c>
      <c r="L65" s="156" t="n"/>
      <c r="M65" s="156" t="inlineStr">
        <is>
          <t>REFLO</t>
        </is>
      </c>
      <c r="N65" s="156" t="n"/>
      <c r="O65" s="156" t="n"/>
      <c r="P65" s="156" t="inlineStr">
        <is>
          <t>Verde</t>
        </is>
      </c>
      <c r="Q65" s="156" t="n"/>
      <c r="R65" s="156" t="n"/>
      <c r="S65" s="156" t="inlineStr">
        <is>
          <t>Poliéster reciclado</t>
        </is>
      </c>
      <c r="T65" s="156" t="inlineStr">
        <is>
          <t>Playera tipo polo de golf REFLO modelo Congo en color Green, confeccionado con materiales reciclados. Estilo CONGQGRE.</t>
        </is>
      </c>
      <c r="U65" s="156" t="n"/>
      <c r="V65" s="156" t="inlineStr">
        <is>
          <t>PZS</t>
        </is>
      </c>
      <c r="W65" s="51" t="inlineStr">
        <is>
          <t>53101600</t>
        </is>
      </c>
      <c r="X65" s="156" t="inlineStr">
        <is>
          <t>https://i.ibb.co/q5LPMPZ/CONGQGRE.jpg</t>
        </is>
      </c>
      <c r="Y65" s="54" t="n">
        <v>26</v>
      </c>
      <c r="Z65" s="54" t="n">
        <v>1899</v>
      </c>
      <c r="AA65" s="55">
        <f>IF(AND(A65="", B65="", E65=""), "", IF(AB65="", "Válido", IF((LEN(AB65)-LEN(SUBSTITUTE(AB65,"; ","")))/2+1&gt;(LEN(AB65)-LEN(SUBSTITUTE(AB65,"[Aviso]","")))/7, "Con Incidencias", "Válido")))</f>
        <v/>
      </c>
      <c r="AB65" s="56">
        <f>IF(AND(A65="", B65="", E65=""), "", TEXTJOIN("; ", TRUE, IF(OR(TRIM(A65&amp;"")="", ISNUMBER(SEARCH("FALTA", A65))), "UPC faltante/inválido", ""), IF(AND(A65&lt;&gt;"", IFERROR(_xlfn.XMATCH(A65,$A$2:$A$653,0,1)&lt;&gt;_xlfn.XMATCH(A65,$A$2:$A$653,0,-1),FALSE)), "Código de barras duplicado", ""), IF(AND(E65&lt;&gt;"", COUNTIF($E$2:$E$653, E65)&gt;1), "SKU duplicado", ""), IF(OR(J65="", J65=""), "[Aviso] División no capturada ()", IF(ISNA(MATCH(J65, Criterios!$A$123:$A$126, 0)), "División no válida", "")), IF(OR(K65="", K65=""), "[Aviso] Categoría no capturada ()", IF(ISNA(MATCH(K65, Criterios!$A$81:$A$120, 0)), "Categoría no válida", IF(AND(J65&lt;&gt;"", J65&lt;&gt;"", J65&lt;&gt;VLOOKUP(K65, Criterios!$A$81:$B$120, 2, FALSE)), "División no coincide con Categoría", ""))), IF(OR(L65="", L65=""), "[Aviso] Género no capturado ()", IF(ISNA(MATCH(L65, Criterios!$B$123:$B$127, 0)), "Género no válido", "")), IF(OR(N65="", N65=""), "[Aviso] Temporada no capturada ()", IF(ISNA(MATCH(N65, Criterios!$C$123:$C$128, 0)), "Temporada no válida", "")), IF(OR(O65="", O65=""), "[Aviso] Ciclo de vida no capturado ()", IF(ISNA(MATCH(O65, Criterios!$D$123:$D$124, 0)), "Ciclo de vida no válido", ""))))</f>
        <v/>
      </c>
      <c r="AC65" s="56" t="n"/>
      <c r="AD65" s="51" t="n">
        <v>4</v>
      </c>
      <c r="AE65" s="156" t="inlineStr">
        <is>
          <t>CONSIGNA REFLO (1); REFLO ALMACEN (2); MUESTRAS REFLO (1)</t>
        </is>
      </c>
      <c r="AF65" s="51" t="n">
        <v>3</v>
      </c>
      <c r="AG65" s="156" t="inlineStr">
        <is>
          <t>Nuevo – NetSuite con existencia</t>
        </is>
      </c>
      <c r="AH65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65" s="156" t="inlineStr">
        <is>
          <t>No</t>
        </is>
      </c>
      <c r="AJ65" s="156" t="n"/>
      <c r="AK65" s="155" t="inlineStr">
        <is>
          <t>G1522ProductosTodosloscamposSandboxResults894.xlsx: fila 48441 [X,Y]; G1522_Extraccion_Articulos_NetSuite_2026-09-30.xlsx: fila 37623 [Z]</t>
        </is>
      </c>
      <c r="AL65" s="58" t="n">
        <v>26</v>
      </c>
      <c r="AM65" s="58" t="n"/>
      <c r="AN65" s="155" t="n"/>
      <c r="AO65" s="59" t="n"/>
      <c r="AP65" s="59" t="n"/>
      <c r="AQ65" s="59" t="n"/>
      <c r="AR65" s="155" t="n"/>
    </row>
    <row r="66">
      <c r="A66" s="50" t="inlineStr">
        <is>
          <t>5056658700200</t>
        </is>
      </c>
      <c r="B66" s="51" t="inlineStr">
        <is>
          <t>79291</t>
        </is>
      </c>
      <c r="C66" s="156" t="inlineStr">
        <is>
          <t>REFLO</t>
        </is>
      </c>
      <c r="D66" s="156" t="inlineStr">
        <is>
          <t>CONGQGRE</t>
        </is>
      </c>
      <c r="E66" s="156" t="inlineStr">
        <is>
          <t>CONGQGRE-XL</t>
        </is>
      </c>
      <c r="F66" s="156" t="inlineStr">
        <is>
          <t>XL</t>
        </is>
      </c>
      <c r="G66" s="156" t="inlineStr">
        <is>
          <t>XL</t>
        </is>
      </c>
      <c r="H66" s="156" t="inlineStr">
        <is>
          <t>REFLO</t>
        </is>
      </c>
      <c r="I66" s="156" t="inlineStr">
        <is>
          <t>Playera tipo polo REFLO Congo Green</t>
        </is>
      </c>
      <c r="J66" s="156" t="inlineStr">
        <is>
          <t>Ropa</t>
        </is>
      </c>
      <c r="K66" s="156" t="inlineStr">
        <is>
          <t>Playeras</t>
        </is>
      </c>
      <c r="L66" s="156" t="n"/>
      <c r="M66" s="156" t="inlineStr">
        <is>
          <t>REFLO</t>
        </is>
      </c>
      <c r="N66" s="156" t="n"/>
      <c r="O66" s="156" t="n"/>
      <c r="P66" s="156" t="inlineStr">
        <is>
          <t>Verde</t>
        </is>
      </c>
      <c r="Q66" s="156" t="n"/>
      <c r="R66" s="156" t="n"/>
      <c r="S66" s="156" t="inlineStr">
        <is>
          <t>Poliéster reciclado</t>
        </is>
      </c>
      <c r="T66" s="156" t="inlineStr">
        <is>
          <t>Playera tipo polo de golf REFLO modelo Congo en color Green, confeccionado con materiales reciclados. Estilo CONGQGRE.</t>
        </is>
      </c>
      <c r="U66" s="156" t="n"/>
      <c r="V66" s="156" t="inlineStr">
        <is>
          <t>PZS</t>
        </is>
      </c>
      <c r="W66" s="51" t="inlineStr">
        <is>
          <t>53101600</t>
        </is>
      </c>
      <c r="X66" s="156" t="inlineStr">
        <is>
          <t>https://i.ibb.co/q5LPMPZ/CONGQGRE.jpg</t>
        </is>
      </c>
      <c r="Y66" s="54" t="n">
        <v>26</v>
      </c>
      <c r="Z66" s="54" t="n">
        <v>1899</v>
      </c>
      <c r="AA66" s="55">
        <f>IF(AND(A66="", B66="", E66=""), "", IF(AB66="", "Válido", IF((LEN(AB66)-LEN(SUBSTITUTE(AB66,"; ","")))/2+1&gt;(LEN(AB66)-LEN(SUBSTITUTE(AB66,"[Aviso]","")))/7, "Con Incidencias", "Válido")))</f>
        <v/>
      </c>
      <c r="AB66" s="56">
        <f>IF(AND(A66="", B66="", E66=""), "", TEXTJOIN("; ", TRUE, IF(OR(TRIM(A66&amp;"")="", ISNUMBER(SEARCH("FALTA", A66))), "UPC faltante/inválido", ""), IF(AND(A66&lt;&gt;"", IFERROR(_xlfn.XMATCH(A66,$A$2:$A$653,0,1)&lt;&gt;_xlfn.XMATCH(A66,$A$2:$A$653,0,-1),FALSE)), "Código de barras duplicado", ""), IF(AND(E66&lt;&gt;"", COUNTIF($E$2:$E$653, E66)&gt;1), "SKU duplicado", ""), IF(OR(J66="", J66=""), "[Aviso] División no capturada ()", IF(ISNA(MATCH(J66, Criterios!$A$123:$A$126, 0)), "División no válida", "")), IF(OR(K66="", K66=""), "[Aviso] Categoría no capturada ()", IF(ISNA(MATCH(K66, Criterios!$A$81:$A$120, 0)), "Categoría no válida", IF(AND(J66&lt;&gt;"", J66&lt;&gt;"", J66&lt;&gt;VLOOKUP(K66, Criterios!$A$81:$B$120, 2, FALSE)), "División no coincide con Categoría", ""))), IF(OR(L66="", L66=""), "[Aviso] Género no capturado ()", IF(ISNA(MATCH(L66, Criterios!$B$123:$B$127, 0)), "Género no válido", "")), IF(OR(N66="", N66=""), "[Aviso] Temporada no capturada ()", IF(ISNA(MATCH(N66, Criterios!$C$123:$C$128, 0)), "Temporada no válida", "")), IF(OR(O66="", O66=""), "[Aviso] Ciclo de vida no capturado ()", IF(ISNA(MATCH(O66, Criterios!$D$123:$D$124, 0)), "Ciclo de vida no válido", ""))))</f>
        <v/>
      </c>
      <c r="AC66" s="56" t="n"/>
      <c r="AD66" s="51" t="n">
        <v>9</v>
      </c>
      <c r="AE66" s="156" t="inlineStr">
        <is>
          <t>REFLO ALMACEN (6)</t>
        </is>
      </c>
      <c r="AF66" s="51" t="n">
        <v>9</v>
      </c>
      <c r="AG66" s="156" t="inlineStr">
        <is>
          <t>Nuevo – NetSuite con existencia</t>
        </is>
      </c>
      <c r="AH66" s="156" t="inlineStr">
        <is>
          <t>Género no indicado en NetSuite; Composición: poliéster reciclado (validar % en etiqueta); Físico total NetSuite 9 ≠ suma por ubicación 6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66" s="156" t="inlineStr">
        <is>
          <t>No</t>
        </is>
      </c>
      <c r="AJ66" s="156" t="n"/>
      <c r="AK66" s="155" t="inlineStr">
        <is>
          <t>G1522ProductosTodosloscamposSandboxResults894.xlsx: fila 48442 [X,Y]; G1522_Extraccion_Articulos_NetSuite_2026-09-30.xlsx: fila 37624 [Z]</t>
        </is>
      </c>
      <c r="AL66" s="58" t="n">
        <v>26</v>
      </c>
      <c r="AM66" s="58" t="n"/>
      <c r="AN66" s="155" t="n"/>
      <c r="AO66" s="59" t="n"/>
      <c r="AP66" s="59" t="n"/>
      <c r="AQ66" s="59" t="n"/>
      <c r="AR66" s="155" t="n"/>
    </row>
    <row r="67">
      <c r="A67" s="50" t="inlineStr">
        <is>
          <t>5056658700217</t>
        </is>
      </c>
      <c r="B67" s="51" t="inlineStr">
        <is>
          <t>79292</t>
        </is>
      </c>
      <c r="C67" s="156" t="inlineStr">
        <is>
          <t>REFLO</t>
        </is>
      </c>
      <c r="D67" s="156" t="inlineStr">
        <is>
          <t>CONGQGRE</t>
        </is>
      </c>
      <c r="E67" s="156" t="inlineStr">
        <is>
          <t>CONGQGRE-2XL</t>
        </is>
      </c>
      <c r="F67" s="156" t="inlineStr">
        <is>
          <t>XXL</t>
        </is>
      </c>
      <c r="G67" s="156" t="inlineStr">
        <is>
          <t>XXL</t>
        </is>
      </c>
      <c r="H67" s="156" t="inlineStr">
        <is>
          <t>REFLO</t>
        </is>
      </c>
      <c r="I67" s="156" t="inlineStr">
        <is>
          <t>Playera tipo polo REFLO Congo Green</t>
        </is>
      </c>
      <c r="J67" s="156" t="inlineStr">
        <is>
          <t>Ropa</t>
        </is>
      </c>
      <c r="K67" s="156" t="inlineStr">
        <is>
          <t>Playeras</t>
        </is>
      </c>
      <c r="L67" s="156" t="n"/>
      <c r="M67" s="156" t="inlineStr">
        <is>
          <t>REFLO</t>
        </is>
      </c>
      <c r="N67" s="156" t="n"/>
      <c r="O67" s="156" t="n"/>
      <c r="P67" s="156" t="inlineStr">
        <is>
          <t>Verde</t>
        </is>
      </c>
      <c r="Q67" s="156" t="n"/>
      <c r="R67" s="156" t="n"/>
      <c r="S67" s="156" t="inlineStr">
        <is>
          <t>Poliéster reciclado</t>
        </is>
      </c>
      <c r="T67" s="156" t="inlineStr">
        <is>
          <t>Playera tipo polo de golf REFLO modelo Congo en color Green, confeccionado con materiales reciclados. Estilo CONGQGRE.</t>
        </is>
      </c>
      <c r="U67" s="156" t="n"/>
      <c r="V67" s="156" t="inlineStr">
        <is>
          <t>PZS</t>
        </is>
      </c>
      <c r="W67" s="51" t="inlineStr">
        <is>
          <t>53101600</t>
        </is>
      </c>
      <c r="X67" s="156" t="inlineStr">
        <is>
          <t>https://i.ibb.co/q5LPMPZ/CONGQGRE.jpg</t>
        </is>
      </c>
      <c r="Y67" s="54" t="n">
        <v>26</v>
      </c>
      <c r="Z67" s="54" t="n">
        <v>1899</v>
      </c>
      <c r="AA67" s="55">
        <f>IF(AND(A67="", B67="", E67=""), "", IF(AB67="", "Válido", IF((LEN(AB67)-LEN(SUBSTITUTE(AB67,"; ","")))/2+1&gt;(LEN(AB67)-LEN(SUBSTITUTE(AB67,"[Aviso]","")))/7, "Con Incidencias", "Válido")))</f>
        <v/>
      </c>
      <c r="AB67" s="56">
        <f>IF(AND(A67="", B67="", E67=""), "", TEXTJOIN("; ", TRUE, IF(OR(TRIM(A67&amp;"")="", ISNUMBER(SEARCH("FALTA", A67))), "UPC faltante/inválido", ""), IF(AND(A67&lt;&gt;"", IFERROR(_xlfn.XMATCH(A67,$A$2:$A$653,0,1)&lt;&gt;_xlfn.XMATCH(A67,$A$2:$A$653,0,-1),FALSE)), "Código de barras duplicado", ""), IF(AND(E67&lt;&gt;"", COUNTIF($E$2:$E$653, E67)&gt;1), "SKU duplicado", ""), IF(OR(J67="", J67=""), "[Aviso] División no capturada ()", IF(ISNA(MATCH(J67, Criterios!$A$123:$A$126, 0)), "División no válida", "")), IF(OR(K67="", K67=""), "[Aviso] Categoría no capturada ()", IF(ISNA(MATCH(K67, Criterios!$A$81:$A$120, 0)), "Categoría no válida", IF(AND(J67&lt;&gt;"", J67&lt;&gt;"", J67&lt;&gt;VLOOKUP(K67, Criterios!$A$81:$B$120, 2, FALSE)), "División no coincide con Categoría", ""))), IF(OR(L67="", L67=""), "[Aviso] Género no capturado ()", IF(ISNA(MATCH(L67, Criterios!$B$123:$B$127, 0)), "Género no válido", "")), IF(OR(N67="", N67=""), "[Aviso] Temporada no capturada ()", IF(ISNA(MATCH(N67, Criterios!$C$123:$C$128, 0)), "Temporada no válida", "")), IF(OR(O67="", O67=""), "[Aviso] Ciclo de vida no capturado ()", IF(ISNA(MATCH(O67, Criterios!$D$123:$D$124, 0)), "Ciclo de vida no válido", ""))))</f>
        <v/>
      </c>
      <c r="AC67" s="56" t="n"/>
      <c r="AD67" s="51" t="n">
        <v>3</v>
      </c>
      <c r="AE67" s="156" t="inlineStr">
        <is>
          <t>REFLO ALMACEN (2)</t>
        </is>
      </c>
      <c r="AF67" s="51" t="n">
        <v>3</v>
      </c>
      <c r="AG67" s="156" t="inlineStr">
        <is>
          <t>Nuevo – NetSuite con existencia</t>
        </is>
      </c>
      <c r="AH67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67" s="156" t="inlineStr">
        <is>
          <t>No</t>
        </is>
      </c>
      <c r="AJ67" s="156" t="n"/>
      <c r="AK67" s="155" t="inlineStr">
        <is>
          <t>G1522ProductosTodosloscamposSandboxResults894.xlsx: fila 48443 [X,Y]; G1522_Extraccion_Articulos_NetSuite_2026-09-30.xlsx: fila 37625 [Z]</t>
        </is>
      </c>
      <c r="AL67" s="58" t="n">
        <v>26</v>
      </c>
      <c r="AM67" s="58" t="n"/>
      <c r="AN67" s="155" t="n"/>
      <c r="AO67" s="59" t="n"/>
      <c r="AP67" s="59" t="n"/>
      <c r="AQ67" s="59" t="n"/>
      <c r="AR67" s="155" t="n"/>
    </row>
    <row r="68">
      <c r="A68" s="50" t="inlineStr">
        <is>
          <t>5056658700170</t>
        </is>
      </c>
      <c r="B68" s="51" t="inlineStr">
        <is>
          <t>84425</t>
        </is>
      </c>
      <c r="C68" s="156" t="inlineStr">
        <is>
          <t>REFLO</t>
        </is>
      </c>
      <c r="D68" s="156" t="inlineStr">
        <is>
          <t>CONGQGRE</t>
        </is>
      </c>
      <c r="E68" s="156" t="inlineStr">
        <is>
          <t>CONGQGRE-S</t>
        </is>
      </c>
      <c r="F68" s="156" t="inlineStr">
        <is>
          <t>S</t>
        </is>
      </c>
      <c r="G68" s="156" t="inlineStr">
        <is>
          <t>S</t>
        </is>
      </c>
      <c r="H68" s="156" t="inlineStr">
        <is>
          <t>REFLO</t>
        </is>
      </c>
      <c r="I68" s="156" t="inlineStr">
        <is>
          <t>Playera tipo polo REFLO Congo Green</t>
        </is>
      </c>
      <c r="J68" s="156" t="inlineStr">
        <is>
          <t>Ropa</t>
        </is>
      </c>
      <c r="K68" s="156" t="inlineStr">
        <is>
          <t>Playeras</t>
        </is>
      </c>
      <c r="L68" s="156" t="n"/>
      <c r="M68" s="156" t="inlineStr">
        <is>
          <t>REFLO</t>
        </is>
      </c>
      <c r="N68" s="156" t="n"/>
      <c r="O68" s="156" t="n"/>
      <c r="P68" s="156" t="inlineStr">
        <is>
          <t>Verde</t>
        </is>
      </c>
      <c r="Q68" s="156" t="n"/>
      <c r="R68" s="156" t="n"/>
      <c r="S68" s="156" t="inlineStr">
        <is>
          <t>Poliéster reciclado</t>
        </is>
      </c>
      <c r="T68" s="156" t="inlineStr">
        <is>
          <t>Playera tipo polo de golf REFLO modelo Congo en color Green, confeccionado con materiales reciclados. Estilo CONGQGRE.</t>
        </is>
      </c>
      <c r="U68" s="156" t="n"/>
      <c r="V68" s="156" t="inlineStr">
        <is>
          <t>PZS</t>
        </is>
      </c>
      <c r="W68" s="51" t="inlineStr">
        <is>
          <t>53101600</t>
        </is>
      </c>
      <c r="X68" s="156" t="inlineStr">
        <is>
          <t>https://i.ibb.co/q5LPMPZ/CONGQGRE.jpg</t>
        </is>
      </c>
      <c r="Y68" s="54" t="n">
        <v>26</v>
      </c>
      <c r="Z68" s="54" t="n">
        <v>1899</v>
      </c>
      <c r="AA68" s="55">
        <f>IF(AND(A68="", B68="", E68=""), "", IF(AB68="", "Válido", IF((LEN(AB68)-LEN(SUBSTITUTE(AB68,"; ","")))/2+1&gt;(LEN(AB68)-LEN(SUBSTITUTE(AB68,"[Aviso]","")))/7, "Con Incidencias", "Válido")))</f>
        <v/>
      </c>
      <c r="AB68" s="56">
        <f>IF(AND(A68="", B68="", E68=""), "", TEXTJOIN("; ", TRUE, IF(OR(TRIM(A68&amp;"")="", ISNUMBER(SEARCH("FALTA", A68))), "UPC faltante/inválido", ""), IF(AND(A68&lt;&gt;"", IFERROR(_xlfn.XMATCH(A68,$A$2:$A$653,0,1)&lt;&gt;_xlfn.XMATCH(A68,$A$2:$A$653,0,-1),FALSE)), "Código de barras duplicado", ""), IF(AND(E68&lt;&gt;"", COUNTIF($E$2:$E$653, E68)&gt;1), "SKU duplicado", ""), IF(OR(J68="", J68=""), "[Aviso] División no capturada ()", IF(ISNA(MATCH(J68, Criterios!$A$123:$A$126, 0)), "División no válida", "")), IF(OR(K68="", K68=""), "[Aviso] Categoría no capturada ()", IF(ISNA(MATCH(K68, Criterios!$A$81:$A$120, 0)), "Categoría no válida", IF(AND(J68&lt;&gt;"", J68&lt;&gt;"", J68&lt;&gt;VLOOKUP(K68, Criterios!$A$81:$B$120, 2, FALSE)), "División no coincide con Categoría", ""))), IF(OR(L68="", L68=""), "[Aviso] Género no capturado ()", IF(ISNA(MATCH(L68, Criterios!$B$123:$B$127, 0)), "Género no válido", "")), IF(OR(N68="", N68=""), "[Aviso] Temporada no capturada ()", IF(ISNA(MATCH(N68, Criterios!$C$123:$C$128, 0)), "Temporada no válida", "")), IF(OR(O68="", O68=""), "[Aviso] Ciclo de vida no capturado ()", IF(ISNA(MATCH(O68, Criterios!$D$123:$D$124, 0)), "Ciclo de vida no válido", ""))))</f>
        <v/>
      </c>
      <c r="AC68" s="56" t="n"/>
      <c r="AD68" s="51" t="n">
        <v>6</v>
      </c>
      <c r="AE68" s="156" t="inlineStr">
        <is>
          <t>CONSIGNA REFLO (2); REFLO ALMACEN (2)</t>
        </is>
      </c>
      <c r="AF68" s="51" t="n">
        <v>6</v>
      </c>
      <c r="AG68" s="156" t="inlineStr">
        <is>
          <t>Nuevo – NetSuite con existencia</t>
        </is>
      </c>
      <c r="AH68" s="156" t="inlineStr">
        <is>
          <t>Género no indicado en NetSuite; Composición: poliéster reciclado (validar % en etiqueta); Físico total NetSuite 6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68" s="156" t="inlineStr">
        <is>
          <t>No</t>
        </is>
      </c>
      <c r="AJ68" s="156" t="n"/>
      <c r="AK68" s="155" t="inlineStr">
        <is>
          <t>G1522ProductosTodosloscamposSandboxResults894.xlsx: fila 48439 [X,Y]; G1522_Extraccion_Articulos_NetSuite_2026-09-30.xlsx: fila 39594 [Z]</t>
        </is>
      </c>
      <c r="AL68" s="58" t="n">
        <v>26</v>
      </c>
      <c r="AM68" s="58" t="n"/>
      <c r="AN68" s="155" t="n"/>
      <c r="AO68" s="59" t="n"/>
      <c r="AP68" s="59" t="n"/>
      <c r="AQ68" s="59" t="n"/>
      <c r="AR68" s="155" t="n"/>
    </row>
    <row r="69">
      <c r="A69" s="50" t="inlineStr">
        <is>
          <t>5056658703126</t>
        </is>
      </c>
      <c r="B69" s="51" t="inlineStr">
        <is>
          <t>79191</t>
        </is>
      </c>
      <c r="C69" s="156" t="inlineStr">
        <is>
          <t>REFLO</t>
        </is>
      </c>
      <c r="D69" s="156" t="inlineStr">
        <is>
          <t>DESCAV</t>
        </is>
      </c>
      <c r="E69" s="156" t="inlineStr">
        <is>
          <t>DESCAV-M</t>
        </is>
      </c>
      <c r="F69" s="156" t="inlineStr">
        <is>
          <t>M</t>
        </is>
      </c>
      <c r="G69" s="156" t="inlineStr">
        <is>
          <t>M</t>
        </is>
      </c>
      <c r="H69" s="156" t="inlineStr">
        <is>
          <t>REFLO</t>
        </is>
      </c>
      <c r="I69" s="156" t="inlineStr">
        <is>
          <t>Short 2 en 1 REFLO Desna Caviar</t>
        </is>
      </c>
      <c r="J69" s="156" t="inlineStr">
        <is>
          <t>Ropa</t>
        </is>
      </c>
      <c r="K69" s="156" t="inlineStr">
        <is>
          <t>Shorts</t>
        </is>
      </c>
      <c r="L69" s="156" t="n"/>
      <c r="M69" s="156" t="inlineStr">
        <is>
          <t>REFLO</t>
        </is>
      </c>
      <c r="N69" s="156" t="n"/>
      <c r="O69" s="156" t="n"/>
      <c r="P69" s="156" t="inlineStr">
        <is>
          <t>Negro</t>
        </is>
      </c>
      <c r="Q69" s="156" t="n"/>
      <c r="R69" s="156" t="n"/>
      <c r="S69" s="156" t="inlineStr">
        <is>
          <t>Poliéster reciclado</t>
        </is>
      </c>
      <c r="T69" s="156" t="inlineStr">
        <is>
          <t>Short 2 en 1 de golf REFLO modelo Desna en color Caviar, confeccionado con materiales reciclados. Estilo DESCAV.</t>
        </is>
      </c>
      <c r="U69" s="156" t="n"/>
      <c r="V69" s="156" t="inlineStr">
        <is>
          <t>PZS</t>
        </is>
      </c>
      <c r="W69" s="51" t="inlineStr">
        <is>
          <t>53101500</t>
        </is>
      </c>
      <c r="X69" s="156" t="inlineStr">
        <is>
          <t>https://i.ibb.co/Kh6xX7Y/DESCAV.jpg</t>
        </is>
      </c>
      <c r="Y69" s="54" t="n">
        <v>22.75</v>
      </c>
      <c r="Z69" s="54" t="n">
        <v>1649</v>
      </c>
      <c r="AA69" s="55">
        <f>IF(AND(A69="", B69="", E69=""), "", IF(AB69="", "Válido", IF((LEN(AB69)-LEN(SUBSTITUTE(AB69,"; ","")))/2+1&gt;(LEN(AB69)-LEN(SUBSTITUTE(AB69,"[Aviso]","")))/7, "Con Incidencias", "Válido")))</f>
        <v/>
      </c>
      <c r="AB69" s="56">
        <f>IF(AND(A69="", B69="", E69=""), "", TEXTJOIN("; ", TRUE, IF(OR(TRIM(A69&amp;"")="", ISNUMBER(SEARCH("FALTA", A69))), "UPC faltante/inválido", ""), IF(AND(A69&lt;&gt;"", IFERROR(_xlfn.XMATCH(A69,$A$2:$A$653,0,1)&lt;&gt;_xlfn.XMATCH(A69,$A$2:$A$653,0,-1),FALSE)), "Código de barras duplicado", ""), IF(AND(E69&lt;&gt;"", COUNTIF($E$2:$E$653, E69)&gt;1), "SKU duplicado", ""), IF(OR(J69="", J69=""), "[Aviso] División no capturada ()", IF(ISNA(MATCH(J69, Criterios!$A$123:$A$126, 0)), "División no válida", "")), IF(OR(K69="", K69=""), "[Aviso] Categoría no capturada ()", IF(ISNA(MATCH(K69, Criterios!$A$81:$A$120, 0)), "Categoría no válida", IF(AND(J69&lt;&gt;"", J69&lt;&gt;"", J69&lt;&gt;VLOOKUP(K69, Criterios!$A$81:$B$120, 2, FALSE)), "División no coincide con Categoría", ""))), IF(OR(L69="", L69=""), "[Aviso] Género no capturado ()", IF(ISNA(MATCH(L69, Criterios!$B$123:$B$127, 0)), "Género no válido", "")), IF(OR(N69="", N69=""), "[Aviso] Temporada no capturada ()", IF(ISNA(MATCH(N69, Criterios!$C$123:$C$128, 0)), "Temporada no válida", "")), IF(OR(O69="", O69=""), "[Aviso] Ciclo de vida no capturado ()", IF(ISNA(MATCH(O69, Criterios!$D$123:$D$124, 0)), "Ciclo de vida no válido", ""))))</f>
        <v/>
      </c>
      <c r="AC69" s="56" t="n"/>
      <c r="AD69" s="51" t="n">
        <v>3</v>
      </c>
      <c r="AE69" s="156" t="inlineStr">
        <is>
          <t>REFLO ALMACEN (3)</t>
        </is>
      </c>
      <c r="AF69" s="51" t="n">
        <v>4</v>
      </c>
      <c r="AG69" s="156" t="inlineStr">
        <is>
          <t>Nuevo – NetSuite con existencia</t>
        </is>
      </c>
      <c r="AH69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69" s="156" t="inlineStr">
        <is>
          <t>Sí</t>
        </is>
      </c>
      <c r="AJ69" s="156" t="inlineStr">
        <is>
          <t>CONSIGNA REFLO (-1)</t>
        </is>
      </c>
      <c r="AK69" s="155" t="inlineStr">
        <is>
          <t>G1522ProductosTodosloscamposSandboxResults894.xlsx: fila 48560 [X,Y]; G1522_Extraccion_Articulos_NetSuite_2026-09-30.xlsx: fila 37524 [Z]</t>
        </is>
      </c>
      <c r="AL69" s="58" t="n">
        <v>22.75</v>
      </c>
      <c r="AM69" s="58" t="n"/>
      <c r="AN69" s="155" t="n"/>
      <c r="AO69" s="59" t="n"/>
      <c r="AP69" s="59" t="n"/>
      <c r="AQ69" s="59" t="n"/>
      <c r="AR69" s="155" t="n"/>
    </row>
    <row r="70">
      <c r="A70" s="50" t="inlineStr">
        <is>
          <t>5056658703133</t>
        </is>
      </c>
      <c r="B70" s="51" t="inlineStr">
        <is>
          <t>79192</t>
        </is>
      </c>
      <c r="C70" s="156" t="inlineStr">
        <is>
          <t>REFLO</t>
        </is>
      </c>
      <c r="D70" s="156" t="inlineStr">
        <is>
          <t>DESCAV</t>
        </is>
      </c>
      <c r="E70" s="156" t="inlineStr">
        <is>
          <t>DESCAV-L</t>
        </is>
      </c>
      <c r="F70" s="156" t="inlineStr">
        <is>
          <t>L</t>
        </is>
      </c>
      <c r="G70" s="156" t="inlineStr">
        <is>
          <t>L</t>
        </is>
      </c>
      <c r="H70" s="156" t="inlineStr">
        <is>
          <t>REFLO</t>
        </is>
      </c>
      <c r="I70" s="156" t="inlineStr">
        <is>
          <t>Short 2 en 1 REFLO Desna Caviar</t>
        </is>
      </c>
      <c r="J70" s="156" t="inlineStr">
        <is>
          <t>Ropa</t>
        </is>
      </c>
      <c r="K70" s="156" t="inlineStr">
        <is>
          <t>Shorts</t>
        </is>
      </c>
      <c r="L70" s="156" t="n"/>
      <c r="M70" s="156" t="inlineStr">
        <is>
          <t>REFLO</t>
        </is>
      </c>
      <c r="N70" s="156" t="n"/>
      <c r="O70" s="156" t="n"/>
      <c r="P70" s="156" t="inlineStr">
        <is>
          <t>Negro</t>
        </is>
      </c>
      <c r="Q70" s="156" t="n"/>
      <c r="R70" s="156" t="n"/>
      <c r="S70" s="156" t="inlineStr">
        <is>
          <t>Poliéster reciclado</t>
        </is>
      </c>
      <c r="T70" s="156" t="inlineStr">
        <is>
          <t>Short 2 en 1 de golf REFLO modelo Desna en color Caviar, confeccionado con materiales reciclados. Estilo DESCAV.</t>
        </is>
      </c>
      <c r="U70" s="156" t="n"/>
      <c r="V70" s="156" t="inlineStr">
        <is>
          <t>PZS</t>
        </is>
      </c>
      <c r="W70" s="51" t="inlineStr">
        <is>
          <t>53101500</t>
        </is>
      </c>
      <c r="X70" s="156" t="inlineStr">
        <is>
          <t>https://i.ibb.co/Kh6xX7Y/DESCAV.jpg</t>
        </is>
      </c>
      <c r="Y70" s="54" t="n">
        <v>22.75</v>
      </c>
      <c r="Z70" s="54" t="n">
        <v>1649</v>
      </c>
      <c r="AA70" s="55">
        <f>IF(AND(A70="", B70="", E70=""), "", IF(AB70="", "Válido", IF((LEN(AB70)-LEN(SUBSTITUTE(AB70,"; ","")))/2+1&gt;(LEN(AB70)-LEN(SUBSTITUTE(AB70,"[Aviso]","")))/7, "Con Incidencias", "Válido")))</f>
        <v/>
      </c>
      <c r="AB70" s="56">
        <f>IF(AND(A70="", B70="", E70=""), "", TEXTJOIN("; ", TRUE, IF(OR(TRIM(A70&amp;"")="", ISNUMBER(SEARCH("FALTA", A70))), "UPC faltante/inválido", ""), IF(AND(A70&lt;&gt;"", IFERROR(_xlfn.XMATCH(A70,$A$2:$A$653,0,1)&lt;&gt;_xlfn.XMATCH(A70,$A$2:$A$653,0,-1),FALSE)), "Código de barras duplicado", ""), IF(AND(E70&lt;&gt;"", COUNTIF($E$2:$E$653, E70)&gt;1), "SKU duplicado", ""), IF(OR(J70="", J70=""), "[Aviso] División no capturada ()", IF(ISNA(MATCH(J70, Criterios!$A$123:$A$126, 0)), "División no válida", "")), IF(OR(K70="", K70=""), "[Aviso] Categoría no capturada ()", IF(ISNA(MATCH(K70, Criterios!$A$81:$A$120, 0)), "Categoría no válida", IF(AND(J70&lt;&gt;"", J70&lt;&gt;"", J70&lt;&gt;VLOOKUP(K70, Criterios!$A$81:$B$120, 2, FALSE)), "División no coincide con Categoría", ""))), IF(OR(L70="", L70=""), "[Aviso] Género no capturado ()", IF(ISNA(MATCH(L70, Criterios!$B$123:$B$127, 0)), "Género no válido", "")), IF(OR(N70="", N70=""), "[Aviso] Temporada no capturada ()", IF(ISNA(MATCH(N70, Criterios!$C$123:$C$128, 0)), "Temporada no válida", "")), IF(OR(O70="", O70=""), "[Aviso] Ciclo de vida no capturado ()", IF(ISNA(MATCH(O70, Criterios!$D$123:$D$124, 0)), "Ciclo de vida no válido", ""))))</f>
        <v/>
      </c>
      <c r="AC70" s="56" t="n"/>
      <c r="AD70" s="51" t="n">
        <v>5</v>
      </c>
      <c r="AE70" s="156" t="inlineStr">
        <is>
          <t>MUESTRAS REFLO (1); REFLO ALMACEN (4)</t>
        </is>
      </c>
      <c r="AF70" s="51" t="n">
        <v>5</v>
      </c>
      <c r="AG70" s="156" t="inlineStr">
        <is>
          <t>Nuevo – NetSuite con existencia</t>
        </is>
      </c>
      <c r="AH70" s="156" t="inlineStr">
        <is>
          <t>Género no indicado en NetSuite; Composición: poliéster reciclado (validar % en etiqueta); Físico total NetSuite 5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0" s="156" t="inlineStr">
        <is>
          <t>Sí</t>
        </is>
      </c>
      <c r="AJ70" s="156" t="inlineStr">
        <is>
          <t>CONSIGNA REFLO (-1)</t>
        </is>
      </c>
      <c r="AK70" s="155" t="inlineStr">
        <is>
          <t>G1522ProductosTodosloscamposSandboxResults894.xlsx: fila 48561 [X,Y]; G1522_Extraccion_Articulos_NetSuite_2026-09-30.xlsx: fila 37525 [Z]</t>
        </is>
      </c>
      <c r="AL70" s="58" t="n">
        <v>22.75</v>
      </c>
      <c r="AM70" s="58" t="n"/>
      <c r="AN70" s="155" t="n"/>
      <c r="AO70" s="59" t="n"/>
      <c r="AP70" s="59" t="n"/>
      <c r="AQ70" s="59" t="n"/>
      <c r="AR70" s="155" t="n"/>
    </row>
    <row r="71">
      <c r="A71" s="50" t="inlineStr">
        <is>
          <t>5056658703140</t>
        </is>
      </c>
      <c r="B71" s="51" t="inlineStr">
        <is>
          <t>79193</t>
        </is>
      </c>
      <c r="C71" s="156" t="inlineStr">
        <is>
          <t>REFLO</t>
        </is>
      </c>
      <c r="D71" s="156" t="inlineStr">
        <is>
          <t>DESCAV</t>
        </is>
      </c>
      <c r="E71" s="156" t="inlineStr">
        <is>
          <t>DESCAV-XL</t>
        </is>
      </c>
      <c r="F71" s="156" t="inlineStr">
        <is>
          <t>XL</t>
        </is>
      </c>
      <c r="G71" s="156" t="inlineStr">
        <is>
          <t>XL</t>
        </is>
      </c>
      <c r="H71" s="156" t="inlineStr">
        <is>
          <t>REFLO</t>
        </is>
      </c>
      <c r="I71" s="156" t="inlineStr">
        <is>
          <t>Short 2 en 1 REFLO Desna Caviar</t>
        </is>
      </c>
      <c r="J71" s="156" t="inlineStr">
        <is>
          <t>Ropa</t>
        </is>
      </c>
      <c r="K71" s="156" t="inlineStr">
        <is>
          <t>Shorts</t>
        </is>
      </c>
      <c r="L71" s="156" t="n"/>
      <c r="M71" s="156" t="inlineStr">
        <is>
          <t>REFLO</t>
        </is>
      </c>
      <c r="N71" s="156" t="n"/>
      <c r="O71" s="156" t="n"/>
      <c r="P71" s="156" t="inlineStr">
        <is>
          <t>Negro</t>
        </is>
      </c>
      <c r="Q71" s="156" t="n"/>
      <c r="R71" s="156" t="n"/>
      <c r="S71" s="156" t="inlineStr">
        <is>
          <t>Poliéster reciclado</t>
        </is>
      </c>
      <c r="T71" s="156" t="inlineStr">
        <is>
          <t>Short 2 en 1 de golf REFLO modelo Desna en color Caviar, confeccionado con materiales reciclados. Estilo DESCAV.</t>
        </is>
      </c>
      <c r="U71" s="156" t="n"/>
      <c r="V71" s="156" t="inlineStr">
        <is>
          <t>PZS</t>
        </is>
      </c>
      <c r="W71" s="51" t="inlineStr">
        <is>
          <t>53101500</t>
        </is>
      </c>
      <c r="X71" s="156" t="inlineStr">
        <is>
          <t>https://i.ibb.co/Kh6xX7Y/DESCAV.jpg</t>
        </is>
      </c>
      <c r="Y71" s="54" t="n">
        <v>22.75</v>
      </c>
      <c r="Z71" s="54" t="n">
        <v>1649</v>
      </c>
      <c r="AA71" s="55">
        <f>IF(AND(A71="", B71="", E71=""), "", IF(AB71="", "Válido", IF((LEN(AB71)-LEN(SUBSTITUTE(AB71,"; ","")))/2+1&gt;(LEN(AB71)-LEN(SUBSTITUTE(AB71,"[Aviso]","")))/7, "Con Incidencias", "Válido")))</f>
        <v/>
      </c>
      <c r="AB71" s="56">
        <f>IF(AND(A71="", B71="", E71=""), "", TEXTJOIN("; ", TRUE, IF(OR(TRIM(A71&amp;"")="", ISNUMBER(SEARCH("FALTA", A71))), "UPC faltante/inválido", ""), IF(AND(A71&lt;&gt;"", IFERROR(_xlfn.XMATCH(A71,$A$2:$A$653,0,1)&lt;&gt;_xlfn.XMATCH(A71,$A$2:$A$653,0,-1),FALSE)), "Código de barras duplicado", ""), IF(AND(E71&lt;&gt;"", COUNTIF($E$2:$E$653, E71)&gt;1), "SKU duplicado", ""), IF(OR(J71="", J71=""), "[Aviso] División no capturada ()", IF(ISNA(MATCH(J71, Criterios!$A$123:$A$126, 0)), "División no válida", "")), IF(OR(K71="", K71=""), "[Aviso] Categoría no capturada ()", IF(ISNA(MATCH(K71, Criterios!$A$81:$A$120, 0)), "Categoría no válida", IF(AND(J71&lt;&gt;"", J71&lt;&gt;"", J71&lt;&gt;VLOOKUP(K71, Criterios!$A$81:$B$120, 2, FALSE)), "División no coincide con Categoría", ""))), IF(OR(L71="", L71=""), "[Aviso] Género no capturado ()", IF(ISNA(MATCH(L71, Criterios!$B$123:$B$127, 0)), "Género no válido", "")), IF(OR(N71="", N71=""), "[Aviso] Temporada no capturada ()", IF(ISNA(MATCH(N71, Criterios!$C$123:$C$128, 0)), "Temporada no válida", "")), IF(OR(O71="", O71=""), "[Aviso] Ciclo de vida no capturado ()", IF(ISNA(MATCH(O71, Criterios!$D$123:$D$124, 0)), "Ciclo de vida no válido", ""))))</f>
        <v/>
      </c>
      <c r="AC71" s="56" t="n"/>
      <c r="AD71" s="51" t="n">
        <v>7</v>
      </c>
      <c r="AE71" s="156" t="inlineStr">
        <is>
          <t>REFLO ALMACEN (5)</t>
        </is>
      </c>
      <c r="AF71" s="51" t="n">
        <v>8</v>
      </c>
      <c r="AG71" s="156" t="inlineStr">
        <is>
          <t>Nuevo – NetSuite con existencia</t>
        </is>
      </c>
      <c r="AH71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1" s="156" t="inlineStr">
        <is>
          <t>Sí</t>
        </is>
      </c>
      <c r="AJ71" s="156" t="inlineStr">
        <is>
          <t>CONSIGNA REFLO (-1)</t>
        </is>
      </c>
      <c r="AK71" s="155" t="inlineStr">
        <is>
          <t>G1522ProductosTodosloscamposSandboxResults894.xlsx: fila 48562 [X,Y]; G1522_Extraccion_Articulos_NetSuite_2026-09-30.xlsx: fila 37526 [Z]</t>
        </is>
      </c>
      <c r="AL71" s="58" t="n">
        <v>22.75</v>
      </c>
      <c r="AM71" s="58" t="n"/>
      <c r="AN71" s="155" t="n"/>
      <c r="AO71" s="59" t="n"/>
      <c r="AP71" s="59" t="n"/>
      <c r="AQ71" s="59" t="n"/>
      <c r="AR71" s="155" t="n"/>
    </row>
    <row r="72">
      <c r="A72" s="50" t="inlineStr">
        <is>
          <t>5056658703157</t>
        </is>
      </c>
      <c r="B72" s="51" t="inlineStr">
        <is>
          <t>79194</t>
        </is>
      </c>
      <c r="C72" s="156" t="inlineStr">
        <is>
          <t>REFLO</t>
        </is>
      </c>
      <c r="D72" s="156" t="inlineStr">
        <is>
          <t>DESCAV</t>
        </is>
      </c>
      <c r="E72" s="156" t="inlineStr">
        <is>
          <t>DESCAV-2XL</t>
        </is>
      </c>
      <c r="F72" s="156" t="inlineStr">
        <is>
          <t>XXL</t>
        </is>
      </c>
      <c r="G72" s="156" t="inlineStr">
        <is>
          <t>XXL</t>
        </is>
      </c>
      <c r="H72" s="156" t="inlineStr">
        <is>
          <t>REFLO</t>
        </is>
      </c>
      <c r="I72" s="156" t="inlineStr">
        <is>
          <t>Short 2 en 1 REFLO Desna Caviar</t>
        </is>
      </c>
      <c r="J72" s="156" t="inlineStr">
        <is>
          <t>Ropa</t>
        </is>
      </c>
      <c r="K72" s="156" t="inlineStr">
        <is>
          <t>Shorts</t>
        </is>
      </c>
      <c r="L72" s="156" t="n"/>
      <c r="M72" s="156" t="inlineStr">
        <is>
          <t>REFLO</t>
        </is>
      </c>
      <c r="N72" s="156" t="n"/>
      <c r="O72" s="156" t="n"/>
      <c r="P72" s="156" t="inlineStr">
        <is>
          <t>Negro</t>
        </is>
      </c>
      <c r="Q72" s="156" t="n"/>
      <c r="R72" s="156" t="n"/>
      <c r="S72" s="156" t="inlineStr">
        <is>
          <t>Poliéster reciclado</t>
        </is>
      </c>
      <c r="T72" s="156" t="inlineStr">
        <is>
          <t>Short 2 en 1 de golf REFLO modelo Desna en color Caviar, confeccionado con materiales reciclados. Estilo DESCAV.</t>
        </is>
      </c>
      <c r="U72" s="156" t="n"/>
      <c r="V72" s="156" t="inlineStr">
        <is>
          <t>PZS</t>
        </is>
      </c>
      <c r="W72" s="51" t="inlineStr">
        <is>
          <t>53101500</t>
        </is>
      </c>
      <c r="X72" s="156" t="inlineStr">
        <is>
          <t>https://i.ibb.co/Kh6xX7Y/DESCAV.jpg</t>
        </is>
      </c>
      <c r="Y72" s="54" t="n">
        <v>22.75</v>
      </c>
      <c r="Z72" s="54" t="n">
        <v>1649</v>
      </c>
      <c r="AA72" s="55">
        <f>IF(AND(A72="", B72="", E72=""), "", IF(AB72="", "Válido", IF((LEN(AB72)-LEN(SUBSTITUTE(AB72,"; ","")))/2+1&gt;(LEN(AB72)-LEN(SUBSTITUTE(AB72,"[Aviso]","")))/7, "Con Incidencias", "Válido")))</f>
        <v/>
      </c>
      <c r="AB72" s="56">
        <f>IF(AND(A72="", B72="", E72=""), "", TEXTJOIN("; ", TRUE, IF(OR(TRIM(A72&amp;"")="", ISNUMBER(SEARCH("FALTA", A72))), "UPC faltante/inválido", ""), IF(AND(A72&lt;&gt;"", IFERROR(_xlfn.XMATCH(A72,$A$2:$A$653,0,1)&lt;&gt;_xlfn.XMATCH(A72,$A$2:$A$653,0,-1),FALSE)), "Código de barras duplicado", ""), IF(AND(E72&lt;&gt;"", COUNTIF($E$2:$E$653, E72)&gt;1), "SKU duplicado", ""), IF(OR(J72="", J72=""), "[Aviso] División no capturada ()", IF(ISNA(MATCH(J72, Criterios!$A$123:$A$126, 0)), "División no válida", "")), IF(OR(K72="", K72=""), "[Aviso] Categoría no capturada ()", IF(ISNA(MATCH(K72, Criterios!$A$81:$A$120, 0)), "Categoría no válida", IF(AND(J72&lt;&gt;"", J72&lt;&gt;"", J72&lt;&gt;VLOOKUP(K72, Criterios!$A$81:$B$120, 2, FALSE)), "División no coincide con Categoría", ""))), IF(OR(L72="", L72=""), "[Aviso] Género no capturado ()", IF(ISNA(MATCH(L72, Criterios!$B$123:$B$127, 0)), "Género no válido", "")), IF(OR(N72="", N72=""), "[Aviso] Temporada no capturada ()", IF(ISNA(MATCH(N72, Criterios!$C$123:$C$128, 0)), "Temporada no válida", "")), IF(OR(O72="", O72=""), "[Aviso] Ciclo de vida no capturado ()", IF(ISNA(MATCH(O72, Criterios!$D$123:$D$124, 0)), "Ciclo de vida no válido", ""))))</f>
        <v/>
      </c>
      <c r="AC72" s="56" t="n"/>
      <c r="AD72" s="51" t="n">
        <v>4</v>
      </c>
      <c r="AE72" s="156" t="inlineStr">
        <is>
          <t>REFLO ALMACEN (3)</t>
        </is>
      </c>
      <c r="AF72" s="51" t="n">
        <v>5</v>
      </c>
      <c r="AG72" s="156" t="inlineStr">
        <is>
          <t>Nuevo – NetSuite con existencia</t>
        </is>
      </c>
      <c r="AH72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2" s="156" t="inlineStr">
        <is>
          <t>Sí</t>
        </is>
      </c>
      <c r="AJ72" s="156" t="inlineStr">
        <is>
          <t>CONSIGNA REFLO (-1)</t>
        </is>
      </c>
      <c r="AK72" s="155" t="inlineStr">
        <is>
          <t>G1522ProductosTodosloscamposSandboxResults894.xlsx: fila 48563 [X,Y]; G1522_Extraccion_Articulos_NetSuite_2026-09-30.xlsx: fila 37527 [Z]</t>
        </is>
      </c>
      <c r="AL72" s="58" t="n">
        <v>22.75</v>
      </c>
      <c r="AM72" s="58" t="n"/>
      <c r="AN72" s="155" t="n"/>
      <c r="AO72" s="59" t="n"/>
      <c r="AP72" s="59" t="n"/>
      <c r="AQ72" s="59" t="n"/>
      <c r="AR72" s="155" t="n"/>
    </row>
    <row r="73">
      <c r="A73" s="50" t="inlineStr">
        <is>
          <t>5056658703270</t>
        </is>
      </c>
      <c r="B73" s="51" t="inlineStr">
        <is>
          <t>79195</t>
        </is>
      </c>
      <c r="C73" s="156" t="inlineStr">
        <is>
          <t>REFLO</t>
        </is>
      </c>
      <c r="D73" s="156" t="inlineStr">
        <is>
          <t>DESDAR</t>
        </is>
      </c>
      <c r="E73" s="156" t="inlineStr">
        <is>
          <t>DESDAR-M</t>
        </is>
      </c>
      <c r="F73" s="156" t="inlineStr">
        <is>
          <t>M</t>
        </is>
      </c>
      <c r="G73" s="156" t="inlineStr">
        <is>
          <t>M</t>
        </is>
      </c>
      <c r="H73" s="156" t="inlineStr">
        <is>
          <t>REFLO</t>
        </is>
      </c>
      <c r="I73" s="156" t="inlineStr">
        <is>
          <t>Short 2 en 1 REFLO Desna Dark Forest</t>
        </is>
      </c>
      <c r="J73" s="156" t="inlineStr">
        <is>
          <t>Ropa</t>
        </is>
      </c>
      <c r="K73" s="156" t="inlineStr">
        <is>
          <t>Shorts</t>
        </is>
      </c>
      <c r="L73" s="156" t="n"/>
      <c r="M73" s="156" t="inlineStr">
        <is>
          <t>REFLO</t>
        </is>
      </c>
      <c r="N73" s="156" t="n"/>
      <c r="O73" s="156" t="n"/>
      <c r="P73" s="156" t="inlineStr">
        <is>
          <t>Verde</t>
        </is>
      </c>
      <c r="Q73" s="156" t="n"/>
      <c r="R73" s="156" t="n"/>
      <c r="S73" s="156" t="inlineStr">
        <is>
          <t>Poliéster reciclado</t>
        </is>
      </c>
      <c r="T73" s="156" t="inlineStr">
        <is>
          <t>Short 2 en 1 de golf REFLO modelo Desna en color Dark Forest, confeccionado con materiales reciclados. Estilo DESDAR.</t>
        </is>
      </c>
      <c r="U73" s="156" t="n"/>
      <c r="V73" s="156" t="inlineStr">
        <is>
          <t>PZS</t>
        </is>
      </c>
      <c r="W73" s="51" t="inlineStr">
        <is>
          <t>53101500</t>
        </is>
      </c>
      <c r="X73" s="156" t="inlineStr">
        <is>
          <t>https://i.ibb.co/n6WVqBk/DESDAR.jpg</t>
        </is>
      </c>
      <c r="Y73" s="54" t="n">
        <v>22.75</v>
      </c>
      <c r="Z73" s="54" t="n">
        <v>1649</v>
      </c>
      <c r="AA73" s="55">
        <f>IF(AND(A73="", B73="", E73=""), "", IF(AB73="", "Válido", IF((LEN(AB73)-LEN(SUBSTITUTE(AB73,"; ","")))/2+1&gt;(LEN(AB73)-LEN(SUBSTITUTE(AB73,"[Aviso]","")))/7, "Con Incidencias", "Válido")))</f>
        <v/>
      </c>
      <c r="AB73" s="56">
        <f>IF(AND(A73="", B73="", E73=""), "", TEXTJOIN("; ", TRUE, IF(OR(TRIM(A73&amp;"")="", ISNUMBER(SEARCH("FALTA", A73))), "UPC faltante/inválido", ""), IF(AND(A73&lt;&gt;"", IFERROR(_xlfn.XMATCH(A73,$A$2:$A$653,0,1)&lt;&gt;_xlfn.XMATCH(A73,$A$2:$A$653,0,-1),FALSE)), "Código de barras duplicado", ""), IF(AND(E73&lt;&gt;"", COUNTIF($E$2:$E$653, E73)&gt;1), "SKU duplicado", ""), IF(OR(J73="", J73=""), "[Aviso] División no capturada ()", IF(ISNA(MATCH(J73, Criterios!$A$123:$A$126, 0)), "División no válida", "")), IF(OR(K73="", K73=""), "[Aviso] Categoría no capturada ()", IF(ISNA(MATCH(K73, Criterios!$A$81:$A$120, 0)), "Categoría no válida", IF(AND(J73&lt;&gt;"", J73&lt;&gt;"", J73&lt;&gt;VLOOKUP(K73, Criterios!$A$81:$B$120, 2, FALSE)), "División no coincide con Categoría", ""))), IF(OR(L73="", L73=""), "[Aviso] Género no capturado ()", IF(ISNA(MATCH(L73, Criterios!$B$123:$B$127, 0)), "Género no válido", "")), IF(OR(N73="", N73=""), "[Aviso] Temporada no capturada ()", IF(ISNA(MATCH(N73, Criterios!$C$123:$C$128, 0)), "Temporada no válida", "")), IF(OR(O73="", O73=""), "[Aviso] Ciclo de vida no capturado ()", IF(ISNA(MATCH(O73, Criterios!$D$123:$D$124, 0)), "Ciclo de vida no válido", ""))))</f>
        <v/>
      </c>
      <c r="AC73" s="56" t="n"/>
      <c r="AD73" s="51" t="n">
        <v>1</v>
      </c>
      <c r="AE73" s="156" t="inlineStr">
        <is>
          <t>REFLO ALMACEN (1)</t>
        </is>
      </c>
      <c r="AF73" s="51" t="n">
        <v>1</v>
      </c>
      <c r="AG73" s="156" t="inlineStr">
        <is>
          <t>Nuevo – NetSuite con existencia</t>
        </is>
      </c>
      <c r="AH73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3" s="156" t="inlineStr">
        <is>
          <t>No</t>
        </is>
      </c>
      <c r="AJ73" s="156" t="n"/>
      <c r="AK73" s="155" t="inlineStr">
        <is>
          <t>G1522ProductosTodosloscamposSandboxResults894.xlsx: fila 48565 [X,Y]; G1522_Extraccion_Articulos_NetSuite_2026-09-30.xlsx: fila 37528 [Z]</t>
        </is>
      </c>
      <c r="AL73" s="58" t="n">
        <v>22.75</v>
      </c>
      <c r="AM73" s="58" t="n"/>
      <c r="AN73" s="155" t="n"/>
      <c r="AO73" s="59" t="n"/>
      <c r="AP73" s="59" t="n"/>
      <c r="AQ73" s="59" t="n"/>
      <c r="AR73" s="155" t="n"/>
    </row>
    <row r="74">
      <c r="A74" s="50" t="inlineStr">
        <is>
          <t>5056658703287</t>
        </is>
      </c>
      <c r="B74" s="51" t="inlineStr">
        <is>
          <t>79196</t>
        </is>
      </c>
      <c r="C74" s="156" t="inlineStr">
        <is>
          <t>REFLO</t>
        </is>
      </c>
      <c r="D74" s="156" t="inlineStr">
        <is>
          <t>DESDAR</t>
        </is>
      </c>
      <c r="E74" s="156" t="inlineStr">
        <is>
          <t>DESDAR-L</t>
        </is>
      </c>
      <c r="F74" s="156" t="inlineStr">
        <is>
          <t>L</t>
        </is>
      </c>
      <c r="G74" s="156" t="inlineStr">
        <is>
          <t>L</t>
        </is>
      </c>
      <c r="H74" s="156" t="inlineStr">
        <is>
          <t>REFLO</t>
        </is>
      </c>
      <c r="I74" s="156" t="inlineStr">
        <is>
          <t>Short 2 en 1 REFLO Desna Dark Forest</t>
        </is>
      </c>
      <c r="J74" s="156" t="inlineStr">
        <is>
          <t>Ropa</t>
        </is>
      </c>
      <c r="K74" s="156" t="inlineStr">
        <is>
          <t>Shorts</t>
        </is>
      </c>
      <c r="L74" s="156" t="n"/>
      <c r="M74" s="156" t="inlineStr">
        <is>
          <t>REFLO</t>
        </is>
      </c>
      <c r="N74" s="156" t="n"/>
      <c r="O74" s="156" t="n"/>
      <c r="P74" s="156" t="inlineStr">
        <is>
          <t>Verde</t>
        </is>
      </c>
      <c r="Q74" s="156" t="n"/>
      <c r="R74" s="156" t="n"/>
      <c r="S74" s="156" t="inlineStr">
        <is>
          <t>Poliéster reciclado</t>
        </is>
      </c>
      <c r="T74" s="156" t="inlineStr">
        <is>
          <t>Short 2 en 1 de golf REFLO modelo Desna en color Dark Forest, confeccionado con materiales reciclados. Estilo DESDAR.</t>
        </is>
      </c>
      <c r="U74" s="156" t="n"/>
      <c r="V74" s="156" t="inlineStr">
        <is>
          <t>PZS</t>
        </is>
      </c>
      <c r="W74" s="51" t="inlineStr">
        <is>
          <t>53101500</t>
        </is>
      </c>
      <c r="X74" s="156" t="inlineStr">
        <is>
          <t>https://i.ibb.co/n6WVqBk/DESDAR.jpg</t>
        </is>
      </c>
      <c r="Y74" s="54" t="n">
        <v>22.75</v>
      </c>
      <c r="Z74" s="54" t="n">
        <v>1649</v>
      </c>
      <c r="AA74" s="55">
        <f>IF(AND(A74="", B74="", E74=""), "", IF(AB74="", "Válido", IF((LEN(AB74)-LEN(SUBSTITUTE(AB74,"; ","")))/2+1&gt;(LEN(AB74)-LEN(SUBSTITUTE(AB74,"[Aviso]","")))/7, "Con Incidencias", "Válido")))</f>
        <v/>
      </c>
      <c r="AB74" s="56">
        <f>IF(AND(A74="", B74="", E74=""), "", TEXTJOIN("; ", TRUE, IF(OR(TRIM(A74&amp;"")="", ISNUMBER(SEARCH("FALTA", A74))), "UPC faltante/inválido", ""), IF(AND(A74&lt;&gt;"", IFERROR(_xlfn.XMATCH(A74,$A$2:$A$653,0,1)&lt;&gt;_xlfn.XMATCH(A74,$A$2:$A$653,0,-1),FALSE)), "Código de barras duplicado", ""), IF(AND(E74&lt;&gt;"", COUNTIF($E$2:$E$653, E74)&gt;1), "SKU duplicado", ""), IF(OR(J74="", J74=""), "[Aviso] División no capturada ()", IF(ISNA(MATCH(J74, Criterios!$A$123:$A$126, 0)), "División no válida", "")), IF(OR(K74="", K74=""), "[Aviso] Categoría no capturada ()", IF(ISNA(MATCH(K74, Criterios!$A$81:$A$120, 0)), "Categoría no válida", IF(AND(J74&lt;&gt;"", J74&lt;&gt;"", J74&lt;&gt;VLOOKUP(K74, Criterios!$A$81:$B$120, 2, FALSE)), "División no coincide con Categoría", ""))), IF(OR(L74="", L74=""), "[Aviso] Género no capturado ()", IF(ISNA(MATCH(L74, Criterios!$B$123:$B$127, 0)), "Género no válido", "")), IF(OR(N74="", N74=""), "[Aviso] Temporada no capturada ()", IF(ISNA(MATCH(N74, Criterios!$C$123:$C$128, 0)), "Temporada no válida", "")), IF(OR(O74="", O74=""), "[Aviso] Ciclo de vida no capturado ()", IF(ISNA(MATCH(O74, Criterios!$D$123:$D$124, 0)), "Ciclo de vida no válido", ""))))</f>
        <v/>
      </c>
      <c r="AC74" s="56" t="n"/>
      <c r="AD74" s="51" t="n">
        <v>5</v>
      </c>
      <c r="AE74" s="156" t="inlineStr">
        <is>
          <t>MUESTRAS REFLO (1); REFLO ALMACEN (3)</t>
        </is>
      </c>
      <c r="AF74" s="51" t="n">
        <v>4</v>
      </c>
      <c r="AG74" s="156" t="inlineStr">
        <is>
          <t>Nuevo – NetSuite con existencia</t>
        </is>
      </c>
      <c r="AH74" s="156" t="inlineStr">
        <is>
          <t>Género no indicado en NetSuite; Composición: poliéster reciclado (validar % en etiqueta); Físico total NetSuite 5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4" s="156" t="inlineStr">
        <is>
          <t>No</t>
        </is>
      </c>
      <c r="AJ74" s="156" t="n"/>
      <c r="AK74" s="155" t="inlineStr">
        <is>
          <t>G1522ProductosTodosloscamposSandboxResults894.xlsx: fila 48566 [X,Y]; G1522_Extraccion_Articulos_NetSuite_2026-09-30.xlsx: fila 37529 [Z]</t>
        </is>
      </c>
      <c r="AL74" s="58" t="n">
        <v>22.75</v>
      </c>
      <c r="AM74" s="58" t="n"/>
      <c r="AN74" s="155" t="n"/>
      <c r="AO74" s="59" t="n"/>
      <c r="AP74" s="59" t="n"/>
      <c r="AQ74" s="59" t="n"/>
      <c r="AR74" s="155" t="n"/>
    </row>
    <row r="75">
      <c r="A75" s="50" t="inlineStr">
        <is>
          <t>5056658703294</t>
        </is>
      </c>
      <c r="B75" s="51" t="inlineStr">
        <is>
          <t>79197</t>
        </is>
      </c>
      <c r="C75" s="156" t="inlineStr">
        <is>
          <t>REFLO</t>
        </is>
      </c>
      <c r="D75" s="156" t="inlineStr">
        <is>
          <t>DESDAR</t>
        </is>
      </c>
      <c r="E75" s="156" t="inlineStr">
        <is>
          <t>DESDAR-XL</t>
        </is>
      </c>
      <c r="F75" s="156" t="inlineStr">
        <is>
          <t>XL</t>
        </is>
      </c>
      <c r="G75" s="156" t="inlineStr">
        <is>
          <t>XL</t>
        </is>
      </c>
      <c r="H75" s="156" t="inlineStr">
        <is>
          <t>REFLO</t>
        </is>
      </c>
      <c r="I75" s="156" t="inlineStr">
        <is>
          <t>Short 2 en 1 REFLO Desna Dark Forest</t>
        </is>
      </c>
      <c r="J75" s="156" t="inlineStr">
        <is>
          <t>Ropa</t>
        </is>
      </c>
      <c r="K75" s="156" t="inlineStr">
        <is>
          <t>Shorts</t>
        </is>
      </c>
      <c r="L75" s="156" t="n"/>
      <c r="M75" s="156" t="inlineStr">
        <is>
          <t>REFLO</t>
        </is>
      </c>
      <c r="N75" s="156" t="n"/>
      <c r="O75" s="156" t="n"/>
      <c r="P75" s="156" t="inlineStr">
        <is>
          <t>Verde</t>
        </is>
      </c>
      <c r="Q75" s="156" t="n"/>
      <c r="R75" s="156" t="n"/>
      <c r="S75" s="156" t="inlineStr">
        <is>
          <t>Poliéster reciclado</t>
        </is>
      </c>
      <c r="T75" s="156" t="inlineStr">
        <is>
          <t>Short 2 en 1 de golf REFLO modelo Desna en color Dark Forest, confeccionado con materiales reciclados. Estilo DESDAR.</t>
        </is>
      </c>
      <c r="U75" s="156" t="n"/>
      <c r="V75" s="156" t="inlineStr">
        <is>
          <t>PZS</t>
        </is>
      </c>
      <c r="W75" s="51" t="inlineStr">
        <is>
          <t>53101500</t>
        </is>
      </c>
      <c r="X75" s="156" t="inlineStr">
        <is>
          <t>https://i.ibb.co/n6WVqBk/DESDAR.jpg</t>
        </is>
      </c>
      <c r="Y75" s="54" t="n">
        <v>22.75</v>
      </c>
      <c r="Z75" s="54" t="n">
        <v>1649</v>
      </c>
      <c r="AA75" s="55">
        <f>IF(AND(A75="", B75="", E75=""), "", IF(AB75="", "Válido", IF((LEN(AB75)-LEN(SUBSTITUTE(AB75,"; ","")))/2+1&gt;(LEN(AB75)-LEN(SUBSTITUTE(AB75,"[Aviso]","")))/7, "Con Incidencias", "Válido")))</f>
        <v/>
      </c>
      <c r="AB75" s="56">
        <f>IF(AND(A75="", B75="", E75=""), "", TEXTJOIN("; ", TRUE, IF(OR(TRIM(A75&amp;"")="", ISNUMBER(SEARCH("FALTA", A75))), "UPC faltante/inválido", ""), IF(AND(A75&lt;&gt;"", IFERROR(_xlfn.XMATCH(A75,$A$2:$A$653,0,1)&lt;&gt;_xlfn.XMATCH(A75,$A$2:$A$653,0,-1),FALSE)), "Código de barras duplicado", ""), IF(AND(E75&lt;&gt;"", COUNTIF($E$2:$E$653, E75)&gt;1), "SKU duplicado", ""), IF(OR(J75="", J75=""), "[Aviso] División no capturada ()", IF(ISNA(MATCH(J75, Criterios!$A$123:$A$126, 0)), "División no válida", "")), IF(OR(K75="", K75=""), "[Aviso] Categoría no capturada ()", IF(ISNA(MATCH(K75, Criterios!$A$81:$A$120, 0)), "Categoría no válida", IF(AND(J75&lt;&gt;"", J75&lt;&gt;"", J75&lt;&gt;VLOOKUP(K75, Criterios!$A$81:$B$120, 2, FALSE)), "División no coincide con Categoría", ""))), IF(OR(L75="", L75=""), "[Aviso] Género no capturado ()", IF(ISNA(MATCH(L75, Criterios!$B$123:$B$127, 0)), "Género no válido", "")), IF(OR(N75="", N75=""), "[Aviso] Temporada no capturada ()", IF(ISNA(MATCH(N75, Criterios!$C$123:$C$128, 0)), "Temporada no válida", "")), IF(OR(O75="", O75=""), "[Aviso] Ciclo de vida no capturado ()", IF(ISNA(MATCH(O75, Criterios!$D$123:$D$124, 0)), "Ciclo de vida no válido", ""))))</f>
        <v/>
      </c>
      <c r="AC75" s="56" t="n"/>
      <c r="AD75" s="51" t="n">
        <v>5</v>
      </c>
      <c r="AE75" s="156" t="inlineStr">
        <is>
          <t>REFLO ALMACEN (3)</t>
        </is>
      </c>
      <c r="AF75" s="51" t="n">
        <v>5</v>
      </c>
      <c r="AG75" s="156" t="inlineStr">
        <is>
          <t>Nuevo – NetSuite con existencia</t>
        </is>
      </c>
      <c r="AH75" s="156" t="inlineStr">
        <is>
          <t>Género no indicado en NetSuite; Composición: poliéster reciclado (validar % en etiqueta); Físico total NetSuite 5 ≠ suma por ubicación 3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5" s="156" t="inlineStr">
        <is>
          <t>No</t>
        </is>
      </c>
      <c r="AJ75" s="156" t="n"/>
      <c r="AK75" s="155" t="inlineStr">
        <is>
          <t>G1522ProductosTodosloscamposSandboxResults894.xlsx: fila 48567 [X,Y]; G1522_Extraccion_Articulos_NetSuite_2026-09-30.xlsx: fila 37530 [Z]</t>
        </is>
      </c>
      <c r="AL75" s="58" t="n">
        <v>22.75</v>
      </c>
      <c r="AM75" s="58" t="n"/>
      <c r="AN75" s="155" t="n"/>
      <c r="AO75" s="59" t="n"/>
      <c r="AP75" s="59" t="n"/>
      <c r="AQ75" s="59" t="n"/>
      <c r="AR75" s="155" t="n"/>
    </row>
    <row r="76">
      <c r="A76" s="50" t="inlineStr">
        <is>
          <t>5056658703300</t>
        </is>
      </c>
      <c r="B76" s="51" t="inlineStr">
        <is>
          <t>79198</t>
        </is>
      </c>
      <c r="C76" s="156" t="inlineStr">
        <is>
          <t>REFLO</t>
        </is>
      </c>
      <c r="D76" s="156" t="inlineStr">
        <is>
          <t>DESDAR</t>
        </is>
      </c>
      <c r="E76" s="156" t="inlineStr">
        <is>
          <t>DESDAR-2XL</t>
        </is>
      </c>
      <c r="F76" s="156" t="inlineStr">
        <is>
          <t>XXL</t>
        </is>
      </c>
      <c r="G76" s="156" t="inlineStr">
        <is>
          <t>XXL</t>
        </is>
      </c>
      <c r="H76" s="156" t="inlineStr">
        <is>
          <t>REFLO</t>
        </is>
      </c>
      <c r="I76" s="156" t="inlineStr">
        <is>
          <t>Short 2 en 1 REFLO Desna Dark Forest</t>
        </is>
      </c>
      <c r="J76" s="156" t="inlineStr">
        <is>
          <t>Ropa</t>
        </is>
      </c>
      <c r="K76" s="156" t="inlineStr">
        <is>
          <t>Shorts</t>
        </is>
      </c>
      <c r="L76" s="156" t="n"/>
      <c r="M76" s="156" t="inlineStr">
        <is>
          <t>REFLO</t>
        </is>
      </c>
      <c r="N76" s="156" t="n"/>
      <c r="O76" s="156" t="n"/>
      <c r="P76" s="156" t="inlineStr">
        <is>
          <t>Verde</t>
        </is>
      </c>
      <c r="Q76" s="156" t="n"/>
      <c r="R76" s="156" t="n"/>
      <c r="S76" s="156" t="inlineStr">
        <is>
          <t>Poliéster reciclado</t>
        </is>
      </c>
      <c r="T76" s="156" t="inlineStr">
        <is>
          <t>Short 2 en 1 de golf REFLO modelo Desna en color Dark Forest, confeccionado con materiales reciclados. Estilo DESDAR.</t>
        </is>
      </c>
      <c r="U76" s="156" t="n"/>
      <c r="V76" s="156" t="inlineStr">
        <is>
          <t>PZS</t>
        </is>
      </c>
      <c r="W76" s="51" t="inlineStr">
        <is>
          <t>53101500</t>
        </is>
      </c>
      <c r="X76" s="156" t="inlineStr">
        <is>
          <t>https://i.ibb.co/n6WVqBk/DESDAR.jpg</t>
        </is>
      </c>
      <c r="Y76" s="54" t="n">
        <v>22.75</v>
      </c>
      <c r="Z76" s="54" t="n">
        <v>1649</v>
      </c>
      <c r="AA76" s="55">
        <f>IF(AND(A76="", B76="", E76=""), "", IF(AB76="", "Válido", IF((LEN(AB76)-LEN(SUBSTITUTE(AB76,"; ","")))/2+1&gt;(LEN(AB76)-LEN(SUBSTITUTE(AB76,"[Aviso]","")))/7, "Con Incidencias", "Válido")))</f>
        <v/>
      </c>
      <c r="AB76" s="56">
        <f>IF(AND(A76="", B76="", E76=""), "", TEXTJOIN("; ", TRUE, IF(OR(TRIM(A76&amp;"")="", ISNUMBER(SEARCH("FALTA", A76))), "UPC faltante/inválido", ""), IF(AND(A76&lt;&gt;"", IFERROR(_xlfn.XMATCH(A76,$A$2:$A$653,0,1)&lt;&gt;_xlfn.XMATCH(A76,$A$2:$A$653,0,-1),FALSE)), "Código de barras duplicado", ""), IF(AND(E76&lt;&gt;"", COUNTIF($E$2:$E$653, E76)&gt;1), "SKU duplicado", ""), IF(OR(J76="", J76=""), "[Aviso] División no capturada ()", IF(ISNA(MATCH(J76, Criterios!$A$123:$A$126, 0)), "División no válida", "")), IF(OR(K76="", K76=""), "[Aviso] Categoría no capturada ()", IF(ISNA(MATCH(K76, Criterios!$A$81:$A$120, 0)), "Categoría no válida", IF(AND(J76&lt;&gt;"", J76&lt;&gt;"", J76&lt;&gt;VLOOKUP(K76, Criterios!$A$81:$B$120, 2, FALSE)), "División no coincide con Categoría", ""))), IF(OR(L76="", L76=""), "[Aviso] Género no capturado ()", IF(ISNA(MATCH(L76, Criterios!$B$123:$B$127, 0)), "Género no válido", "")), IF(OR(N76="", N76=""), "[Aviso] Temporada no capturada ()", IF(ISNA(MATCH(N76, Criterios!$C$123:$C$128, 0)), "Temporada no válida", "")), IF(OR(O76="", O76=""), "[Aviso] Ciclo de vida no capturado ()", IF(ISNA(MATCH(O76, Criterios!$D$123:$D$124, 0)), "Ciclo de vida no válido", ""))))</f>
        <v/>
      </c>
      <c r="AC76" s="56" t="n"/>
      <c r="AD76" s="51" t="n">
        <v>3</v>
      </c>
      <c r="AE76" s="156" t="inlineStr">
        <is>
          <t>REFLO ALMACEN (2)</t>
        </is>
      </c>
      <c r="AF76" s="51" t="n">
        <v>3</v>
      </c>
      <c r="AG76" s="156" t="inlineStr">
        <is>
          <t>Nuevo – NetSuite con existencia</t>
        </is>
      </c>
      <c r="AH76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6" s="156" t="inlineStr">
        <is>
          <t>No</t>
        </is>
      </c>
      <c r="AJ76" s="156" t="n"/>
      <c r="AK76" s="155" t="inlineStr">
        <is>
          <t>G1522ProductosTodosloscamposSandboxResults894.xlsx: fila 48568 [X,Y]; G1522_Extraccion_Articulos_NetSuite_2026-09-30.xlsx: fila 37531 [Z]</t>
        </is>
      </c>
      <c r="AL76" s="58" t="n">
        <v>22.75</v>
      </c>
      <c r="AM76" s="58" t="n"/>
      <c r="AN76" s="155" t="n"/>
      <c r="AO76" s="59" t="n"/>
      <c r="AP76" s="59" t="n"/>
      <c r="AQ76" s="59" t="n"/>
      <c r="AR76" s="155" t="n"/>
    </row>
    <row r="77">
      <c r="A77" s="50" t="inlineStr">
        <is>
          <t>5056658703171</t>
        </is>
      </c>
      <c r="B77" s="51" t="inlineStr">
        <is>
          <t>79199</t>
        </is>
      </c>
      <c r="C77" s="156" t="inlineStr">
        <is>
          <t>REFLO</t>
        </is>
      </c>
      <c r="D77" s="156" t="inlineStr">
        <is>
          <t>DESMED</t>
        </is>
      </c>
      <c r="E77" s="156" t="inlineStr">
        <is>
          <t>DESMED-M</t>
        </is>
      </c>
      <c r="F77" s="156" t="inlineStr">
        <is>
          <t>M</t>
        </is>
      </c>
      <c r="G77" s="156" t="inlineStr">
        <is>
          <t>M</t>
        </is>
      </c>
      <c r="H77" s="156" t="inlineStr">
        <is>
          <t>REFLO</t>
        </is>
      </c>
      <c r="I77" s="156" t="inlineStr">
        <is>
          <t>Short 2 en 1 REFLO Desna Medieval Blue</t>
        </is>
      </c>
      <c r="J77" s="156" t="inlineStr">
        <is>
          <t>Ropa</t>
        </is>
      </c>
      <c r="K77" s="156" t="inlineStr">
        <is>
          <t>Shorts</t>
        </is>
      </c>
      <c r="L77" s="156" t="n"/>
      <c r="M77" s="156" t="inlineStr">
        <is>
          <t>REFLO</t>
        </is>
      </c>
      <c r="N77" s="156" t="n"/>
      <c r="O77" s="156" t="n"/>
      <c r="P77" s="156" t="inlineStr">
        <is>
          <t>Azul</t>
        </is>
      </c>
      <c r="Q77" s="156" t="n"/>
      <c r="R77" s="156" t="n"/>
      <c r="S77" s="156" t="inlineStr">
        <is>
          <t>Poliéster reciclado</t>
        </is>
      </c>
      <c r="T77" s="156" t="inlineStr">
        <is>
          <t>Short 2 en 1 de golf REFLO modelo Desna en color Medieval Blue, confeccionado con materiales reciclados. Estilo DESMED.</t>
        </is>
      </c>
      <c r="U77" s="156" t="n"/>
      <c r="V77" s="156" t="inlineStr">
        <is>
          <t>PZS</t>
        </is>
      </c>
      <c r="W77" s="51" t="inlineStr">
        <is>
          <t>53101500</t>
        </is>
      </c>
      <c r="X77" s="156" t="inlineStr">
        <is>
          <t>https://i.ibb.co/1Xj3ztp/DESMED.jpg</t>
        </is>
      </c>
      <c r="Y77" s="54" t="n">
        <v>22.75</v>
      </c>
      <c r="Z77" s="54" t="n">
        <v>1649</v>
      </c>
      <c r="AA77" s="55">
        <f>IF(AND(A77="", B77="", E77=""), "", IF(AB77="", "Válido", IF((LEN(AB77)-LEN(SUBSTITUTE(AB77,"; ","")))/2+1&gt;(LEN(AB77)-LEN(SUBSTITUTE(AB77,"[Aviso]","")))/7, "Con Incidencias", "Válido")))</f>
        <v/>
      </c>
      <c r="AB77" s="56">
        <f>IF(AND(A77="", B77="", E77=""), "", TEXTJOIN("; ", TRUE, IF(OR(TRIM(A77&amp;"")="", ISNUMBER(SEARCH("FALTA", A77))), "UPC faltante/inválido", ""), IF(AND(A77&lt;&gt;"", IFERROR(_xlfn.XMATCH(A77,$A$2:$A$653,0,1)&lt;&gt;_xlfn.XMATCH(A77,$A$2:$A$653,0,-1),FALSE)), "Código de barras duplicado", ""), IF(AND(E77&lt;&gt;"", COUNTIF($E$2:$E$653, E77)&gt;1), "SKU duplicado", ""), IF(OR(J77="", J77=""), "[Aviso] División no capturada ()", IF(ISNA(MATCH(J77, Criterios!$A$123:$A$126, 0)), "División no válida", "")), IF(OR(K77="", K77=""), "[Aviso] Categoría no capturada ()", IF(ISNA(MATCH(K77, Criterios!$A$81:$A$120, 0)), "Categoría no válida", IF(AND(J77&lt;&gt;"", J77&lt;&gt;"", J77&lt;&gt;VLOOKUP(K77, Criterios!$A$81:$B$120, 2, FALSE)), "División no coincide con Categoría", ""))), IF(OR(L77="", L77=""), "[Aviso] Género no capturado ()", IF(ISNA(MATCH(L77, Criterios!$B$123:$B$127, 0)), "Género no válido", "")), IF(OR(N77="", N77=""), "[Aviso] Temporada no capturada ()", IF(ISNA(MATCH(N77, Criterios!$C$123:$C$128, 0)), "Temporada no válida", "")), IF(OR(O77="", O77=""), "[Aviso] Ciclo de vida no capturado ()", IF(ISNA(MATCH(O77, Criterios!$D$123:$D$124, 0)), "Ciclo de vida no válido", ""))))</f>
        <v/>
      </c>
      <c r="AC77" s="56" t="n"/>
      <c r="AD77" s="51" t="n">
        <v>4</v>
      </c>
      <c r="AE77" s="156" t="inlineStr">
        <is>
          <t>REFLO ALMACEN (3)</t>
        </is>
      </c>
      <c r="AF77" s="51" t="n">
        <v>5</v>
      </c>
      <c r="AG77" s="156" t="inlineStr">
        <is>
          <t>Nuevo – NetSuite con existencia</t>
        </is>
      </c>
      <c r="AH77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7" s="156" t="inlineStr">
        <is>
          <t>Sí</t>
        </is>
      </c>
      <c r="AJ77" s="156" t="inlineStr">
        <is>
          <t>CONSIGNA REFLO (-1)</t>
        </is>
      </c>
      <c r="AK77" s="155" t="inlineStr">
        <is>
          <t>G1522ProductosTodosloscamposSandboxResults894.xlsx: fila 48570 [X,Y]; G1522_Extraccion_Articulos_NetSuite_2026-09-30.xlsx: fila 37532 [Z]</t>
        </is>
      </c>
      <c r="AL77" s="58" t="n">
        <v>22.75</v>
      </c>
      <c r="AM77" s="58" t="n"/>
      <c r="AN77" s="155" t="n"/>
      <c r="AO77" s="59" t="n"/>
      <c r="AP77" s="59" t="n"/>
      <c r="AQ77" s="59" t="n"/>
      <c r="AR77" s="155" t="n"/>
    </row>
    <row r="78">
      <c r="A78" s="50" t="inlineStr">
        <is>
          <t>5056658703188</t>
        </is>
      </c>
      <c r="B78" s="51" t="inlineStr">
        <is>
          <t>79200</t>
        </is>
      </c>
      <c r="C78" s="156" t="inlineStr">
        <is>
          <t>REFLO</t>
        </is>
      </c>
      <c r="D78" s="156" t="inlineStr">
        <is>
          <t>DESMED</t>
        </is>
      </c>
      <c r="E78" s="156" t="inlineStr">
        <is>
          <t>DESMED-L</t>
        </is>
      </c>
      <c r="F78" s="156" t="inlineStr">
        <is>
          <t>L</t>
        </is>
      </c>
      <c r="G78" s="156" t="inlineStr">
        <is>
          <t>L</t>
        </is>
      </c>
      <c r="H78" s="156" t="inlineStr">
        <is>
          <t>REFLO</t>
        </is>
      </c>
      <c r="I78" s="156" t="inlineStr">
        <is>
          <t>Short 2 en 1 REFLO Desna Medieval Blue</t>
        </is>
      </c>
      <c r="J78" s="156" t="inlineStr">
        <is>
          <t>Ropa</t>
        </is>
      </c>
      <c r="K78" s="156" t="inlineStr">
        <is>
          <t>Shorts</t>
        </is>
      </c>
      <c r="L78" s="156" t="n"/>
      <c r="M78" s="156" t="inlineStr">
        <is>
          <t>REFLO</t>
        </is>
      </c>
      <c r="N78" s="156" t="n"/>
      <c r="O78" s="156" t="n"/>
      <c r="P78" s="156" t="inlineStr">
        <is>
          <t>Azul</t>
        </is>
      </c>
      <c r="Q78" s="156" t="n"/>
      <c r="R78" s="156" t="n"/>
      <c r="S78" s="156" t="inlineStr">
        <is>
          <t>Poliéster reciclado</t>
        </is>
      </c>
      <c r="T78" s="156" t="inlineStr">
        <is>
          <t>Short 2 en 1 de golf REFLO modelo Desna en color Medieval Blue, confeccionado con materiales reciclados. Estilo DESMED.</t>
        </is>
      </c>
      <c r="U78" s="156" t="n"/>
      <c r="V78" s="156" t="inlineStr">
        <is>
          <t>PZS</t>
        </is>
      </c>
      <c r="W78" s="51" t="inlineStr">
        <is>
          <t>53101500</t>
        </is>
      </c>
      <c r="X78" s="156" t="inlineStr">
        <is>
          <t>https://i.ibb.co/1Xj3ztp/DESMED.jpg</t>
        </is>
      </c>
      <c r="Y78" s="54" t="n">
        <v>22.75</v>
      </c>
      <c r="Z78" s="54" t="n">
        <v>1649</v>
      </c>
      <c r="AA78" s="55">
        <f>IF(AND(A78="", B78="", E78=""), "", IF(AB78="", "Válido", IF((LEN(AB78)-LEN(SUBSTITUTE(AB78,"; ","")))/2+1&gt;(LEN(AB78)-LEN(SUBSTITUTE(AB78,"[Aviso]","")))/7, "Con Incidencias", "Válido")))</f>
        <v/>
      </c>
      <c r="AB78" s="56">
        <f>IF(AND(A78="", B78="", E78=""), "", TEXTJOIN("; ", TRUE, IF(OR(TRIM(A78&amp;"")="", ISNUMBER(SEARCH("FALTA", A78))), "UPC faltante/inválido", ""), IF(AND(A78&lt;&gt;"", IFERROR(_xlfn.XMATCH(A78,$A$2:$A$653,0,1)&lt;&gt;_xlfn.XMATCH(A78,$A$2:$A$653,0,-1),FALSE)), "Código de barras duplicado", ""), IF(AND(E78&lt;&gt;"", COUNTIF($E$2:$E$653, E78)&gt;1), "SKU duplicado", ""), IF(OR(J78="", J78=""), "[Aviso] División no capturada ()", IF(ISNA(MATCH(J78, Criterios!$A$123:$A$126, 0)), "División no válida", "")), IF(OR(K78="", K78=""), "[Aviso] Categoría no capturada ()", IF(ISNA(MATCH(K78, Criterios!$A$81:$A$120, 0)), "Categoría no válida", IF(AND(J78&lt;&gt;"", J78&lt;&gt;"", J78&lt;&gt;VLOOKUP(K78, Criterios!$A$81:$B$120, 2, FALSE)), "División no coincide con Categoría", ""))), IF(OR(L78="", L78=""), "[Aviso] Género no capturado ()", IF(ISNA(MATCH(L78, Criterios!$B$123:$B$127, 0)), "Género no válido", "")), IF(OR(N78="", N78=""), "[Aviso] Temporada no capturada ()", IF(ISNA(MATCH(N78, Criterios!$C$123:$C$128, 0)), "Temporada no válida", "")), IF(OR(O78="", O78=""), "[Aviso] Ciclo de vida no capturado ()", IF(ISNA(MATCH(O78, Criterios!$D$123:$D$124, 0)), "Ciclo de vida no válido", ""))))</f>
        <v/>
      </c>
      <c r="AC78" s="56" t="n"/>
      <c r="AD78" s="51" t="n">
        <v>7</v>
      </c>
      <c r="AE78" s="156" t="inlineStr">
        <is>
          <t>MUESTRAS REFLO (1); REFLO ALMACEN (4)</t>
        </is>
      </c>
      <c r="AF78" s="51" t="n">
        <v>7</v>
      </c>
      <c r="AG78" s="156" t="inlineStr">
        <is>
          <t>Nuevo – NetSuite con existencia</t>
        </is>
      </c>
      <c r="AH78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8" s="156" t="inlineStr">
        <is>
          <t>Sí</t>
        </is>
      </c>
      <c r="AJ78" s="156" t="inlineStr">
        <is>
          <t>CONSIGNA REFLO (-1)</t>
        </is>
      </c>
      <c r="AK78" s="155" t="inlineStr">
        <is>
          <t>G1522ProductosTodosloscamposSandboxResults894.xlsx: fila 48571 [X,Y]; G1522_Extraccion_Articulos_NetSuite_2026-09-30.xlsx: fila 37533 [Z]</t>
        </is>
      </c>
      <c r="AL78" s="58" t="n">
        <v>22.75</v>
      </c>
      <c r="AM78" s="58" t="n"/>
      <c r="AN78" s="155" t="n"/>
      <c r="AO78" s="59" t="n"/>
      <c r="AP78" s="59" t="n"/>
      <c r="AQ78" s="59" t="n"/>
      <c r="AR78" s="155" t="n"/>
    </row>
    <row r="79">
      <c r="A79" s="50" t="inlineStr">
        <is>
          <t>5056658703195</t>
        </is>
      </c>
      <c r="B79" s="51" t="inlineStr">
        <is>
          <t>79201</t>
        </is>
      </c>
      <c r="C79" s="156" t="inlineStr">
        <is>
          <t>REFLO</t>
        </is>
      </c>
      <c r="D79" s="156" t="inlineStr">
        <is>
          <t>DESMED</t>
        </is>
      </c>
      <c r="E79" s="156" t="inlineStr">
        <is>
          <t>DESMED-XL</t>
        </is>
      </c>
      <c r="F79" s="156" t="inlineStr">
        <is>
          <t>XL</t>
        </is>
      </c>
      <c r="G79" s="156" t="inlineStr">
        <is>
          <t>XL</t>
        </is>
      </c>
      <c r="H79" s="156" t="inlineStr">
        <is>
          <t>REFLO</t>
        </is>
      </c>
      <c r="I79" s="156" t="inlineStr">
        <is>
          <t>Short 2 en 1 REFLO Desna Medieval Blue</t>
        </is>
      </c>
      <c r="J79" s="156" t="inlineStr">
        <is>
          <t>Ropa</t>
        </is>
      </c>
      <c r="K79" s="156" t="inlineStr">
        <is>
          <t>Shorts</t>
        </is>
      </c>
      <c r="L79" s="156" t="n"/>
      <c r="M79" s="156" t="inlineStr">
        <is>
          <t>REFLO</t>
        </is>
      </c>
      <c r="N79" s="156" t="n"/>
      <c r="O79" s="156" t="n"/>
      <c r="P79" s="156" t="inlineStr">
        <is>
          <t>Azul</t>
        </is>
      </c>
      <c r="Q79" s="156" t="n"/>
      <c r="R79" s="156" t="n"/>
      <c r="S79" s="156" t="inlineStr">
        <is>
          <t>Poliéster reciclado</t>
        </is>
      </c>
      <c r="T79" s="156" t="inlineStr">
        <is>
          <t>Short 2 en 1 de golf REFLO modelo Desna en color Medieval Blue, confeccionado con materiales reciclados. Estilo DESMED.</t>
        </is>
      </c>
      <c r="U79" s="156" t="n"/>
      <c r="V79" s="156" t="inlineStr">
        <is>
          <t>PZS</t>
        </is>
      </c>
      <c r="W79" s="51" t="inlineStr">
        <is>
          <t>53101500</t>
        </is>
      </c>
      <c r="X79" s="156" t="inlineStr">
        <is>
          <t>https://i.ibb.co/1Xj3ztp/DESMED.jpg</t>
        </is>
      </c>
      <c r="Y79" s="54" t="n">
        <v>22.75</v>
      </c>
      <c r="Z79" s="54" t="n">
        <v>1649</v>
      </c>
      <c r="AA79" s="55">
        <f>IF(AND(A79="", B79="", E79=""), "", IF(AB79="", "Válido", IF((LEN(AB79)-LEN(SUBSTITUTE(AB79,"; ","")))/2+1&gt;(LEN(AB79)-LEN(SUBSTITUTE(AB79,"[Aviso]","")))/7, "Con Incidencias", "Válido")))</f>
        <v/>
      </c>
      <c r="AB79" s="56">
        <f>IF(AND(A79="", B79="", E79=""), "", TEXTJOIN("; ", TRUE, IF(OR(TRIM(A79&amp;"")="", ISNUMBER(SEARCH("FALTA", A79))), "UPC faltante/inválido", ""), IF(AND(A79&lt;&gt;"", IFERROR(_xlfn.XMATCH(A79,$A$2:$A$653,0,1)&lt;&gt;_xlfn.XMATCH(A79,$A$2:$A$653,0,-1),FALSE)), "Código de barras duplicado", ""), IF(AND(E79&lt;&gt;"", COUNTIF($E$2:$E$653, E79)&gt;1), "SKU duplicado", ""), IF(OR(J79="", J79=""), "[Aviso] División no capturada ()", IF(ISNA(MATCH(J79, Criterios!$A$123:$A$126, 0)), "División no válida", "")), IF(OR(K79="", K79=""), "[Aviso] Categoría no capturada ()", IF(ISNA(MATCH(K79, Criterios!$A$81:$A$120, 0)), "Categoría no válida", IF(AND(J79&lt;&gt;"", J79&lt;&gt;"", J79&lt;&gt;VLOOKUP(K79, Criterios!$A$81:$B$120, 2, FALSE)), "División no coincide con Categoría", ""))), IF(OR(L79="", L79=""), "[Aviso] Género no capturado ()", IF(ISNA(MATCH(L79, Criterios!$B$123:$B$127, 0)), "Género no válido", "")), IF(OR(N79="", N79=""), "[Aviso] Temporada no capturada ()", IF(ISNA(MATCH(N79, Criterios!$C$123:$C$128, 0)), "Temporada no válida", "")), IF(OR(O79="", O79=""), "[Aviso] Ciclo de vida no capturado ()", IF(ISNA(MATCH(O79, Criterios!$D$123:$D$124, 0)), "Ciclo de vida no válido", ""))))</f>
        <v/>
      </c>
      <c r="AC79" s="56" t="n"/>
      <c r="AD79" s="51" t="n">
        <v>7</v>
      </c>
      <c r="AE79" s="156" t="inlineStr">
        <is>
          <t>REFLO ALMACEN (5)</t>
        </is>
      </c>
      <c r="AF79" s="51" t="n">
        <v>8</v>
      </c>
      <c r="AG79" s="156" t="inlineStr">
        <is>
          <t>Nuevo – NetSuite con existencia</t>
        </is>
      </c>
      <c r="AH79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79" s="156" t="inlineStr">
        <is>
          <t>Sí</t>
        </is>
      </c>
      <c r="AJ79" s="156" t="inlineStr">
        <is>
          <t>CONSIGNA REFLO (-1)</t>
        </is>
      </c>
      <c r="AK79" s="155" t="inlineStr">
        <is>
          <t>G1522ProductosTodosloscamposSandboxResults894.xlsx: fila 48572 [X,Y]; G1522_Extraccion_Articulos_NetSuite_2026-09-30.xlsx: fila 37534 [Z]</t>
        </is>
      </c>
      <c r="AL79" s="58" t="n">
        <v>22.75</v>
      </c>
      <c r="AM79" s="58" t="n"/>
      <c r="AN79" s="155" t="n"/>
      <c r="AO79" s="59" t="n"/>
      <c r="AP79" s="59" t="n"/>
      <c r="AQ79" s="59" t="n"/>
      <c r="AR79" s="155" t="n"/>
    </row>
    <row r="80">
      <c r="A80" s="50" t="inlineStr">
        <is>
          <t>5056658703201</t>
        </is>
      </c>
      <c r="B80" s="51" t="inlineStr">
        <is>
          <t>79202</t>
        </is>
      </c>
      <c r="C80" s="156" t="inlineStr">
        <is>
          <t>REFLO</t>
        </is>
      </c>
      <c r="D80" s="156" t="inlineStr">
        <is>
          <t>DESMED</t>
        </is>
      </c>
      <c r="E80" s="156" t="inlineStr">
        <is>
          <t>DESMED-2XL</t>
        </is>
      </c>
      <c r="F80" s="156" t="inlineStr">
        <is>
          <t>XXL</t>
        </is>
      </c>
      <c r="G80" s="156" t="inlineStr">
        <is>
          <t>XXL</t>
        </is>
      </c>
      <c r="H80" s="156" t="inlineStr">
        <is>
          <t>REFLO</t>
        </is>
      </c>
      <c r="I80" s="156" t="inlineStr">
        <is>
          <t>Short 2 en 1 REFLO Desna Medieval Blue</t>
        </is>
      </c>
      <c r="J80" s="156" t="inlineStr">
        <is>
          <t>Ropa</t>
        </is>
      </c>
      <c r="K80" s="156" t="inlineStr">
        <is>
          <t>Shorts</t>
        </is>
      </c>
      <c r="L80" s="156" t="n"/>
      <c r="M80" s="156" t="inlineStr">
        <is>
          <t>REFLO</t>
        </is>
      </c>
      <c r="N80" s="156" t="n"/>
      <c r="O80" s="156" t="n"/>
      <c r="P80" s="156" t="inlineStr">
        <is>
          <t>Azul</t>
        </is>
      </c>
      <c r="Q80" s="156" t="n"/>
      <c r="R80" s="156" t="n"/>
      <c r="S80" s="156" t="inlineStr">
        <is>
          <t>Poliéster reciclado</t>
        </is>
      </c>
      <c r="T80" s="156" t="inlineStr">
        <is>
          <t>Short 2 en 1 de golf REFLO modelo Desna en color Medieval Blue, confeccionado con materiales reciclados. Estilo DESMED.</t>
        </is>
      </c>
      <c r="U80" s="156" t="n"/>
      <c r="V80" s="156" t="inlineStr">
        <is>
          <t>PZS</t>
        </is>
      </c>
      <c r="W80" s="51" t="inlineStr">
        <is>
          <t>53101500</t>
        </is>
      </c>
      <c r="X80" s="156" t="inlineStr">
        <is>
          <t>https://i.ibb.co/1Xj3ztp/DESMED.jpg</t>
        </is>
      </c>
      <c r="Y80" s="54" t="n">
        <v>22.75</v>
      </c>
      <c r="Z80" s="54" t="n">
        <v>1649</v>
      </c>
      <c r="AA80" s="55">
        <f>IF(AND(A80="", B80="", E80=""), "", IF(AB80="", "Válido", IF((LEN(AB80)-LEN(SUBSTITUTE(AB80,"; ","")))/2+1&gt;(LEN(AB80)-LEN(SUBSTITUTE(AB80,"[Aviso]","")))/7, "Con Incidencias", "Válido")))</f>
        <v/>
      </c>
      <c r="AB80" s="56">
        <f>IF(AND(A80="", B80="", E80=""), "", TEXTJOIN("; ", TRUE, IF(OR(TRIM(A80&amp;"")="", ISNUMBER(SEARCH("FALTA", A80))), "UPC faltante/inválido", ""), IF(AND(A80&lt;&gt;"", IFERROR(_xlfn.XMATCH(A80,$A$2:$A$653,0,1)&lt;&gt;_xlfn.XMATCH(A80,$A$2:$A$653,0,-1),FALSE)), "Código de barras duplicado", ""), IF(AND(E80&lt;&gt;"", COUNTIF($E$2:$E$653, E80)&gt;1), "SKU duplicado", ""), IF(OR(J80="", J80=""), "[Aviso] División no capturada ()", IF(ISNA(MATCH(J80, Criterios!$A$123:$A$126, 0)), "División no válida", "")), IF(OR(K80="", K80=""), "[Aviso] Categoría no capturada ()", IF(ISNA(MATCH(K80, Criterios!$A$81:$A$120, 0)), "Categoría no válida", IF(AND(J80&lt;&gt;"", J80&lt;&gt;"", J80&lt;&gt;VLOOKUP(K80, Criterios!$A$81:$B$120, 2, FALSE)), "División no coincide con Categoría", ""))), IF(OR(L80="", L80=""), "[Aviso] Género no capturado ()", IF(ISNA(MATCH(L80, Criterios!$B$123:$B$127, 0)), "Género no válido", "")), IF(OR(N80="", N80=""), "[Aviso] Temporada no capturada ()", IF(ISNA(MATCH(N80, Criterios!$C$123:$C$128, 0)), "Temporada no válida", "")), IF(OR(O80="", O80=""), "[Aviso] Ciclo de vida no capturado ()", IF(ISNA(MATCH(O80, Criterios!$D$123:$D$124, 0)), "Ciclo de vida no válido", ""))))</f>
        <v/>
      </c>
      <c r="AC80" s="56" t="n"/>
      <c r="AD80" s="51" t="n">
        <v>3</v>
      </c>
      <c r="AE80" s="156" t="inlineStr">
        <is>
          <t>REFLO ALMACEN (3)</t>
        </is>
      </c>
      <c r="AF80" s="51" t="n">
        <v>4</v>
      </c>
      <c r="AG80" s="156" t="inlineStr">
        <is>
          <t>Nuevo – NetSuite con existencia</t>
        </is>
      </c>
      <c r="AH80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80" s="156" t="inlineStr">
        <is>
          <t>Sí</t>
        </is>
      </c>
      <c r="AJ80" s="156" t="inlineStr">
        <is>
          <t>CONSIGNA REFLO (-1)</t>
        </is>
      </c>
      <c r="AK80" s="155" t="inlineStr">
        <is>
          <t>G1522ProductosTodosloscamposSandboxResults894.xlsx: fila 48573 [X,Y]; G1522_Extraccion_Articulos_NetSuite_2026-09-30.xlsx: fila 37535 [Z]</t>
        </is>
      </c>
      <c r="AL80" s="58" t="n">
        <v>22.75</v>
      </c>
      <c r="AM80" s="58" t="n"/>
      <c r="AN80" s="155" t="n"/>
      <c r="AO80" s="59" t="n"/>
      <c r="AP80" s="59" t="n"/>
      <c r="AQ80" s="59" t="n"/>
      <c r="AR80" s="155" t="n"/>
    </row>
    <row r="81">
      <c r="A81" s="50" t="inlineStr">
        <is>
          <t>5056658703225</t>
        </is>
      </c>
      <c r="B81" s="51" t="inlineStr">
        <is>
          <t>79203</t>
        </is>
      </c>
      <c r="C81" s="156" t="inlineStr">
        <is>
          <t>REFLO</t>
        </is>
      </c>
      <c r="D81" s="156" t="inlineStr">
        <is>
          <t>DESQUA</t>
        </is>
      </c>
      <c r="E81" s="156" t="inlineStr">
        <is>
          <t>DESQUA-M</t>
        </is>
      </c>
      <c r="F81" s="156" t="inlineStr">
        <is>
          <t>M</t>
        </is>
      </c>
      <c r="G81" s="156" t="inlineStr">
        <is>
          <t>M</t>
        </is>
      </c>
      <c r="H81" s="156" t="inlineStr">
        <is>
          <t>REFLO</t>
        </is>
      </c>
      <c r="I81" s="156" t="inlineStr">
        <is>
          <t>Short 2 en 1 REFLO Desna Quarry</t>
        </is>
      </c>
      <c r="J81" s="156" t="inlineStr">
        <is>
          <t>Ropa</t>
        </is>
      </c>
      <c r="K81" s="156" t="inlineStr">
        <is>
          <t>Shorts</t>
        </is>
      </c>
      <c r="L81" s="156" t="n"/>
      <c r="M81" s="156" t="inlineStr">
        <is>
          <t>REFLO</t>
        </is>
      </c>
      <c r="N81" s="156" t="n"/>
      <c r="O81" s="156" t="n"/>
      <c r="P81" s="156" t="inlineStr">
        <is>
          <t>Gris</t>
        </is>
      </c>
      <c r="Q81" s="156" t="n"/>
      <c r="R81" s="156" t="n"/>
      <c r="S81" s="156" t="inlineStr">
        <is>
          <t>Poliéster reciclado</t>
        </is>
      </c>
      <c r="T81" s="156" t="inlineStr">
        <is>
          <t>Short 2 en 1 de golf REFLO modelo Desna en color Quarry, confeccionado con materiales reciclados. Estilo DESQUA.</t>
        </is>
      </c>
      <c r="U81" s="156" t="n"/>
      <c r="V81" s="156" t="inlineStr">
        <is>
          <t>PZS</t>
        </is>
      </c>
      <c r="W81" s="51" t="inlineStr">
        <is>
          <t>53101500</t>
        </is>
      </c>
      <c r="X81" s="156" t="inlineStr">
        <is>
          <t>https://i.ibb.co/8PGzYhY/DESQUA.jpg</t>
        </is>
      </c>
      <c r="Y81" s="54" t="n">
        <v>22.75</v>
      </c>
      <c r="Z81" s="54" t="n">
        <v>1649</v>
      </c>
      <c r="AA81" s="55">
        <f>IF(AND(A81="", B81="", E81=""), "", IF(AB81="", "Válido", IF((LEN(AB81)-LEN(SUBSTITUTE(AB81,"; ","")))/2+1&gt;(LEN(AB81)-LEN(SUBSTITUTE(AB81,"[Aviso]","")))/7, "Con Incidencias", "Válido")))</f>
        <v/>
      </c>
      <c r="AB81" s="56">
        <f>IF(AND(A81="", B81="", E81=""), "", TEXTJOIN("; ", TRUE, IF(OR(TRIM(A81&amp;"")="", ISNUMBER(SEARCH("FALTA", A81))), "UPC faltante/inválido", ""), IF(AND(A81&lt;&gt;"", IFERROR(_xlfn.XMATCH(A81,$A$2:$A$653,0,1)&lt;&gt;_xlfn.XMATCH(A81,$A$2:$A$653,0,-1),FALSE)), "Código de barras duplicado", ""), IF(AND(E81&lt;&gt;"", COUNTIF($E$2:$E$653, E81)&gt;1), "SKU duplicado", ""), IF(OR(J81="", J81=""), "[Aviso] División no capturada ()", IF(ISNA(MATCH(J81, Criterios!$A$123:$A$126, 0)), "División no válida", "")), IF(OR(K81="", K81=""), "[Aviso] Categoría no capturada ()", IF(ISNA(MATCH(K81, Criterios!$A$81:$A$120, 0)), "Categoría no válida", IF(AND(J81&lt;&gt;"", J81&lt;&gt;"", J81&lt;&gt;VLOOKUP(K81, Criterios!$A$81:$B$120, 2, FALSE)), "División no coincide con Categoría", ""))), IF(OR(L81="", L81=""), "[Aviso] Género no capturado ()", IF(ISNA(MATCH(L81, Criterios!$B$123:$B$127, 0)), "Género no válido", "")), IF(OR(N81="", N81=""), "[Aviso] Temporada no capturada ()", IF(ISNA(MATCH(N81, Criterios!$C$123:$C$128, 0)), "Temporada no válida", "")), IF(OR(O81="", O81=""), "[Aviso] Ciclo de vida no capturado ()", IF(ISNA(MATCH(O81, Criterios!$D$123:$D$124, 0)), "Ciclo de vida no válido", ""))))</f>
        <v/>
      </c>
      <c r="AC81" s="56" t="n"/>
      <c r="AD81" s="51" t="n">
        <v>8</v>
      </c>
      <c r="AE81" s="156" t="inlineStr">
        <is>
          <t>CONSIGNA REFLO (1); REFLO ALMACEN (3)</t>
        </is>
      </c>
      <c r="AF81" s="51" t="n">
        <v>8</v>
      </c>
      <c r="AG81" s="156" t="inlineStr">
        <is>
          <t>Nuevo – NetSuite con existencia</t>
        </is>
      </c>
      <c r="AH81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81" s="156" t="inlineStr">
        <is>
          <t>No</t>
        </is>
      </c>
      <c r="AJ81" s="156" t="n"/>
      <c r="AK81" s="155" t="inlineStr">
        <is>
          <t>G1522ProductosTodosloscamposSandboxResults894.xlsx: fila 48575 [X,Y]; G1522_Extraccion_Articulos_NetSuite_2026-09-30.xlsx: fila 37536 [Z]</t>
        </is>
      </c>
      <c r="AL81" s="58" t="n">
        <v>22.75</v>
      </c>
      <c r="AM81" s="58" t="n"/>
      <c r="AN81" s="155" t="n"/>
      <c r="AO81" s="59" t="n"/>
      <c r="AP81" s="59" t="n"/>
      <c r="AQ81" s="59" t="n"/>
      <c r="AR81" s="155" t="n"/>
    </row>
    <row r="82">
      <c r="A82" s="50" t="inlineStr">
        <is>
          <t>5056658703232</t>
        </is>
      </c>
      <c r="B82" s="51" t="inlineStr">
        <is>
          <t>79204</t>
        </is>
      </c>
      <c r="C82" s="156" t="inlineStr">
        <is>
          <t>REFLO</t>
        </is>
      </c>
      <c r="D82" s="156" t="inlineStr">
        <is>
          <t>DESQUA</t>
        </is>
      </c>
      <c r="E82" s="156" t="inlineStr">
        <is>
          <t>DESQUA-L</t>
        </is>
      </c>
      <c r="F82" s="156" t="inlineStr">
        <is>
          <t>L</t>
        </is>
      </c>
      <c r="G82" s="156" t="inlineStr">
        <is>
          <t>L</t>
        </is>
      </c>
      <c r="H82" s="156" t="inlineStr">
        <is>
          <t>REFLO</t>
        </is>
      </c>
      <c r="I82" s="156" t="inlineStr">
        <is>
          <t>Short 2 en 1 REFLO Desna Quarry</t>
        </is>
      </c>
      <c r="J82" s="156" t="inlineStr">
        <is>
          <t>Ropa</t>
        </is>
      </c>
      <c r="K82" s="156" t="inlineStr">
        <is>
          <t>Shorts</t>
        </is>
      </c>
      <c r="L82" s="156" t="n"/>
      <c r="M82" s="156" t="inlineStr">
        <is>
          <t>REFLO</t>
        </is>
      </c>
      <c r="N82" s="156" t="n"/>
      <c r="O82" s="156" t="n"/>
      <c r="P82" s="156" t="inlineStr">
        <is>
          <t>Gris</t>
        </is>
      </c>
      <c r="Q82" s="156" t="n"/>
      <c r="R82" s="156" t="n"/>
      <c r="S82" s="156" t="inlineStr">
        <is>
          <t>Poliéster reciclado</t>
        </is>
      </c>
      <c r="T82" s="156" t="inlineStr">
        <is>
          <t>Short 2 en 1 de golf REFLO modelo Desna en color Quarry, confeccionado con materiales reciclados. Estilo DESQUA.</t>
        </is>
      </c>
      <c r="U82" s="156" t="n"/>
      <c r="V82" s="156" t="inlineStr">
        <is>
          <t>PZS</t>
        </is>
      </c>
      <c r="W82" s="51" t="inlineStr">
        <is>
          <t>53101500</t>
        </is>
      </c>
      <c r="X82" s="156" t="inlineStr">
        <is>
          <t>https://i.ibb.co/8PGzYhY/DESQUA.jpg</t>
        </is>
      </c>
      <c r="Y82" s="54" t="n">
        <v>22.75</v>
      </c>
      <c r="Z82" s="54" t="n">
        <v>1649</v>
      </c>
      <c r="AA82" s="55">
        <f>IF(AND(A82="", B82="", E82=""), "", IF(AB82="", "Válido", IF((LEN(AB82)-LEN(SUBSTITUTE(AB82,"; ","")))/2+1&gt;(LEN(AB82)-LEN(SUBSTITUTE(AB82,"[Aviso]","")))/7, "Con Incidencias", "Válido")))</f>
        <v/>
      </c>
      <c r="AB82" s="56">
        <f>IF(AND(A82="", B82="", E82=""), "", TEXTJOIN("; ", TRUE, IF(OR(TRIM(A82&amp;"")="", ISNUMBER(SEARCH("FALTA", A82))), "UPC faltante/inválido", ""), IF(AND(A82&lt;&gt;"", IFERROR(_xlfn.XMATCH(A82,$A$2:$A$653,0,1)&lt;&gt;_xlfn.XMATCH(A82,$A$2:$A$653,0,-1),FALSE)), "Código de barras duplicado", ""), IF(AND(E82&lt;&gt;"", COUNTIF($E$2:$E$653, E82)&gt;1), "SKU duplicado", ""), IF(OR(J82="", J82=""), "[Aviso] División no capturada ()", IF(ISNA(MATCH(J82, Criterios!$A$123:$A$126, 0)), "División no válida", "")), IF(OR(K82="", K82=""), "[Aviso] Categoría no capturada ()", IF(ISNA(MATCH(K82, Criterios!$A$81:$A$120, 0)), "Categoría no válida", IF(AND(J82&lt;&gt;"", J82&lt;&gt;"", J82&lt;&gt;VLOOKUP(K82, Criterios!$A$81:$B$120, 2, FALSE)), "División no coincide con Categoría", ""))), IF(OR(L82="", L82=""), "[Aviso] Género no capturado ()", IF(ISNA(MATCH(L82, Criterios!$B$123:$B$127, 0)), "Género no válido", "")), IF(OR(N82="", N82=""), "[Aviso] Temporada no capturada ()", IF(ISNA(MATCH(N82, Criterios!$C$123:$C$128, 0)), "Temporada no válida", "")), IF(OR(O82="", O82=""), "[Aviso] Ciclo de vida no capturado ()", IF(ISNA(MATCH(O82, Criterios!$D$123:$D$124, 0)), "Ciclo de vida no válido", ""))))</f>
        <v/>
      </c>
      <c r="AC82" s="56" t="n"/>
      <c r="AD82" s="51" t="n">
        <v>7</v>
      </c>
      <c r="AE82" s="156" t="inlineStr">
        <is>
          <t>REFLO ALMACEN (3); MUESTRAS REFLO (1)</t>
        </is>
      </c>
      <c r="AF82" s="51" t="n">
        <v>6</v>
      </c>
      <c r="AG82" s="156" t="inlineStr">
        <is>
          <t>Nuevo – NetSuite con existencia</t>
        </is>
      </c>
      <c r="AH82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82" s="156" t="inlineStr">
        <is>
          <t>No</t>
        </is>
      </c>
      <c r="AJ82" s="156" t="n"/>
      <c r="AK82" s="155" t="inlineStr">
        <is>
          <t>G1522ProductosTodosloscamposSandboxResults894.xlsx: fila 48576 [X,Y]; G1522_Extraccion_Articulos_NetSuite_2026-09-30.xlsx: fila 37537 [Z]</t>
        </is>
      </c>
      <c r="AL82" s="58" t="n">
        <v>22.75</v>
      </c>
      <c r="AM82" s="58" t="n"/>
      <c r="AN82" s="155" t="n"/>
      <c r="AO82" s="59" t="n"/>
      <c r="AP82" s="59" t="n"/>
      <c r="AQ82" s="59" t="n"/>
      <c r="AR82" s="155" t="n"/>
    </row>
    <row r="83">
      <c r="A83" s="50" t="inlineStr">
        <is>
          <t>5056658703249</t>
        </is>
      </c>
      <c r="B83" s="51" t="inlineStr">
        <is>
          <t>79205</t>
        </is>
      </c>
      <c r="C83" s="156" t="inlineStr">
        <is>
          <t>REFLO</t>
        </is>
      </c>
      <c r="D83" s="156" t="inlineStr">
        <is>
          <t>DESQUA</t>
        </is>
      </c>
      <c r="E83" s="156" t="inlineStr">
        <is>
          <t>DESQUA-XL</t>
        </is>
      </c>
      <c r="F83" s="156" t="inlineStr">
        <is>
          <t>XL</t>
        </is>
      </c>
      <c r="G83" s="156" t="inlineStr">
        <is>
          <t>XL</t>
        </is>
      </c>
      <c r="H83" s="156" t="inlineStr">
        <is>
          <t>REFLO</t>
        </is>
      </c>
      <c r="I83" s="156" t="inlineStr">
        <is>
          <t>Short 2 en 1 REFLO Desna Quarry</t>
        </is>
      </c>
      <c r="J83" s="156" t="inlineStr">
        <is>
          <t>Ropa</t>
        </is>
      </c>
      <c r="K83" s="156" t="inlineStr">
        <is>
          <t>Shorts</t>
        </is>
      </c>
      <c r="L83" s="156" t="n"/>
      <c r="M83" s="156" t="inlineStr">
        <is>
          <t>REFLO</t>
        </is>
      </c>
      <c r="N83" s="156" t="n"/>
      <c r="O83" s="156" t="n"/>
      <c r="P83" s="156" t="inlineStr">
        <is>
          <t>Gris</t>
        </is>
      </c>
      <c r="Q83" s="156" t="n"/>
      <c r="R83" s="156" t="n"/>
      <c r="S83" s="156" t="inlineStr">
        <is>
          <t>Poliéster reciclado</t>
        </is>
      </c>
      <c r="T83" s="156" t="inlineStr">
        <is>
          <t>Short 2 en 1 de golf REFLO modelo Desna en color Quarry, confeccionado con materiales reciclados. Estilo DESQUA.</t>
        </is>
      </c>
      <c r="U83" s="156" t="n"/>
      <c r="V83" s="156" t="inlineStr">
        <is>
          <t>PZS</t>
        </is>
      </c>
      <c r="W83" s="51" t="inlineStr">
        <is>
          <t>53101500</t>
        </is>
      </c>
      <c r="X83" s="156" t="inlineStr">
        <is>
          <t>https://i.ibb.co/8PGzYhY/DESQUA.jpg</t>
        </is>
      </c>
      <c r="Y83" s="54" t="n">
        <v>22.75</v>
      </c>
      <c r="Z83" s="54" t="n">
        <v>1649</v>
      </c>
      <c r="AA83" s="55">
        <f>IF(AND(A83="", B83="", E83=""), "", IF(AB83="", "Válido", IF((LEN(AB83)-LEN(SUBSTITUTE(AB83,"; ","")))/2+1&gt;(LEN(AB83)-LEN(SUBSTITUTE(AB83,"[Aviso]","")))/7, "Con Incidencias", "Válido")))</f>
        <v/>
      </c>
      <c r="AB83" s="56">
        <f>IF(AND(A83="", B83="", E83=""), "", TEXTJOIN("; ", TRUE, IF(OR(TRIM(A83&amp;"")="", ISNUMBER(SEARCH("FALTA", A83))), "UPC faltante/inválido", ""), IF(AND(A83&lt;&gt;"", IFERROR(_xlfn.XMATCH(A83,$A$2:$A$653,0,1)&lt;&gt;_xlfn.XMATCH(A83,$A$2:$A$653,0,-1),FALSE)), "Código de barras duplicado", ""), IF(AND(E83&lt;&gt;"", COUNTIF($E$2:$E$653, E83)&gt;1), "SKU duplicado", ""), IF(OR(J83="", J83=""), "[Aviso] División no capturada ()", IF(ISNA(MATCH(J83, Criterios!$A$123:$A$126, 0)), "División no válida", "")), IF(OR(K83="", K83=""), "[Aviso] Categoría no capturada ()", IF(ISNA(MATCH(K83, Criterios!$A$81:$A$120, 0)), "Categoría no válida", IF(AND(J83&lt;&gt;"", J83&lt;&gt;"", J83&lt;&gt;VLOOKUP(K83, Criterios!$A$81:$B$120, 2, FALSE)), "División no coincide con Categoría", ""))), IF(OR(L83="", L83=""), "[Aviso] Género no capturado ()", IF(ISNA(MATCH(L83, Criterios!$B$123:$B$127, 0)), "Género no válido", "")), IF(OR(N83="", N83=""), "[Aviso] Temporada no capturada ()", IF(ISNA(MATCH(N83, Criterios!$C$123:$C$128, 0)), "Temporada no válida", "")), IF(OR(O83="", O83=""), "[Aviso] Ciclo de vida no capturado ()", IF(ISNA(MATCH(O83, Criterios!$D$123:$D$124, 0)), "Ciclo de vida no válido", ""))))</f>
        <v/>
      </c>
      <c r="AC83" s="56" t="n"/>
      <c r="AD83" s="51" t="n">
        <v>8</v>
      </c>
      <c r="AE83" s="156" t="inlineStr">
        <is>
          <t>CONSIGNA REFLO (1); REFLO ALMACEN (3)</t>
        </is>
      </c>
      <c r="AF83" s="51" t="n">
        <v>8</v>
      </c>
      <c r="AG83" s="156" t="inlineStr">
        <is>
          <t>Nuevo – NetSuite con existencia</t>
        </is>
      </c>
      <c r="AH83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83" s="156" t="inlineStr">
        <is>
          <t>No</t>
        </is>
      </c>
      <c r="AJ83" s="156" t="n"/>
      <c r="AK83" s="155" t="inlineStr">
        <is>
          <t>G1522ProductosTodosloscamposSandboxResults894.xlsx: fila 48577 [X,Y]; G1522_Extraccion_Articulos_NetSuite_2026-09-30.xlsx: fila 37538 [Z]</t>
        </is>
      </c>
      <c r="AL83" s="58" t="n">
        <v>22.75</v>
      </c>
      <c r="AM83" s="58" t="n"/>
      <c r="AN83" s="155" t="n"/>
      <c r="AO83" s="59" t="n"/>
      <c r="AP83" s="59" t="n"/>
      <c r="AQ83" s="59" t="n"/>
      <c r="AR83" s="155" t="n"/>
    </row>
    <row r="84">
      <c r="A84" s="50" t="inlineStr">
        <is>
          <t>5056658703256</t>
        </is>
      </c>
      <c r="B84" s="51" t="inlineStr">
        <is>
          <t>79206</t>
        </is>
      </c>
      <c r="C84" s="156" t="inlineStr">
        <is>
          <t>REFLO</t>
        </is>
      </c>
      <c r="D84" s="156" t="inlineStr">
        <is>
          <t>DESQUA</t>
        </is>
      </c>
      <c r="E84" s="156" t="inlineStr">
        <is>
          <t>DESQUA-2XL</t>
        </is>
      </c>
      <c r="F84" s="156" t="inlineStr">
        <is>
          <t>XXL</t>
        </is>
      </c>
      <c r="G84" s="156" t="inlineStr">
        <is>
          <t>XXL</t>
        </is>
      </c>
      <c r="H84" s="156" t="inlineStr">
        <is>
          <t>REFLO</t>
        </is>
      </c>
      <c r="I84" s="156" t="inlineStr">
        <is>
          <t>Short 2 en 1 REFLO Desna Quarry</t>
        </is>
      </c>
      <c r="J84" s="156" t="inlineStr">
        <is>
          <t>Ropa</t>
        </is>
      </c>
      <c r="K84" s="156" t="inlineStr">
        <is>
          <t>Shorts</t>
        </is>
      </c>
      <c r="L84" s="156" t="n"/>
      <c r="M84" s="156" t="inlineStr">
        <is>
          <t>REFLO</t>
        </is>
      </c>
      <c r="N84" s="156" t="n"/>
      <c r="O84" s="156" t="n"/>
      <c r="P84" s="156" t="inlineStr">
        <is>
          <t>Gris</t>
        </is>
      </c>
      <c r="Q84" s="156" t="n"/>
      <c r="R84" s="156" t="n"/>
      <c r="S84" s="156" t="inlineStr">
        <is>
          <t>Poliéster reciclado</t>
        </is>
      </c>
      <c r="T84" s="156" t="inlineStr">
        <is>
          <t>Short 2 en 1 de golf REFLO modelo Desna en color Quarry, confeccionado con materiales reciclados. Estilo DESQUA.</t>
        </is>
      </c>
      <c r="U84" s="156" t="n"/>
      <c r="V84" s="156" t="inlineStr">
        <is>
          <t>PZS</t>
        </is>
      </c>
      <c r="W84" s="51" t="inlineStr">
        <is>
          <t>53101500</t>
        </is>
      </c>
      <c r="X84" s="156" t="inlineStr">
        <is>
          <t>https://i.ibb.co/8PGzYhY/DESQUA.jpg</t>
        </is>
      </c>
      <c r="Y84" s="54" t="n">
        <v>22.75</v>
      </c>
      <c r="Z84" s="54" t="n">
        <v>1649</v>
      </c>
      <c r="AA84" s="55">
        <f>IF(AND(A84="", B84="", E84=""), "", IF(AB84="", "Válido", IF((LEN(AB84)-LEN(SUBSTITUTE(AB84,"; ","")))/2+1&gt;(LEN(AB84)-LEN(SUBSTITUTE(AB84,"[Aviso]","")))/7, "Con Incidencias", "Válido")))</f>
        <v/>
      </c>
      <c r="AB84" s="56">
        <f>IF(AND(A84="", B84="", E84=""), "", TEXTJOIN("; ", TRUE, IF(OR(TRIM(A84&amp;"")="", ISNUMBER(SEARCH("FALTA", A84))), "UPC faltante/inválido", ""), IF(AND(A84&lt;&gt;"", IFERROR(_xlfn.XMATCH(A84,$A$2:$A$653,0,1)&lt;&gt;_xlfn.XMATCH(A84,$A$2:$A$653,0,-1),FALSE)), "Código de barras duplicado", ""), IF(AND(E84&lt;&gt;"", COUNTIF($E$2:$E$653, E84)&gt;1), "SKU duplicado", ""), IF(OR(J84="", J84=""), "[Aviso] División no capturada ()", IF(ISNA(MATCH(J84, Criterios!$A$123:$A$126, 0)), "División no válida", "")), IF(OR(K84="", K84=""), "[Aviso] Categoría no capturada ()", IF(ISNA(MATCH(K84, Criterios!$A$81:$A$120, 0)), "Categoría no válida", IF(AND(J84&lt;&gt;"", J84&lt;&gt;"", J84&lt;&gt;VLOOKUP(K84, Criterios!$A$81:$B$120, 2, FALSE)), "División no coincide con Categoría", ""))), IF(OR(L84="", L84=""), "[Aviso] Género no capturado ()", IF(ISNA(MATCH(L84, Criterios!$B$123:$B$127, 0)), "Género no válido", "")), IF(OR(N84="", N84=""), "[Aviso] Temporada no capturada ()", IF(ISNA(MATCH(N84, Criterios!$C$123:$C$128, 0)), "Temporada no válida", "")), IF(OR(O84="", O84=""), "[Aviso] Ciclo de vida no capturado ()", IF(ISNA(MATCH(O84, Criterios!$D$123:$D$124, 0)), "Ciclo de vida no válido", ""))))</f>
        <v/>
      </c>
      <c r="AC84" s="56" t="n"/>
      <c r="AD84" s="51" t="n">
        <v>3</v>
      </c>
      <c r="AE84" s="156" t="inlineStr">
        <is>
          <t>REFLO ALMACEN (2)</t>
        </is>
      </c>
      <c r="AF84" s="51" t="n">
        <v>3</v>
      </c>
      <c r="AG84" s="156" t="inlineStr">
        <is>
          <t>Nuevo – NetSuite con existencia</t>
        </is>
      </c>
      <c r="AH84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84" s="156" t="inlineStr">
        <is>
          <t>No</t>
        </is>
      </c>
      <c r="AJ84" s="156" t="n"/>
      <c r="AK84" s="155" t="inlineStr">
        <is>
          <t>G1522ProductosTodosloscamposSandboxResults894.xlsx: fila 48578 [X,Y]; G1522_Extraccion_Articulos_NetSuite_2026-09-30.xlsx: fila 37539 [Z]</t>
        </is>
      </c>
      <c r="AL84" s="58" t="n">
        <v>22.75</v>
      </c>
      <c r="AM84" s="58" t="n"/>
      <c r="AN84" s="155" t="n"/>
      <c r="AO84" s="59" t="n"/>
      <c r="AP84" s="59" t="n"/>
      <c r="AQ84" s="59" t="n"/>
      <c r="AR84" s="155" t="n"/>
    </row>
    <row r="85">
      <c r="A85" s="50" t="inlineStr">
        <is>
          <t>5056658701719</t>
        </is>
      </c>
      <c r="B85" s="51" t="inlineStr">
        <is>
          <t>79088</t>
        </is>
      </c>
      <c r="C85" s="156" t="inlineStr">
        <is>
          <t>REFLO</t>
        </is>
      </c>
      <c r="D85" s="156" t="inlineStr">
        <is>
          <t>HUDBLA</t>
        </is>
      </c>
      <c r="E85" s="156" t="inlineStr">
        <is>
          <t>HUDBLA-M</t>
        </is>
      </c>
      <c r="F85" s="156" t="inlineStr">
        <is>
          <t>M</t>
        </is>
      </c>
      <c r="G85" s="156" t="inlineStr">
        <is>
          <t>M</t>
        </is>
      </c>
      <c r="H85" s="156" t="inlineStr">
        <is>
          <t>REFLO</t>
        </is>
      </c>
      <c r="I85" s="156" t="inlineStr">
        <is>
          <t>Playera REFLO Hudson 2.0 Black</t>
        </is>
      </c>
      <c r="J85" s="156" t="inlineStr">
        <is>
          <t>Ropa</t>
        </is>
      </c>
      <c r="K85" s="156" t="inlineStr">
        <is>
          <t>Playeras</t>
        </is>
      </c>
      <c r="L85" s="156" t="n"/>
      <c r="M85" s="156" t="inlineStr">
        <is>
          <t>REFLO</t>
        </is>
      </c>
      <c r="N85" s="156" t="n"/>
      <c r="O85" s="156" t="n"/>
      <c r="P85" s="156" t="inlineStr">
        <is>
          <t>Negro</t>
        </is>
      </c>
      <c r="Q85" s="156" t="n"/>
      <c r="R85" s="156" t="n"/>
      <c r="S85" s="156" t="inlineStr">
        <is>
          <t>Poliéster reciclado</t>
        </is>
      </c>
      <c r="T85" s="156" t="inlineStr">
        <is>
          <t>Playera de golf REFLO modelo Hudson 2.0 en color Black, confeccionado con materiales reciclados. Estilo HUDBLA.</t>
        </is>
      </c>
      <c r="U85" s="156" t="n"/>
      <c r="V85" s="156" t="inlineStr">
        <is>
          <t>PZS</t>
        </is>
      </c>
      <c r="W85" s="51" t="inlineStr">
        <is>
          <t>53101600</t>
        </is>
      </c>
      <c r="X85" s="156" t="inlineStr">
        <is>
          <t>https://i.ibb.co/x7G2myf/HUDBLA.jpg</t>
        </is>
      </c>
      <c r="Y85" s="54" t="n">
        <v>16.9</v>
      </c>
      <c r="Z85" s="54" t="n">
        <v>1249</v>
      </c>
      <c r="AA85" s="55">
        <f>IF(AND(A85="", B85="", E85=""), "", IF(AB85="", "Válido", IF((LEN(AB85)-LEN(SUBSTITUTE(AB85,"; ","")))/2+1&gt;(LEN(AB85)-LEN(SUBSTITUTE(AB85,"[Aviso]","")))/7, "Con Incidencias", "Válido")))</f>
        <v/>
      </c>
      <c r="AB85" s="56">
        <f>IF(AND(A85="", B85="", E85=""), "", TEXTJOIN("; ", TRUE, IF(OR(TRIM(A85&amp;"")="", ISNUMBER(SEARCH("FALTA", A85))), "UPC faltante/inválido", ""), IF(AND(A85&lt;&gt;"", IFERROR(_xlfn.XMATCH(A85,$A$2:$A$653,0,1)&lt;&gt;_xlfn.XMATCH(A85,$A$2:$A$653,0,-1),FALSE)), "Código de barras duplicado", ""), IF(AND(E85&lt;&gt;"", COUNTIF($E$2:$E$653, E85)&gt;1), "SKU duplicado", ""), IF(OR(J85="", J85=""), "[Aviso] División no capturada ()", IF(ISNA(MATCH(J85, Criterios!$A$123:$A$126, 0)), "División no válida", "")), IF(OR(K85="", K85=""), "[Aviso] Categoría no capturada ()", IF(ISNA(MATCH(K85, Criterios!$A$81:$A$120, 0)), "Categoría no válida", IF(AND(J85&lt;&gt;"", J85&lt;&gt;"", J85&lt;&gt;VLOOKUP(K85, Criterios!$A$81:$B$120, 2, FALSE)), "División no coincide con Categoría", ""))), IF(OR(L85="", L85=""), "[Aviso] Género no capturado ()", IF(ISNA(MATCH(L85, Criterios!$B$123:$B$127, 0)), "Género no válido", "")), IF(OR(N85="", N85=""), "[Aviso] Temporada no capturada ()", IF(ISNA(MATCH(N85, Criterios!$C$123:$C$128, 0)), "Temporada no válida", "")), IF(OR(O85="", O85=""), "[Aviso] Ciclo de vida no capturado ()", IF(ISNA(MATCH(O85, Criterios!$D$123:$D$124, 0)), "Ciclo de vida no válido", ""))))</f>
        <v/>
      </c>
      <c r="AC85" s="56" t="n"/>
      <c r="AD85" s="51" t="n">
        <v>3</v>
      </c>
      <c r="AE85" s="156" t="inlineStr">
        <is>
          <t>CONSIGNA REFLO (1); REFLO ALMACEN (1)</t>
        </is>
      </c>
      <c r="AF85" s="51" t="n">
        <v>3</v>
      </c>
      <c r="AG85" s="156" t="inlineStr">
        <is>
          <t>Nuevo – NetSuite con existencia</t>
        </is>
      </c>
      <c r="AH85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85" s="156" t="inlineStr">
        <is>
          <t>No</t>
        </is>
      </c>
      <c r="AJ85" s="156" t="n"/>
      <c r="AK85" s="155" t="inlineStr">
        <is>
          <t>G1522ProductosTodosloscamposSandboxResults894.xlsx: fila 49238 [X,Y]; G1522_Extraccion_Articulos_NetSuite_2026-09-30.xlsx: fila 37472 [Z]</t>
        </is>
      </c>
      <c r="AL85" s="58" t="n">
        <v>16.9</v>
      </c>
      <c r="AM85" s="58" t="n"/>
      <c r="AN85" s="155" t="n"/>
      <c r="AO85" s="59" t="n"/>
      <c r="AP85" s="59" t="n"/>
      <c r="AQ85" s="59" t="n"/>
      <c r="AR85" s="155" t="n"/>
    </row>
    <row r="86">
      <c r="A86" s="50" t="inlineStr">
        <is>
          <t>5056658701726</t>
        </is>
      </c>
      <c r="B86" s="51" t="inlineStr">
        <is>
          <t>79089</t>
        </is>
      </c>
      <c r="C86" s="156" t="inlineStr">
        <is>
          <t>REFLO</t>
        </is>
      </c>
      <c r="D86" s="156" t="inlineStr">
        <is>
          <t>HUDBLA</t>
        </is>
      </c>
      <c r="E86" s="156" t="inlineStr">
        <is>
          <t>HUDBLA-L</t>
        </is>
      </c>
      <c r="F86" s="156" t="inlineStr">
        <is>
          <t>L</t>
        </is>
      </c>
      <c r="G86" s="156" t="inlineStr">
        <is>
          <t>L</t>
        </is>
      </c>
      <c r="H86" s="156" t="inlineStr">
        <is>
          <t>REFLO</t>
        </is>
      </c>
      <c r="I86" s="156" t="inlineStr">
        <is>
          <t>Playera REFLO Hudson 2.0 Black</t>
        </is>
      </c>
      <c r="J86" s="156" t="inlineStr">
        <is>
          <t>Ropa</t>
        </is>
      </c>
      <c r="K86" s="156" t="inlineStr">
        <is>
          <t>Playeras</t>
        </is>
      </c>
      <c r="L86" s="156" t="n"/>
      <c r="M86" s="156" t="inlineStr">
        <is>
          <t>REFLO</t>
        </is>
      </c>
      <c r="N86" s="156" t="n"/>
      <c r="O86" s="156" t="n"/>
      <c r="P86" s="156" t="inlineStr">
        <is>
          <t>Negro</t>
        </is>
      </c>
      <c r="Q86" s="156" t="n"/>
      <c r="R86" s="156" t="n"/>
      <c r="S86" s="156" t="inlineStr">
        <is>
          <t>Poliéster reciclado</t>
        </is>
      </c>
      <c r="T86" s="156" t="inlineStr">
        <is>
          <t>Playera de golf REFLO modelo Hudson 2.0 en color Black, confeccionado con materiales reciclados. Estilo HUDBLA.</t>
        </is>
      </c>
      <c r="U86" s="156" t="n"/>
      <c r="V86" s="156" t="inlineStr">
        <is>
          <t>PZS</t>
        </is>
      </c>
      <c r="W86" s="51" t="inlineStr">
        <is>
          <t>53101600</t>
        </is>
      </c>
      <c r="X86" s="156" t="inlineStr">
        <is>
          <t>https://i.ibb.co/x7G2myf/HUDBLA.jpg</t>
        </is>
      </c>
      <c r="Y86" s="54" t="n">
        <v>16.9</v>
      </c>
      <c r="Z86" s="54" t="n">
        <v>1249</v>
      </c>
      <c r="AA86" s="55">
        <f>IF(AND(A86="", B86="", E86=""), "", IF(AB86="", "Válido", IF((LEN(AB86)-LEN(SUBSTITUTE(AB86,"; ","")))/2+1&gt;(LEN(AB86)-LEN(SUBSTITUTE(AB86,"[Aviso]","")))/7, "Con Incidencias", "Válido")))</f>
        <v/>
      </c>
      <c r="AB86" s="56">
        <f>IF(AND(A86="", B86="", E86=""), "", TEXTJOIN("; ", TRUE, IF(OR(TRIM(A86&amp;"")="", ISNUMBER(SEARCH("FALTA", A86))), "UPC faltante/inválido", ""), IF(AND(A86&lt;&gt;"", IFERROR(_xlfn.XMATCH(A86,$A$2:$A$653,0,1)&lt;&gt;_xlfn.XMATCH(A86,$A$2:$A$653,0,-1),FALSE)), "Código de barras duplicado", ""), IF(AND(E86&lt;&gt;"", COUNTIF($E$2:$E$653, E86)&gt;1), "SKU duplicado", ""), IF(OR(J86="", J86=""), "[Aviso] División no capturada ()", IF(ISNA(MATCH(J86, Criterios!$A$123:$A$126, 0)), "División no válida", "")), IF(OR(K86="", K86=""), "[Aviso] Categoría no capturada ()", IF(ISNA(MATCH(K86, Criterios!$A$81:$A$120, 0)), "Categoría no válida", IF(AND(J86&lt;&gt;"", J86&lt;&gt;"", J86&lt;&gt;VLOOKUP(K86, Criterios!$A$81:$B$120, 2, FALSE)), "División no coincide con Categoría", ""))), IF(OR(L86="", L86=""), "[Aviso] Género no capturado ()", IF(ISNA(MATCH(L86, Criterios!$B$123:$B$127, 0)), "Género no válido", "")), IF(OR(N86="", N86=""), "[Aviso] Temporada no capturada ()", IF(ISNA(MATCH(N86, Criterios!$C$123:$C$128, 0)), "Temporada no válida", "")), IF(OR(O86="", O86=""), "[Aviso] Ciclo de vida no capturado ()", IF(ISNA(MATCH(O86, Criterios!$D$123:$D$124, 0)), "Ciclo de vida no válido", ""))))</f>
        <v/>
      </c>
      <c r="AC86" s="56" t="n"/>
      <c r="AD86" s="51" t="n">
        <v>1</v>
      </c>
      <c r="AE86" s="156" t="inlineStr">
        <is>
          <t>MUESTRAS REFLO (1)</t>
        </is>
      </c>
      <c r="AF86" s="51" t="n">
        <v>0</v>
      </c>
      <c r="AG86" s="156" t="inlineStr">
        <is>
          <t>Nuevo – NetSuite con existencia</t>
        </is>
      </c>
      <c r="AH86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86" s="156" t="inlineStr">
        <is>
          <t>No</t>
        </is>
      </c>
      <c r="AJ86" s="156" t="n"/>
      <c r="AK86" s="155" t="inlineStr">
        <is>
          <t>G1522ProductosTodosloscamposSandboxResults894.xlsx: fila 49239 [X,Y]; G1522_Extraccion_Articulos_NetSuite_2026-09-30.xlsx: fila 37473 [Z]</t>
        </is>
      </c>
      <c r="AL86" s="58" t="n">
        <v>16.9</v>
      </c>
      <c r="AM86" s="58" t="n"/>
      <c r="AN86" s="155" t="n"/>
      <c r="AO86" s="59" t="n"/>
      <c r="AP86" s="59" t="n"/>
      <c r="AQ86" s="59" t="n"/>
      <c r="AR86" s="155" t="n"/>
    </row>
    <row r="87">
      <c r="A87" s="50" t="inlineStr">
        <is>
          <t>5056658701733</t>
        </is>
      </c>
      <c r="B87" s="51" t="inlineStr">
        <is>
          <t>79090</t>
        </is>
      </c>
      <c r="C87" s="156" t="inlineStr">
        <is>
          <t>REFLO</t>
        </is>
      </c>
      <c r="D87" s="156" t="inlineStr">
        <is>
          <t>HUDBLA</t>
        </is>
      </c>
      <c r="E87" s="156" t="inlineStr">
        <is>
          <t>HUDBLA-XL</t>
        </is>
      </c>
      <c r="F87" s="156" t="inlineStr">
        <is>
          <t>XL</t>
        </is>
      </c>
      <c r="G87" s="156" t="inlineStr">
        <is>
          <t>XL</t>
        </is>
      </c>
      <c r="H87" s="156" t="inlineStr">
        <is>
          <t>REFLO</t>
        </is>
      </c>
      <c r="I87" s="156" t="inlineStr">
        <is>
          <t>Playera REFLO Hudson 2.0 Black</t>
        </is>
      </c>
      <c r="J87" s="156" t="inlineStr">
        <is>
          <t>Ropa</t>
        </is>
      </c>
      <c r="K87" s="156" t="inlineStr">
        <is>
          <t>Playeras</t>
        </is>
      </c>
      <c r="L87" s="156" t="n"/>
      <c r="M87" s="156" t="inlineStr">
        <is>
          <t>REFLO</t>
        </is>
      </c>
      <c r="N87" s="156" t="n"/>
      <c r="O87" s="156" t="n"/>
      <c r="P87" s="156" t="inlineStr">
        <is>
          <t>Negro</t>
        </is>
      </c>
      <c r="Q87" s="156" t="n"/>
      <c r="R87" s="156" t="n"/>
      <c r="S87" s="156" t="inlineStr">
        <is>
          <t>Poliéster reciclado</t>
        </is>
      </c>
      <c r="T87" s="156" t="inlineStr">
        <is>
          <t>Playera de golf REFLO modelo Hudson 2.0 en color Black, confeccionado con materiales reciclados. Estilo HUDBLA.</t>
        </is>
      </c>
      <c r="U87" s="156" t="n"/>
      <c r="V87" s="156" t="inlineStr">
        <is>
          <t>PZS</t>
        </is>
      </c>
      <c r="W87" s="51" t="inlineStr">
        <is>
          <t>53101600</t>
        </is>
      </c>
      <c r="X87" s="156" t="inlineStr">
        <is>
          <t>https://i.ibb.co/x7G2myf/HUDBLA.jpg</t>
        </is>
      </c>
      <c r="Y87" s="54" t="n">
        <v>16.9</v>
      </c>
      <c r="Z87" s="54" t="n">
        <v>1249</v>
      </c>
      <c r="AA87" s="55">
        <f>IF(AND(A87="", B87="", E87=""), "", IF(AB87="", "Válido", IF((LEN(AB87)-LEN(SUBSTITUTE(AB87,"; ","")))/2+1&gt;(LEN(AB87)-LEN(SUBSTITUTE(AB87,"[Aviso]","")))/7, "Con Incidencias", "Válido")))</f>
        <v/>
      </c>
      <c r="AB87" s="56">
        <f>IF(AND(A87="", B87="", E87=""), "", TEXTJOIN("; ", TRUE, IF(OR(TRIM(A87&amp;"")="", ISNUMBER(SEARCH("FALTA", A87))), "UPC faltante/inválido", ""), IF(AND(A87&lt;&gt;"", IFERROR(_xlfn.XMATCH(A87,$A$2:$A$653,0,1)&lt;&gt;_xlfn.XMATCH(A87,$A$2:$A$653,0,-1),FALSE)), "Código de barras duplicado", ""), IF(AND(E87&lt;&gt;"", COUNTIF($E$2:$E$653, E87)&gt;1), "SKU duplicado", ""), IF(OR(J87="", J87=""), "[Aviso] División no capturada ()", IF(ISNA(MATCH(J87, Criterios!$A$123:$A$126, 0)), "División no válida", "")), IF(OR(K87="", K87=""), "[Aviso] Categoría no capturada ()", IF(ISNA(MATCH(K87, Criterios!$A$81:$A$120, 0)), "Categoría no válida", IF(AND(J87&lt;&gt;"", J87&lt;&gt;"", J87&lt;&gt;VLOOKUP(K87, Criterios!$A$81:$B$120, 2, FALSE)), "División no coincide con Categoría", ""))), IF(OR(L87="", L87=""), "[Aviso] Género no capturado ()", IF(ISNA(MATCH(L87, Criterios!$B$123:$B$127, 0)), "Género no válido", "")), IF(OR(N87="", N87=""), "[Aviso] Temporada no capturada ()", IF(ISNA(MATCH(N87, Criterios!$C$123:$C$128, 0)), "Temporada no válida", "")), IF(OR(O87="", O87=""), "[Aviso] Ciclo de vida no capturado ()", IF(ISNA(MATCH(O87, Criterios!$D$123:$D$124, 0)), "Ciclo de vida no válido", ""))))</f>
        <v/>
      </c>
      <c r="AC87" s="56" t="n"/>
      <c r="AD87" s="51" t="n">
        <v>7</v>
      </c>
      <c r="AE87" s="156" t="inlineStr">
        <is>
          <t>CONSIGNA REFLO (1); REFLO ALMACEN (3)</t>
        </is>
      </c>
      <c r="AF87" s="51" t="n">
        <v>7</v>
      </c>
      <c r="AG87" s="156" t="inlineStr">
        <is>
          <t>Nuevo – NetSuite con existencia</t>
        </is>
      </c>
      <c r="AH87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87" s="156" t="inlineStr">
        <is>
          <t>No</t>
        </is>
      </c>
      <c r="AJ87" s="156" t="n"/>
      <c r="AK87" s="155" t="inlineStr">
        <is>
          <t>G1522ProductosTodosloscamposSandboxResults894.xlsx: fila 49240 [X,Y]; G1522_Extraccion_Articulos_NetSuite_2026-09-30.xlsx: fila 37474 [Z]</t>
        </is>
      </c>
      <c r="AL87" s="58" t="n">
        <v>16.9</v>
      </c>
      <c r="AM87" s="58" t="n"/>
      <c r="AN87" s="155" t="n"/>
      <c r="AO87" s="59" t="n"/>
      <c r="AP87" s="59" t="n"/>
      <c r="AQ87" s="59" t="n"/>
      <c r="AR87" s="155" t="n"/>
    </row>
    <row r="88">
      <c r="A88" s="50" t="inlineStr">
        <is>
          <t>5056658701740</t>
        </is>
      </c>
      <c r="B88" s="51" t="inlineStr">
        <is>
          <t>79091</t>
        </is>
      </c>
      <c r="C88" s="156" t="inlineStr">
        <is>
          <t>REFLO</t>
        </is>
      </c>
      <c r="D88" s="156" t="inlineStr">
        <is>
          <t>HUDBLA</t>
        </is>
      </c>
      <c r="E88" s="156" t="inlineStr">
        <is>
          <t>HUDBLA-2XL</t>
        </is>
      </c>
      <c r="F88" s="156" t="inlineStr">
        <is>
          <t>XXL</t>
        </is>
      </c>
      <c r="G88" s="156" t="inlineStr">
        <is>
          <t>XXL</t>
        </is>
      </c>
      <c r="H88" s="156" t="inlineStr">
        <is>
          <t>REFLO</t>
        </is>
      </c>
      <c r="I88" s="156" t="inlineStr">
        <is>
          <t>Playera REFLO Hudson 2.0 Black</t>
        </is>
      </c>
      <c r="J88" s="156" t="inlineStr">
        <is>
          <t>Ropa</t>
        </is>
      </c>
      <c r="K88" s="156" t="inlineStr">
        <is>
          <t>Playeras</t>
        </is>
      </c>
      <c r="L88" s="156" t="n"/>
      <c r="M88" s="156" t="inlineStr">
        <is>
          <t>REFLO</t>
        </is>
      </c>
      <c r="N88" s="156" t="n"/>
      <c r="O88" s="156" t="n"/>
      <c r="P88" s="156" t="inlineStr">
        <is>
          <t>Negro</t>
        </is>
      </c>
      <c r="Q88" s="156" t="n"/>
      <c r="R88" s="156" t="n"/>
      <c r="S88" s="156" t="inlineStr">
        <is>
          <t>Poliéster reciclado</t>
        </is>
      </c>
      <c r="T88" s="156" t="inlineStr">
        <is>
          <t>Playera de golf REFLO modelo Hudson 2.0 en color Black, confeccionado con materiales reciclados. Estilo HUDBLA.</t>
        </is>
      </c>
      <c r="U88" s="156" t="n"/>
      <c r="V88" s="156" t="inlineStr">
        <is>
          <t>PZS</t>
        </is>
      </c>
      <c r="W88" s="51" t="inlineStr">
        <is>
          <t>53101600</t>
        </is>
      </c>
      <c r="X88" s="156" t="inlineStr">
        <is>
          <t>https://i.ibb.co/x7G2myf/HUDBLA.jpg</t>
        </is>
      </c>
      <c r="Y88" s="54" t="n">
        <v>16.9</v>
      </c>
      <c r="Z88" s="54" t="n">
        <v>1249</v>
      </c>
      <c r="AA88" s="55">
        <f>IF(AND(A88="", B88="", E88=""), "", IF(AB88="", "Válido", IF((LEN(AB88)-LEN(SUBSTITUTE(AB88,"; ","")))/2+1&gt;(LEN(AB88)-LEN(SUBSTITUTE(AB88,"[Aviso]","")))/7, "Con Incidencias", "Válido")))</f>
        <v/>
      </c>
      <c r="AB88" s="56">
        <f>IF(AND(A88="", B88="", E88=""), "", TEXTJOIN("; ", TRUE, IF(OR(TRIM(A88&amp;"")="", ISNUMBER(SEARCH("FALTA", A88))), "UPC faltante/inválido", ""), IF(AND(A88&lt;&gt;"", IFERROR(_xlfn.XMATCH(A88,$A$2:$A$653,0,1)&lt;&gt;_xlfn.XMATCH(A88,$A$2:$A$653,0,-1),FALSE)), "Código de barras duplicado", ""), IF(AND(E88&lt;&gt;"", COUNTIF($E$2:$E$653, E88)&gt;1), "SKU duplicado", ""), IF(OR(J88="", J88=""), "[Aviso] División no capturada ()", IF(ISNA(MATCH(J88, Criterios!$A$123:$A$126, 0)), "División no válida", "")), IF(OR(K88="", K88=""), "[Aviso] Categoría no capturada ()", IF(ISNA(MATCH(K88, Criterios!$A$81:$A$120, 0)), "Categoría no válida", IF(AND(J88&lt;&gt;"", J88&lt;&gt;"", J88&lt;&gt;VLOOKUP(K88, Criterios!$A$81:$B$120, 2, FALSE)), "División no coincide con Categoría", ""))), IF(OR(L88="", L88=""), "[Aviso] Género no capturado ()", IF(ISNA(MATCH(L88, Criterios!$B$123:$B$127, 0)), "Género no válido", "")), IF(OR(N88="", N88=""), "[Aviso] Temporada no capturada ()", IF(ISNA(MATCH(N88, Criterios!$C$123:$C$128, 0)), "Temporada no válida", "")), IF(OR(O88="", O88=""), "[Aviso] Ciclo de vida no capturado ()", IF(ISNA(MATCH(O88, Criterios!$D$123:$D$124, 0)), "Ciclo de vida no válido", ""))))</f>
        <v/>
      </c>
      <c r="AC88" s="56" t="n"/>
      <c r="AD88" s="51" t="n">
        <v>1</v>
      </c>
      <c r="AE88" s="156" t="inlineStr">
        <is>
          <t>REFLO ALMACEN (1)</t>
        </is>
      </c>
      <c r="AF88" s="51" t="n">
        <v>1</v>
      </c>
      <c r="AG88" s="156" t="inlineStr">
        <is>
          <t>Nuevo – NetSuite con existencia</t>
        </is>
      </c>
      <c r="AH88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88" s="156" t="inlineStr">
        <is>
          <t>No</t>
        </is>
      </c>
      <c r="AJ88" s="156" t="n"/>
      <c r="AK88" s="155" t="inlineStr">
        <is>
          <t>G1522ProductosTodosloscamposSandboxResults894.xlsx: fila 49241 [X,Y]; G1522_Extraccion_Articulos_NetSuite_2026-09-30.xlsx: fila 37475 [Z]</t>
        </is>
      </c>
      <c r="AL88" s="58" t="n">
        <v>16.9</v>
      </c>
      <c r="AM88" s="58" t="n"/>
      <c r="AN88" s="155" t="n"/>
      <c r="AO88" s="59" t="n"/>
      <c r="AP88" s="59" t="n"/>
      <c r="AQ88" s="59" t="n"/>
      <c r="AR88" s="155" t="n"/>
    </row>
    <row r="89">
      <c r="A89" s="50" t="inlineStr">
        <is>
          <t>5056658701702</t>
        </is>
      </c>
      <c r="B89" s="51" t="inlineStr">
        <is>
          <t>84426</t>
        </is>
      </c>
      <c r="C89" s="156" t="inlineStr">
        <is>
          <t>REFLO</t>
        </is>
      </c>
      <c r="D89" s="156" t="inlineStr">
        <is>
          <t>HUDBLA</t>
        </is>
      </c>
      <c r="E89" s="156" t="inlineStr">
        <is>
          <t>HUDBLA-S</t>
        </is>
      </c>
      <c r="F89" s="156" t="inlineStr">
        <is>
          <t>S</t>
        </is>
      </c>
      <c r="G89" s="156" t="inlineStr">
        <is>
          <t>S</t>
        </is>
      </c>
      <c r="H89" s="156" t="inlineStr">
        <is>
          <t>REFLO</t>
        </is>
      </c>
      <c r="I89" s="156" t="inlineStr">
        <is>
          <t>Playera REFLO Hudson Black</t>
        </is>
      </c>
      <c r="J89" s="156" t="inlineStr">
        <is>
          <t>Ropa</t>
        </is>
      </c>
      <c r="K89" s="156" t="inlineStr">
        <is>
          <t>Playeras</t>
        </is>
      </c>
      <c r="L89" s="156" t="n"/>
      <c r="M89" s="156" t="inlineStr">
        <is>
          <t>REFLO</t>
        </is>
      </c>
      <c r="N89" s="156" t="n"/>
      <c r="O89" s="156" t="n"/>
      <c r="P89" s="156" t="inlineStr">
        <is>
          <t>Negro</t>
        </is>
      </c>
      <c r="Q89" s="156" t="n"/>
      <c r="R89" s="156" t="n"/>
      <c r="S89" s="156" t="inlineStr">
        <is>
          <t>Poliéster reciclado</t>
        </is>
      </c>
      <c r="T89" s="156" t="inlineStr">
        <is>
          <t>Playera de golf REFLO modelo Hudson en color Black, confeccionado con materiales reciclados. Estilo HUDBLA.</t>
        </is>
      </c>
      <c r="U89" s="156" t="n"/>
      <c r="V89" s="156" t="inlineStr">
        <is>
          <t>PZS</t>
        </is>
      </c>
      <c r="W89" s="51" t="inlineStr">
        <is>
          <t>53101600</t>
        </is>
      </c>
      <c r="X89" s="156" t="inlineStr">
        <is>
          <t>https://i.ibb.co/x7G2myf/HUDBLA.jpg</t>
        </is>
      </c>
      <c r="Y89" s="54" t="n">
        <v>16.9</v>
      </c>
      <c r="Z89" s="54" t="n">
        <v>1249</v>
      </c>
      <c r="AA89" s="55">
        <f>IF(AND(A89="", B89="", E89=""), "", IF(AB89="", "Válido", IF((LEN(AB89)-LEN(SUBSTITUTE(AB89,"; ","")))/2+1&gt;(LEN(AB89)-LEN(SUBSTITUTE(AB89,"[Aviso]","")))/7, "Con Incidencias", "Válido")))</f>
        <v/>
      </c>
      <c r="AB89" s="56">
        <f>IF(AND(A89="", B89="", E89=""), "", TEXTJOIN("; ", TRUE, IF(OR(TRIM(A89&amp;"")="", ISNUMBER(SEARCH("FALTA", A89))), "UPC faltante/inválido", ""), IF(AND(A89&lt;&gt;"", IFERROR(_xlfn.XMATCH(A89,$A$2:$A$653,0,1)&lt;&gt;_xlfn.XMATCH(A89,$A$2:$A$653,0,-1),FALSE)), "Código de barras duplicado", ""), IF(AND(E89&lt;&gt;"", COUNTIF($E$2:$E$653, E89)&gt;1), "SKU duplicado", ""), IF(OR(J89="", J89=""), "[Aviso] División no capturada ()", IF(ISNA(MATCH(J89, Criterios!$A$123:$A$126, 0)), "División no válida", "")), IF(OR(K89="", K89=""), "[Aviso] Categoría no capturada ()", IF(ISNA(MATCH(K89, Criterios!$A$81:$A$120, 0)), "Categoría no válida", IF(AND(J89&lt;&gt;"", J89&lt;&gt;"", J89&lt;&gt;VLOOKUP(K89, Criterios!$A$81:$B$120, 2, FALSE)), "División no coincide con Categoría", ""))), IF(OR(L89="", L89=""), "[Aviso] Género no capturado ()", IF(ISNA(MATCH(L89, Criterios!$B$123:$B$127, 0)), "Género no válido", "")), IF(OR(N89="", N89=""), "[Aviso] Temporada no capturada ()", IF(ISNA(MATCH(N89, Criterios!$C$123:$C$128, 0)), "Temporada no válida", "")), IF(OR(O89="", O89=""), "[Aviso] Ciclo de vida no capturado ()", IF(ISNA(MATCH(O89, Criterios!$D$123:$D$124, 0)), "Ciclo de vida no válido", ""))))</f>
        <v/>
      </c>
      <c r="AC89" s="56" t="n"/>
      <c r="AD89" s="51" t="n">
        <v>5</v>
      </c>
      <c r="AE89" s="156" t="inlineStr">
        <is>
          <t>CONSIGNA REFLO (2); REFLO ALMACEN (1)</t>
        </is>
      </c>
      <c r="AF89" s="51" t="n">
        <v>5</v>
      </c>
      <c r="AG89" s="156" t="inlineStr">
        <is>
          <t>Nuevo – NetSuite con existencia</t>
        </is>
      </c>
      <c r="AH89" s="156" t="inlineStr">
        <is>
          <t>Género no indicado en NetSuite; Composición: poliéster reciclado (validar % en etiqueta); Físico total NetSuite 5 ≠ suma por ubicación 3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89" s="156" t="inlineStr">
        <is>
          <t>No</t>
        </is>
      </c>
      <c r="AJ89" s="156" t="n"/>
      <c r="AK89" s="155" t="inlineStr">
        <is>
          <t>G1522ProductosTodosloscamposSandboxResults894.xlsx: fila 49263 [X,Y]; G1522_Extraccion_Articulos_NetSuite_2026-09-30.xlsx: fila 39595 [Z]</t>
        </is>
      </c>
      <c r="AL89" s="58" t="n">
        <v>16.9</v>
      </c>
      <c r="AM89" s="58" t="n"/>
      <c r="AN89" s="155" t="n"/>
      <c r="AO89" s="59" t="n"/>
      <c r="AP89" s="59" t="n"/>
      <c r="AQ89" s="59" t="n"/>
      <c r="AR89" s="155" t="n"/>
    </row>
    <row r="90">
      <c r="A90" s="50" t="inlineStr">
        <is>
          <t>5056658701764</t>
        </is>
      </c>
      <c r="B90" s="51" t="inlineStr">
        <is>
          <t>79092</t>
        </is>
      </c>
      <c r="C90" s="156" t="inlineStr">
        <is>
          <t>REFLO</t>
        </is>
      </c>
      <c r="D90" s="156" t="inlineStr">
        <is>
          <t>HUDCLO</t>
        </is>
      </c>
      <c r="E90" s="156" t="inlineStr">
        <is>
          <t>HUDCLO-M</t>
        </is>
      </c>
      <c r="F90" s="156" t="inlineStr">
        <is>
          <t>M</t>
        </is>
      </c>
      <c r="G90" s="156" t="inlineStr">
        <is>
          <t>M</t>
        </is>
      </c>
      <c r="H90" s="156" t="inlineStr">
        <is>
          <t>REFLO</t>
        </is>
      </c>
      <c r="I90" s="156" t="inlineStr">
        <is>
          <t>Playera REFLO Hudson 2.0 Cloud</t>
        </is>
      </c>
      <c r="J90" s="156" t="inlineStr">
        <is>
          <t>Ropa</t>
        </is>
      </c>
      <c r="K90" s="156" t="inlineStr">
        <is>
          <t>Playeras</t>
        </is>
      </c>
      <c r="L90" s="156" t="n"/>
      <c r="M90" s="156" t="inlineStr">
        <is>
          <t>REFLO</t>
        </is>
      </c>
      <c r="N90" s="156" t="n"/>
      <c r="O90" s="156" t="n"/>
      <c r="P90" s="156" t="n"/>
      <c r="Q90" s="156" t="n"/>
      <c r="R90" s="156" t="n"/>
      <c r="S90" s="156" t="inlineStr">
        <is>
          <t>Poliéster reciclado</t>
        </is>
      </c>
      <c r="T90" s="156" t="inlineStr">
        <is>
          <t>Playera de golf REFLO modelo Hudson 2.0 en color Cloud, confeccionado con materiales reciclados. Estilo HUDCLO.</t>
        </is>
      </c>
      <c r="U90" s="156" t="n"/>
      <c r="V90" s="156" t="inlineStr">
        <is>
          <t>PZS</t>
        </is>
      </c>
      <c r="W90" s="51" t="inlineStr">
        <is>
          <t>53101600</t>
        </is>
      </c>
      <c r="X90" s="156" t="inlineStr">
        <is>
          <t>https://i.ibb.co/g6zcr1R/HUDCLO.jpg</t>
        </is>
      </c>
      <c r="Y90" s="54" t="n">
        <v>16.9</v>
      </c>
      <c r="Z90" s="54" t="n">
        <v>1249</v>
      </c>
      <c r="AA90" s="55">
        <f>IF(AND(A90="", B90="", E90=""), "", IF(AB90="", "Válido", IF((LEN(AB90)-LEN(SUBSTITUTE(AB90,"; ","")))/2+1&gt;(LEN(AB90)-LEN(SUBSTITUTE(AB90,"[Aviso]","")))/7, "Con Incidencias", "Válido")))</f>
        <v/>
      </c>
      <c r="AB90" s="56">
        <f>IF(AND(A90="", B90="", E90=""), "", TEXTJOIN("; ", TRUE, IF(OR(TRIM(A90&amp;"")="", ISNUMBER(SEARCH("FALTA", A90))), "UPC faltante/inválido", ""), IF(AND(A90&lt;&gt;"", IFERROR(_xlfn.XMATCH(A90,$A$2:$A$653,0,1)&lt;&gt;_xlfn.XMATCH(A90,$A$2:$A$653,0,-1),FALSE)), "Código de barras duplicado", ""), IF(AND(E90&lt;&gt;"", COUNTIF($E$2:$E$653, E90)&gt;1), "SKU duplicado", ""), IF(OR(J90="", J90=""), "[Aviso] División no capturada ()", IF(ISNA(MATCH(J90, Criterios!$A$123:$A$126, 0)), "División no válida", "")), IF(OR(K90="", K90=""), "[Aviso] Categoría no capturada ()", IF(ISNA(MATCH(K90, Criterios!$A$81:$A$120, 0)), "Categoría no válida", IF(AND(J90&lt;&gt;"", J90&lt;&gt;"", J90&lt;&gt;VLOOKUP(K90, Criterios!$A$81:$B$120, 2, FALSE)), "División no coincide con Categoría", ""))), IF(OR(L90="", L90=""), "[Aviso] Género no capturado ()", IF(ISNA(MATCH(L90, Criterios!$B$123:$B$127, 0)), "Género no válido", "")), IF(OR(N90="", N90=""), "[Aviso] Temporada no capturada ()", IF(ISNA(MATCH(N90, Criterios!$C$123:$C$128, 0)), "Temporada no válida", "")), IF(OR(O90="", O90=""), "[Aviso] Ciclo de vida no capturado ()", IF(ISNA(MATCH(O90, Criterios!$D$123:$D$124, 0)), "Ciclo de vida no válido", ""))))</f>
        <v/>
      </c>
      <c r="AC90" s="56" t="n"/>
      <c r="AD90" s="51" t="n">
        <v>7</v>
      </c>
      <c r="AE90" s="156" t="inlineStr">
        <is>
          <t>CONSIGNA REFLO (1); REFLO ALMACEN (3)</t>
        </is>
      </c>
      <c r="AF90" s="51" t="n">
        <v>7</v>
      </c>
      <c r="AG90" s="156" t="inlineStr">
        <is>
          <t>Nuevo – NetSuite con existencia</t>
        </is>
      </c>
      <c r="AH90" s="156" t="inlineStr">
        <is>
          <t>Género no indicado en NetSuite; Composición: poliéster reciclado (validar % en etiqueta); Color por validar; Físico total NetSuite 7 ≠ suma por ubicación 4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90" s="156" t="inlineStr">
        <is>
          <t>No</t>
        </is>
      </c>
      <c r="AJ90" s="156" t="n"/>
      <c r="AK90" s="155" t="inlineStr">
        <is>
          <t>G1522ProductosTodosloscamposSandboxResults894.xlsx: fila 49243 [X,Y]; G1522_Extraccion_Articulos_NetSuite_2026-09-30.xlsx: fila 37476 [Z]</t>
        </is>
      </c>
      <c r="AL90" s="58" t="n">
        <v>16.9</v>
      </c>
      <c r="AM90" s="58" t="n"/>
      <c r="AN90" s="155" t="n"/>
      <c r="AO90" s="59" t="n"/>
      <c r="AP90" s="59" t="n"/>
      <c r="AQ90" s="59" t="n"/>
      <c r="AR90" s="155" t="n"/>
    </row>
    <row r="91">
      <c r="A91" s="50" t="inlineStr">
        <is>
          <t>5056658701771</t>
        </is>
      </c>
      <c r="B91" s="51" t="inlineStr">
        <is>
          <t>79093</t>
        </is>
      </c>
      <c r="C91" s="156" t="inlineStr">
        <is>
          <t>REFLO</t>
        </is>
      </c>
      <c r="D91" s="156" t="inlineStr">
        <is>
          <t>HUDCLO</t>
        </is>
      </c>
      <c r="E91" s="156" t="inlineStr">
        <is>
          <t>HUDCLO-L</t>
        </is>
      </c>
      <c r="F91" s="156" t="inlineStr">
        <is>
          <t>L</t>
        </is>
      </c>
      <c r="G91" s="156" t="inlineStr">
        <is>
          <t>L</t>
        </is>
      </c>
      <c r="H91" s="156" t="inlineStr">
        <is>
          <t>REFLO</t>
        </is>
      </c>
      <c r="I91" s="156" t="inlineStr">
        <is>
          <t>Playera REFLO Hudson 2.0 Cloud</t>
        </is>
      </c>
      <c r="J91" s="156" t="inlineStr">
        <is>
          <t>Ropa</t>
        </is>
      </c>
      <c r="K91" s="156" t="inlineStr">
        <is>
          <t>Playeras</t>
        </is>
      </c>
      <c r="L91" s="156" t="n"/>
      <c r="M91" s="156" t="inlineStr">
        <is>
          <t>REFLO</t>
        </is>
      </c>
      <c r="N91" s="156" t="n"/>
      <c r="O91" s="156" t="n"/>
      <c r="P91" s="156" t="n"/>
      <c r="Q91" s="156" t="n"/>
      <c r="R91" s="156" t="n"/>
      <c r="S91" s="156" t="inlineStr">
        <is>
          <t>Poliéster reciclado</t>
        </is>
      </c>
      <c r="T91" s="156" t="inlineStr">
        <is>
          <t>Playera de golf REFLO modelo Hudson 2.0 en color Cloud, confeccionado con materiales reciclados. Estilo HUDCLO.</t>
        </is>
      </c>
      <c r="U91" s="156" t="n"/>
      <c r="V91" s="156" t="inlineStr">
        <is>
          <t>PZS</t>
        </is>
      </c>
      <c r="W91" s="51" t="inlineStr">
        <is>
          <t>53101600</t>
        </is>
      </c>
      <c r="X91" s="156" t="inlineStr">
        <is>
          <t>https://i.ibb.co/g6zcr1R/HUDCLO.jpg</t>
        </is>
      </c>
      <c r="Y91" s="54" t="n">
        <v>16.9</v>
      </c>
      <c r="Z91" s="54" t="n">
        <v>1249</v>
      </c>
      <c r="AA91" s="55">
        <f>IF(AND(A91="", B91="", E91=""), "", IF(AB91="", "Válido", IF((LEN(AB91)-LEN(SUBSTITUTE(AB91,"; ","")))/2+1&gt;(LEN(AB91)-LEN(SUBSTITUTE(AB91,"[Aviso]","")))/7, "Con Incidencias", "Válido")))</f>
        <v/>
      </c>
      <c r="AB91" s="56">
        <f>IF(AND(A91="", B91="", E91=""), "", TEXTJOIN("; ", TRUE, IF(OR(TRIM(A91&amp;"")="", ISNUMBER(SEARCH("FALTA", A91))), "UPC faltante/inválido", ""), IF(AND(A91&lt;&gt;"", IFERROR(_xlfn.XMATCH(A91,$A$2:$A$653,0,1)&lt;&gt;_xlfn.XMATCH(A91,$A$2:$A$653,0,-1),FALSE)), "Código de barras duplicado", ""), IF(AND(E91&lt;&gt;"", COUNTIF($E$2:$E$653, E91)&gt;1), "SKU duplicado", ""), IF(OR(J91="", J91=""), "[Aviso] División no capturada ()", IF(ISNA(MATCH(J91, Criterios!$A$123:$A$126, 0)), "División no válida", "")), IF(OR(K91="", K91=""), "[Aviso] Categoría no capturada ()", IF(ISNA(MATCH(K91, Criterios!$A$81:$A$120, 0)), "Categoría no válida", IF(AND(J91&lt;&gt;"", J91&lt;&gt;"", J91&lt;&gt;VLOOKUP(K91, Criterios!$A$81:$B$120, 2, FALSE)), "División no coincide con Categoría", ""))), IF(OR(L91="", L91=""), "[Aviso] Género no capturado ()", IF(ISNA(MATCH(L91, Criterios!$B$123:$B$127, 0)), "Género no válido", "")), IF(OR(N91="", N91=""), "[Aviso] Temporada no capturada ()", IF(ISNA(MATCH(N91, Criterios!$C$123:$C$128, 0)), "Temporada no válida", "")), IF(OR(O91="", O91=""), "[Aviso] Ciclo de vida no capturado ()", IF(ISNA(MATCH(O91, Criterios!$D$123:$D$124, 0)), "Ciclo de vida no válido", ""))))</f>
        <v/>
      </c>
      <c r="AC91" s="56" t="n"/>
      <c r="AD91" s="51" t="n">
        <v>6</v>
      </c>
      <c r="AE91" s="156" t="inlineStr">
        <is>
          <t>MUESTRAS REFLO (1); REFLO ALMACEN (3)</t>
        </is>
      </c>
      <c r="AF91" s="51" t="n">
        <v>5</v>
      </c>
      <c r="AG91" s="156" t="inlineStr">
        <is>
          <t>Nuevo – NetSuite con existencia</t>
        </is>
      </c>
      <c r="AH91" s="156" t="inlineStr">
        <is>
          <t>Género no indicado en NetSuite; Composición: poliéster reciclado (validar % en etiqueta); Color por validar; Físico total NetSuite 6 ≠ suma por ubicación 4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91" s="156" t="inlineStr">
        <is>
          <t>No</t>
        </is>
      </c>
      <c r="AJ91" s="156" t="n"/>
      <c r="AK91" s="155" t="inlineStr">
        <is>
          <t>G1522ProductosTodosloscamposSandboxResults894.xlsx: fila 49244 [X,Y]; G1522_Extraccion_Articulos_NetSuite_2026-09-30.xlsx: fila 37477 [Z]</t>
        </is>
      </c>
      <c r="AL91" s="58" t="n">
        <v>16.9</v>
      </c>
      <c r="AM91" s="58" t="n"/>
      <c r="AN91" s="155" t="n"/>
      <c r="AO91" s="59" t="n"/>
      <c r="AP91" s="59" t="n"/>
      <c r="AQ91" s="59" t="n"/>
      <c r="AR91" s="155" t="n"/>
    </row>
    <row r="92">
      <c r="A92" s="50" t="inlineStr">
        <is>
          <t>5056658701788</t>
        </is>
      </c>
      <c r="B92" s="51" t="inlineStr">
        <is>
          <t>79094</t>
        </is>
      </c>
      <c r="C92" s="156" t="inlineStr">
        <is>
          <t>REFLO</t>
        </is>
      </c>
      <c r="D92" s="156" t="inlineStr">
        <is>
          <t>HUDCLO</t>
        </is>
      </c>
      <c r="E92" s="156" t="inlineStr">
        <is>
          <t>HUDCLO-XL</t>
        </is>
      </c>
      <c r="F92" s="156" t="inlineStr">
        <is>
          <t>XL</t>
        </is>
      </c>
      <c r="G92" s="156" t="inlineStr">
        <is>
          <t>XL</t>
        </is>
      </c>
      <c r="H92" s="156" t="inlineStr">
        <is>
          <t>REFLO</t>
        </is>
      </c>
      <c r="I92" s="156" t="inlineStr">
        <is>
          <t>Playera REFLO Hudson 2.0 Cloud</t>
        </is>
      </c>
      <c r="J92" s="156" t="inlineStr">
        <is>
          <t>Ropa</t>
        </is>
      </c>
      <c r="K92" s="156" t="inlineStr">
        <is>
          <t>Playeras</t>
        </is>
      </c>
      <c r="L92" s="156" t="n"/>
      <c r="M92" s="156" t="inlineStr">
        <is>
          <t>REFLO</t>
        </is>
      </c>
      <c r="N92" s="156" t="n"/>
      <c r="O92" s="156" t="n"/>
      <c r="P92" s="156" t="n"/>
      <c r="Q92" s="156" t="n"/>
      <c r="R92" s="156" t="n"/>
      <c r="S92" s="156" t="inlineStr">
        <is>
          <t>Poliéster reciclado</t>
        </is>
      </c>
      <c r="T92" s="156" t="inlineStr">
        <is>
          <t>Playera de golf REFLO modelo Hudson 2.0 en color Cloud, confeccionado con materiales reciclados. Estilo HUDCLO.</t>
        </is>
      </c>
      <c r="U92" s="156" t="n"/>
      <c r="V92" s="156" t="inlineStr">
        <is>
          <t>PZS</t>
        </is>
      </c>
      <c r="W92" s="51" t="inlineStr">
        <is>
          <t>53101600</t>
        </is>
      </c>
      <c r="X92" s="156" t="inlineStr">
        <is>
          <t>https://i.ibb.co/g6zcr1R/HUDCLO.jpg</t>
        </is>
      </c>
      <c r="Y92" s="54" t="n">
        <v>16.9</v>
      </c>
      <c r="Z92" s="54" t="n">
        <v>1249</v>
      </c>
      <c r="AA92" s="55">
        <f>IF(AND(A92="", B92="", E92=""), "", IF(AB92="", "Válido", IF((LEN(AB92)-LEN(SUBSTITUTE(AB92,"; ","")))/2+1&gt;(LEN(AB92)-LEN(SUBSTITUTE(AB92,"[Aviso]","")))/7, "Con Incidencias", "Válido")))</f>
        <v/>
      </c>
      <c r="AB92" s="56">
        <f>IF(AND(A92="", B92="", E92=""), "", TEXTJOIN("; ", TRUE, IF(OR(TRIM(A92&amp;"")="", ISNUMBER(SEARCH("FALTA", A92))), "UPC faltante/inválido", ""), IF(AND(A92&lt;&gt;"", IFERROR(_xlfn.XMATCH(A92,$A$2:$A$653,0,1)&lt;&gt;_xlfn.XMATCH(A92,$A$2:$A$653,0,-1),FALSE)), "Código de barras duplicado", ""), IF(AND(E92&lt;&gt;"", COUNTIF($E$2:$E$653, E92)&gt;1), "SKU duplicado", ""), IF(OR(J92="", J92=""), "[Aviso] División no capturada ()", IF(ISNA(MATCH(J92, Criterios!$A$123:$A$126, 0)), "División no válida", "")), IF(OR(K92="", K92=""), "[Aviso] Categoría no capturada ()", IF(ISNA(MATCH(K92, Criterios!$A$81:$A$120, 0)), "Categoría no válida", IF(AND(J92&lt;&gt;"", J92&lt;&gt;"", J92&lt;&gt;VLOOKUP(K92, Criterios!$A$81:$B$120, 2, FALSE)), "División no coincide con Categoría", ""))), IF(OR(L92="", L92=""), "[Aviso] Género no capturado ()", IF(ISNA(MATCH(L92, Criterios!$B$123:$B$127, 0)), "Género no válido", "")), IF(OR(N92="", N92=""), "[Aviso] Temporada no capturada ()", IF(ISNA(MATCH(N92, Criterios!$C$123:$C$128, 0)), "Temporada no válida", "")), IF(OR(O92="", O92=""), "[Aviso] Ciclo de vida no capturado ()", IF(ISNA(MATCH(O92, Criterios!$D$123:$D$124, 0)), "Ciclo de vida no válido", ""))))</f>
        <v/>
      </c>
      <c r="AC92" s="56" t="n"/>
      <c r="AD92" s="51" t="n">
        <v>8</v>
      </c>
      <c r="AE92" s="156" t="inlineStr">
        <is>
          <t>REFLO ALMACEN (3); CONSIGNA REFLO (1)</t>
        </is>
      </c>
      <c r="AF92" s="51" t="n">
        <v>8</v>
      </c>
      <c r="AG92" s="156" t="inlineStr">
        <is>
          <t>Nuevo – NetSuite con existencia</t>
        </is>
      </c>
      <c r="AH92" s="156" t="inlineStr">
        <is>
          <t>Género no indicado en NetSuite; Composición: poliéster reciclado (validar % en etiqueta); Color por validar; Físico total NetSuite 8 ≠ suma por ubicación 4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92" s="156" t="inlineStr">
        <is>
          <t>No</t>
        </is>
      </c>
      <c r="AJ92" s="156" t="n"/>
      <c r="AK92" s="155" t="inlineStr">
        <is>
          <t>G1522ProductosTodosloscamposSandboxResults894.xlsx: fila 49245 [X,Y]; G1522_Extraccion_Articulos_NetSuite_2026-09-30.xlsx: fila 37478 [Z]</t>
        </is>
      </c>
      <c r="AL92" s="58" t="n">
        <v>16.9</v>
      </c>
      <c r="AM92" s="58" t="n"/>
      <c r="AN92" s="155" t="n"/>
      <c r="AO92" s="59" t="n"/>
      <c r="AP92" s="59" t="n"/>
      <c r="AQ92" s="59" t="n"/>
      <c r="AR92" s="155" t="n"/>
    </row>
    <row r="93">
      <c r="A93" s="50" t="inlineStr">
        <is>
          <t>5056658701795</t>
        </is>
      </c>
      <c r="B93" s="51" t="inlineStr">
        <is>
          <t>79095</t>
        </is>
      </c>
      <c r="C93" s="156" t="inlineStr">
        <is>
          <t>REFLO</t>
        </is>
      </c>
      <c r="D93" s="156" t="inlineStr">
        <is>
          <t>HUDCLO</t>
        </is>
      </c>
      <c r="E93" s="156" t="inlineStr">
        <is>
          <t>HUDCLO-2XL</t>
        </is>
      </c>
      <c r="F93" s="156" t="inlineStr">
        <is>
          <t>XXL</t>
        </is>
      </c>
      <c r="G93" s="156" t="inlineStr">
        <is>
          <t>XXL</t>
        </is>
      </c>
      <c r="H93" s="156" t="inlineStr">
        <is>
          <t>REFLO</t>
        </is>
      </c>
      <c r="I93" s="156" t="inlineStr">
        <is>
          <t>Playera REFLO Hudson 2.0 Cloud</t>
        </is>
      </c>
      <c r="J93" s="156" t="inlineStr">
        <is>
          <t>Ropa</t>
        </is>
      </c>
      <c r="K93" s="156" t="inlineStr">
        <is>
          <t>Playeras</t>
        </is>
      </c>
      <c r="L93" s="156" t="n"/>
      <c r="M93" s="156" t="inlineStr">
        <is>
          <t>REFLO</t>
        </is>
      </c>
      <c r="N93" s="156" t="n"/>
      <c r="O93" s="156" t="n"/>
      <c r="P93" s="156" t="n"/>
      <c r="Q93" s="156" t="n"/>
      <c r="R93" s="156" t="n"/>
      <c r="S93" s="156" t="inlineStr">
        <is>
          <t>Poliéster reciclado</t>
        </is>
      </c>
      <c r="T93" s="156" t="inlineStr">
        <is>
          <t>Playera de golf REFLO modelo Hudson 2.0 en color Cloud, confeccionado con materiales reciclados. Estilo HUDCLO.</t>
        </is>
      </c>
      <c r="U93" s="156" t="n"/>
      <c r="V93" s="156" t="inlineStr">
        <is>
          <t>PZS</t>
        </is>
      </c>
      <c r="W93" s="51" t="inlineStr">
        <is>
          <t>53101600</t>
        </is>
      </c>
      <c r="X93" s="156" t="inlineStr">
        <is>
          <t>https://i.ibb.co/g6zcr1R/HUDCLO.jpg</t>
        </is>
      </c>
      <c r="Y93" s="54" t="n">
        <v>16.9</v>
      </c>
      <c r="Z93" s="54" t="n">
        <v>1249</v>
      </c>
      <c r="AA93" s="55">
        <f>IF(AND(A93="", B93="", E93=""), "", IF(AB93="", "Válido", IF((LEN(AB93)-LEN(SUBSTITUTE(AB93,"; ","")))/2+1&gt;(LEN(AB93)-LEN(SUBSTITUTE(AB93,"[Aviso]","")))/7, "Con Incidencias", "Válido")))</f>
        <v/>
      </c>
      <c r="AB93" s="56">
        <f>IF(AND(A93="", B93="", E93=""), "", TEXTJOIN("; ", TRUE, IF(OR(TRIM(A93&amp;"")="", ISNUMBER(SEARCH("FALTA", A93))), "UPC faltante/inválido", ""), IF(AND(A93&lt;&gt;"", IFERROR(_xlfn.XMATCH(A93,$A$2:$A$653,0,1)&lt;&gt;_xlfn.XMATCH(A93,$A$2:$A$653,0,-1),FALSE)), "Código de barras duplicado", ""), IF(AND(E93&lt;&gt;"", COUNTIF($E$2:$E$653, E93)&gt;1), "SKU duplicado", ""), IF(OR(J93="", J93=""), "[Aviso] División no capturada ()", IF(ISNA(MATCH(J93, Criterios!$A$123:$A$126, 0)), "División no válida", "")), IF(OR(K93="", K93=""), "[Aviso] Categoría no capturada ()", IF(ISNA(MATCH(K93, Criterios!$A$81:$A$120, 0)), "Categoría no válida", IF(AND(J93&lt;&gt;"", J93&lt;&gt;"", J93&lt;&gt;VLOOKUP(K93, Criterios!$A$81:$B$120, 2, FALSE)), "División no coincide con Categoría", ""))), IF(OR(L93="", L93=""), "[Aviso] Género no capturado ()", IF(ISNA(MATCH(L93, Criterios!$B$123:$B$127, 0)), "Género no válido", "")), IF(OR(N93="", N93=""), "[Aviso] Temporada no capturada ()", IF(ISNA(MATCH(N93, Criterios!$C$123:$C$128, 0)), "Temporada no válida", "")), IF(OR(O93="", O93=""), "[Aviso] Ciclo de vida no capturado ()", IF(ISNA(MATCH(O93, Criterios!$D$123:$D$124, 0)), "Ciclo de vida no válido", ""))))</f>
        <v/>
      </c>
      <c r="AC93" s="56" t="n"/>
      <c r="AD93" s="51" t="n">
        <v>3</v>
      </c>
      <c r="AE93" s="156" t="inlineStr">
        <is>
          <t>REFLO ALMACEN (2)</t>
        </is>
      </c>
      <c r="AF93" s="51" t="n">
        <v>3</v>
      </c>
      <c r="AG93" s="156" t="inlineStr">
        <is>
          <t>Nuevo – NetSuite con existencia</t>
        </is>
      </c>
      <c r="AH93" s="156" t="inlineStr">
        <is>
          <t>Género no indicado en NetSuite; Composición: poliéster reciclado (validar % en etiqueta); Color por validar; Físico total NetSuite 3 ≠ suma por ubicación 2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93" s="156" t="inlineStr">
        <is>
          <t>No</t>
        </is>
      </c>
      <c r="AJ93" s="156" t="n"/>
      <c r="AK93" s="155" t="inlineStr">
        <is>
          <t>G1522ProductosTodosloscamposSandboxResults894.xlsx: fila 49246 [X,Y]; G1522_Extraccion_Articulos_NetSuite_2026-09-30.xlsx: fila 37479 [Z]</t>
        </is>
      </c>
      <c r="AL93" s="58" t="n">
        <v>16.9</v>
      </c>
      <c r="AM93" s="58" t="n"/>
      <c r="AN93" s="155" t="n"/>
      <c r="AO93" s="59" t="n"/>
      <c r="AP93" s="59" t="n"/>
      <c r="AQ93" s="59" t="n"/>
      <c r="AR93" s="155" t="n"/>
    </row>
    <row r="94">
      <c r="A94" s="50" t="inlineStr">
        <is>
          <t>5056658701757</t>
        </is>
      </c>
      <c r="B94" s="51" t="inlineStr">
        <is>
          <t>84427</t>
        </is>
      </c>
      <c r="C94" s="156" t="inlineStr">
        <is>
          <t>REFLO</t>
        </is>
      </c>
      <c r="D94" s="156" t="inlineStr">
        <is>
          <t>HUDCLO</t>
        </is>
      </c>
      <c r="E94" s="156" t="inlineStr">
        <is>
          <t>HUDCLO-S</t>
        </is>
      </c>
      <c r="F94" s="156" t="inlineStr">
        <is>
          <t>S</t>
        </is>
      </c>
      <c r="G94" s="156" t="inlineStr">
        <is>
          <t>S</t>
        </is>
      </c>
      <c r="H94" s="156" t="inlineStr">
        <is>
          <t>REFLO</t>
        </is>
      </c>
      <c r="I94" s="156" t="inlineStr">
        <is>
          <t>Playera REFLO Hudson Cloud</t>
        </is>
      </c>
      <c r="J94" s="156" t="inlineStr">
        <is>
          <t>Ropa</t>
        </is>
      </c>
      <c r="K94" s="156" t="inlineStr">
        <is>
          <t>Playeras</t>
        </is>
      </c>
      <c r="L94" s="156" t="n"/>
      <c r="M94" s="156" t="inlineStr">
        <is>
          <t>REFLO</t>
        </is>
      </c>
      <c r="N94" s="156" t="n"/>
      <c r="O94" s="156" t="n"/>
      <c r="P94" s="156" t="n"/>
      <c r="Q94" s="156" t="n"/>
      <c r="R94" s="156" t="n"/>
      <c r="S94" s="156" t="inlineStr">
        <is>
          <t>Poliéster reciclado</t>
        </is>
      </c>
      <c r="T94" s="156" t="inlineStr">
        <is>
          <t>Playera de golf REFLO modelo Hudson en color Cloud, confeccionado con materiales reciclados. Estilo HUDCLO.</t>
        </is>
      </c>
      <c r="U94" s="156" t="n"/>
      <c r="V94" s="156" t="inlineStr">
        <is>
          <t>PZS</t>
        </is>
      </c>
      <c r="W94" s="51" t="inlineStr">
        <is>
          <t>53101600</t>
        </is>
      </c>
      <c r="X94" s="156" t="inlineStr">
        <is>
          <t>https://i.ibb.co/g6zcr1R/HUDCLO.jpg</t>
        </is>
      </c>
      <c r="Y94" s="54" t="n">
        <v>16.9</v>
      </c>
      <c r="Z94" s="54" t="n">
        <v>1249</v>
      </c>
      <c r="AA94" s="55">
        <f>IF(AND(A94="", B94="", E94=""), "", IF(AB94="", "Válido", IF((LEN(AB94)-LEN(SUBSTITUTE(AB94,"; ","")))/2+1&gt;(LEN(AB94)-LEN(SUBSTITUTE(AB94,"[Aviso]","")))/7, "Con Incidencias", "Válido")))</f>
        <v/>
      </c>
      <c r="AB94" s="56">
        <f>IF(AND(A94="", B94="", E94=""), "", TEXTJOIN("; ", TRUE, IF(OR(TRIM(A94&amp;"")="", ISNUMBER(SEARCH("FALTA", A94))), "UPC faltante/inválido", ""), IF(AND(A94&lt;&gt;"", IFERROR(_xlfn.XMATCH(A94,$A$2:$A$653,0,1)&lt;&gt;_xlfn.XMATCH(A94,$A$2:$A$653,0,-1),FALSE)), "Código de barras duplicado", ""), IF(AND(E94&lt;&gt;"", COUNTIF($E$2:$E$653, E94)&gt;1), "SKU duplicado", ""), IF(OR(J94="", J94=""), "[Aviso] División no capturada ()", IF(ISNA(MATCH(J94, Criterios!$A$123:$A$126, 0)), "División no válida", "")), IF(OR(K94="", K94=""), "[Aviso] Categoría no capturada ()", IF(ISNA(MATCH(K94, Criterios!$A$81:$A$120, 0)), "Categoría no válida", IF(AND(J94&lt;&gt;"", J94&lt;&gt;"", J94&lt;&gt;VLOOKUP(K94, Criterios!$A$81:$B$120, 2, FALSE)), "División no coincide con Categoría", ""))), IF(OR(L94="", L94=""), "[Aviso] Género no capturado ()", IF(ISNA(MATCH(L94, Criterios!$B$123:$B$127, 0)), "Género no válido", "")), IF(OR(N94="", N94=""), "[Aviso] Temporada no capturada ()", IF(ISNA(MATCH(N94, Criterios!$C$123:$C$128, 0)), "Temporada no válida", "")), IF(OR(O94="", O94=""), "[Aviso] Ciclo de vida no capturado ()", IF(ISNA(MATCH(O94, Criterios!$D$123:$D$124, 0)), "Ciclo de vida no válido", ""))))</f>
        <v/>
      </c>
      <c r="AC94" s="56" t="n"/>
      <c r="AD94" s="51" t="n">
        <v>5</v>
      </c>
      <c r="AE94" s="156" t="inlineStr">
        <is>
          <t>CONSIGNA REFLO (2); REFLO ALMACEN (1)</t>
        </is>
      </c>
      <c r="AF94" s="51" t="n">
        <v>5</v>
      </c>
      <c r="AG94" s="156" t="inlineStr">
        <is>
          <t>Nuevo – NetSuite con existencia</t>
        </is>
      </c>
      <c r="AH94" s="156" t="inlineStr">
        <is>
          <t>Género no indicado en NetSuite; Composición: poliéster reciclado (validar % en etiqueta); Color por validar; Físico total NetSuite 5 ≠ suma por ubicación 3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94" s="156" t="inlineStr">
        <is>
          <t>No</t>
        </is>
      </c>
      <c r="AJ94" s="156" t="n"/>
      <c r="AK94" s="155" t="inlineStr">
        <is>
          <t>G1522ProductosTodosloscamposSandboxResults894.xlsx: fila 49265 [X,Y]; G1522_Extraccion_Articulos_NetSuite_2026-09-30.xlsx: fila 39596 [Z]</t>
        </is>
      </c>
      <c r="AL94" s="58" t="n">
        <v>16.9</v>
      </c>
      <c r="AM94" s="58" t="n"/>
      <c r="AN94" s="155" t="n"/>
      <c r="AO94" s="59" t="n"/>
      <c r="AP94" s="59" t="n"/>
      <c r="AQ94" s="59" t="n"/>
      <c r="AR94" s="155" t="n"/>
    </row>
    <row r="95">
      <c r="A95" s="50" t="inlineStr">
        <is>
          <t>5056658701610</t>
        </is>
      </c>
      <c r="B95" s="51" t="inlineStr">
        <is>
          <t>79096</t>
        </is>
      </c>
      <c r="C95" s="156" t="inlineStr">
        <is>
          <t>REFLO</t>
        </is>
      </c>
      <c r="D95" s="156" t="inlineStr">
        <is>
          <t>HUDCOR</t>
        </is>
      </c>
      <c r="E95" s="156" t="inlineStr">
        <is>
          <t>HUDCOR-M</t>
        </is>
      </c>
      <c r="F95" s="156" t="inlineStr">
        <is>
          <t>M</t>
        </is>
      </c>
      <c r="G95" s="156" t="inlineStr">
        <is>
          <t>M</t>
        </is>
      </c>
      <c r="H95" s="156" t="inlineStr">
        <is>
          <t>REFLO</t>
        </is>
      </c>
      <c r="I95" s="156" t="inlineStr">
        <is>
          <t>Playera REFLO Hudson 2.0 Coronet Blue</t>
        </is>
      </c>
      <c r="J95" s="156" t="inlineStr">
        <is>
          <t>Ropa</t>
        </is>
      </c>
      <c r="K95" s="156" t="inlineStr">
        <is>
          <t>Playeras</t>
        </is>
      </c>
      <c r="L95" s="156" t="n"/>
      <c r="M95" s="156" t="inlineStr">
        <is>
          <t>REFLO</t>
        </is>
      </c>
      <c r="N95" s="156" t="n"/>
      <c r="O95" s="156" t="n"/>
      <c r="P95" s="156" t="inlineStr">
        <is>
          <t>Azul</t>
        </is>
      </c>
      <c r="Q95" s="156" t="n"/>
      <c r="R95" s="156" t="n"/>
      <c r="S95" s="156" t="inlineStr">
        <is>
          <t>Poliéster reciclado</t>
        </is>
      </c>
      <c r="T95" s="156" t="inlineStr">
        <is>
          <t>Playera de golf REFLO modelo Hudson 2.0 en color Coronet Blue, confeccionado con materiales reciclados. Estilo HUDCOR.</t>
        </is>
      </c>
      <c r="U95" s="156" t="n"/>
      <c r="V95" s="156" t="inlineStr">
        <is>
          <t>PZS</t>
        </is>
      </c>
      <c r="W95" s="51" t="inlineStr">
        <is>
          <t>53101600</t>
        </is>
      </c>
      <c r="X95" s="156" t="inlineStr">
        <is>
          <t>https://i.ibb.co/T8tfVWf/HUDCOR.jpg</t>
        </is>
      </c>
      <c r="Y95" s="54" t="n">
        <v>16.9</v>
      </c>
      <c r="Z95" s="54" t="n">
        <v>1249</v>
      </c>
      <c r="AA95" s="55">
        <f>IF(AND(A95="", B95="", E95=""), "", IF(AB95="", "Válido", IF((LEN(AB95)-LEN(SUBSTITUTE(AB95,"; ","")))/2+1&gt;(LEN(AB95)-LEN(SUBSTITUTE(AB95,"[Aviso]","")))/7, "Con Incidencias", "Válido")))</f>
        <v/>
      </c>
      <c r="AB95" s="56">
        <f>IF(AND(A95="", B95="", E95=""), "", TEXTJOIN("; ", TRUE, IF(OR(TRIM(A95&amp;"")="", ISNUMBER(SEARCH("FALTA", A95))), "UPC faltante/inválido", ""), IF(AND(A95&lt;&gt;"", IFERROR(_xlfn.XMATCH(A95,$A$2:$A$653,0,1)&lt;&gt;_xlfn.XMATCH(A95,$A$2:$A$653,0,-1),FALSE)), "Código de barras duplicado", ""), IF(AND(E95&lt;&gt;"", COUNTIF($E$2:$E$653, E95)&gt;1), "SKU duplicado", ""), IF(OR(J95="", J95=""), "[Aviso] División no capturada ()", IF(ISNA(MATCH(J95, Criterios!$A$123:$A$126, 0)), "División no válida", "")), IF(OR(K95="", K95=""), "[Aviso] Categoría no capturada ()", IF(ISNA(MATCH(K95, Criterios!$A$81:$A$120, 0)), "Categoría no válida", IF(AND(J95&lt;&gt;"", J95&lt;&gt;"", J95&lt;&gt;VLOOKUP(K95, Criterios!$A$81:$B$120, 2, FALSE)), "División no coincide con Categoría", ""))), IF(OR(L95="", L95=""), "[Aviso] Género no capturado ()", IF(ISNA(MATCH(L95, Criterios!$B$123:$B$127, 0)), "Género no válido", "")), IF(OR(N95="", N95=""), "[Aviso] Temporada no capturada ()", IF(ISNA(MATCH(N95, Criterios!$C$123:$C$128, 0)), "Temporada no válida", "")), IF(OR(O95="", O95=""), "[Aviso] Ciclo de vida no capturado ()", IF(ISNA(MATCH(O95, Criterios!$D$123:$D$124, 0)), "Ciclo de vida no válido", ""))))</f>
        <v/>
      </c>
      <c r="AC95" s="56" t="n"/>
      <c r="AD95" s="51" t="n">
        <v>6</v>
      </c>
      <c r="AE95" s="156" t="inlineStr">
        <is>
          <t>REFLO ALMACEN (3); CONSIGNA REFLO (1)</t>
        </is>
      </c>
      <c r="AF95" s="51" t="n">
        <v>6</v>
      </c>
      <c r="AG95" s="156" t="inlineStr">
        <is>
          <t>Nuevo – NetSuite con existencia</t>
        </is>
      </c>
      <c r="AH95" s="156" t="inlineStr">
        <is>
          <t>Género no indicado en NetSuite; Composición: poliéster reciclado (validar % en etiqueta); Físico total NetSuite 6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95" s="156" t="inlineStr">
        <is>
          <t>No</t>
        </is>
      </c>
      <c r="AJ95" s="156" t="n"/>
      <c r="AK95" s="155" t="inlineStr">
        <is>
          <t>G1522ProductosTodosloscamposSandboxResults894.xlsx: fila 49248 [X,Y]; G1522_Extraccion_Articulos_NetSuite_2026-09-30.xlsx: fila 37480 [Z]</t>
        </is>
      </c>
      <c r="AL95" s="58" t="n">
        <v>16.9</v>
      </c>
      <c r="AM95" s="58" t="n"/>
      <c r="AN95" s="155" t="n"/>
      <c r="AO95" s="59" t="n"/>
      <c r="AP95" s="59" t="n"/>
      <c r="AQ95" s="59" t="n"/>
      <c r="AR95" s="155" t="n"/>
    </row>
    <row r="96">
      <c r="A96" s="50" t="inlineStr">
        <is>
          <t>5056658701627</t>
        </is>
      </c>
      <c r="B96" s="51" t="inlineStr">
        <is>
          <t>79097</t>
        </is>
      </c>
      <c r="C96" s="156" t="inlineStr">
        <is>
          <t>REFLO</t>
        </is>
      </c>
      <c r="D96" s="156" t="inlineStr">
        <is>
          <t>HUDCOR</t>
        </is>
      </c>
      <c r="E96" s="156" t="inlineStr">
        <is>
          <t>HUDCOR-L</t>
        </is>
      </c>
      <c r="F96" s="156" t="inlineStr">
        <is>
          <t>L</t>
        </is>
      </c>
      <c r="G96" s="156" t="inlineStr">
        <is>
          <t>L</t>
        </is>
      </c>
      <c r="H96" s="156" t="inlineStr">
        <is>
          <t>REFLO</t>
        </is>
      </c>
      <c r="I96" s="156" t="inlineStr">
        <is>
          <t>Playera REFLO Hudson 2.0 Coronet Blue</t>
        </is>
      </c>
      <c r="J96" s="156" t="inlineStr">
        <is>
          <t>Ropa</t>
        </is>
      </c>
      <c r="K96" s="156" t="inlineStr">
        <is>
          <t>Playeras</t>
        </is>
      </c>
      <c r="L96" s="156" t="n"/>
      <c r="M96" s="156" t="inlineStr">
        <is>
          <t>REFLO</t>
        </is>
      </c>
      <c r="N96" s="156" t="n"/>
      <c r="O96" s="156" t="n"/>
      <c r="P96" s="156" t="inlineStr">
        <is>
          <t>Azul</t>
        </is>
      </c>
      <c r="Q96" s="156" t="n"/>
      <c r="R96" s="156" t="n"/>
      <c r="S96" s="156" t="inlineStr">
        <is>
          <t>Poliéster reciclado</t>
        </is>
      </c>
      <c r="T96" s="156" t="inlineStr">
        <is>
          <t>Playera de golf REFLO modelo Hudson 2.0 en color Coronet Blue, confeccionado con materiales reciclados. Estilo HUDCOR.</t>
        </is>
      </c>
      <c r="U96" s="156" t="n"/>
      <c r="V96" s="156" t="inlineStr">
        <is>
          <t>PZS</t>
        </is>
      </c>
      <c r="W96" s="51" t="inlineStr">
        <is>
          <t>53101600</t>
        </is>
      </c>
      <c r="X96" s="156" t="inlineStr">
        <is>
          <t>https://i.ibb.co/T8tfVWf/HUDCOR.jpg</t>
        </is>
      </c>
      <c r="Y96" s="54" t="n">
        <v>16.9</v>
      </c>
      <c r="Z96" s="54" t="n">
        <v>1249</v>
      </c>
      <c r="AA96" s="55">
        <f>IF(AND(A96="", B96="", E96=""), "", IF(AB96="", "Válido", IF((LEN(AB96)-LEN(SUBSTITUTE(AB96,"; ","")))/2+1&gt;(LEN(AB96)-LEN(SUBSTITUTE(AB96,"[Aviso]","")))/7, "Con Incidencias", "Válido")))</f>
        <v/>
      </c>
      <c r="AB96" s="56">
        <f>IF(AND(A96="", B96="", E96=""), "", TEXTJOIN("; ", TRUE, IF(OR(TRIM(A96&amp;"")="", ISNUMBER(SEARCH("FALTA", A96))), "UPC faltante/inválido", ""), IF(AND(A96&lt;&gt;"", IFERROR(_xlfn.XMATCH(A96,$A$2:$A$653,0,1)&lt;&gt;_xlfn.XMATCH(A96,$A$2:$A$653,0,-1),FALSE)), "Código de barras duplicado", ""), IF(AND(E96&lt;&gt;"", COUNTIF($E$2:$E$653, E96)&gt;1), "SKU duplicado", ""), IF(OR(J96="", J96=""), "[Aviso] División no capturada ()", IF(ISNA(MATCH(J96, Criterios!$A$123:$A$126, 0)), "División no válida", "")), IF(OR(K96="", K96=""), "[Aviso] Categoría no capturada ()", IF(ISNA(MATCH(K96, Criterios!$A$81:$A$120, 0)), "Categoría no válida", IF(AND(J96&lt;&gt;"", J96&lt;&gt;"", J96&lt;&gt;VLOOKUP(K96, Criterios!$A$81:$B$120, 2, FALSE)), "División no coincide con Categoría", ""))), IF(OR(L96="", L96=""), "[Aviso] Género no capturado ()", IF(ISNA(MATCH(L96, Criterios!$B$123:$B$127, 0)), "Género no válido", "")), IF(OR(N96="", N96=""), "[Aviso] Temporada no capturada ()", IF(ISNA(MATCH(N96, Criterios!$C$123:$C$128, 0)), "Temporada no válida", "")), IF(OR(O96="", O96=""), "[Aviso] Ciclo de vida no capturado ()", IF(ISNA(MATCH(O96, Criterios!$D$123:$D$124, 0)), "Ciclo de vida no válido", ""))))</f>
        <v/>
      </c>
      <c r="AC96" s="56" t="n"/>
      <c r="AD96" s="51" t="n">
        <v>5</v>
      </c>
      <c r="AE96" s="156" t="inlineStr">
        <is>
          <t>MUESTRAS REFLO (1); REFLO ALMACEN (3)</t>
        </is>
      </c>
      <c r="AF96" s="51" t="n">
        <v>4</v>
      </c>
      <c r="AG96" s="156" t="inlineStr">
        <is>
          <t>Nuevo – NetSuite con existencia</t>
        </is>
      </c>
      <c r="AH96" s="156" t="inlineStr">
        <is>
          <t>Género no indicado en NetSuite; Composición: poliéster reciclado (validar % en etiqueta); Físico total NetSuite 5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96" s="156" t="inlineStr">
        <is>
          <t>No</t>
        </is>
      </c>
      <c r="AJ96" s="156" t="n"/>
      <c r="AK96" s="155" t="inlineStr">
        <is>
          <t>G1522ProductosTodosloscamposSandboxResults894.xlsx: fila 49249 [X,Y]; G1522_Extraccion_Articulos_NetSuite_2026-09-30.xlsx: fila 37481 [Z]</t>
        </is>
      </c>
      <c r="AL96" s="58" t="n">
        <v>16.9</v>
      </c>
      <c r="AM96" s="58" t="n"/>
      <c r="AN96" s="155" t="n"/>
      <c r="AO96" s="59" t="n"/>
      <c r="AP96" s="59" t="n"/>
      <c r="AQ96" s="59" t="n"/>
      <c r="AR96" s="155" t="n"/>
    </row>
    <row r="97">
      <c r="A97" s="50" t="inlineStr">
        <is>
          <t>5056658701634</t>
        </is>
      </c>
      <c r="B97" s="51" t="inlineStr">
        <is>
          <t>79098</t>
        </is>
      </c>
      <c r="C97" s="156" t="inlineStr">
        <is>
          <t>REFLO</t>
        </is>
      </c>
      <c r="D97" s="156" t="inlineStr">
        <is>
          <t>HUDCOR</t>
        </is>
      </c>
      <c r="E97" s="156" t="inlineStr">
        <is>
          <t>HUDCOR-XL</t>
        </is>
      </c>
      <c r="F97" s="156" t="inlineStr">
        <is>
          <t>XL</t>
        </is>
      </c>
      <c r="G97" s="156" t="inlineStr">
        <is>
          <t>XL</t>
        </is>
      </c>
      <c r="H97" s="156" t="inlineStr">
        <is>
          <t>REFLO</t>
        </is>
      </c>
      <c r="I97" s="156" t="inlineStr">
        <is>
          <t>Playera REFLO Hudson 2.0 Coronet Blue</t>
        </is>
      </c>
      <c r="J97" s="156" t="inlineStr">
        <is>
          <t>Ropa</t>
        </is>
      </c>
      <c r="K97" s="156" t="inlineStr">
        <is>
          <t>Playeras</t>
        </is>
      </c>
      <c r="L97" s="156" t="n"/>
      <c r="M97" s="156" t="inlineStr">
        <is>
          <t>REFLO</t>
        </is>
      </c>
      <c r="N97" s="156" t="n"/>
      <c r="O97" s="156" t="n"/>
      <c r="P97" s="156" t="inlineStr">
        <is>
          <t>Azul</t>
        </is>
      </c>
      <c r="Q97" s="156" t="n"/>
      <c r="R97" s="156" t="n"/>
      <c r="S97" s="156" t="inlineStr">
        <is>
          <t>Poliéster reciclado</t>
        </is>
      </c>
      <c r="T97" s="156" t="inlineStr">
        <is>
          <t>Playera de golf REFLO modelo Hudson 2.0 en color Coronet Blue, confeccionado con materiales reciclados. Estilo HUDCOR.</t>
        </is>
      </c>
      <c r="U97" s="156" t="n"/>
      <c r="V97" s="156" t="inlineStr">
        <is>
          <t>PZS</t>
        </is>
      </c>
      <c r="W97" s="51" t="inlineStr">
        <is>
          <t>53101600</t>
        </is>
      </c>
      <c r="X97" s="156" t="inlineStr">
        <is>
          <t>https://i.ibb.co/T8tfVWf/HUDCOR.jpg</t>
        </is>
      </c>
      <c r="Y97" s="54" t="n">
        <v>16.9</v>
      </c>
      <c r="Z97" s="54" t="n">
        <v>1249</v>
      </c>
      <c r="AA97" s="55">
        <f>IF(AND(A97="", B97="", E97=""), "", IF(AB97="", "Válido", IF((LEN(AB97)-LEN(SUBSTITUTE(AB97,"; ","")))/2+1&gt;(LEN(AB97)-LEN(SUBSTITUTE(AB97,"[Aviso]","")))/7, "Con Incidencias", "Válido")))</f>
        <v/>
      </c>
      <c r="AB97" s="56">
        <f>IF(AND(A97="", B97="", E97=""), "", TEXTJOIN("; ", TRUE, IF(OR(TRIM(A97&amp;"")="", ISNUMBER(SEARCH("FALTA", A97))), "UPC faltante/inválido", ""), IF(AND(A97&lt;&gt;"", IFERROR(_xlfn.XMATCH(A97,$A$2:$A$653,0,1)&lt;&gt;_xlfn.XMATCH(A97,$A$2:$A$653,0,-1),FALSE)), "Código de barras duplicado", ""), IF(AND(E97&lt;&gt;"", COUNTIF($E$2:$E$653, E97)&gt;1), "SKU duplicado", ""), IF(OR(J97="", J97=""), "[Aviso] División no capturada ()", IF(ISNA(MATCH(J97, Criterios!$A$123:$A$126, 0)), "División no válida", "")), IF(OR(K97="", K97=""), "[Aviso] Categoría no capturada ()", IF(ISNA(MATCH(K97, Criterios!$A$81:$A$120, 0)), "Categoría no válida", IF(AND(J97&lt;&gt;"", J97&lt;&gt;"", J97&lt;&gt;VLOOKUP(K97, Criterios!$A$81:$B$120, 2, FALSE)), "División no coincide con Categoría", ""))), IF(OR(L97="", L97=""), "[Aviso] Género no capturado ()", IF(ISNA(MATCH(L97, Criterios!$B$123:$B$127, 0)), "Género no válido", "")), IF(OR(N97="", N97=""), "[Aviso] Temporada no capturada ()", IF(ISNA(MATCH(N97, Criterios!$C$123:$C$128, 0)), "Temporada no válida", "")), IF(OR(O97="", O97=""), "[Aviso] Ciclo de vida no capturado ()", IF(ISNA(MATCH(O97, Criterios!$D$123:$D$124, 0)), "Ciclo de vida no válido", ""))))</f>
        <v/>
      </c>
      <c r="AC97" s="56" t="n"/>
      <c r="AD97" s="51" t="n">
        <v>8</v>
      </c>
      <c r="AE97" s="156" t="inlineStr">
        <is>
          <t>REFLO ALMACEN (3); CONSIGNA REFLO (1)</t>
        </is>
      </c>
      <c r="AF97" s="51" t="n">
        <v>8</v>
      </c>
      <c r="AG97" s="156" t="inlineStr">
        <is>
          <t>Nuevo – NetSuite con existencia</t>
        </is>
      </c>
      <c r="AH97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97" s="156" t="inlineStr">
        <is>
          <t>No</t>
        </is>
      </c>
      <c r="AJ97" s="156" t="n"/>
      <c r="AK97" s="155" t="inlineStr">
        <is>
          <t>G1522ProductosTodosloscamposSandboxResults894.xlsx: fila 49250 [X,Y]; G1522_Extraccion_Articulos_NetSuite_2026-09-30.xlsx: fila 37482 [Z]</t>
        </is>
      </c>
      <c r="AL97" s="58" t="n">
        <v>16.9</v>
      </c>
      <c r="AM97" s="58" t="n"/>
      <c r="AN97" s="155" t="n"/>
      <c r="AO97" s="59" t="n"/>
      <c r="AP97" s="59" t="n"/>
      <c r="AQ97" s="59" t="n"/>
      <c r="AR97" s="155" t="n"/>
    </row>
    <row r="98">
      <c r="A98" s="50" t="inlineStr">
        <is>
          <t>5056658701641</t>
        </is>
      </c>
      <c r="B98" s="51" t="inlineStr">
        <is>
          <t>79099</t>
        </is>
      </c>
      <c r="C98" s="156" t="inlineStr">
        <is>
          <t>REFLO</t>
        </is>
      </c>
      <c r="D98" s="156" t="inlineStr">
        <is>
          <t>HUDCOR</t>
        </is>
      </c>
      <c r="E98" s="156" t="inlineStr">
        <is>
          <t>HUDCOR-2XL</t>
        </is>
      </c>
      <c r="F98" s="156" t="inlineStr">
        <is>
          <t>XXL</t>
        </is>
      </c>
      <c r="G98" s="156" t="inlineStr">
        <is>
          <t>XXL</t>
        </is>
      </c>
      <c r="H98" s="156" t="inlineStr">
        <is>
          <t>REFLO</t>
        </is>
      </c>
      <c r="I98" s="156" t="inlineStr">
        <is>
          <t>Playera REFLO Hudson 2.0 Coronet Blue</t>
        </is>
      </c>
      <c r="J98" s="156" t="inlineStr">
        <is>
          <t>Ropa</t>
        </is>
      </c>
      <c r="K98" s="156" t="inlineStr">
        <is>
          <t>Playeras</t>
        </is>
      </c>
      <c r="L98" s="156" t="n"/>
      <c r="M98" s="156" t="inlineStr">
        <is>
          <t>REFLO</t>
        </is>
      </c>
      <c r="N98" s="156" t="n"/>
      <c r="O98" s="156" t="n"/>
      <c r="P98" s="156" t="inlineStr">
        <is>
          <t>Azul</t>
        </is>
      </c>
      <c r="Q98" s="156" t="n"/>
      <c r="R98" s="156" t="n"/>
      <c r="S98" s="156" t="inlineStr">
        <is>
          <t>Poliéster reciclado</t>
        </is>
      </c>
      <c r="T98" s="156" t="inlineStr">
        <is>
          <t>Playera de golf REFLO modelo Hudson 2.0 en color Coronet Blue, confeccionado con materiales reciclados. Estilo HUDCOR.</t>
        </is>
      </c>
      <c r="U98" s="156" t="n"/>
      <c r="V98" s="156" t="inlineStr">
        <is>
          <t>PZS</t>
        </is>
      </c>
      <c r="W98" s="51" t="inlineStr">
        <is>
          <t>53101600</t>
        </is>
      </c>
      <c r="X98" s="156" t="inlineStr">
        <is>
          <t>https://i.ibb.co/T8tfVWf/HUDCOR.jpg</t>
        </is>
      </c>
      <c r="Y98" s="54" t="n">
        <v>16.9</v>
      </c>
      <c r="Z98" s="54" t="n">
        <v>1249</v>
      </c>
      <c r="AA98" s="55">
        <f>IF(AND(A98="", B98="", E98=""), "", IF(AB98="", "Válido", IF((LEN(AB98)-LEN(SUBSTITUTE(AB98,"; ","")))/2+1&gt;(LEN(AB98)-LEN(SUBSTITUTE(AB98,"[Aviso]","")))/7, "Con Incidencias", "Válido")))</f>
        <v/>
      </c>
      <c r="AB98" s="56">
        <f>IF(AND(A98="", B98="", E98=""), "", TEXTJOIN("; ", TRUE, IF(OR(TRIM(A98&amp;"")="", ISNUMBER(SEARCH("FALTA", A98))), "UPC faltante/inválido", ""), IF(AND(A98&lt;&gt;"", IFERROR(_xlfn.XMATCH(A98,$A$2:$A$653,0,1)&lt;&gt;_xlfn.XMATCH(A98,$A$2:$A$653,0,-1),FALSE)), "Código de barras duplicado", ""), IF(AND(E98&lt;&gt;"", COUNTIF($E$2:$E$653, E98)&gt;1), "SKU duplicado", ""), IF(OR(J98="", J98=""), "[Aviso] División no capturada ()", IF(ISNA(MATCH(J98, Criterios!$A$123:$A$126, 0)), "División no válida", "")), IF(OR(K98="", K98=""), "[Aviso] Categoría no capturada ()", IF(ISNA(MATCH(K98, Criterios!$A$81:$A$120, 0)), "Categoría no válida", IF(AND(J98&lt;&gt;"", J98&lt;&gt;"", J98&lt;&gt;VLOOKUP(K98, Criterios!$A$81:$B$120, 2, FALSE)), "División no coincide con Categoría", ""))), IF(OR(L98="", L98=""), "[Aviso] Género no capturado ()", IF(ISNA(MATCH(L98, Criterios!$B$123:$B$127, 0)), "Género no válido", "")), IF(OR(N98="", N98=""), "[Aviso] Temporada no capturada ()", IF(ISNA(MATCH(N98, Criterios!$C$123:$C$128, 0)), "Temporada no válida", "")), IF(OR(O98="", O98=""), "[Aviso] Ciclo de vida no capturado ()", IF(ISNA(MATCH(O98, Criterios!$D$123:$D$124, 0)), "Ciclo de vida no válido", ""))))</f>
        <v/>
      </c>
      <c r="AC98" s="56" t="n"/>
      <c r="AD98" s="51" t="n">
        <v>4</v>
      </c>
      <c r="AE98" s="156" t="inlineStr">
        <is>
          <t>REFLO ALMACEN (3)</t>
        </is>
      </c>
      <c r="AF98" s="51" t="n">
        <v>5</v>
      </c>
      <c r="AG98" s="156" t="inlineStr">
        <is>
          <t>Nuevo – NetSuite con existencia</t>
        </is>
      </c>
      <c r="AH98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98" s="156" t="inlineStr">
        <is>
          <t>Sí</t>
        </is>
      </c>
      <c r="AJ98" s="156" t="inlineStr">
        <is>
          <t>CONSIGNA REFLO (-1)</t>
        </is>
      </c>
      <c r="AK98" s="155" t="inlineStr">
        <is>
          <t>G1522ProductosTodosloscamposSandboxResults894.xlsx: fila 49251 [X,Y]; G1522_Extraccion_Articulos_NetSuite_2026-09-30.xlsx: fila 37483 [Z]</t>
        </is>
      </c>
      <c r="AL98" s="58" t="n">
        <v>16.9</v>
      </c>
      <c r="AM98" s="58" t="n"/>
      <c r="AN98" s="155" t="n"/>
      <c r="AO98" s="59" t="n"/>
      <c r="AP98" s="59" t="n"/>
      <c r="AQ98" s="59" t="n"/>
      <c r="AR98" s="155" t="n"/>
    </row>
    <row r="99">
      <c r="A99" s="50" t="inlineStr">
        <is>
          <t>5056658701665</t>
        </is>
      </c>
      <c r="B99" s="51" t="inlineStr">
        <is>
          <t>79100</t>
        </is>
      </c>
      <c r="C99" s="156" t="inlineStr">
        <is>
          <t>REFLO</t>
        </is>
      </c>
      <c r="D99" s="156" t="inlineStr">
        <is>
          <t>HUDDAR</t>
        </is>
      </c>
      <c r="E99" s="156" t="inlineStr">
        <is>
          <t>HUDDAR-M</t>
        </is>
      </c>
      <c r="F99" s="156" t="inlineStr">
        <is>
          <t>M</t>
        </is>
      </c>
      <c r="G99" s="156" t="inlineStr">
        <is>
          <t>M</t>
        </is>
      </c>
      <c r="H99" s="156" t="inlineStr">
        <is>
          <t>REFLO</t>
        </is>
      </c>
      <c r="I99" s="156" t="inlineStr">
        <is>
          <t>Playera REFLO Hudson 2.0 Dark Forest</t>
        </is>
      </c>
      <c r="J99" s="156" t="inlineStr">
        <is>
          <t>Ropa</t>
        </is>
      </c>
      <c r="K99" s="156" t="inlineStr">
        <is>
          <t>Playeras</t>
        </is>
      </c>
      <c r="L99" s="156" t="n"/>
      <c r="M99" s="156" t="inlineStr">
        <is>
          <t>REFLO</t>
        </is>
      </c>
      <c r="N99" s="156" t="n"/>
      <c r="O99" s="156" t="n"/>
      <c r="P99" s="156" t="inlineStr">
        <is>
          <t>Verde</t>
        </is>
      </c>
      <c r="Q99" s="156" t="n"/>
      <c r="R99" s="156" t="n"/>
      <c r="S99" s="156" t="inlineStr">
        <is>
          <t>Poliéster reciclado</t>
        </is>
      </c>
      <c r="T99" s="156" t="inlineStr">
        <is>
          <t>Playera de golf REFLO modelo Hudson 2.0 en color Dark Forest, confeccionado con materiales reciclados. Estilo HUDDAR.</t>
        </is>
      </c>
      <c r="U99" s="156" t="n"/>
      <c r="V99" s="156" t="inlineStr">
        <is>
          <t>PZS</t>
        </is>
      </c>
      <c r="W99" s="51" t="inlineStr">
        <is>
          <t>53101600</t>
        </is>
      </c>
      <c r="X99" s="156" t="inlineStr">
        <is>
          <t>https://i.ibb.co/hdmKbGP/HUDDAR.jpg</t>
        </is>
      </c>
      <c r="Y99" s="54" t="n">
        <v>16.9</v>
      </c>
      <c r="Z99" s="54" t="n">
        <v>1249</v>
      </c>
      <c r="AA99" s="55">
        <f>IF(AND(A99="", B99="", E99=""), "", IF(AB99="", "Válido", IF((LEN(AB99)-LEN(SUBSTITUTE(AB99,"; ","")))/2+1&gt;(LEN(AB99)-LEN(SUBSTITUTE(AB99,"[Aviso]","")))/7, "Con Incidencias", "Válido")))</f>
        <v/>
      </c>
      <c r="AB99" s="56">
        <f>IF(AND(A99="", B99="", E99=""), "", TEXTJOIN("; ", TRUE, IF(OR(TRIM(A99&amp;"")="", ISNUMBER(SEARCH("FALTA", A99))), "UPC faltante/inválido", ""), IF(AND(A99&lt;&gt;"", IFERROR(_xlfn.XMATCH(A99,$A$2:$A$653,0,1)&lt;&gt;_xlfn.XMATCH(A99,$A$2:$A$653,0,-1),FALSE)), "Código de barras duplicado", ""), IF(AND(E99&lt;&gt;"", COUNTIF($E$2:$E$653, E99)&gt;1), "SKU duplicado", ""), IF(OR(J99="", J99=""), "[Aviso] División no capturada ()", IF(ISNA(MATCH(J99, Criterios!$A$123:$A$126, 0)), "División no válida", "")), IF(OR(K99="", K99=""), "[Aviso] Categoría no capturada ()", IF(ISNA(MATCH(K99, Criterios!$A$81:$A$120, 0)), "Categoría no válida", IF(AND(J99&lt;&gt;"", J99&lt;&gt;"", J99&lt;&gt;VLOOKUP(K99, Criterios!$A$81:$B$120, 2, FALSE)), "División no coincide con Categoría", ""))), IF(OR(L99="", L99=""), "[Aviso] Género no capturado ()", IF(ISNA(MATCH(L99, Criterios!$B$123:$B$127, 0)), "Género no válido", "")), IF(OR(N99="", N99=""), "[Aviso] Temporada no capturada ()", IF(ISNA(MATCH(N99, Criterios!$C$123:$C$128, 0)), "Temporada no válida", "")), IF(OR(O99="", O99=""), "[Aviso] Ciclo de vida no capturado ()", IF(ISNA(MATCH(O99, Criterios!$D$123:$D$124, 0)), "Ciclo de vida no válido", ""))))</f>
        <v/>
      </c>
      <c r="AC99" s="56" t="n"/>
      <c r="AD99" s="51" t="n">
        <v>4</v>
      </c>
      <c r="AE99" s="156" t="inlineStr">
        <is>
          <t>REFLO ALMACEN (2); MUESTRAS REFLO (1)</t>
        </is>
      </c>
      <c r="AF99" s="51" t="n">
        <v>3</v>
      </c>
      <c r="AG99" s="156" t="inlineStr">
        <is>
          <t>Nuevo – NetSuite con existencia</t>
        </is>
      </c>
      <c r="AH99" s="156" t="inlineStr">
        <is>
          <t>Género no indicado en NetSuite; Composición: poliéster reciclado (validar % en etiqueta); Físico total NetSuite 4 ≠ suma por ubicación 3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99" s="156" t="inlineStr">
        <is>
          <t>No</t>
        </is>
      </c>
      <c r="AJ99" s="156" t="n"/>
      <c r="AK99" s="155" t="inlineStr">
        <is>
          <t>G1522ProductosTodosloscamposSandboxResults894.xlsx: fila 49253 [X,Y]; G1522_Extraccion_Articulos_NetSuite_2026-09-30.xlsx: fila 37484 [Z]</t>
        </is>
      </c>
      <c r="AL99" s="58" t="n">
        <v>16.9</v>
      </c>
      <c r="AM99" s="58" t="n"/>
      <c r="AN99" s="155" t="n"/>
      <c r="AO99" s="59" t="n"/>
      <c r="AP99" s="59" t="n"/>
      <c r="AQ99" s="59" t="n"/>
      <c r="AR99" s="155" t="n"/>
    </row>
    <row r="100">
      <c r="A100" s="50" t="inlineStr">
        <is>
          <t>5056658701672</t>
        </is>
      </c>
      <c r="B100" s="51" t="inlineStr">
        <is>
          <t>79101</t>
        </is>
      </c>
      <c r="C100" s="156" t="inlineStr">
        <is>
          <t>REFLO</t>
        </is>
      </c>
      <c r="D100" s="156" t="inlineStr">
        <is>
          <t>HUDDAR</t>
        </is>
      </c>
      <c r="E100" s="156" t="inlineStr">
        <is>
          <t>HUDDAR-L</t>
        </is>
      </c>
      <c r="F100" s="156" t="inlineStr">
        <is>
          <t>L</t>
        </is>
      </c>
      <c r="G100" s="156" t="inlineStr">
        <is>
          <t>L</t>
        </is>
      </c>
      <c r="H100" s="156" t="inlineStr">
        <is>
          <t>REFLO</t>
        </is>
      </c>
      <c r="I100" s="156" t="inlineStr">
        <is>
          <t>Playera REFLO Hudson 2.0 Dark Forest</t>
        </is>
      </c>
      <c r="J100" s="156" t="inlineStr">
        <is>
          <t>Ropa</t>
        </is>
      </c>
      <c r="K100" s="156" t="inlineStr">
        <is>
          <t>Playeras</t>
        </is>
      </c>
      <c r="L100" s="156" t="n"/>
      <c r="M100" s="156" t="inlineStr">
        <is>
          <t>REFLO</t>
        </is>
      </c>
      <c r="N100" s="156" t="n"/>
      <c r="O100" s="156" t="n"/>
      <c r="P100" s="156" t="inlineStr">
        <is>
          <t>Verde</t>
        </is>
      </c>
      <c r="Q100" s="156" t="n"/>
      <c r="R100" s="156" t="n"/>
      <c r="S100" s="156" t="inlineStr">
        <is>
          <t>Poliéster reciclado</t>
        </is>
      </c>
      <c r="T100" s="156" t="inlineStr">
        <is>
          <t>Playera de golf REFLO modelo Hudson 2.0 en color Dark Forest, confeccionado con materiales reciclados. Estilo HUDDAR.</t>
        </is>
      </c>
      <c r="U100" s="156" t="n"/>
      <c r="V100" s="156" t="inlineStr">
        <is>
          <t>PZS</t>
        </is>
      </c>
      <c r="W100" s="51" t="inlineStr">
        <is>
          <t>53101600</t>
        </is>
      </c>
      <c r="X100" s="156" t="inlineStr">
        <is>
          <t>https://i.ibb.co/hdmKbGP/HUDDAR.jpg</t>
        </is>
      </c>
      <c r="Y100" s="54" t="n">
        <v>16.9</v>
      </c>
      <c r="Z100" s="54" t="n">
        <v>1249</v>
      </c>
      <c r="AA100" s="55">
        <f>IF(AND(A100="", B100="", E100=""), "", IF(AB100="", "Válido", IF((LEN(AB100)-LEN(SUBSTITUTE(AB100,"; ","")))/2+1&gt;(LEN(AB100)-LEN(SUBSTITUTE(AB100,"[Aviso]","")))/7, "Con Incidencias", "Válido")))</f>
        <v/>
      </c>
      <c r="AB100" s="56">
        <f>IF(AND(A100="", B100="", E100=""), "", TEXTJOIN("; ", TRUE, IF(OR(TRIM(A100&amp;"")="", ISNUMBER(SEARCH("FALTA", A100))), "UPC faltante/inválido", ""), IF(AND(A100&lt;&gt;"", IFERROR(_xlfn.XMATCH(A100,$A$2:$A$653,0,1)&lt;&gt;_xlfn.XMATCH(A100,$A$2:$A$653,0,-1),FALSE)), "Código de barras duplicado", ""), IF(AND(E100&lt;&gt;"", COUNTIF($E$2:$E$653, E100)&gt;1), "SKU duplicado", ""), IF(OR(J100="", J100=""), "[Aviso] División no capturada ()", IF(ISNA(MATCH(J100, Criterios!$A$123:$A$126, 0)), "División no válida", "")), IF(OR(K100="", K100=""), "[Aviso] Categoría no capturada ()", IF(ISNA(MATCH(K100, Criterios!$A$81:$A$120, 0)), "Categoría no válida", IF(AND(J100&lt;&gt;"", J100&lt;&gt;"", J100&lt;&gt;VLOOKUP(K100, Criterios!$A$81:$B$120, 2, FALSE)), "División no coincide con Categoría", ""))), IF(OR(L100="", L100=""), "[Aviso] Género no capturado ()", IF(ISNA(MATCH(L100, Criterios!$B$123:$B$127, 0)), "Género no válido", "")), IF(OR(N100="", N100=""), "[Aviso] Temporada no capturada ()", IF(ISNA(MATCH(N100, Criterios!$C$123:$C$128, 0)), "Temporada no válida", "")), IF(OR(O100="", O100=""), "[Aviso] Ciclo de vida no capturado ()", IF(ISNA(MATCH(O100, Criterios!$D$123:$D$124, 0)), "Ciclo de vida no válido", ""))))</f>
        <v/>
      </c>
      <c r="AC100" s="56" t="n"/>
      <c r="AD100" s="51" t="n">
        <v>4</v>
      </c>
      <c r="AE100" s="156" t="inlineStr">
        <is>
          <t>REFLO ALMACEN (1); MUESTRAS REFLO (2)</t>
        </is>
      </c>
      <c r="AF100" s="51" t="n">
        <v>2</v>
      </c>
      <c r="AG100" s="156" t="inlineStr">
        <is>
          <t>Nuevo – NetSuite con existencia</t>
        </is>
      </c>
      <c r="AH100" s="156" t="inlineStr">
        <is>
          <t>Género no indicado en NetSuite; Composición: poliéster reciclado (validar % en etiqueta); Físico total NetSuite 4 ≠ suma por ubicación 3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00" s="156" t="inlineStr">
        <is>
          <t>No</t>
        </is>
      </c>
      <c r="AJ100" s="156" t="n"/>
      <c r="AK100" s="155" t="inlineStr">
        <is>
          <t>G1522ProductosTodosloscamposSandboxResults894.xlsx: fila 49254 [X,Y]; G1522_Extraccion_Articulos_NetSuite_2026-09-30.xlsx: fila 37485 [Z]</t>
        </is>
      </c>
      <c r="AL100" s="58" t="n">
        <v>16.9</v>
      </c>
      <c r="AM100" s="58" t="n"/>
      <c r="AN100" s="155" t="n"/>
      <c r="AO100" s="59" t="n"/>
      <c r="AP100" s="59" t="n"/>
      <c r="AQ100" s="59" t="n"/>
      <c r="AR100" s="155" t="n"/>
    </row>
    <row r="101">
      <c r="A101" s="50" t="inlineStr">
        <is>
          <t>5056658701689</t>
        </is>
      </c>
      <c r="B101" s="51" t="inlineStr">
        <is>
          <t>79102</t>
        </is>
      </c>
      <c r="C101" s="156" t="inlineStr">
        <is>
          <t>REFLO</t>
        </is>
      </c>
      <c r="D101" s="156" t="inlineStr">
        <is>
          <t>HUDDAR</t>
        </is>
      </c>
      <c r="E101" s="156" t="inlineStr">
        <is>
          <t>HUDDAR-XL</t>
        </is>
      </c>
      <c r="F101" s="156" t="inlineStr">
        <is>
          <t>XL</t>
        </is>
      </c>
      <c r="G101" s="156" t="inlineStr">
        <is>
          <t>XL</t>
        </is>
      </c>
      <c r="H101" s="156" t="inlineStr">
        <is>
          <t>REFLO</t>
        </is>
      </c>
      <c r="I101" s="156" t="inlineStr">
        <is>
          <t>Playera REFLO Hudson 2.0 Dark Forest</t>
        </is>
      </c>
      <c r="J101" s="156" t="inlineStr">
        <is>
          <t>Ropa</t>
        </is>
      </c>
      <c r="K101" s="156" t="inlineStr">
        <is>
          <t>Playeras</t>
        </is>
      </c>
      <c r="L101" s="156" t="n"/>
      <c r="M101" s="156" t="inlineStr">
        <is>
          <t>REFLO</t>
        </is>
      </c>
      <c r="N101" s="156" t="n"/>
      <c r="O101" s="156" t="n"/>
      <c r="P101" s="156" t="inlineStr">
        <is>
          <t>Verde</t>
        </is>
      </c>
      <c r="Q101" s="156" t="n"/>
      <c r="R101" s="156" t="n"/>
      <c r="S101" s="156" t="inlineStr">
        <is>
          <t>Poliéster reciclado</t>
        </is>
      </c>
      <c r="T101" s="156" t="inlineStr">
        <is>
          <t>Playera de golf REFLO modelo Hudson 2.0 en color Dark Forest, confeccionado con materiales reciclados. Estilo HUDDAR.</t>
        </is>
      </c>
      <c r="U101" s="156" t="n"/>
      <c r="V101" s="156" t="inlineStr">
        <is>
          <t>PZS</t>
        </is>
      </c>
      <c r="W101" s="51" t="inlineStr">
        <is>
          <t>53101600</t>
        </is>
      </c>
      <c r="X101" s="156" t="inlineStr">
        <is>
          <t>https://i.ibb.co/hdmKbGP/HUDDAR.jpg</t>
        </is>
      </c>
      <c r="Y101" s="54" t="n">
        <v>16.9</v>
      </c>
      <c r="Z101" s="54" t="n">
        <v>1249</v>
      </c>
      <c r="AA101" s="55">
        <f>IF(AND(A101="", B101="", E101=""), "", IF(AB101="", "Válido", IF((LEN(AB101)-LEN(SUBSTITUTE(AB101,"; ","")))/2+1&gt;(LEN(AB101)-LEN(SUBSTITUTE(AB101,"[Aviso]","")))/7, "Con Incidencias", "Válido")))</f>
        <v/>
      </c>
      <c r="AB101" s="56">
        <f>IF(AND(A101="", B101="", E101=""), "", TEXTJOIN("; ", TRUE, IF(OR(TRIM(A101&amp;"")="", ISNUMBER(SEARCH("FALTA", A101))), "UPC faltante/inválido", ""), IF(AND(A101&lt;&gt;"", IFERROR(_xlfn.XMATCH(A101,$A$2:$A$653,0,1)&lt;&gt;_xlfn.XMATCH(A101,$A$2:$A$653,0,-1),FALSE)), "Código de barras duplicado", ""), IF(AND(E101&lt;&gt;"", COUNTIF($E$2:$E$653, E101)&gt;1), "SKU duplicado", ""), IF(OR(J101="", J101=""), "[Aviso] División no capturada ()", IF(ISNA(MATCH(J101, Criterios!$A$123:$A$126, 0)), "División no válida", "")), IF(OR(K101="", K101=""), "[Aviso] Categoría no capturada ()", IF(ISNA(MATCH(K101, Criterios!$A$81:$A$120, 0)), "Categoría no válida", IF(AND(J101&lt;&gt;"", J101&lt;&gt;"", J101&lt;&gt;VLOOKUP(K101, Criterios!$A$81:$B$120, 2, FALSE)), "División no coincide con Categoría", ""))), IF(OR(L101="", L101=""), "[Aviso] Género no capturado ()", IF(ISNA(MATCH(L101, Criterios!$B$123:$B$127, 0)), "Género no válido", "")), IF(OR(N101="", N101=""), "[Aviso] Temporada no capturada ()", IF(ISNA(MATCH(N101, Criterios!$C$123:$C$128, 0)), "Temporada no válida", "")), IF(OR(O101="", O101=""), "[Aviso] Ciclo de vida no capturado ()", IF(ISNA(MATCH(O101, Criterios!$D$123:$D$124, 0)), "Ciclo de vida no válido", ""))))</f>
        <v/>
      </c>
      <c r="AC101" s="56" t="n"/>
      <c r="AD101" s="51" t="n">
        <v>8</v>
      </c>
      <c r="AE101" s="156" t="inlineStr">
        <is>
          <t>CONSIGNA REFLO (1); REFLO ALMACEN (3)</t>
        </is>
      </c>
      <c r="AF101" s="51" t="n">
        <v>8</v>
      </c>
      <c r="AG101" s="156" t="inlineStr">
        <is>
          <t>Nuevo – NetSuite con existencia</t>
        </is>
      </c>
      <c r="AH101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01" s="156" t="inlineStr">
        <is>
          <t>No</t>
        </is>
      </c>
      <c r="AJ101" s="156" t="n"/>
      <c r="AK101" s="155" t="inlineStr">
        <is>
          <t>G1522ProductosTodosloscamposSandboxResults894.xlsx: fila 49255 [X,Y]; G1522_Extraccion_Articulos_NetSuite_2026-09-30.xlsx: fila 37486 [Z]</t>
        </is>
      </c>
      <c r="AL101" s="58" t="n">
        <v>16.9</v>
      </c>
      <c r="AM101" s="58" t="n"/>
      <c r="AN101" s="155" t="n"/>
      <c r="AO101" s="59" t="n"/>
      <c r="AP101" s="59" t="n"/>
      <c r="AQ101" s="59" t="n"/>
      <c r="AR101" s="155" t="n"/>
    </row>
    <row r="102">
      <c r="A102" s="50" t="inlineStr">
        <is>
          <t>5056658701696</t>
        </is>
      </c>
      <c r="B102" s="51" t="inlineStr">
        <is>
          <t>79103</t>
        </is>
      </c>
      <c r="C102" s="156" t="inlineStr">
        <is>
          <t>REFLO</t>
        </is>
      </c>
      <c r="D102" s="156" t="inlineStr">
        <is>
          <t>HUDDAR</t>
        </is>
      </c>
      <c r="E102" s="156" t="inlineStr">
        <is>
          <t>HUDDAR-2XL</t>
        </is>
      </c>
      <c r="F102" s="156" t="inlineStr">
        <is>
          <t>XXL</t>
        </is>
      </c>
      <c r="G102" s="156" t="inlineStr">
        <is>
          <t>XXL</t>
        </is>
      </c>
      <c r="H102" s="156" t="inlineStr">
        <is>
          <t>REFLO</t>
        </is>
      </c>
      <c r="I102" s="156" t="inlineStr">
        <is>
          <t>Playera REFLO Hudson 2.0 Dark Forest</t>
        </is>
      </c>
      <c r="J102" s="156" t="inlineStr">
        <is>
          <t>Ropa</t>
        </is>
      </c>
      <c r="K102" s="156" t="inlineStr">
        <is>
          <t>Playeras</t>
        </is>
      </c>
      <c r="L102" s="156" t="n"/>
      <c r="M102" s="156" t="inlineStr">
        <is>
          <t>REFLO</t>
        </is>
      </c>
      <c r="N102" s="156" t="n"/>
      <c r="O102" s="156" t="n"/>
      <c r="P102" s="156" t="inlineStr">
        <is>
          <t>Verde</t>
        </is>
      </c>
      <c r="Q102" s="156" t="n"/>
      <c r="R102" s="156" t="n"/>
      <c r="S102" s="156" t="inlineStr">
        <is>
          <t>Poliéster reciclado</t>
        </is>
      </c>
      <c r="T102" s="156" t="inlineStr">
        <is>
          <t>Playera de golf REFLO modelo Hudson 2.0 en color Dark Forest, confeccionado con materiales reciclados. Estilo HUDDAR.</t>
        </is>
      </c>
      <c r="U102" s="156" t="n"/>
      <c r="V102" s="156" t="inlineStr">
        <is>
          <t>PZS</t>
        </is>
      </c>
      <c r="W102" s="51" t="inlineStr">
        <is>
          <t>53101600</t>
        </is>
      </c>
      <c r="X102" s="156" t="inlineStr">
        <is>
          <t>https://i.ibb.co/hdmKbGP/HUDDAR.jpg</t>
        </is>
      </c>
      <c r="Y102" s="54" t="n">
        <v>16.9</v>
      </c>
      <c r="Z102" s="54" t="n">
        <v>1249</v>
      </c>
      <c r="AA102" s="55">
        <f>IF(AND(A102="", B102="", E102=""), "", IF(AB102="", "Válido", IF((LEN(AB102)-LEN(SUBSTITUTE(AB102,"; ","")))/2+1&gt;(LEN(AB102)-LEN(SUBSTITUTE(AB102,"[Aviso]","")))/7, "Con Incidencias", "Válido")))</f>
        <v/>
      </c>
      <c r="AB102" s="56">
        <f>IF(AND(A102="", B102="", E102=""), "", TEXTJOIN("; ", TRUE, IF(OR(TRIM(A102&amp;"")="", ISNUMBER(SEARCH("FALTA", A102))), "UPC faltante/inválido", ""), IF(AND(A102&lt;&gt;"", IFERROR(_xlfn.XMATCH(A102,$A$2:$A$653,0,1)&lt;&gt;_xlfn.XMATCH(A102,$A$2:$A$653,0,-1),FALSE)), "Código de barras duplicado", ""), IF(AND(E102&lt;&gt;"", COUNTIF($E$2:$E$653, E102)&gt;1), "SKU duplicado", ""), IF(OR(J102="", J102=""), "[Aviso] División no capturada ()", IF(ISNA(MATCH(J102, Criterios!$A$123:$A$126, 0)), "División no válida", "")), IF(OR(K102="", K102=""), "[Aviso] Categoría no capturada ()", IF(ISNA(MATCH(K102, Criterios!$A$81:$A$120, 0)), "Categoría no válida", IF(AND(J102&lt;&gt;"", J102&lt;&gt;"", J102&lt;&gt;VLOOKUP(K102, Criterios!$A$81:$B$120, 2, FALSE)), "División no coincide con Categoría", ""))), IF(OR(L102="", L102=""), "[Aviso] Género no capturado ()", IF(ISNA(MATCH(L102, Criterios!$B$123:$B$127, 0)), "Género no válido", "")), IF(OR(N102="", N102=""), "[Aviso] Temporada no capturada ()", IF(ISNA(MATCH(N102, Criterios!$C$123:$C$128, 0)), "Temporada no válida", "")), IF(OR(O102="", O102=""), "[Aviso] Ciclo de vida no capturado ()", IF(ISNA(MATCH(O102, Criterios!$D$123:$D$124, 0)), "Ciclo de vida no válido", ""))))</f>
        <v/>
      </c>
      <c r="AC102" s="56" t="n"/>
      <c r="AD102" s="51" t="n">
        <v>3</v>
      </c>
      <c r="AE102" s="156" t="inlineStr">
        <is>
          <t>REFLO ALMACEN (2)</t>
        </is>
      </c>
      <c r="AF102" s="51" t="n">
        <v>3</v>
      </c>
      <c r="AG102" s="156" t="inlineStr">
        <is>
          <t>Nuevo – NetSuite con existencia</t>
        </is>
      </c>
      <c r="AH102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02" s="156" t="inlineStr">
        <is>
          <t>No</t>
        </is>
      </c>
      <c r="AJ102" s="156" t="n"/>
      <c r="AK102" s="155" t="inlineStr">
        <is>
          <t>G1522ProductosTodosloscamposSandboxResults894.xlsx: fila 49256 [X,Y]; G1522_Extraccion_Articulos_NetSuite_2026-09-30.xlsx: fila 37487 [Z]</t>
        </is>
      </c>
      <c r="AL102" s="58" t="n">
        <v>16.9</v>
      </c>
      <c r="AM102" s="58" t="n"/>
      <c r="AN102" s="155" t="n"/>
      <c r="AO102" s="59" t="n"/>
      <c r="AP102" s="59" t="n"/>
      <c r="AQ102" s="59" t="n"/>
      <c r="AR102" s="155" t="n"/>
    </row>
    <row r="103">
      <c r="A103" s="50" t="inlineStr">
        <is>
          <t>5056658701658</t>
        </is>
      </c>
      <c r="B103" s="51" t="inlineStr">
        <is>
          <t>84428</t>
        </is>
      </c>
      <c r="C103" s="156" t="inlineStr">
        <is>
          <t>REFLO</t>
        </is>
      </c>
      <c r="D103" s="156" t="inlineStr">
        <is>
          <t>HUDDAR</t>
        </is>
      </c>
      <c r="E103" s="156" t="inlineStr">
        <is>
          <t>HUDDAR-S</t>
        </is>
      </c>
      <c r="F103" s="156" t="inlineStr">
        <is>
          <t>S</t>
        </is>
      </c>
      <c r="G103" s="156" t="inlineStr">
        <is>
          <t>S</t>
        </is>
      </c>
      <c r="H103" s="156" t="inlineStr">
        <is>
          <t>REFLO</t>
        </is>
      </c>
      <c r="I103" s="156" t="inlineStr">
        <is>
          <t>Playera REFLO Hudson Dark Forest</t>
        </is>
      </c>
      <c r="J103" s="156" t="inlineStr">
        <is>
          <t>Ropa</t>
        </is>
      </c>
      <c r="K103" s="156" t="inlineStr">
        <is>
          <t>Playeras</t>
        </is>
      </c>
      <c r="L103" s="156" t="n"/>
      <c r="M103" s="156" t="inlineStr">
        <is>
          <t>REFLO</t>
        </is>
      </c>
      <c r="N103" s="156" t="n"/>
      <c r="O103" s="156" t="n"/>
      <c r="P103" s="156" t="inlineStr">
        <is>
          <t>Verde</t>
        </is>
      </c>
      <c r="Q103" s="156" t="n"/>
      <c r="R103" s="156" t="n"/>
      <c r="S103" s="156" t="inlineStr">
        <is>
          <t>Poliéster reciclado</t>
        </is>
      </c>
      <c r="T103" s="156" t="inlineStr">
        <is>
          <t>Playera de golf REFLO modelo Hudson en color Dark Forest, confeccionado con materiales reciclados. Estilo HUDDAR.</t>
        </is>
      </c>
      <c r="U103" s="156" t="n"/>
      <c r="V103" s="156" t="inlineStr">
        <is>
          <t>PZS</t>
        </is>
      </c>
      <c r="W103" s="51" t="inlineStr">
        <is>
          <t>53101600</t>
        </is>
      </c>
      <c r="X103" s="156" t="inlineStr">
        <is>
          <t>https://i.ibb.co/hdmKbGP/HUDDAR.jpg</t>
        </is>
      </c>
      <c r="Y103" s="54" t="n">
        <v>16.9</v>
      </c>
      <c r="Z103" s="54" t="n">
        <v>1249</v>
      </c>
      <c r="AA103" s="55">
        <f>IF(AND(A103="", B103="", E103=""), "", IF(AB103="", "Válido", IF((LEN(AB103)-LEN(SUBSTITUTE(AB103,"; ","")))/2+1&gt;(LEN(AB103)-LEN(SUBSTITUTE(AB103,"[Aviso]","")))/7, "Con Incidencias", "Válido")))</f>
        <v/>
      </c>
      <c r="AB103" s="56">
        <f>IF(AND(A103="", B103="", E103=""), "", TEXTJOIN("; ", TRUE, IF(OR(TRIM(A103&amp;"")="", ISNUMBER(SEARCH("FALTA", A103))), "UPC faltante/inválido", ""), IF(AND(A103&lt;&gt;"", IFERROR(_xlfn.XMATCH(A103,$A$2:$A$653,0,1)&lt;&gt;_xlfn.XMATCH(A103,$A$2:$A$653,0,-1),FALSE)), "Código de barras duplicado", ""), IF(AND(E103&lt;&gt;"", COUNTIF($E$2:$E$653, E103)&gt;1), "SKU duplicado", ""), IF(OR(J103="", J103=""), "[Aviso] División no capturada ()", IF(ISNA(MATCH(J103, Criterios!$A$123:$A$126, 0)), "División no válida", "")), IF(OR(K103="", K103=""), "[Aviso] Categoría no capturada ()", IF(ISNA(MATCH(K103, Criterios!$A$81:$A$120, 0)), "Categoría no válida", IF(AND(J103&lt;&gt;"", J103&lt;&gt;"", J103&lt;&gt;VLOOKUP(K103, Criterios!$A$81:$B$120, 2, FALSE)), "División no coincide con Categoría", ""))), IF(OR(L103="", L103=""), "[Aviso] Género no capturado ()", IF(ISNA(MATCH(L103, Criterios!$B$123:$B$127, 0)), "Género no válido", "")), IF(OR(N103="", N103=""), "[Aviso] Temporada no capturada ()", IF(ISNA(MATCH(N103, Criterios!$C$123:$C$128, 0)), "Temporada no válida", "")), IF(OR(O103="", O103=""), "[Aviso] Ciclo de vida no capturado ()", IF(ISNA(MATCH(O103, Criterios!$D$123:$D$124, 0)), "Ciclo de vida no válido", ""))))</f>
        <v/>
      </c>
      <c r="AC103" s="56" t="n"/>
      <c r="AD103" s="51" t="n">
        <v>7</v>
      </c>
      <c r="AE103" s="156" t="inlineStr">
        <is>
          <t>CONSIGNA REFLO (2); REFLO ALMACEN (2)</t>
        </is>
      </c>
      <c r="AF103" s="51" t="n">
        <v>7</v>
      </c>
      <c r="AG103" s="156" t="inlineStr">
        <is>
          <t>Nuevo – NetSuite con existencia</t>
        </is>
      </c>
      <c r="AH103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03" s="156" t="inlineStr">
        <is>
          <t>No</t>
        </is>
      </c>
      <c r="AJ103" s="156" t="n"/>
      <c r="AK103" s="155" t="inlineStr">
        <is>
          <t>G1522ProductosTodosloscamposSandboxResults894.xlsx: fila 49267 [X,Y]; G1522_Extraccion_Articulos_NetSuite_2026-09-30.xlsx: fila 39597 [Z]</t>
        </is>
      </c>
      <c r="AL103" s="58" t="n">
        <v>16.9</v>
      </c>
      <c r="AM103" s="58" t="n"/>
      <c r="AN103" s="155" t="n"/>
      <c r="AO103" s="59" t="n"/>
      <c r="AP103" s="59" t="n"/>
      <c r="AQ103" s="59" t="n"/>
      <c r="AR103" s="155" t="n"/>
    </row>
    <row r="104">
      <c r="A104" s="50" t="inlineStr">
        <is>
          <t>5056658701818</t>
        </is>
      </c>
      <c r="B104" s="51" t="inlineStr">
        <is>
          <t>79104</t>
        </is>
      </c>
      <c r="C104" s="156" t="inlineStr">
        <is>
          <t>REFLO</t>
        </is>
      </c>
      <c r="D104" s="156" t="inlineStr">
        <is>
          <t>HUDNAV</t>
        </is>
      </c>
      <c r="E104" s="156" t="inlineStr">
        <is>
          <t>HUDNAV-M</t>
        </is>
      </c>
      <c r="F104" s="156" t="inlineStr">
        <is>
          <t>M</t>
        </is>
      </c>
      <c r="G104" s="156" t="inlineStr">
        <is>
          <t>M</t>
        </is>
      </c>
      <c r="H104" s="156" t="inlineStr">
        <is>
          <t>REFLO</t>
        </is>
      </c>
      <c r="I104" s="156" t="inlineStr">
        <is>
          <t>Playera REFLO Hudson 2.0 Navy</t>
        </is>
      </c>
      <c r="J104" s="156" t="inlineStr">
        <is>
          <t>Ropa</t>
        </is>
      </c>
      <c r="K104" s="156" t="inlineStr">
        <is>
          <t>Playeras</t>
        </is>
      </c>
      <c r="L104" s="156" t="n"/>
      <c r="M104" s="156" t="inlineStr">
        <is>
          <t>REFLO</t>
        </is>
      </c>
      <c r="N104" s="156" t="n"/>
      <c r="O104" s="156" t="n"/>
      <c r="P104" s="156" t="inlineStr">
        <is>
          <t>Azul</t>
        </is>
      </c>
      <c r="Q104" s="156" t="n"/>
      <c r="R104" s="156" t="n"/>
      <c r="S104" s="156" t="inlineStr">
        <is>
          <t>Poliéster reciclado</t>
        </is>
      </c>
      <c r="T104" s="156" t="inlineStr">
        <is>
          <t>Playera de golf REFLO modelo Hudson 2.0 en color Navy, confeccionado con materiales reciclados. Estilo HUDNAV.</t>
        </is>
      </c>
      <c r="U104" s="156" t="n"/>
      <c r="V104" s="156" t="inlineStr">
        <is>
          <t>PZS</t>
        </is>
      </c>
      <c r="W104" s="51" t="inlineStr">
        <is>
          <t>53101600</t>
        </is>
      </c>
      <c r="X104" s="156" t="inlineStr">
        <is>
          <t>https://i.ibb.co/xqvLYj2/HUDNAV.jpg</t>
        </is>
      </c>
      <c r="Y104" s="54" t="n">
        <v>16.9</v>
      </c>
      <c r="Z104" s="54" t="n">
        <v>1249</v>
      </c>
      <c r="AA104" s="55">
        <f>IF(AND(A104="", B104="", E104=""), "", IF(AB104="", "Válido", IF((LEN(AB104)-LEN(SUBSTITUTE(AB104,"; ","")))/2+1&gt;(LEN(AB104)-LEN(SUBSTITUTE(AB104,"[Aviso]","")))/7, "Con Incidencias", "Válido")))</f>
        <v/>
      </c>
      <c r="AB104" s="56">
        <f>IF(AND(A104="", B104="", E104=""), "", TEXTJOIN("; ", TRUE, IF(OR(TRIM(A104&amp;"")="", ISNUMBER(SEARCH("FALTA", A104))), "UPC faltante/inválido", ""), IF(AND(A104&lt;&gt;"", IFERROR(_xlfn.XMATCH(A104,$A$2:$A$653,0,1)&lt;&gt;_xlfn.XMATCH(A104,$A$2:$A$653,0,-1),FALSE)), "Código de barras duplicado", ""), IF(AND(E104&lt;&gt;"", COUNTIF($E$2:$E$653, E104)&gt;1), "SKU duplicado", ""), IF(OR(J104="", J104=""), "[Aviso] División no capturada ()", IF(ISNA(MATCH(J104, Criterios!$A$123:$A$126, 0)), "División no válida", "")), IF(OR(K104="", K104=""), "[Aviso] Categoría no capturada ()", IF(ISNA(MATCH(K104, Criterios!$A$81:$A$120, 0)), "Categoría no válida", IF(AND(J104&lt;&gt;"", J104&lt;&gt;"", J104&lt;&gt;VLOOKUP(K104, Criterios!$A$81:$B$120, 2, FALSE)), "División no coincide con Categoría", ""))), IF(OR(L104="", L104=""), "[Aviso] Género no capturado ()", IF(ISNA(MATCH(L104, Criterios!$B$123:$B$127, 0)), "Género no válido", "")), IF(OR(N104="", N104=""), "[Aviso] Temporada no capturada ()", IF(ISNA(MATCH(N104, Criterios!$C$123:$C$128, 0)), "Temporada no válida", "")), IF(OR(O104="", O104=""), "[Aviso] Ciclo de vida no capturado ()", IF(ISNA(MATCH(O104, Criterios!$D$123:$D$124, 0)), "Ciclo de vida no válido", ""))))</f>
        <v/>
      </c>
      <c r="AC104" s="56" t="n"/>
      <c r="AD104" s="51" t="n">
        <v>5</v>
      </c>
      <c r="AE104" s="156" t="inlineStr">
        <is>
          <t>REFLO ALMACEN (3)</t>
        </is>
      </c>
      <c r="AF104" s="51" t="n">
        <v>5</v>
      </c>
      <c r="AG104" s="156" t="inlineStr">
        <is>
          <t>Nuevo – NetSuite con existencia</t>
        </is>
      </c>
      <c r="AH104" s="156" t="inlineStr">
        <is>
          <t>Género no indicado en NetSuite; Composición: poliéster reciclado (validar % en etiqueta); Físico total NetSuite 5 ≠ suma por ubicación 3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04" s="156" t="inlineStr">
        <is>
          <t>No</t>
        </is>
      </c>
      <c r="AJ104" s="156" t="n"/>
      <c r="AK104" s="155" t="inlineStr">
        <is>
          <t>G1522ProductosTodosloscamposSandboxResults894.xlsx: fila 49258 [X,Y]; G1522_Extraccion_Articulos_NetSuite_2026-09-30.xlsx: fila 37488 [Z]</t>
        </is>
      </c>
      <c r="AL104" s="58" t="n">
        <v>16.9</v>
      </c>
      <c r="AM104" s="58" t="n"/>
      <c r="AN104" s="155" t="n"/>
      <c r="AO104" s="59" t="n"/>
      <c r="AP104" s="59" t="n"/>
      <c r="AQ104" s="59" t="n"/>
      <c r="AR104" s="155" t="n"/>
    </row>
    <row r="105">
      <c r="A105" s="50" t="inlineStr">
        <is>
          <t>5056658701825</t>
        </is>
      </c>
      <c r="B105" s="51" t="inlineStr">
        <is>
          <t>79105</t>
        </is>
      </c>
      <c r="C105" s="156" t="inlineStr">
        <is>
          <t>REFLO</t>
        </is>
      </c>
      <c r="D105" s="156" t="inlineStr">
        <is>
          <t>HUDNAV</t>
        </is>
      </c>
      <c r="E105" s="156" t="inlineStr">
        <is>
          <t>HUDNAV-L</t>
        </is>
      </c>
      <c r="F105" s="156" t="inlineStr">
        <is>
          <t>L</t>
        </is>
      </c>
      <c r="G105" s="156" t="inlineStr">
        <is>
          <t>L</t>
        </is>
      </c>
      <c r="H105" s="156" t="inlineStr">
        <is>
          <t>REFLO</t>
        </is>
      </c>
      <c r="I105" s="156" t="inlineStr">
        <is>
          <t>Playera REFLO Hudson 2.0 Navy</t>
        </is>
      </c>
      <c r="J105" s="156" t="inlineStr">
        <is>
          <t>Ropa</t>
        </is>
      </c>
      <c r="K105" s="156" t="inlineStr">
        <is>
          <t>Playeras</t>
        </is>
      </c>
      <c r="L105" s="156" t="n"/>
      <c r="M105" s="156" t="inlineStr">
        <is>
          <t>REFLO</t>
        </is>
      </c>
      <c r="N105" s="156" t="n"/>
      <c r="O105" s="156" t="n"/>
      <c r="P105" s="156" t="inlineStr">
        <is>
          <t>Azul</t>
        </is>
      </c>
      <c r="Q105" s="156" t="n"/>
      <c r="R105" s="156" t="n"/>
      <c r="S105" s="156" t="inlineStr">
        <is>
          <t>Poliéster reciclado</t>
        </is>
      </c>
      <c r="T105" s="156" t="inlineStr">
        <is>
          <t>Playera de golf REFLO modelo Hudson 2.0 en color Navy, confeccionado con materiales reciclados. Estilo HUDNAV.</t>
        </is>
      </c>
      <c r="U105" s="156" t="n"/>
      <c r="V105" s="156" t="inlineStr">
        <is>
          <t>PZS</t>
        </is>
      </c>
      <c r="W105" s="51" t="inlineStr">
        <is>
          <t>53101600</t>
        </is>
      </c>
      <c r="X105" s="156" t="inlineStr">
        <is>
          <t>https://i.ibb.co/xqvLYj2/HUDNAV.jpg</t>
        </is>
      </c>
      <c r="Y105" s="54" t="n">
        <v>16.9</v>
      </c>
      <c r="Z105" s="54" t="n">
        <v>1249</v>
      </c>
      <c r="AA105" s="55">
        <f>IF(AND(A105="", B105="", E105=""), "", IF(AB105="", "Válido", IF((LEN(AB105)-LEN(SUBSTITUTE(AB105,"; ","")))/2+1&gt;(LEN(AB105)-LEN(SUBSTITUTE(AB105,"[Aviso]","")))/7, "Con Incidencias", "Válido")))</f>
        <v/>
      </c>
      <c r="AB105" s="56">
        <f>IF(AND(A105="", B105="", E105=""), "", TEXTJOIN("; ", TRUE, IF(OR(TRIM(A105&amp;"")="", ISNUMBER(SEARCH("FALTA", A105))), "UPC faltante/inválido", ""), IF(AND(A105&lt;&gt;"", IFERROR(_xlfn.XMATCH(A105,$A$2:$A$653,0,1)&lt;&gt;_xlfn.XMATCH(A105,$A$2:$A$653,0,-1),FALSE)), "Código de barras duplicado", ""), IF(AND(E105&lt;&gt;"", COUNTIF($E$2:$E$653, E105)&gt;1), "SKU duplicado", ""), IF(OR(J105="", J105=""), "[Aviso] División no capturada ()", IF(ISNA(MATCH(J105, Criterios!$A$123:$A$126, 0)), "División no válida", "")), IF(OR(K105="", K105=""), "[Aviso] Categoría no capturada ()", IF(ISNA(MATCH(K105, Criterios!$A$81:$A$120, 0)), "Categoría no válida", IF(AND(J105&lt;&gt;"", J105&lt;&gt;"", J105&lt;&gt;VLOOKUP(K105, Criterios!$A$81:$B$120, 2, FALSE)), "División no coincide con Categoría", ""))), IF(OR(L105="", L105=""), "[Aviso] Género no capturado ()", IF(ISNA(MATCH(L105, Criterios!$B$123:$B$127, 0)), "Género no válido", "")), IF(OR(N105="", N105=""), "[Aviso] Temporada no capturada ()", IF(ISNA(MATCH(N105, Criterios!$C$123:$C$128, 0)), "Temporada no válida", "")), IF(OR(O105="", O105=""), "[Aviso] Ciclo de vida no capturado ()", IF(ISNA(MATCH(O105, Criterios!$D$123:$D$124, 0)), "Ciclo de vida no válido", ""))))</f>
        <v/>
      </c>
      <c r="AC105" s="56" t="n"/>
      <c r="AD105" s="51" t="n">
        <v>3</v>
      </c>
      <c r="AE105" s="156" t="inlineStr">
        <is>
          <t>MUESTRAS REFLO (1); REFLO ALMACEN (2)</t>
        </is>
      </c>
      <c r="AF105" s="51" t="n">
        <v>2</v>
      </c>
      <c r="AG105" s="156" t="inlineStr">
        <is>
          <t>Nuevo – NetSuite con existencia</t>
        </is>
      </c>
      <c r="AH105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05" s="156" t="inlineStr">
        <is>
          <t>No</t>
        </is>
      </c>
      <c r="AJ105" s="156" t="n"/>
      <c r="AK105" s="155" t="inlineStr">
        <is>
          <t>G1522ProductosTodosloscamposSandboxResults894.xlsx: fila 49259 [X,Y]; G1522_Extraccion_Articulos_NetSuite_2026-09-30.xlsx: fila 37489 [Z]</t>
        </is>
      </c>
      <c r="AL105" s="58" t="n">
        <v>16.9</v>
      </c>
      <c r="AM105" s="58" t="n"/>
      <c r="AN105" s="155" t="n"/>
      <c r="AO105" s="59" t="n"/>
      <c r="AP105" s="59" t="n"/>
      <c r="AQ105" s="59" t="n"/>
      <c r="AR105" s="155" t="n"/>
    </row>
    <row r="106">
      <c r="A106" s="50" t="inlineStr">
        <is>
          <t>5056658701832</t>
        </is>
      </c>
      <c r="B106" s="51" t="inlineStr">
        <is>
          <t>79106</t>
        </is>
      </c>
      <c r="C106" s="156" t="inlineStr">
        <is>
          <t>REFLO</t>
        </is>
      </c>
      <c r="D106" s="156" t="inlineStr">
        <is>
          <t>HUDNAV</t>
        </is>
      </c>
      <c r="E106" s="156" t="inlineStr">
        <is>
          <t>HUDNAV-XL</t>
        </is>
      </c>
      <c r="F106" s="156" t="inlineStr">
        <is>
          <t>XL</t>
        </is>
      </c>
      <c r="G106" s="156" t="inlineStr">
        <is>
          <t>XL</t>
        </is>
      </c>
      <c r="H106" s="156" t="inlineStr">
        <is>
          <t>REFLO</t>
        </is>
      </c>
      <c r="I106" s="156" t="inlineStr">
        <is>
          <t>Playera REFLO Hudson 2.0 Navy</t>
        </is>
      </c>
      <c r="J106" s="156" t="inlineStr">
        <is>
          <t>Ropa</t>
        </is>
      </c>
      <c r="K106" s="156" t="inlineStr">
        <is>
          <t>Playeras</t>
        </is>
      </c>
      <c r="L106" s="156" t="n"/>
      <c r="M106" s="156" t="inlineStr">
        <is>
          <t>REFLO</t>
        </is>
      </c>
      <c r="N106" s="156" t="n"/>
      <c r="O106" s="156" t="n"/>
      <c r="P106" s="156" t="inlineStr">
        <is>
          <t>Azul</t>
        </is>
      </c>
      <c r="Q106" s="156" t="n"/>
      <c r="R106" s="156" t="n"/>
      <c r="S106" s="156" t="inlineStr">
        <is>
          <t>Poliéster reciclado</t>
        </is>
      </c>
      <c r="T106" s="156" t="inlineStr">
        <is>
          <t>Playera de golf REFLO modelo Hudson 2.0 en color Navy, confeccionado con materiales reciclados. Estilo HUDNAV.</t>
        </is>
      </c>
      <c r="U106" s="156" t="n"/>
      <c r="V106" s="156" t="inlineStr">
        <is>
          <t>PZS</t>
        </is>
      </c>
      <c r="W106" s="51" t="inlineStr">
        <is>
          <t>53101600</t>
        </is>
      </c>
      <c r="X106" s="156" t="inlineStr">
        <is>
          <t>https://i.ibb.co/xqvLYj2/HUDNAV.jpg</t>
        </is>
      </c>
      <c r="Y106" s="54" t="n">
        <v>16.9</v>
      </c>
      <c r="Z106" s="54" t="n">
        <v>1249</v>
      </c>
      <c r="AA106" s="55">
        <f>IF(AND(A106="", B106="", E106=""), "", IF(AB106="", "Válido", IF((LEN(AB106)-LEN(SUBSTITUTE(AB106,"; ","")))/2+1&gt;(LEN(AB106)-LEN(SUBSTITUTE(AB106,"[Aviso]","")))/7, "Con Incidencias", "Válido")))</f>
        <v/>
      </c>
      <c r="AB106" s="56">
        <f>IF(AND(A106="", B106="", E106=""), "", TEXTJOIN("; ", TRUE, IF(OR(TRIM(A106&amp;"")="", ISNUMBER(SEARCH("FALTA", A106))), "UPC faltante/inválido", ""), IF(AND(A106&lt;&gt;"", IFERROR(_xlfn.XMATCH(A106,$A$2:$A$653,0,1)&lt;&gt;_xlfn.XMATCH(A106,$A$2:$A$653,0,-1),FALSE)), "Código de barras duplicado", ""), IF(AND(E106&lt;&gt;"", COUNTIF($E$2:$E$653, E106)&gt;1), "SKU duplicado", ""), IF(OR(J106="", J106=""), "[Aviso] División no capturada ()", IF(ISNA(MATCH(J106, Criterios!$A$123:$A$126, 0)), "División no válida", "")), IF(OR(K106="", K106=""), "[Aviso] Categoría no capturada ()", IF(ISNA(MATCH(K106, Criterios!$A$81:$A$120, 0)), "Categoría no válida", IF(AND(J106&lt;&gt;"", J106&lt;&gt;"", J106&lt;&gt;VLOOKUP(K106, Criterios!$A$81:$B$120, 2, FALSE)), "División no coincide con Categoría", ""))), IF(OR(L106="", L106=""), "[Aviso] Género no capturado ()", IF(ISNA(MATCH(L106, Criterios!$B$123:$B$127, 0)), "Género no válido", "")), IF(OR(N106="", N106=""), "[Aviso] Temporada no capturada ()", IF(ISNA(MATCH(N106, Criterios!$C$123:$C$128, 0)), "Temporada no válida", "")), IF(OR(O106="", O106=""), "[Aviso] Ciclo de vida no capturado ()", IF(ISNA(MATCH(O106, Criterios!$D$123:$D$124, 0)), "Ciclo de vida no válido", ""))))</f>
        <v/>
      </c>
      <c r="AC106" s="56" t="n"/>
      <c r="AD106" s="51" t="n">
        <v>8</v>
      </c>
      <c r="AE106" s="156" t="inlineStr">
        <is>
          <t>CONSIGNA REFLO (1); REFLO ALMACEN (3)</t>
        </is>
      </c>
      <c r="AF106" s="51" t="n">
        <v>8</v>
      </c>
      <c r="AG106" s="156" t="inlineStr">
        <is>
          <t>Nuevo – NetSuite con existencia</t>
        </is>
      </c>
      <c r="AH106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06" s="156" t="inlineStr">
        <is>
          <t>No</t>
        </is>
      </c>
      <c r="AJ106" s="156" t="n"/>
      <c r="AK106" s="155" t="inlineStr">
        <is>
          <t>G1522ProductosTodosloscamposSandboxResults894.xlsx: fila 49260 [X,Y]; G1522_Extraccion_Articulos_NetSuite_2026-09-30.xlsx: fila 37490 [Z]</t>
        </is>
      </c>
      <c r="AL106" s="58" t="n">
        <v>16.9</v>
      </c>
      <c r="AM106" s="58" t="n"/>
      <c r="AN106" s="155" t="n"/>
      <c r="AO106" s="59" t="n"/>
      <c r="AP106" s="59" t="n"/>
      <c r="AQ106" s="59" t="n"/>
      <c r="AR106" s="155" t="n"/>
    </row>
    <row r="107">
      <c r="A107" s="50" t="inlineStr">
        <is>
          <t>5056658701849</t>
        </is>
      </c>
      <c r="B107" s="51" t="inlineStr">
        <is>
          <t>79107</t>
        </is>
      </c>
      <c r="C107" s="156" t="inlineStr">
        <is>
          <t>REFLO</t>
        </is>
      </c>
      <c r="D107" s="156" t="inlineStr">
        <is>
          <t>HUDNAV</t>
        </is>
      </c>
      <c r="E107" s="156" t="inlineStr">
        <is>
          <t>HUDNAV-2XL</t>
        </is>
      </c>
      <c r="F107" s="156" t="inlineStr">
        <is>
          <t>XXL</t>
        </is>
      </c>
      <c r="G107" s="156" t="inlineStr">
        <is>
          <t>XXL</t>
        </is>
      </c>
      <c r="H107" s="156" t="inlineStr">
        <is>
          <t>REFLO</t>
        </is>
      </c>
      <c r="I107" s="156" t="inlineStr">
        <is>
          <t>Playera REFLO Hudson 2.0 Navy</t>
        </is>
      </c>
      <c r="J107" s="156" t="inlineStr">
        <is>
          <t>Ropa</t>
        </is>
      </c>
      <c r="K107" s="156" t="inlineStr">
        <is>
          <t>Playeras</t>
        </is>
      </c>
      <c r="L107" s="156" t="n"/>
      <c r="M107" s="156" t="inlineStr">
        <is>
          <t>REFLO</t>
        </is>
      </c>
      <c r="N107" s="156" t="n"/>
      <c r="O107" s="156" t="n"/>
      <c r="P107" s="156" t="inlineStr">
        <is>
          <t>Azul</t>
        </is>
      </c>
      <c r="Q107" s="156" t="n"/>
      <c r="R107" s="156" t="n"/>
      <c r="S107" s="156" t="inlineStr">
        <is>
          <t>Poliéster reciclado</t>
        </is>
      </c>
      <c r="T107" s="156" t="inlineStr">
        <is>
          <t>Playera de golf REFLO modelo Hudson 2.0 en color Navy, confeccionado con materiales reciclados. Estilo HUDNAV.</t>
        </is>
      </c>
      <c r="U107" s="156" t="n"/>
      <c r="V107" s="156" t="inlineStr">
        <is>
          <t>PZS</t>
        </is>
      </c>
      <c r="W107" s="51" t="inlineStr">
        <is>
          <t>53101600</t>
        </is>
      </c>
      <c r="X107" s="156" t="inlineStr">
        <is>
          <t>https://i.ibb.co/xqvLYj2/HUDNAV.jpg</t>
        </is>
      </c>
      <c r="Y107" s="54" t="n">
        <v>16.9</v>
      </c>
      <c r="Z107" s="54" t="n">
        <v>1249</v>
      </c>
      <c r="AA107" s="55">
        <f>IF(AND(A107="", B107="", E107=""), "", IF(AB107="", "Válido", IF((LEN(AB107)-LEN(SUBSTITUTE(AB107,"; ","")))/2+1&gt;(LEN(AB107)-LEN(SUBSTITUTE(AB107,"[Aviso]","")))/7, "Con Incidencias", "Válido")))</f>
        <v/>
      </c>
      <c r="AB107" s="56">
        <f>IF(AND(A107="", B107="", E107=""), "", TEXTJOIN("; ", TRUE, IF(OR(TRIM(A107&amp;"")="", ISNUMBER(SEARCH("FALTA", A107))), "UPC faltante/inválido", ""), IF(AND(A107&lt;&gt;"", IFERROR(_xlfn.XMATCH(A107,$A$2:$A$653,0,1)&lt;&gt;_xlfn.XMATCH(A107,$A$2:$A$653,0,-1),FALSE)), "Código de barras duplicado", ""), IF(AND(E107&lt;&gt;"", COUNTIF($E$2:$E$653, E107)&gt;1), "SKU duplicado", ""), IF(OR(J107="", J107=""), "[Aviso] División no capturada ()", IF(ISNA(MATCH(J107, Criterios!$A$123:$A$126, 0)), "División no válida", "")), IF(OR(K107="", K107=""), "[Aviso] Categoría no capturada ()", IF(ISNA(MATCH(K107, Criterios!$A$81:$A$120, 0)), "Categoría no válida", IF(AND(J107&lt;&gt;"", J107&lt;&gt;"", J107&lt;&gt;VLOOKUP(K107, Criterios!$A$81:$B$120, 2, FALSE)), "División no coincide con Categoría", ""))), IF(OR(L107="", L107=""), "[Aviso] Género no capturado ()", IF(ISNA(MATCH(L107, Criterios!$B$123:$B$127, 0)), "Género no válido", "")), IF(OR(N107="", N107=""), "[Aviso] Temporada no capturada ()", IF(ISNA(MATCH(N107, Criterios!$C$123:$C$128, 0)), "Temporada no válida", "")), IF(OR(O107="", O107=""), "[Aviso] Ciclo de vida no capturado ()", IF(ISNA(MATCH(O107, Criterios!$D$123:$D$124, 0)), "Ciclo de vida no válido", ""))))</f>
        <v/>
      </c>
      <c r="AC107" s="56" t="n"/>
      <c r="AD107" s="51" t="n">
        <v>3</v>
      </c>
      <c r="AE107" s="156" t="inlineStr">
        <is>
          <t>REFLO ALMACEN (2)</t>
        </is>
      </c>
      <c r="AF107" s="51" t="n">
        <v>3</v>
      </c>
      <c r="AG107" s="156" t="inlineStr">
        <is>
          <t>Nuevo – NetSuite con existencia</t>
        </is>
      </c>
      <c r="AH107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07" s="156" t="inlineStr">
        <is>
          <t>No</t>
        </is>
      </c>
      <c r="AJ107" s="156" t="n"/>
      <c r="AK107" s="155" t="inlineStr">
        <is>
          <t>G1522ProductosTodosloscamposSandboxResults894.xlsx: fila 49261 [X,Y]; G1522_Extraccion_Articulos_NetSuite_2026-09-30.xlsx: fila 37491 [Z]</t>
        </is>
      </c>
      <c r="AL107" s="58" t="n">
        <v>16.9</v>
      </c>
      <c r="AM107" s="58" t="n"/>
      <c r="AN107" s="155" t="n"/>
      <c r="AO107" s="59" t="n"/>
      <c r="AP107" s="59" t="n"/>
      <c r="AQ107" s="59" t="n"/>
      <c r="AR107" s="155" t="n"/>
    </row>
    <row r="108">
      <c r="A108" s="50" t="inlineStr">
        <is>
          <t>5056658701801</t>
        </is>
      </c>
      <c r="B108" s="51" t="inlineStr">
        <is>
          <t>84429</t>
        </is>
      </c>
      <c r="C108" s="156" t="inlineStr">
        <is>
          <t>REFLO</t>
        </is>
      </c>
      <c r="D108" s="156" t="inlineStr">
        <is>
          <t>HUDNAV</t>
        </is>
      </c>
      <c r="E108" s="156" t="inlineStr">
        <is>
          <t>HUDNAV-S</t>
        </is>
      </c>
      <c r="F108" s="156" t="inlineStr">
        <is>
          <t>S</t>
        </is>
      </c>
      <c r="G108" s="156" t="inlineStr">
        <is>
          <t>S</t>
        </is>
      </c>
      <c r="H108" s="156" t="inlineStr">
        <is>
          <t>REFLO</t>
        </is>
      </c>
      <c r="I108" s="156" t="inlineStr">
        <is>
          <t>Playera REFLO Hudson Navy</t>
        </is>
      </c>
      <c r="J108" s="156" t="inlineStr">
        <is>
          <t>Ropa</t>
        </is>
      </c>
      <c r="K108" s="156" t="inlineStr">
        <is>
          <t>Playeras</t>
        </is>
      </c>
      <c r="L108" s="156" t="n"/>
      <c r="M108" s="156" t="inlineStr">
        <is>
          <t>REFLO</t>
        </is>
      </c>
      <c r="N108" s="156" t="n"/>
      <c r="O108" s="156" t="n"/>
      <c r="P108" s="156" t="inlineStr">
        <is>
          <t>Azul</t>
        </is>
      </c>
      <c r="Q108" s="156" t="n"/>
      <c r="R108" s="156" t="n"/>
      <c r="S108" s="156" t="inlineStr">
        <is>
          <t>Poliéster reciclado</t>
        </is>
      </c>
      <c r="T108" s="156" t="inlineStr">
        <is>
          <t>Playera de golf REFLO modelo Hudson en color Navy, confeccionado con materiales reciclados. Estilo HUDNAV.</t>
        </is>
      </c>
      <c r="U108" s="156" t="n"/>
      <c r="V108" s="156" t="inlineStr">
        <is>
          <t>PZS</t>
        </is>
      </c>
      <c r="W108" s="51" t="inlineStr">
        <is>
          <t>53101600</t>
        </is>
      </c>
      <c r="X108" s="156" t="inlineStr">
        <is>
          <t>https://i.ibb.co/xqvLYj2/HUDNAV.jpg</t>
        </is>
      </c>
      <c r="Y108" s="54" t="n">
        <v>16.9</v>
      </c>
      <c r="Z108" s="54" t="n">
        <v>1249</v>
      </c>
      <c r="AA108" s="55">
        <f>IF(AND(A108="", B108="", E108=""), "", IF(AB108="", "Válido", IF((LEN(AB108)-LEN(SUBSTITUTE(AB108,"; ","")))/2+1&gt;(LEN(AB108)-LEN(SUBSTITUTE(AB108,"[Aviso]","")))/7, "Con Incidencias", "Válido")))</f>
        <v/>
      </c>
      <c r="AB108" s="56">
        <f>IF(AND(A108="", B108="", E108=""), "", TEXTJOIN("; ", TRUE, IF(OR(TRIM(A108&amp;"")="", ISNUMBER(SEARCH("FALTA", A108))), "UPC faltante/inválido", ""), IF(AND(A108&lt;&gt;"", IFERROR(_xlfn.XMATCH(A108,$A$2:$A$653,0,1)&lt;&gt;_xlfn.XMATCH(A108,$A$2:$A$653,0,-1),FALSE)), "Código de barras duplicado", ""), IF(AND(E108&lt;&gt;"", COUNTIF($E$2:$E$653, E108)&gt;1), "SKU duplicado", ""), IF(OR(J108="", J108=""), "[Aviso] División no capturada ()", IF(ISNA(MATCH(J108, Criterios!$A$123:$A$126, 0)), "División no válida", "")), IF(OR(K108="", K108=""), "[Aviso] Categoría no capturada ()", IF(ISNA(MATCH(K108, Criterios!$A$81:$A$120, 0)), "Categoría no válida", IF(AND(J108&lt;&gt;"", J108&lt;&gt;"", J108&lt;&gt;VLOOKUP(K108, Criterios!$A$81:$B$120, 2, FALSE)), "División no coincide con Categoría", ""))), IF(OR(L108="", L108=""), "[Aviso] Género no capturado ()", IF(ISNA(MATCH(L108, Criterios!$B$123:$B$127, 0)), "Género no válido", "")), IF(OR(N108="", N108=""), "[Aviso] Temporada no capturada ()", IF(ISNA(MATCH(N108, Criterios!$C$123:$C$128, 0)), "Temporada no válida", "")), IF(OR(O108="", O108=""), "[Aviso] Ciclo de vida no capturado ()", IF(ISNA(MATCH(O108, Criterios!$D$123:$D$124, 0)), "Ciclo de vida no válido", ""))))</f>
        <v/>
      </c>
      <c r="AC108" s="56" t="n"/>
      <c r="AD108" s="51" t="n">
        <v>6</v>
      </c>
      <c r="AE108" s="156" t="inlineStr">
        <is>
          <t>REFLO ALMACEN (1); CONSIGNA REFLO (2)</t>
        </is>
      </c>
      <c r="AF108" s="51" t="n">
        <v>6</v>
      </c>
      <c r="AG108" s="156" t="inlineStr">
        <is>
          <t>Nuevo – NetSuite con existencia</t>
        </is>
      </c>
      <c r="AH108" s="156" t="inlineStr">
        <is>
          <t>Género no indicado en NetSuite; Composición: poliéster reciclado (validar % en etiqueta); Físico total NetSuite 6 ≠ suma por ubicación 3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08" s="156" t="inlineStr">
        <is>
          <t>No</t>
        </is>
      </c>
      <c r="AJ108" s="156" t="n"/>
      <c r="AK108" s="155" t="inlineStr">
        <is>
          <t>G1522ProductosTodosloscamposSandboxResults894.xlsx: fila 49269 [X,Y]; G1522_Extraccion_Articulos_NetSuite_2026-09-30.xlsx: fila 39598 [Z]</t>
        </is>
      </c>
      <c r="AL108" s="58" t="n">
        <v>16.9</v>
      </c>
      <c r="AM108" s="58" t="n"/>
      <c r="AN108" s="155" t="n"/>
      <c r="AO108" s="59" t="n"/>
      <c r="AP108" s="59" t="n"/>
      <c r="AQ108" s="59" t="n"/>
      <c r="AR108" s="155" t="n"/>
    </row>
    <row r="109">
      <c r="A109" s="50" t="inlineStr">
        <is>
          <t>5060923780262</t>
        </is>
      </c>
      <c r="B109" s="51" t="inlineStr">
        <is>
          <t>79108</t>
        </is>
      </c>
      <c r="C109" s="156" t="inlineStr">
        <is>
          <t>REFLO</t>
        </is>
      </c>
      <c r="D109" s="156" t="inlineStr">
        <is>
          <t>HUDSOXY</t>
        </is>
      </c>
      <c r="E109" s="156" t="inlineStr">
        <is>
          <t>HUDSOXY-M</t>
        </is>
      </c>
      <c r="F109" s="156" t="inlineStr">
        <is>
          <t>M</t>
        </is>
      </c>
      <c r="G109" s="156" t="inlineStr">
        <is>
          <t>M</t>
        </is>
      </c>
      <c r="H109" s="156" t="inlineStr">
        <is>
          <t>REFLO</t>
        </is>
      </c>
      <c r="I109" s="156" t="inlineStr">
        <is>
          <t>Playera REFLO Hudson Oxy</t>
        </is>
      </c>
      <c r="J109" s="156" t="inlineStr">
        <is>
          <t>Ropa</t>
        </is>
      </c>
      <c r="K109" s="156" t="inlineStr">
        <is>
          <t>Playeras</t>
        </is>
      </c>
      <c r="L109" s="156" t="n"/>
      <c r="M109" s="156" t="inlineStr">
        <is>
          <t>REFLO</t>
        </is>
      </c>
      <c r="N109" s="156" t="n"/>
      <c r="O109" s="156" t="n"/>
      <c r="P109" s="156" t="n"/>
      <c r="Q109" s="156" t="n"/>
      <c r="R109" s="156" t="n"/>
      <c r="S109" s="156" t="inlineStr">
        <is>
          <t>Poliéster reciclado</t>
        </is>
      </c>
      <c r="T109" s="156" t="inlineStr">
        <is>
          <t>Playera de golf REFLO modelo Hudson en color Oxy, confeccionado con materiales reciclados. Estilo HUDSOXY.</t>
        </is>
      </c>
      <c r="U109" s="156" t="n"/>
      <c r="V109" s="156" t="inlineStr">
        <is>
          <t>PZS</t>
        </is>
      </c>
      <c r="W109" s="51" t="inlineStr">
        <is>
          <t>53101600</t>
        </is>
      </c>
      <c r="X109" s="156" t="inlineStr">
        <is>
          <t>https://i.ibb.co/0jXXNt4/HUDSOXY.jpg</t>
        </is>
      </c>
      <c r="Y109" s="54" t="n">
        <v>16.9</v>
      </c>
      <c r="Z109" s="54" t="n">
        <v>1249</v>
      </c>
      <c r="AA109" s="55">
        <f>IF(AND(A109="", B109="", E109=""), "", IF(AB109="", "Válido", IF((LEN(AB109)-LEN(SUBSTITUTE(AB109,"; ","")))/2+1&gt;(LEN(AB109)-LEN(SUBSTITUTE(AB109,"[Aviso]","")))/7, "Con Incidencias", "Válido")))</f>
        <v/>
      </c>
      <c r="AB109" s="56">
        <f>IF(AND(A109="", B109="", E109=""), "", TEXTJOIN("; ", TRUE, IF(OR(TRIM(A109&amp;"")="", ISNUMBER(SEARCH("FALTA", A109))), "UPC faltante/inválido", ""), IF(AND(A109&lt;&gt;"", IFERROR(_xlfn.XMATCH(A109,$A$2:$A$653,0,1)&lt;&gt;_xlfn.XMATCH(A109,$A$2:$A$653,0,-1),FALSE)), "Código de barras duplicado", ""), IF(AND(E109&lt;&gt;"", COUNTIF($E$2:$E$653, E109)&gt;1), "SKU duplicado", ""), IF(OR(J109="", J109=""), "[Aviso] División no capturada ()", IF(ISNA(MATCH(J109, Criterios!$A$123:$A$126, 0)), "División no válida", "")), IF(OR(K109="", K109=""), "[Aviso] Categoría no capturada ()", IF(ISNA(MATCH(K109, Criterios!$A$81:$A$120, 0)), "Categoría no válida", IF(AND(J109&lt;&gt;"", J109&lt;&gt;"", J109&lt;&gt;VLOOKUP(K109, Criterios!$A$81:$B$120, 2, FALSE)), "División no coincide con Categoría", ""))), IF(OR(L109="", L109=""), "[Aviso] Género no capturado ()", IF(ISNA(MATCH(L109, Criterios!$B$123:$B$127, 0)), "Género no válido", "")), IF(OR(N109="", N109=""), "[Aviso] Temporada no capturada ()", IF(ISNA(MATCH(N109, Criterios!$C$123:$C$128, 0)), "Temporada no válida", "")), IF(OR(O109="", O109=""), "[Aviso] Ciclo de vida no capturado ()", IF(ISNA(MATCH(O109, Criterios!$D$123:$D$124, 0)), "Ciclo de vida no válido", ""))))</f>
        <v/>
      </c>
      <c r="AC109" s="56" t="n"/>
      <c r="AD109" s="51" t="n">
        <v>4</v>
      </c>
      <c r="AE109" s="156" t="inlineStr">
        <is>
          <t>REFLO ALMACEN (3)</t>
        </is>
      </c>
      <c r="AF109" s="51" t="n">
        <v>5</v>
      </c>
      <c r="AG109" s="156" t="inlineStr">
        <is>
          <t>Nuevo – NetSuite con existencia</t>
        </is>
      </c>
      <c r="AH109" s="156" t="inlineStr">
        <is>
          <t>Género no indicado en NetSuite; Composición: poliéster reciclado (validar % en etiqueta); Color por validar; Físico total NetSuite 4 ≠ suma por ubicación 2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109" s="156" t="inlineStr">
        <is>
          <t>Sí</t>
        </is>
      </c>
      <c r="AJ109" s="156" t="inlineStr">
        <is>
          <t>CONSIGNA REFLO (-1)</t>
        </is>
      </c>
      <c r="AK109" s="155" t="inlineStr">
        <is>
          <t>G1522ProductosTodosloscamposSandboxResults894.xlsx: fila 49271 [X,Y]; G1522_Extraccion_Articulos_NetSuite_2026-09-30.xlsx: fila 37492 [Z]</t>
        </is>
      </c>
      <c r="AL109" s="58" t="n">
        <v>16.9</v>
      </c>
      <c r="AM109" s="58" t="n"/>
      <c r="AN109" s="155" t="n"/>
      <c r="AO109" s="59" t="n"/>
      <c r="AP109" s="59" t="n"/>
      <c r="AQ109" s="59" t="n"/>
      <c r="AR109" s="155" t="n"/>
    </row>
    <row r="110">
      <c r="A110" s="50" t="inlineStr">
        <is>
          <t>5060923780279</t>
        </is>
      </c>
      <c r="B110" s="51" t="inlineStr">
        <is>
          <t>79109</t>
        </is>
      </c>
      <c r="C110" s="156" t="inlineStr">
        <is>
          <t>REFLO</t>
        </is>
      </c>
      <c r="D110" s="156" t="inlineStr">
        <is>
          <t>HUDSOXY</t>
        </is>
      </c>
      <c r="E110" s="156" t="inlineStr">
        <is>
          <t>HUDSOXY-L</t>
        </is>
      </c>
      <c r="F110" s="156" t="inlineStr">
        <is>
          <t>L</t>
        </is>
      </c>
      <c r="G110" s="156" t="inlineStr">
        <is>
          <t>L</t>
        </is>
      </c>
      <c r="H110" s="156" t="inlineStr">
        <is>
          <t>REFLO</t>
        </is>
      </c>
      <c r="I110" s="156" t="inlineStr">
        <is>
          <t>Playera REFLO Hudson Oxy</t>
        </is>
      </c>
      <c r="J110" s="156" t="inlineStr">
        <is>
          <t>Ropa</t>
        </is>
      </c>
      <c r="K110" s="156" t="inlineStr">
        <is>
          <t>Playeras</t>
        </is>
      </c>
      <c r="L110" s="156" t="n"/>
      <c r="M110" s="156" t="inlineStr">
        <is>
          <t>REFLO</t>
        </is>
      </c>
      <c r="N110" s="156" t="n"/>
      <c r="O110" s="156" t="n"/>
      <c r="P110" s="156" t="n"/>
      <c r="Q110" s="156" t="n"/>
      <c r="R110" s="156" t="n"/>
      <c r="S110" s="156" t="inlineStr">
        <is>
          <t>Poliéster reciclado</t>
        </is>
      </c>
      <c r="T110" s="156" t="inlineStr">
        <is>
          <t>Playera de golf REFLO modelo Hudson en color Oxy, confeccionado con materiales reciclados. Estilo HUDSOXY.</t>
        </is>
      </c>
      <c r="U110" s="156" t="n"/>
      <c r="V110" s="156" t="inlineStr">
        <is>
          <t>PZS</t>
        </is>
      </c>
      <c r="W110" s="51" t="inlineStr">
        <is>
          <t>53101600</t>
        </is>
      </c>
      <c r="X110" s="156" t="inlineStr">
        <is>
          <t>https://i.ibb.co/0jXXNt4/HUDSOXY.jpg</t>
        </is>
      </c>
      <c r="Y110" s="54" t="n">
        <v>16.9</v>
      </c>
      <c r="Z110" s="54" t="n">
        <v>1249</v>
      </c>
      <c r="AA110" s="55">
        <f>IF(AND(A110="", B110="", E110=""), "", IF(AB110="", "Válido", IF((LEN(AB110)-LEN(SUBSTITUTE(AB110,"; ","")))/2+1&gt;(LEN(AB110)-LEN(SUBSTITUTE(AB110,"[Aviso]","")))/7, "Con Incidencias", "Válido")))</f>
        <v/>
      </c>
      <c r="AB110" s="56">
        <f>IF(AND(A110="", B110="", E110=""), "", TEXTJOIN("; ", TRUE, IF(OR(TRIM(A110&amp;"")="", ISNUMBER(SEARCH("FALTA", A110))), "UPC faltante/inválido", ""), IF(AND(A110&lt;&gt;"", IFERROR(_xlfn.XMATCH(A110,$A$2:$A$653,0,1)&lt;&gt;_xlfn.XMATCH(A110,$A$2:$A$653,0,-1),FALSE)), "Código de barras duplicado", ""), IF(AND(E110&lt;&gt;"", COUNTIF($E$2:$E$653, E110)&gt;1), "SKU duplicado", ""), IF(OR(J110="", J110=""), "[Aviso] División no capturada ()", IF(ISNA(MATCH(J110, Criterios!$A$123:$A$126, 0)), "División no válida", "")), IF(OR(K110="", K110=""), "[Aviso] Categoría no capturada ()", IF(ISNA(MATCH(K110, Criterios!$A$81:$A$120, 0)), "Categoría no válida", IF(AND(J110&lt;&gt;"", J110&lt;&gt;"", J110&lt;&gt;VLOOKUP(K110, Criterios!$A$81:$B$120, 2, FALSE)), "División no coincide con Categoría", ""))), IF(OR(L110="", L110=""), "[Aviso] Género no capturado ()", IF(ISNA(MATCH(L110, Criterios!$B$123:$B$127, 0)), "Género no válido", "")), IF(OR(N110="", N110=""), "[Aviso] Temporada no capturada ()", IF(ISNA(MATCH(N110, Criterios!$C$123:$C$128, 0)), "Temporada no válida", "")), IF(OR(O110="", O110=""), "[Aviso] Ciclo de vida no capturado ()", IF(ISNA(MATCH(O110, Criterios!$D$123:$D$124, 0)), "Ciclo de vida no válido", ""))))</f>
        <v/>
      </c>
      <c r="AC110" s="56" t="n"/>
      <c r="AD110" s="51" t="n">
        <v>3</v>
      </c>
      <c r="AE110" s="156" t="inlineStr">
        <is>
          <t>MUESTRAS REFLO (1); REFLO ALMACEN (1)</t>
        </is>
      </c>
      <c r="AF110" s="51" t="n">
        <v>2</v>
      </c>
      <c r="AG110" s="156" t="inlineStr">
        <is>
          <t>Nuevo – NetSuite con existencia</t>
        </is>
      </c>
      <c r="AH110" s="156" t="inlineStr">
        <is>
          <t>Género no indicado en NetSuite; Composición: poliéster reciclado (validar % en etiqueta); Color por validar; Físico total NetSuite 3 ≠ suma por ubicación 2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110" s="156" t="inlineStr">
        <is>
          <t>No</t>
        </is>
      </c>
      <c r="AJ110" s="156" t="n"/>
      <c r="AK110" s="155" t="inlineStr">
        <is>
          <t>G1522ProductosTodosloscamposSandboxResults894.xlsx: fila 49272 [X,Y]; G1522_Extraccion_Articulos_NetSuite_2026-09-30.xlsx: fila 37493 [Z]</t>
        </is>
      </c>
      <c r="AL110" s="58" t="n">
        <v>16.9</v>
      </c>
      <c r="AM110" s="58" t="n"/>
      <c r="AN110" s="155" t="n"/>
      <c r="AO110" s="59" t="n"/>
      <c r="AP110" s="59" t="n"/>
      <c r="AQ110" s="59" t="n"/>
      <c r="AR110" s="155" t="n"/>
    </row>
    <row r="111">
      <c r="A111" s="50" t="inlineStr">
        <is>
          <t>5060923780286</t>
        </is>
      </c>
      <c r="B111" s="51" t="inlineStr">
        <is>
          <t>79110</t>
        </is>
      </c>
      <c r="C111" s="156" t="inlineStr">
        <is>
          <t>REFLO</t>
        </is>
      </c>
      <c r="D111" s="156" t="inlineStr">
        <is>
          <t>HUDSOXY</t>
        </is>
      </c>
      <c r="E111" s="156" t="inlineStr">
        <is>
          <t>HUDSOXY-XL</t>
        </is>
      </c>
      <c r="F111" s="156" t="inlineStr">
        <is>
          <t>XL</t>
        </is>
      </c>
      <c r="G111" s="156" t="inlineStr">
        <is>
          <t>XL</t>
        </is>
      </c>
      <c r="H111" s="156" t="inlineStr">
        <is>
          <t>REFLO</t>
        </is>
      </c>
      <c r="I111" s="156" t="inlineStr">
        <is>
          <t>Playera REFLO Hudson Oxy</t>
        </is>
      </c>
      <c r="J111" s="156" t="inlineStr">
        <is>
          <t>Ropa</t>
        </is>
      </c>
      <c r="K111" s="156" t="inlineStr">
        <is>
          <t>Playeras</t>
        </is>
      </c>
      <c r="L111" s="156" t="n"/>
      <c r="M111" s="156" t="inlineStr">
        <is>
          <t>REFLO</t>
        </is>
      </c>
      <c r="N111" s="156" t="n"/>
      <c r="O111" s="156" t="n"/>
      <c r="P111" s="156" t="n"/>
      <c r="Q111" s="156" t="n"/>
      <c r="R111" s="156" t="n"/>
      <c r="S111" s="156" t="inlineStr">
        <is>
          <t>Poliéster reciclado</t>
        </is>
      </c>
      <c r="T111" s="156" t="inlineStr">
        <is>
          <t>Playera de golf REFLO modelo Hudson en color Oxy, confeccionado con materiales reciclados. Estilo HUDSOXY.</t>
        </is>
      </c>
      <c r="U111" s="156" t="n"/>
      <c r="V111" s="156" t="inlineStr">
        <is>
          <t>PZS</t>
        </is>
      </c>
      <c r="W111" s="51" t="inlineStr">
        <is>
          <t>53101600</t>
        </is>
      </c>
      <c r="X111" s="156" t="inlineStr">
        <is>
          <t>https://i.ibb.co/0jXXNt4/HUDSOXY.jpg</t>
        </is>
      </c>
      <c r="Y111" s="54" t="n">
        <v>16.9</v>
      </c>
      <c r="Z111" s="54" t="n">
        <v>1249</v>
      </c>
      <c r="AA111" s="55">
        <f>IF(AND(A111="", B111="", E111=""), "", IF(AB111="", "Válido", IF((LEN(AB111)-LEN(SUBSTITUTE(AB111,"; ","")))/2+1&gt;(LEN(AB111)-LEN(SUBSTITUTE(AB111,"[Aviso]","")))/7, "Con Incidencias", "Válido")))</f>
        <v/>
      </c>
      <c r="AB111" s="56">
        <f>IF(AND(A111="", B111="", E111=""), "", TEXTJOIN("; ", TRUE, IF(OR(TRIM(A111&amp;"")="", ISNUMBER(SEARCH("FALTA", A111))), "UPC faltante/inválido", ""), IF(AND(A111&lt;&gt;"", IFERROR(_xlfn.XMATCH(A111,$A$2:$A$653,0,1)&lt;&gt;_xlfn.XMATCH(A111,$A$2:$A$653,0,-1),FALSE)), "Código de barras duplicado", ""), IF(AND(E111&lt;&gt;"", COUNTIF($E$2:$E$653, E111)&gt;1), "SKU duplicado", ""), IF(OR(J111="", J111=""), "[Aviso] División no capturada ()", IF(ISNA(MATCH(J111, Criterios!$A$123:$A$126, 0)), "División no válida", "")), IF(OR(K111="", K111=""), "[Aviso] Categoría no capturada ()", IF(ISNA(MATCH(K111, Criterios!$A$81:$A$120, 0)), "Categoría no válida", IF(AND(J111&lt;&gt;"", J111&lt;&gt;"", J111&lt;&gt;VLOOKUP(K111, Criterios!$A$81:$B$120, 2, FALSE)), "División no coincide con Categoría", ""))), IF(OR(L111="", L111=""), "[Aviso] Género no capturado ()", IF(ISNA(MATCH(L111, Criterios!$B$123:$B$127, 0)), "Género no válido", "")), IF(OR(N111="", N111=""), "[Aviso] Temporada no capturada ()", IF(ISNA(MATCH(N111, Criterios!$C$123:$C$128, 0)), "Temporada no válida", "")), IF(OR(O111="", O111=""), "[Aviso] Ciclo de vida no capturado ()", IF(ISNA(MATCH(O111, Criterios!$D$123:$D$124, 0)), "Ciclo de vida no válido", ""))))</f>
        <v/>
      </c>
      <c r="AC111" s="56" t="n"/>
      <c r="AD111" s="51" t="n">
        <v>4</v>
      </c>
      <c r="AE111" s="156" t="inlineStr">
        <is>
          <t>REFLO ALMACEN (3)</t>
        </is>
      </c>
      <c r="AF111" s="51" t="n">
        <v>5</v>
      </c>
      <c r="AG111" s="156" t="inlineStr">
        <is>
          <t>Nuevo – NetSuite con existencia</t>
        </is>
      </c>
      <c r="AH111" s="156" t="inlineStr">
        <is>
          <t>Género no indicado en NetSuite; Composición: poliéster reciclado (validar % en etiqueta); Color por validar; Físico total NetSuite 4 ≠ suma por ubicación 2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111" s="156" t="inlineStr">
        <is>
          <t>Sí</t>
        </is>
      </c>
      <c r="AJ111" s="156" t="inlineStr">
        <is>
          <t>CONSIGNA REFLO (-1)</t>
        </is>
      </c>
      <c r="AK111" s="155" t="inlineStr">
        <is>
          <t>G1522ProductosTodosloscamposSandboxResults894.xlsx: fila 49273 [X,Y]; G1522_Extraccion_Articulos_NetSuite_2026-09-30.xlsx: fila 37494 [Z]</t>
        </is>
      </c>
      <c r="AL111" s="58" t="n">
        <v>16.9</v>
      </c>
      <c r="AM111" s="58" t="n"/>
      <c r="AN111" s="155" t="n"/>
      <c r="AO111" s="59" t="n"/>
      <c r="AP111" s="59" t="n"/>
      <c r="AQ111" s="59" t="n"/>
      <c r="AR111" s="155" t="n"/>
    </row>
    <row r="112">
      <c r="A112" s="50" t="inlineStr">
        <is>
          <t>5060923789944</t>
        </is>
      </c>
      <c r="B112" s="51" t="inlineStr">
        <is>
          <t>79190</t>
        </is>
      </c>
      <c r="C112" s="156" t="inlineStr">
        <is>
          <t>REFLO</t>
        </is>
      </c>
      <c r="D112" s="156" t="inlineStr">
        <is>
          <t>KASATOWSB</t>
        </is>
      </c>
      <c r="E112" s="156" t="inlineStr">
        <is>
          <t>KASATOWSB-OS</t>
        </is>
      </c>
      <c r="F112" s="156" t="inlineStr">
        <is>
          <t>Talla única</t>
        </is>
      </c>
      <c r="G112" s="156" t="inlineStr">
        <is>
          <t>One Size</t>
        </is>
      </c>
      <c r="H112" s="156" t="inlineStr">
        <is>
          <t>REFLO</t>
        </is>
      </c>
      <c r="I112" s="156" t="inlineStr">
        <is>
          <t>Toalla REFLO Kasal Black</t>
        </is>
      </c>
      <c r="J112" s="156" t="n"/>
      <c r="K112" s="156" t="n"/>
      <c r="L112" s="156" t="inlineStr">
        <is>
          <t>Unisex</t>
        </is>
      </c>
      <c r="M112" s="156" t="inlineStr">
        <is>
          <t>REFLO</t>
        </is>
      </c>
      <c r="N112" s="156" t="n"/>
      <c r="O112" s="156" t="n"/>
      <c r="P112" s="156" t="inlineStr">
        <is>
          <t>Negro</t>
        </is>
      </c>
      <c r="Q112" s="156" t="n"/>
      <c r="R112" s="156" t="n"/>
      <c r="S112" s="156" t="inlineStr">
        <is>
          <t>Poliéster reciclado</t>
        </is>
      </c>
      <c r="T112" s="156" t="inlineStr">
        <is>
          <t>Toalla de golf REFLO modelo Kasal en color Black, confeccionado con materiales reciclados. Estilo KASATOWSB.</t>
        </is>
      </c>
      <c r="U112" s="156" t="n"/>
      <c r="V112" s="156" t="inlineStr">
        <is>
          <t>PZS</t>
        </is>
      </c>
      <c r="W112" s="51" t="inlineStr">
        <is>
          <t>52121700</t>
        </is>
      </c>
      <c r="X112" s="156" t="inlineStr">
        <is>
          <t>https://i.ibb.co/j5d5Qm8/KASATOWSB.jpg</t>
        </is>
      </c>
      <c r="Y112" s="54" t="n">
        <v>7.8</v>
      </c>
      <c r="Z112" s="54" t="n">
        <v>516.3793103</v>
      </c>
      <c r="AA112" s="55">
        <f>IF(AND(A112="", B112="", E112=""), "", IF(AB112="", "Válido", IF((LEN(AB112)-LEN(SUBSTITUTE(AB112,"; ","")))/2+1&gt;(LEN(AB112)-LEN(SUBSTITUTE(AB112,"[Aviso]","")))/7, "Con Incidencias", "Válido")))</f>
        <v/>
      </c>
      <c r="AB112" s="56">
        <f>IF(AND(A112="", B112="", E112=""), "", TEXTJOIN("; ", TRUE, IF(OR(TRIM(A112&amp;"")="", ISNUMBER(SEARCH("FALTA", A112))), "UPC faltante/inválido", ""), IF(AND(A112&lt;&gt;"", IFERROR(_xlfn.XMATCH(A112,$A$2:$A$653,0,1)&lt;&gt;_xlfn.XMATCH(A112,$A$2:$A$653,0,-1),FALSE)), "Código de barras duplicado", ""), IF(AND(E112&lt;&gt;"", COUNTIF($E$2:$E$653, E112)&gt;1), "SKU duplicado", ""), IF(OR(J112="", J112=""), "[Aviso] División no capturada ()", IF(ISNA(MATCH(J112, Criterios!$A$123:$A$126, 0)), "División no válida", "")), IF(OR(K112="", K112=""), "[Aviso] Categoría no capturada ()", IF(ISNA(MATCH(K112, Criterios!$A$81:$A$120, 0)), "Categoría no válida", IF(AND(J112&lt;&gt;"", J112&lt;&gt;"", J112&lt;&gt;VLOOKUP(K112, Criterios!$A$81:$B$120, 2, FALSE)), "División no coincide con Categoría", ""))), IF(OR(L112="", L112=""), "[Aviso] Género no capturado ()", IF(ISNA(MATCH(L112, Criterios!$B$123:$B$127, 0)), "Género no válido", "")), IF(OR(N112="", N112=""), "[Aviso] Temporada no capturada ()", IF(ISNA(MATCH(N112, Criterios!$C$123:$C$128, 0)), "Temporada no válida", "")), IF(OR(O112="", O112=""), "[Aviso] Ciclo de vida no capturado ()", IF(ISNA(MATCH(O112, Criterios!$D$123:$D$124, 0)), "Ciclo de vida no válido", ""))))</f>
        <v/>
      </c>
      <c r="AC112" s="56" t="n"/>
      <c r="AD112" s="51" t="n">
        <v>9</v>
      </c>
      <c r="AE112" s="156" t="inlineStr">
        <is>
          <t>REFLO ALMACEN (4); MUESTRAS REFLO (2)</t>
        </is>
      </c>
      <c r="AF112" s="51" t="n">
        <v>7</v>
      </c>
      <c r="AG112" s="156" t="inlineStr">
        <is>
          <t>Nuevo – NetSuite con existencia</t>
        </is>
      </c>
      <c r="AH112" s="156" t="inlineStr">
        <is>
          <t>Tipo REFLO «Towel» sin categoría en Criterios; Composición: poliéster reciclado (validar % en etiqueta); Físico total NetSuite 9 ≠ suma por ubicación 6 | Revisión 29/09/2026: Marca REFLO fuera de lista Criterios; Campos sin respaldo: J, K, N, O, Q, R, U; Auditoría NetSuite 30/09/2026: llenado desde NetSuite [V,W,X,Y] | Homologación G1522 06/10/2026: Validación G1522: [Aviso] Precio de compra posiblemente en USD</t>
        </is>
      </c>
      <c r="AI112" s="156" t="inlineStr">
        <is>
          <t>No</t>
        </is>
      </c>
      <c r="AJ112" s="156" t="n"/>
      <c r="AK112" s="155" t="inlineStr">
        <is>
          <t>G1522CatalogoMaestro25Results796.csv: fila 49192 [V,W] | G1522ProductosTodosloscamposSandboxResults894.xlsx: fila 57529 [X,Y]; G1522_Extraccion_Articulos_NetSuite_2026-09-30.xlsx: fila 37523 [V,W,X,Y]</t>
        </is>
      </c>
      <c r="AL112" s="58" t="n"/>
      <c r="AM112" s="58" t="n">
        <v>516.3793103</v>
      </c>
      <c r="AN112" s="155" t="n"/>
      <c r="AO112" s="59" t="n"/>
      <c r="AP112" s="59" t="n"/>
      <c r="AQ112" s="59" t="n"/>
      <c r="AR112" s="155" t="n"/>
    </row>
    <row r="113">
      <c r="A113" s="50" t="inlineStr">
        <is>
          <t>5060923782181</t>
        </is>
      </c>
      <c r="B113" s="51" t="inlineStr">
        <is>
          <t>79074</t>
        </is>
      </c>
      <c r="C113" s="156" t="inlineStr">
        <is>
          <t>REFLO</t>
        </is>
      </c>
      <c r="D113" s="156" t="inlineStr">
        <is>
          <t>LEVABLAO</t>
        </is>
      </c>
      <c r="E113" s="156" t="inlineStr">
        <is>
          <t>LEVABLAO-OS</t>
        </is>
      </c>
      <c r="F113" s="156" t="inlineStr">
        <is>
          <t>Talla única</t>
        </is>
      </c>
      <c r="G113" s="156" t="inlineStr">
        <is>
          <t>One Size</t>
        </is>
      </c>
      <c r="H113" s="156" t="inlineStr">
        <is>
          <t>REFLO</t>
        </is>
      </c>
      <c r="I113" s="156" t="inlineStr">
        <is>
          <t>Gorra REFLO Levantine Black/Black</t>
        </is>
      </c>
      <c r="J113" s="156" t="inlineStr">
        <is>
          <t>Accesorios</t>
        </is>
      </c>
      <c r="K113" s="156" t="inlineStr">
        <is>
          <t>Gorras</t>
        </is>
      </c>
      <c r="L113" s="156" t="inlineStr">
        <is>
          <t>Unisex</t>
        </is>
      </c>
      <c r="M113" s="156" t="inlineStr">
        <is>
          <t>REFLO</t>
        </is>
      </c>
      <c r="N113" s="156" t="n"/>
      <c r="O113" s="156" t="n"/>
      <c r="P113" s="156" t="inlineStr">
        <is>
          <t>Negro</t>
        </is>
      </c>
      <c r="Q113" s="156" t="n"/>
      <c r="R113" s="156" t="n"/>
      <c r="S113" s="156" t="inlineStr">
        <is>
          <t>Poliéster reciclado</t>
        </is>
      </c>
      <c r="T113" s="156" t="inlineStr">
        <is>
          <t>Gorra de golf REFLO modelo Levantine en color Black/Black, confeccionado con materiales reciclados. Estilo LEVABLAO.</t>
        </is>
      </c>
      <c r="U113" s="156" t="n"/>
      <c r="V113" s="156" t="inlineStr">
        <is>
          <t>PZS</t>
        </is>
      </c>
      <c r="W113" s="51" t="inlineStr">
        <is>
          <t>53102516</t>
        </is>
      </c>
      <c r="X113" s="156" t="inlineStr">
        <is>
          <t>https://i.ibb.co/r0G2XG1/LEVABLAO.jpg</t>
        </is>
      </c>
      <c r="Y113" s="54" t="n">
        <v>11.05</v>
      </c>
      <c r="Z113" s="54" t="n">
        <v>799</v>
      </c>
      <c r="AA113" s="55">
        <f>IF(AND(A113="", B113="", E113=""), "", IF(AB113="", "Válido", IF((LEN(AB113)-LEN(SUBSTITUTE(AB113,"; ","")))/2+1&gt;(LEN(AB113)-LEN(SUBSTITUTE(AB113,"[Aviso]","")))/7, "Con Incidencias", "Válido")))</f>
        <v/>
      </c>
      <c r="AB113" s="56">
        <f>IF(AND(A113="", B113="", E113=""), "", TEXTJOIN("; ", TRUE, IF(OR(TRIM(A113&amp;"")="", ISNUMBER(SEARCH("FALTA", A113))), "UPC faltante/inválido", ""), IF(AND(A113&lt;&gt;"", IFERROR(_xlfn.XMATCH(A113,$A$2:$A$653,0,1)&lt;&gt;_xlfn.XMATCH(A113,$A$2:$A$653,0,-1),FALSE)), "Código de barras duplicado", ""), IF(AND(E113&lt;&gt;"", COUNTIF($E$2:$E$653, E113)&gt;1), "SKU duplicado", ""), IF(OR(J113="", J113=""), "[Aviso] División no capturada ()", IF(ISNA(MATCH(J113, Criterios!$A$123:$A$126, 0)), "División no válida", "")), IF(OR(K113="", K113=""), "[Aviso] Categoría no capturada ()", IF(ISNA(MATCH(K113, Criterios!$A$81:$A$120, 0)), "Categoría no válida", IF(AND(J113&lt;&gt;"", J113&lt;&gt;"", J113&lt;&gt;VLOOKUP(K113, Criterios!$A$81:$B$120, 2, FALSE)), "División no coincide con Categoría", ""))), IF(OR(L113="", L113=""), "[Aviso] Género no capturado ()", IF(ISNA(MATCH(L113, Criterios!$B$123:$B$127, 0)), "Género no válido", "")), IF(OR(N113="", N113=""), "[Aviso] Temporada no capturada ()", IF(ISNA(MATCH(N113, Criterios!$C$123:$C$128, 0)), "Temporada no válida", "")), IF(OR(O113="", O113=""), "[Aviso] Ciclo de vida no capturado ()", IF(ISNA(MATCH(O113, Criterios!$D$123:$D$124, 0)), "Ciclo de vida no válido", ""))))</f>
        <v/>
      </c>
      <c r="AC113" s="56" t="n"/>
      <c r="AD113" s="51" t="n">
        <v>80</v>
      </c>
      <c r="AE113" s="156" t="inlineStr">
        <is>
          <t>MUESTRAS REFLO (1); REFLO ALMACEN (44)</t>
        </is>
      </c>
      <c r="AF113" s="51" t="n">
        <v>79</v>
      </c>
      <c r="AG113" s="156" t="inlineStr">
        <is>
          <t>Nuevo – NetSuite con existencia</t>
        </is>
      </c>
      <c r="AH113" s="156" t="inlineStr">
        <is>
          <t>Composición: poliéster reciclado (validar % en etiqueta); Físico total NetSuite 80 ≠ suma por ubicación 45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3" s="156" t="inlineStr">
        <is>
          <t>No</t>
        </is>
      </c>
      <c r="AJ113" s="156" t="n"/>
      <c r="AK113" s="155" t="inlineStr">
        <is>
          <t>G1522ProductosTodosloscamposSandboxResults894.xlsx: fila 57679 [X,Y]; G1522_Extraccion_Articulos_NetSuite_2026-09-30.xlsx: fila 37458 [Z]</t>
        </is>
      </c>
      <c r="AL113" s="58" t="n">
        <v>11.05</v>
      </c>
      <c r="AM113" s="58" t="n"/>
      <c r="AN113" s="155" t="n"/>
      <c r="AO113" s="59" t="n"/>
      <c r="AP113" s="59" t="n"/>
      <c r="AQ113" s="59" t="n"/>
      <c r="AR113" s="155" t="n"/>
    </row>
    <row r="114">
      <c r="A114" s="50" t="inlineStr">
        <is>
          <t>5060923782174</t>
        </is>
      </c>
      <c r="B114" s="51" t="inlineStr">
        <is>
          <t>79075</t>
        </is>
      </c>
      <c r="C114" s="156" t="inlineStr">
        <is>
          <t>REFLO</t>
        </is>
      </c>
      <c r="D114" s="156" t="inlineStr">
        <is>
          <t>LEVANAVO</t>
        </is>
      </c>
      <c r="E114" s="156" t="inlineStr">
        <is>
          <t>LEVANAVO-OS</t>
        </is>
      </c>
      <c r="F114" s="156" t="inlineStr">
        <is>
          <t>Talla única</t>
        </is>
      </c>
      <c r="G114" s="156" t="inlineStr">
        <is>
          <t>One Size</t>
        </is>
      </c>
      <c r="H114" s="156" t="inlineStr">
        <is>
          <t>REFLO</t>
        </is>
      </c>
      <c r="I114" s="156" t="inlineStr">
        <is>
          <t>Gorra REFLO Levantine Navy/Navy</t>
        </is>
      </c>
      <c r="J114" s="156" t="inlineStr">
        <is>
          <t>Accesorios</t>
        </is>
      </c>
      <c r="K114" s="156" t="inlineStr">
        <is>
          <t>Gorras</t>
        </is>
      </c>
      <c r="L114" s="156" t="inlineStr">
        <is>
          <t>Unisex</t>
        </is>
      </c>
      <c r="M114" s="156" t="inlineStr">
        <is>
          <t>REFLO</t>
        </is>
      </c>
      <c r="N114" s="156" t="n"/>
      <c r="O114" s="156" t="n"/>
      <c r="P114" s="156" t="inlineStr">
        <is>
          <t>Azul</t>
        </is>
      </c>
      <c r="Q114" s="156" t="n"/>
      <c r="R114" s="156" t="n"/>
      <c r="S114" s="156" t="inlineStr">
        <is>
          <t>Poliéster reciclado</t>
        </is>
      </c>
      <c r="T114" s="156" t="inlineStr">
        <is>
          <t>Gorra de golf REFLO modelo Levantine en color Navy/Navy, confeccionado con materiales reciclados. Estilo LEVANAVO.</t>
        </is>
      </c>
      <c r="U114" s="156" t="n"/>
      <c r="V114" s="156" t="inlineStr">
        <is>
          <t>PZS</t>
        </is>
      </c>
      <c r="W114" s="51" t="inlineStr">
        <is>
          <t>53102516</t>
        </is>
      </c>
      <c r="X114" s="156" t="inlineStr">
        <is>
          <t>https://i.ibb.co/N73mFVL/LEVANAVO.jpg</t>
        </is>
      </c>
      <c r="Y114" s="54" t="n">
        <v>11.05</v>
      </c>
      <c r="Z114" s="54" t="n">
        <v>799</v>
      </c>
      <c r="AA114" s="55">
        <f>IF(AND(A114="", B114="", E114=""), "", IF(AB114="", "Válido", IF((LEN(AB114)-LEN(SUBSTITUTE(AB114,"; ","")))/2+1&gt;(LEN(AB114)-LEN(SUBSTITUTE(AB114,"[Aviso]","")))/7, "Con Incidencias", "Válido")))</f>
        <v/>
      </c>
      <c r="AB114" s="56">
        <f>IF(AND(A114="", B114="", E114=""), "", TEXTJOIN("; ", TRUE, IF(OR(TRIM(A114&amp;"")="", ISNUMBER(SEARCH("FALTA", A114))), "UPC faltante/inválido", ""), IF(AND(A114&lt;&gt;"", IFERROR(_xlfn.XMATCH(A114,$A$2:$A$653,0,1)&lt;&gt;_xlfn.XMATCH(A114,$A$2:$A$653,0,-1),FALSE)), "Código de barras duplicado", ""), IF(AND(E114&lt;&gt;"", COUNTIF($E$2:$E$653, E114)&gt;1), "SKU duplicado", ""), IF(OR(J114="", J114=""), "[Aviso] División no capturada ()", IF(ISNA(MATCH(J114, Criterios!$A$123:$A$126, 0)), "División no válida", "")), IF(OR(K114="", K114=""), "[Aviso] Categoría no capturada ()", IF(ISNA(MATCH(K114, Criterios!$A$81:$A$120, 0)), "Categoría no válida", IF(AND(J114&lt;&gt;"", J114&lt;&gt;"", J114&lt;&gt;VLOOKUP(K114, Criterios!$A$81:$B$120, 2, FALSE)), "División no coincide con Categoría", ""))), IF(OR(L114="", L114=""), "[Aviso] Género no capturado ()", IF(ISNA(MATCH(L114, Criterios!$B$123:$B$127, 0)), "Género no válido", "")), IF(OR(N114="", N114=""), "[Aviso] Temporada no capturada ()", IF(ISNA(MATCH(N114, Criterios!$C$123:$C$128, 0)), "Temporada no válida", "")), IF(OR(O114="", O114=""), "[Aviso] Ciclo de vida no capturado ()", IF(ISNA(MATCH(O114, Criterios!$D$123:$D$124, 0)), "Ciclo de vida no válido", ""))))</f>
        <v/>
      </c>
      <c r="AC114" s="56" t="n"/>
      <c r="AD114" s="51" t="n">
        <v>195</v>
      </c>
      <c r="AE114" s="156" t="inlineStr">
        <is>
          <t>MUESTRAS REFLO (1); REFLO ALMACEN (101)</t>
        </is>
      </c>
      <c r="AF114" s="51" t="n">
        <v>196</v>
      </c>
      <c r="AG114" s="156" t="inlineStr">
        <is>
          <t>Nuevo – NetSuite con existencia</t>
        </is>
      </c>
      <c r="AH114" s="156" t="inlineStr">
        <is>
          <t>Composición: poliéster reciclado (validar % en etiqueta); Físico total NetSuite 195 ≠ suma por ubicación 100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4" s="156" t="inlineStr">
        <is>
          <t>Sí</t>
        </is>
      </c>
      <c r="AJ114" s="156" t="inlineStr">
        <is>
          <t>CONSIGNA REFLO (-2)</t>
        </is>
      </c>
      <c r="AK114" s="155" t="inlineStr">
        <is>
          <t>G1522ProductosTodosloscamposSandboxResults894.xlsx: fila 57681 [X,Y]; G1522_Extraccion_Articulos_NetSuite_2026-09-30.xlsx: fila 37459 [Z]</t>
        </is>
      </c>
      <c r="AL114" s="58" t="n">
        <v>11.05</v>
      </c>
      <c r="AM114" s="58" t="n"/>
      <c r="AN114" s="155" t="n"/>
      <c r="AO114" s="59" t="n"/>
      <c r="AP114" s="59" t="n"/>
      <c r="AQ114" s="59" t="n"/>
      <c r="AR114" s="155" t="n"/>
    </row>
    <row r="115">
      <c r="A115" s="50" t="inlineStr">
        <is>
          <t>5060923782167</t>
        </is>
      </c>
      <c r="B115" s="51" t="inlineStr">
        <is>
          <t>79076</t>
        </is>
      </c>
      <c r="C115" s="156" t="inlineStr">
        <is>
          <t>REFLO</t>
        </is>
      </c>
      <c r="D115" s="156" t="inlineStr">
        <is>
          <t>LEVAWHIO</t>
        </is>
      </c>
      <c r="E115" s="156" t="inlineStr">
        <is>
          <t>LEVAWHIO-OS</t>
        </is>
      </c>
      <c r="F115" s="156" t="inlineStr">
        <is>
          <t>Talla única</t>
        </is>
      </c>
      <c r="G115" s="156" t="inlineStr">
        <is>
          <t>One Size</t>
        </is>
      </c>
      <c r="H115" s="156" t="inlineStr">
        <is>
          <t>REFLO</t>
        </is>
      </c>
      <c r="I115" s="156" t="inlineStr">
        <is>
          <t>Gorra REFLO Levantine White/Navy</t>
        </is>
      </c>
      <c r="J115" s="156" t="inlineStr">
        <is>
          <t>Accesorios</t>
        </is>
      </c>
      <c r="K115" s="156" t="inlineStr">
        <is>
          <t>Gorras</t>
        </is>
      </c>
      <c r="L115" s="156" t="inlineStr">
        <is>
          <t>Unisex</t>
        </is>
      </c>
      <c r="M115" s="156" t="inlineStr">
        <is>
          <t>REFLO</t>
        </is>
      </c>
      <c r="N115" s="156" t="n"/>
      <c r="O115" s="156" t="n"/>
      <c r="P115" s="156" t="inlineStr">
        <is>
          <t>Azul</t>
        </is>
      </c>
      <c r="Q115" s="156" t="n"/>
      <c r="R115" s="156" t="n"/>
      <c r="S115" s="156" t="inlineStr">
        <is>
          <t>Poliéster reciclado</t>
        </is>
      </c>
      <c r="T115" s="156" t="inlineStr">
        <is>
          <t>Gorra de golf REFLO modelo Levantine en color White/Navy, confeccionado con materiales reciclados. Estilo LEVAWHIO.</t>
        </is>
      </c>
      <c r="U115" s="156" t="n"/>
      <c r="V115" s="156" t="inlineStr">
        <is>
          <t>PZS</t>
        </is>
      </c>
      <c r="W115" s="51" t="inlineStr">
        <is>
          <t>53102516</t>
        </is>
      </c>
      <c r="X115" s="156" t="inlineStr">
        <is>
          <t>https://i.ibb.co/ckrNnTN/LEVAWHIO.jpg</t>
        </is>
      </c>
      <c r="Y115" s="54" t="n">
        <v>11.05</v>
      </c>
      <c r="Z115" s="54" t="n">
        <v>799</v>
      </c>
      <c r="AA115" s="55">
        <f>IF(AND(A115="", B115="", E115=""), "", IF(AB115="", "Válido", IF((LEN(AB115)-LEN(SUBSTITUTE(AB115,"; ","")))/2+1&gt;(LEN(AB115)-LEN(SUBSTITUTE(AB115,"[Aviso]","")))/7, "Con Incidencias", "Válido")))</f>
        <v/>
      </c>
      <c r="AB115" s="56">
        <f>IF(AND(A115="", B115="", E115=""), "", TEXTJOIN("; ", TRUE, IF(OR(TRIM(A115&amp;"")="", ISNUMBER(SEARCH("FALTA", A115))), "UPC faltante/inválido", ""), IF(AND(A115&lt;&gt;"", IFERROR(_xlfn.XMATCH(A115,$A$2:$A$653,0,1)&lt;&gt;_xlfn.XMATCH(A115,$A$2:$A$653,0,-1),FALSE)), "Código de barras duplicado", ""), IF(AND(E115&lt;&gt;"", COUNTIF($E$2:$E$653, E115)&gt;1), "SKU duplicado", ""), IF(OR(J115="", J115=""), "[Aviso] División no capturada ()", IF(ISNA(MATCH(J115, Criterios!$A$123:$A$126, 0)), "División no válida", "")), IF(OR(K115="", K115=""), "[Aviso] Categoría no capturada ()", IF(ISNA(MATCH(K115, Criterios!$A$81:$A$120, 0)), "Categoría no válida", IF(AND(J115&lt;&gt;"", J115&lt;&gt;"", J115&lt;&gt;VLOOKUP(K115, Criterios!$A$81:$B$120, 2, FALSE)), "División no coincide con Categoría", ""))), IF(OR(L115="", L115=""), "[Aviso] Género no capturado ()", IF(ISNA(MATCH(L115, Criterios!$B$123:$B$127, 0)), "Género no válido", "")), IF(OR(N115="", N115=""), "[Aviso] Temporada no capturada ()", IF(ISNA(MATCH(N115, Criterios!$C$123:$C$128, 0)), "Temporada no válida", "")), IF(OR(O115="", O115=""), "[Aviso] Ciclo de vida no capturado ()", IF(ISNA(MATCH(O115, Criterios!$D$123:$D$124, 0)), "Ciclo de vida no válido", ""))))</f>
        <v/>
      </c>
      <c r="AC115" s="56" t="n"/>
      <c r="AD115" s="51" t="n">
        <v>192</v>
      </c>
      <c r="AE115" s="156" t="inlineStr">
        <is>
          <t>MUESTRAS REFLO (2); REFLO ALMACEN (98)</t>
        </is>
      </c>
      <c r="AF115" s="51" t="n">
        <v>192</v>
      </c>
      <c r="AG115" s="156" t="inlineStr">
        <is>
          <t>Nuevo – NetSuite con existencia</t>
        </is>
      </c>
      <c r="AH115" s="156" t="inlineStr">
        <is>
          <t>Composición: poliéster reciclado (validar % en etiqueta); Físico total NetSuite 192 ≠ suma por ubicación 98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5" s="156" t="inlineStr">
        <is>
          <t>Sí</t>
        </is>
      </c>
      <c r="AJ115" s="156" t="inlineStr">
        <is>
          <t>CONSIGNA REFLO (-2)</t>
        </is>
      </c>
      <c r="AK115" s="155" t="inlineStr">
        <is>
          <t>G1522ProductosTodosloscamposSandboxResults894.xlsx: fila 57683 [X,Y]; G1522_Extraccion_Articulos_NetSuite_2026-09-30.xlsx: fila 37460 [Z]</t>
        </is>
      </c>
      <c r="AL115" s="58" t="n">
        <v>11.05</v>
      </c>
      <c r="AM115" s="58" t="n"/>
      <c r="AN115" s="155" t="n"/>
      <c r="AO115" s="59" t="n"/>
      <c r="AP115" s="59" t="n"/>
      <c r="AQ115" s="59" t="n"/>
      <c r="AR115" s="155" t="n"/>
    </row>
    <row r="116">
      <c r="A116" s="50" t="inlineStr">
        <is>
          <t>5060923789951</t>
        </is>
      </c>
      <c r="B116" s="51" t="inlineStr">
        <is>
          <t>79189</t>
        </is>
      </c>
      <c r="C116" s="156" t="inlineStr">
        <is>
          <t>REFLO</t>
        </is>
      </c>
      <c r="D116" s="156" t="inlineStr">
        <is>
          <t>MAHITOWG</t>
        </is>
      </c>
      <c r="E116" s="156" t="inlineStr">
        <is>
          <t>MAHITOWG-OS</t>
        </is>
      </c>
      <c r="F116" s="156" t="inlineStr">
        <is>
          <t>Talla única</t>
        </is>
      </c>
      <c r="G116" s="156" t="inlineStr">
        <is>
          <t>One Size</t>
        </is>
      </c>
      <c r="H116" s="156" t="inlineStr">
        <is>
          <t>REFLO</t>
        </is>
      </c>
      <c r="I116" s="156" t="inlineStr">
        <is>
          <t>Toalla de golf REFLO Mahi Mahi</t>
        </is>
      </c>
      <c r="J116" s="156" t="n"/>
      <c r="K116" s="156" t="n"/>
      <c r="L116" s="156" t="inlineStr">
        <is>
          <t>Unisex</t>
        </is>
      </c>
      <c r="M116" s="156" t="inlineStr">
        <is>
          <t>REFLO</t>
        </is>
      </c>
      <c r="N116" s="156" t="n"/>
      <c r="O116" s="156" t="n"/>
      <c r="P116" s="156" t="n"/>
      <c r="Q116" s="156" t="n"/>
      <c r="R116" s="156" t="n"/>
      <c r="S116" s="156" t="inlineStr">
        <is>
          <t>Poliéster reciclado</t>
        </is>
      </c>
      <c r="T116" s="156" t="inlineStr">
        <is>
          <t>Toalla de golf de golf REFLO modelo Mahi en color Mahi, confeccionado con materiales reciclados. Estilo MAHITOWG.</t>
        </is>
      </c>
      <c r="U116" s="156" t="n"/>
      <c r="V116" s="156" t="inlineStr">
        <is>
          <t>PZS</t>
        </is>
      </c>
      <c r="W116" s="51" t="inlineStr">
        <is>
          <t>52121700</t>
        </is>
      </c>
      <c r="X116" s="156" t="inlineStr">
        <is>
          <t>https://i.ibb.co/jL7SMYh/MAHITOWG.jpg</t>
        </is>
      </c>
      <c r="Y116" s="54" t="n">
        <v>7.8</v>
      </c>
      <c r="Z116" s="54" t="n">
        <v>516.3793103</v>
      </c>
      <c r="AA116" s="55">
        <f>IF(AND(A116="", B116="", E116=""), "", IF(AB116="", "Válido", IF((LEN(AB116)-LEN(SUBSTITUTE(AB116,"; ","")))/2+1&gt;(LEN(AB116)-LEN(SUBSTITUTE(AB116,"[Aviso]","")))/7, "Con Incidencias", "Válido")))</f>
        <v/>
      </c>
      <c r="AB116" s="56">
        <f>IF(AND(A116="", B116="", E116=""), "", TEXTJOIN("; ", TRUE, IF(OR(TRIM(A116&amp;"")="", ISNUMBER(SEARCH("FALTA", A116))), "UPC faltante/inválido", ""), IF(AND(A116&lt;&gt;"", IFERROR(_xlfn.XMATCH(A116,$A$2:$A$653,0,1)&lt;&gt;_xlfn.XMATCH(A116,$A$2:$A$653,0,-1),FALSE)), "Código de barras duplicado", ""), IF(AND(E116&lt;&gt;"", COUNTIF($E$2:$E$653, E116)&gt;1), "SKU duplicado", ""), IF(OR(J116="", J116=""), "[Aviso] División no capturada ()", IF(ISNA(MATCH(J116, Criterios!$A$123:$A$126, 0)), "División no válida", "")), IF(OR(K116="", K116=""), "[Aviso] Categoría no capturada ()", IF(ISNA(MATCH(K116, Criterios!$A$81:$A$120, 0)), "Categoría no válida", IF(AND(J116&lt;&gt;"", J116&lt;&gt;"", J116&lt;&gt;VLOOKUP(K116, Criterios!$A$81:$B$120, 2, FALSE)), "División no coincide con Categoría", ""))), IF(OR(L116="", L116=""), "[Aviso] Género no capturado ()", IF(ISNA(MATCH(L116, Criterios!$B$123:$B$127, 0)), "Género no válido", "")), IF(OR(N116="", N116=""), "[Aviso] Temporada no capturada ()", IF(ISNA(MATCH(N116, Criterios!$C$123:$C$128, 0)), "Temporada no válida", "")), IF(OR(O116="", O116=""), "[Aviso] Ciclo de vida no capturado ()", IF(ISNA(MATCH(O116, Criterios!$D$123:$D$124, 0)), "Ciclo de vida no válido", ""))))</f>
        <v/>
      </c>
      <c r="AC116" s="56" t="n"/>
      <c r="AD116" s="51" t="n">
        <v>69</v>
      </c>
      <c r="AE116" s="156" t="inlineStr">
        <is>
          <t>MUESTRAS REFLO (1); REFLO ALMACEN (41)</t>
        </is>
      </c>
      <c r="AF116" s="51" t="n">
        <v>73</v>
      </c>
      <c r="AG116" s="156" t="inlineStr">
        <is>
          <t>Nuevo – NetSuite con existencia</t>
        </is>
      </c>
      <c r="AH116" s="156" t="inlineStr">
        <is>
          <t>Tipo REFLO «Golf Towel» sin categoría en Criterios; Composición: poliéster reciclado (validar % en etiqueta); Físico total NetSuite 69 ≠ suma por ubicación 37 | Revisión 29/09/2026: Marca REFLO fuera de lista Criterios; Campos sin respaldo: J, K, N, O, P, Q, R, U; Auditoría NetSuite 30/09/2026: llenado desde NetSuite [V,W,X,Y] | Homologación G1522 06/10/2026: Validación G1522: [Aviso] Precio de compra posiblemente en USD</t>
        </is>
      </c>
      <c r="AI116" s="156" t="inlineStr">
        <is>
          <t>Sí</t>
        </is>
      </c>
      <c r="AJ116" s="156" t="inlineStr">
        <is>
          <t>CONSIGNA REFLO (-5)</t>
        </is>
      </c>
      <c r="AK116" s="155" t="inlineStr">
        <is>
          <t>G1522CatalogoMaestro25Results796.csv: fila 49411 [V,W] | G1522ProductosTodosloscamposSandboxResults894.xlsx: fila 57748 [X,Y]; G1522_Extraccion_Articulos_NetSuite_2026-09-30.xlsx: fila 37522 [V,W,X,Y]</t>
        </is>
      </c>
      <c r="AL116" s="58" t="n"/>
      <c r="AM116" s="58" t="n">
        <v>516.3793103</v>
      </c>
      <c r="AN116" s="155" t="n"/>
      <c r="AO116" s="59" t="n"/>
      <c r="AP116" s="59" t="n"/>
      <c r="AQ116" s="59" t="n"/>
      <c r="AR116" s="155" t="n"/>
    </row>
    <row r="117">
      <c r="A117" s="50" t="inlineStr">
        <is>
          <t>5056658700125</t>
        </is>
      </c>
      <c r="B117" s="51" t="inlineStr">
        <is>
          <t>79293</t>
        </is>
      </c>
      <c r="C117" s="156" t="inlineStr">
        <is>
          <t>REFLO</t>
        </is>
      </c>
      <c r="D117" s="156" t="inlineStr">
        <is>
          <t>MEKOSBLU</t>
        </is>
      </c>
      <c r="E117" s="156" t="inlineStr">
        <is>
          <t>MEKOSBLU-M</t>
        </is>
      </c>
      <c r="F117" s="156" t="inlineStr">
        <is>
          <t>M</t>
        </is>
      </c>
      <c r="G117" s="156" t="inlineStr">
        <is>
          <t>M</t>
        </is>
      </c>
      <c r="H117" s="156" t="inlineStr">
        <is>
          <t>REFLO</t>
        </is>
      </c>
      <c r="I117" s="156" t="inlineStr">
        <is>
          <t>Playera tipo polo REFLO Mekong Blue</t>
        </is>
      </c>
      <c r="J117" s="156" t="inlineStr">
        <is>
          <t>Ropa</t>
        </is>
      </c>
      <c r="K117" s="156" t="inlineStr">
        <is>
          <t>Playeras</t>
        </is>
      </c>
      <c r="L117" s="156" t="n"/>
      <c r="M117" s="156" t="inlineStr">
        <is>
          <t>REFLO</t>
        </is>
      </c>
      <c r="N117" s="156" t="n"/>
      <c r="O117" s="156" t="n"/>
      <c r="P117" s="156" t="inlineStr">
        <is>
          <t>Azul</t>
        </is>
      </c>
      <c r="Q117" s="156" t="n"/>
      <c r="R117" s="156" t="n"/>
      <c r="S117" s="156" t="inlineStr">
        <is>
          <t>Poliéster reciclado</t>
        </is>
      </c>
      <c r="T117" s="156" t="inlineStr">
        <is>
          <t>Playera tipo polo de golf REFLO modelo Mekong en color Blue, confeccionado con materiales reciclados. Estilo MEKOSBLU.</t>
        </is>
      </c>
      <c r="U117" s="156" t="n"/>
      <c r="V117" s="156" t="inlineStr">
        <is>
          <t>PZS</t>
        </is>
      </c>
      <c r="W117" s="51" t="inlineStr">
        <is>
          <t>53101600</t>
        </is>
      </c>
      <c r="X117" s="156" t="inlineStr">
        <is>
          <t>https://i.ibb.co/qkpyjYy/MEKOSBLU.jpg</t>
        </is>
      </c>
      <c r="Y117" s="54" t="n">
        <v>26</v>
      </c>
      <c r="Z117" s="54" t="n">
        <v>1899</v>
      </c>
      <c r="AA117" s="55">
        <f>IF(AND(A117="", B117="", E117=""), "", IF(AB117="", "Válido", IF((LEN(AB117)-LEN(SUBSTITUTE(AB117,"; ","")))/2+1&gt;(LEN(AB117)-LEN(SUBSTITUTE(AB117,"[Aviso]","")))/7, "Con Incidencias", "Válido")))</f>
        <v/>
      </c>
      <c r="AB117" s="56">
        <f>IF(AND(A117="", B117="", E117=""), "", TEXTJOIN("; ", TRUE, IF(OR(TRIM(A117&amp;"")="", ISNUMBER(SEARCH("FALTA", A117))), "UPC faltante/inválido", ""), IF(AND(A117&lt;&gt;"", IFERROR(_xlfn.XMATCH(A117,$A$2:$A$653,0,1)&lt;&gt;_xlfn.XMATCH(A117,$A$2:$A$653,0,-1),FALSE)), "Código de barras duplicado", ""), IF(AND(E117&lt;&gt;"", COUNTIF($E$2:$E$653, E117)&gt;1), "SKU duplicado", ""), IF(OR(J117="", J117=""), "[Aviso] División no capturada ()", IF(ISNA(MATCH(J117, Criterios!$A$123:$A$126, 0)), "División no válida", "")), IF(OR(K117="", K117=""), "[Aviso] Categoría no capturada ()", IF(ISNA(MATCH(K117, Criterios!$A$81:$A$120, 0)), "Categoría no válida", IF(AND(J117&lt;&gt;"", J117&lt;&gt;"", J117&lt;&gt;VLOOKUP(K117, Criterios!$A$81:$B$120, 2, FALSE)), "División no coincide con Categoría", ""))), IF(OR(L117="", L117=""), "[Aviso] Género no capturado ()", IF(ISNA(MATCH(L117, Criterios!$B$123:$B$127, 0)), "Género no válido", "")), IF(OR(N117="", N117=""), "[Aviso] Temporada no capturada ()", IF(ISNA(MATCH(N117, Criterios!$C$123:$C$128, 0)), "Temporada no válida", "")), IF(OR(O117="", O117=""), "[Aviso] Ciclo de vida no capturado ()", IF(ISNA(MATCH(O117, Criterios!$D$123:$D$124, 0)), "Ciclo de vida no válido", ""))))</f>
        <v/>
      </c>
      <c r="AC117" s="56" t="n"/>
      <c r="AD117" s="51" t="n">
        <v>3</v>
      </c>
      <c r="AE117" s="156" t="inlineStr">
        <is>
          <t>REFLO ALMACEN (2)</t>
        </is>
      </c>
      <c r="AF117" s="51" t="n">
        <v>3</v>
      </c>
      <c r="AG117" s="156" t="inlineStr">
        <is>
          <t>Nuevo – NetSuite con existencia</t>
        </is>
      </c>
      <c r="AH117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17" s="156" t="inlineStr">
        <is>
          <t>No</t>
        </is>
      </c>
      <c r="AJ117" s="156" t="n"/>
      <c r="AK117" s="155" t="inlineStr">
        <is>
          <t>G1522ProductosTodosloscamposSandboxResults894.xlsx: fila 57765 [X,Y]; G1522_Extraccion_Articulos_NetSuite_2026-09-30.xlsx: fila 37626 [Z]</t>
        </is>
      </c>
      <c r="AL117" s="58" t="n">
        <v>26</v>
      </c>
      <c r="AM117" s="58" t="n"/>
      <c r="AN117" s="155" t="n"/>
      <c r="AO117" s="59" t="n"/>
      <c r="AP117" s="59" t="n"/>
      <c r="AQ117" s="59" t="n"/>
      <c r="AR117" s="155" t="n"/>
    </row>
    <row r="118">
      <c r="A118" s="50" t="inlineStr">
        <is>
          <t>5056658700132</t>
        </is>
      </c>
      <c r="B118" s="51" t="inlineStr">
        <is>
          <t>79294</t>
        </is>
      </c>
      <c r="C118" s="156" t="inlineStr">
        <is>
          <t>REFLO</t>
        </is>
      </c>
      <c r="D118" s="156" t="inlineStr">
        <is>
          <t>MEKOSBLU</t>
        </is>
      </c>
      <c r="E118" s="156" t="inlineStr">
        <is>
          <t>MEKOSBLU-L</t>
        </is>
      </c>
      <c r="F118" s="156" t="inlineStr">
        <is>
          <t>L</t>
        </is>
      </c>
      <c r="G118" s="156" t="inlineStr">
        <is>
          <t>L</t>
        </is>
      </c>
      <c r="H118" s="156" t="inlineStr">
        <is>
          <t>REFLO</t>
        </is>
      </c>
      <c r="I118" s="156" t="inlineStr">
        <is>
          <t>Playera tipo polo REFLO Mekong Blue</t>
        </is>
      </c>
      <c r="J118" s="156" t="inlineStr">
        <is>
          <t>Ropa</t>
        </is>
      </c>
      <c r="K118" s="156" t="inlineStr">
        <is>
          <t>Playeras</t>
        </is>
      </c>
      <c r="L118" s="156" t="n"/>
      <c r="M118" s="156" t="inlineStr">
        <is>
          <t>REFLO</t>
        </is>
      </c>
      <c r="N118" s="156" t="n"/>
      <c r="O118" s="156" t="n"/>
      <c r="P118" s="156" t="inlineStr">
        <is>
          <t>Azul</t>
        </is>
      </c>
      <c r="Q118" s="156" t="n"/>
      <c r="R118" s="156" t="n"/>
      <c r="S118" s="156" t="inlineStr">
        <is>
          <t>Poliéster reciclado</t>
        </is>
      </c>
      <c r="T118" s="156" t="inlineStr">
        <is>
          <t>Playera tipo polo de golf REFLO modelo Mekong en color Blue, confeccionado con materiales reciclados. Estilo MEKOSBLU.</t>
        </is>
      </c>
      <c r="U118" s="156" t="n"/>
      <c r="V118" s="156" t="inlineStr">
        <is>
          <t>PZS</t>
        </is>
      </c>
      <c r="W118" s="51" t="inlineStr">
        <is>
          <t>53101600</t>
        </is>
      </c>
      <c r="X118" s="156" t="inlineStr">
        <is>
          <t>https://i.ibb.co/qkpyjYy/MEKOSBLU.jpg</t>
        </is>
      </c>
      <c r="Y118" s="54" t="n">
        <v>26</v>
      </c>
      <c r="Z118" s="54" t="n">
        <v>1899</v>
      </c>
      <c r="AA118" s="55">
        <f>IF(AND(A118="", B118="", E118=""), "", IF(AB118="", "Válido", IF((LEN(AB118)-LEN(SUBSTITUTE(AB118,"; ","")))/2+1&gt;(LEN(AB118)-LEN(SUBSTITUTE(AB118,"[Aviso]","")))/7, "Con Incidencias", "Válido")))</f>
        <v/>
      </c>
      <c r="AB118" s="56">
        <f>IF(AND(A118="", B118="", E118=""), "", TEXTJOIN("; ", TRUE, IF(OR(TRIM(A118&amp;"")="", ISNUMBER(SEARCH("FALTA", A118))), "UPC faltante/inválido", ""), IF(AND(A118&lt;&gt;"", IFERROR(_xlfn.XMATCH(A118,$A$2:$A$653,0,1)&lt;&gt;_xlfn.XMATCH(A118,$A$2:$A$653,0,-1),FALSE)), "Código de barras duplicado", ""), IF(AND(E118&lt;&gt;"", COUNTIF($E$2:$E$653, E118)&gt;1), "SKU duplicado", ""), IF(OR(J118="", J118=""), "[Aviso] División no capturada ()", IF(ISNA(MATCH(J118, Criterios!$A$123:$A$126, 0)), "División no válida", "")), IF(OR(K118="", K118=""), "[Aviso] Categoría no capturada ()", IF(ISNA(MATCH(K118, Criterios!$A$81:$A$120, 0)), "Categoría no válida", IF(AND(J118&lt;&gt;"", J118&lt;&gt;"", J118&lt;&gt;VLOOKUP(K118, Criterios!$A$81:$B$120, 2, FALSE)), "División no coincide con Categoría", ""))), IF(OR(L118="", L118=""), "[Aviso] Género no capturado ()", IF(ISNA(MATCH(L118, Criterios!$B$123:$B$127, 0)), "Género no válido", "")), IF(OR(N118="", N118=""), "[Aviso] Temporada no capturada ()", IF(ISNA(MATCH(N118, Criterios!$C$123:$C$128, 0)), "Temporada no válida", "")), IF(OR(O118="", O118=""), "[Aviso] Ciclo de vida no capturado ()", IF(ISNA(MATCH(O118, Criterios!$D$123:$D$124, 0)), "Ciclo de vida no válido", ""))))</f>
        <v/>
      </c>
      <c r="AC118" s="56" t="n"/>
      <c r="AD118" s="51" t="n">
        <v>6</v>
      </c>
      <c r="AE118" s="156" t="inlineStr">
        <is>
          <t>REFLO ALMACEN (4); MUESTRAS REFLO (1)</t>
        </is>
      </c>
      <c r="AF118" s="51" t="n">
        <v>5</v>
      </c>
      <c r="AG118" s="156" t="inlineStr">
        <is>
          <t>Nuevo – NetSuite con existencia</t>
        </is>
      </c>
      <c r="AH118" s="156" t="inlineStr">
        <is>
          <t>Género no indicado en NetSuite; Composición: poliéster reciclado (validar % en etiqueta); Físico total NetSuite 6 ≠ suma por ubicación 5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18" s="156" t="inlineStr">
        <is>
          <t>No</t>
        </is>
      </c>
      <c r="AJ118" s="156" t="n"/>
      <c r="AK118" s="155" t="inlineStr">
        <is>
          <t>G1522ProductosTodosloscamposSandboxResults894.xlsx: fila 57766 [X,Y]; G1522_Extraccion_Articulos_NetSuite_2026-09-30.xlsx: fila 37627 [Z]</t>
        </is>
      </c>
      <c r="AL118" s="58" t="n">
        <v>26</v>
      </c>
      <c r="AM118" s="58" t="n"/>
      <c r="AN118" s="155" t="n"/>
      <c r="AO118" s="59" t="n"/>
      <c r="AP118" s="59" t="n"/>
      <c r="AQ118" s="59" t="n"/>
      <c r="AR118" s="155" t="n"/>
    </row>
    <row r="119">
      <c r="A119" s="50" t="inlineStr">
        <is>
          <t>5056658700149</t>
        </is>
      </c>
      <c r="B119" s="51" t="inlineStr">
        <is>
          <t>79295</t>
        </is>
      </c>
      <c r="C119" s="156" t="inlineStr">
        <is>
          <t>REFLO</t>
        </is>
      </c>
      <c r="D119" s="156" t="inlineStr">
        <is>
          <t>MEKOSBLU</t>
        </is>
      </c>
      <c r="E119" s="156" t="inlineStr">
        <is>
          <t>MEKOSBLU-XL</t>
        </is>
      </c>
      <c r="F119" s="156" t="inlineStr">
        <is>
          <t>XL</t>
        </is>
      </c>
      <c r="G119" s="156" t="inlineStr">
        <is>
          <t>XL</t>
        </is>
      </c>
      <c r="H119" s="156" t="inlineStr">
        <is>
          <t>REFLO</t>
        </is>
      </c>
      <c r="I119" s="156" t="inlineStr">
        <is>
          <t>Playera tipo polo REFLO Mekong Blue</t>
        </is>
      </c>
      <c r="J119" s="156" t="inlineStr">
        <is>
          <t>Ropa</t>
        </is>
      </c>
      <c r="K119" s="156" t="inlineStr">
        <is>
          <t>Playeras</t>
        </is>
      </c>
      <c r="L119" s="156" t="n"/>
      <c r="M119" s="156" t="inlineStr">
        <is>
          <t>REFLO</t>
        </is>
      </c>
      <c r="N119" s="156" t="n"/>
      <c r="O119" s="156" t="n"/>
      <c r="P119" s="156" t="inlineStr">
        <is>
          <t>Azul</t>
        </is>
      </c>
      <c r="Q119" s="156" t="n"/>
      <c r="R119" s="156" t="n"/>
      <c r="S119" s="156" t="inlineStr">
        <is>
          <t>Poliéster reciclado</t>
        </is>
      </c>
      <c r="T119" s="156" t="inlineStr">
        <is>
          <t>Playera tipo polo de golf REFLO modelo Mekong en color Blue, confeccionado con materiales reciclados. Estilo MEKOSBLU.</t>
        </is>
      </c>
      <c r="U119" s="156" t="n"/>
      <c r="V119" s="156" t="inlineStr">
        <is>
          <t>PZS</t>
        </is>
      </c>
      <c r="W119" s="51" t="inlineStr">
        <is>
          <t>53101600</t>
        </is>
      </c>
      <c r="X119" s="156" t="inlineStr">
        <is>
          <t>https://i.ibb.co/qkpyjYy/MEKOSBLU.jpg</t>
        </is>
      </c>
      <c r="Y119" s="54" t="n">
        <v>26</v>
      </c>
      <c r="Z119" s="54" t="n">
        <v>1899</v>
      </c>
      <c r="AA119" s="55">
        <f>IF(AND(A119="", B119="", E119=""), "", IF(AB119="", "Válido", IF((LEN(AB119)-LEN(SUBSTITUTE(AB119,"; ","")))/2+1&gt;(LEN(AB119)-LEN(SUBSTITUTE(AB119,"[Aviso]","")))/7, "Con Incidencias", "Válido")))</f>
        <v/>
      </c>
      <c r="AB119" s="56">
        <f>IF(AND(A119="", B119="", E119=""), "", TEXTJOIN("; ", TRUE, IF(OR(TRIM(A119&amp;"")="", ISNUMBER(SEARCH("FALTA", A119))), "UPC faltante/inválido", ""), IF(AND(A119&lt;&gt;"", IFERROR(_xlfn.XMATCH(A119,$A$2:$A$653,0,1)&lt;&gt;_xlfn.XMATCH(A119,$A$2:$A$653,0,-1),FALSE)), "Código de barras duplicado", ""), IF(AND(E119&lt;&gt;"", COUNTIF($E$2:$E$653, E119)&gt;1), "SKU duplicado", ""), IF(OR(J119="", J119=""), "[Aviso] División no capturada ()", IF(ISNA(MATCH(J119, Criterios!$A$123:$A$126, 0)), "División no válida", "")), IF(OR(K119="", K119=""), "[Aviso] Categoría no capturada ()", IF(ISNA(MATCH(K119, Criterios!$A$81:$A$120, 0)), "Categoría no válida", IF(AND(J119&lt;&gt;"", J119&lt;&gt;"", J119&lt;&gt;VLOOKUP(K119, Criterios!$A$81:$B$120, 2, FALSE)), "División no coincide con Categoría", ""))), IF(OR(L119="", L119=""), "[Aviso] Género no capturado ()", IF(ISNA(MATCH(L119, Criterios!$B$123:$B$127, 0)), "Género no válido", "")), IF(OR(N119="", N119=""), "[Aviso] Temporada no capturada ()", IF(ISNA(MATCH(N119, Criterios!$C$123:$C$128, 0)), "Temporada no válida", "")), IF(OR(O119="", O119=""), "[Aviso] Ciclo de vida no capturado ()", IF(ISNA(MATCH(O119, Criterios!$D$123:$D$124, 0)), "Ciclo de vida no válido", ""))))</f>
        <v/>
      </c>
      <c r="AC119" s="56" t="n"/>
      <c r="AD119" s="51" t="n">
        <v>10</v>
      </c>
      <c r="AE119" s="156" t="inlineStr">
        <is>
          <t>REFLO ALMACEN (5)</t>
        </is>
      </c>
      <c r="AF119" s="51" t="n">
        <v>10</v>
      </c>
      <c r="AG119" s="156" t="inlineStr">
        <is>
          <t>Nuevo – NetSuite con existencia</t>
        </is>
      </c>
      <c r="AH119" s="156" t="inlineStr">
        <is>
          <t>Género no indicado en NetSuite; Composición: poliéster reciclado (validar % en etiqueta); Físico total NetSuite 10 ≠ suma por ubicación 5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19" s="156" t="inlineStr">
        <is>
          <t>No</t>
        </is>
      </c>
      <c r="AJ119" s="156" t="n"/>
      <c r="AK119" s="155" t="inlineStr">
        <is>
          <t>G1522ProductosTodosloscamposSandboxResults894.xlsx: fila 57767 [X,Y]; G1522_Extraccion_Articulos_NetSuite_2026-09-30.xlsx: fila 37628 [Z]</t>
        </is>
      </c>
      <c r="AL119" s="58" t="n">
        <v>26</v>
      </c>
      <c r="AM119" s="58" t="n"/>
      <c r="AN119" s="155" t="n"/>
      <c r="AO119" s="59" t="n"/>
      <c r="AP119" s="59" t="n"/>
      <c r="AQ119" s="59" t="n"/>
      <c r="AR119" s="155" t="n"/>
    </row>
    <row r="120">
      <c r="A120" s="50" t="inlineStr">
        <is>
          <t>5056658700156</t>
        </is>
      </c>
      <c r="B120" s="51" t="inlineStr">
        <is>
          <t>79296</t>
        </is>
      </c>
      <c r="C120" s="156" t="inlineStr">
        <is>
          <t>REFLO</t>
        </is>
      </c>
      <c r="D120" s="156" t="inlineStr">
        <is>
          <t>MEKOSBLU</t>
        </is>
      </c>
      <c r="E120" s="156" t="inlineStr">
        <is>
          <t>MEKOSBLU-2XL</t>
        </is>
      </c>
      <c r="F120" s="156" t="inlineStr">
        <is>
          <t>XXL</t>
        </is>
      </c>
      <c r="G120" s="156" t="inlineStr">
        <is>
          <t>XXL</t>
        </is>
      </c>
      <c r="H120" s="156" t="inlineStr">
        <is>
          <t>REFLO</t>
        </is>
      </c>
      <c r="I120" s="156" t="inlineStr">
        <is>
          <t>Playera tipo polo REFLO Mekong Blue</t>
        </is>
      </c>
      <c r="J120" s="156" t="inlineStr">
        <is>
          <t>Ropa</t>
        </is>
      </c>
      <c r="K120" s="156" t="inlineStr">
        <is>
          <t>Playeras</t>
        </is>
      </c>
      <c r="L120" s="156" t="n"/>
      <c r="M120" s="156" t="inlineStr">
        <is>
          <t>REFLO</t>
        </is>
      </c>
      <c r="N120" s="156" t="n"/>
      <c r="O120" s="156" t="n"/>
      <c r="P120" s="156" t="inlineStr">
        <is>
          <t>Azul</t>
        </is>
      </c>
      <c r="Q120" s="156" t="n"/>
      <c r="R120" s="156" t="n"/>
      <c r="S120" s="156" t="inlineStr">
        <is>
          <t>Poliéster reciclado</t>
        </is>
      </c>
      <c r="T120" s="156" t="inlineStr">
        <is>
          <t>Playera tipo polo de golf REFLO modelo Mekong en color Blue, confeccionado con materiales reciclados. Estilo MEKOSBLU.</t>
        </is>
      </c>
      <c r="U120" s="156" t="n"/>
      <c r="V120" s="156" t="inlineStr">
        <is>
          <t>PZS</t>
        </is>
      </c>
      <c r="W120" s="51" t="inlineStr">
        <is>
          <t>53101600</t>
        </is>
      </c>
      <c r="X120" s="156" t="inlineStr">
        <is>
          <t>https://i.ibb.co/qkpyjYy/MEKOSBLU.jpg</t>
        </is>
      </c>
      <c r="Y120" s="54" t="n">
        <v>26</v>
      </c>
      <c r="Z120" s="54" t="n">
        <v>1899</v>
      </c>
      <c r="AA120" s="55">
        <f>IF(AND(A120="", B120="", E120=""), "", IF(AB120="", "Válido", IF((LEN(AB120)-LEN(SUBSTITUTE(AB120,"; ","")))/2+1&gt;(LEN(AB120)-LEN(SUBSTITUTE(AB120,"[Aviso]","")))/7, "Con Incidencias", "Válido")))</f>
        <v/>
      </c>
      <c r="AB120" s="56">
        <f>IF(AND(A120="", B120="", E120=""), "", TEXTJOIN("; ", TRUE, IF(OR(TRIM(A120&amp;"")="", ISNUMBER(SEARCH("FALTA", A120))), "UPC faltante/inválido", ""), IF(AND(A120&lt;&gt;"", IFERROR(_xlfn.XMATCH(A120,$A$2:$A$653,0,1)&lt;&gt;_xlfn.XMATCH(A120,$A$2:$A$653,0,-1),FALSE)), "Código de barras duplicado", ""), IF(AND(E120&lt;&gt;"", COUNTIF($E$2:$E$653, E120)&gt;1), "SKU duplicado", ""), IF(OR(J120="", J120=""), "[Aviso] División no capturada ()", IF(ISNA(MATCH(J120, Criterios!$A$123:$A$126, 0)), "División no válida", "")), IF(OR(K120="", K120=""), "[Aviso] Categoría no capturada ()", IF(ISNA(MATCH(K120, Criterios!$A$81:$A$120, 0)), "Categoría no válida", IF(AND(J120&lt;&gt;"", J120&lt;&gt;"", J120&lt;&gt;VLOOKUP(K120, Criterios!$A$81:$B$120, 2, FALSE)), "División no coincide con Categoría", ""))), IF(OR(L120="", L120=""), "[Aviso] Género no capturado ()", IF(ISNA(MATCH(L120, Criterios!$B$123:$B$127, 0)), "Género no válido", "")), IF(OR(N120="", N120=""), "[Aviso] Temporada no capturada ()", IF(ISNA(MATCH(N120, Criterios!$C$123:$C$128, 0)), "Temporada no válida", "")), IF(OR(O120="", O120=""), "[Aviso] Ciclo de vida no capturado ()", IF(ISNA(MATCH(O120, Criterios!$D$123:$D$124, 0)), "Ciclo de vida no válido", ""))))</f>
        <v/>
      </c>
      <c r="AC120" s="56" t="n"/>
      <c r="AD120" s="51" t="n">
        <v>1</v>
      </c>
      <c r="AE120" s="156" t="inlineStr">
        <is>
          <t>REFLO ALMACEN (1)</t>
        </is>
      </c>
      <c r="AF120" s="51" t="n">
        <v>1</v>
      </c>
      <c r="AG120" s="156" t="inlineStr">
        <is>
          <t>Nuevo – NetSuite con existencia</t>
        </is>
      </c>
      <c r="AH120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120" s="156" t="inlineStr">
        <is>
          <t>No</t>
        </is>
      </c>
      <c r="AJ120" s="156" t="n"/>
      <c r="AK120" s="155" t="inlineStr">
        <is>
          <t>G1522ProductosTodosloscamposSandboxResults894.xlsx: fila 57768 [X,Y]; G1522_Extraccion_Articulos_NetSuite_2026-09-30.xlsx: fila 37629 [Z]</t>
        </is>
      </c>
      <c r="AL120" s="58" t="n">
        <v>26</v>
      </c>
      <c r="AM120" s="58" t="n"/>
      <c r="AN120" s="155" t="n"/>
      <c r="AO120" s="59" t="n"/>
      <c r="AP120" s="59" t="n"/>
      <c r="AQ120" s="59" t="n"/>
      <c r="AR120" s="155" t="n"/>
    </row>
    <row r="121">
      <c r="A121" s="50" t="inlineStr">
        <is>
          <t>5056658701924</t>
        </is>
      </c>
      <c r="B121" s="51" t="inlineStr">
        <is>
          <t>84382</t>
        </is>
      </c>
      <c r="C121" s="156" t="inlineStr">
        <is>
          <t>REFLO</t>
        </is>
      </c>
      <c r="D121" s="156" t="inlineStr">
        <is>
          <t>MOACOR</t>
        </is>
      </c>
      <c r="E121" s="156" t="inlineStr">
        <is>
          <t>MOACOR-L</t>
        </is>
      </c>
      <c r="F121" s="156" t="inlineStr">
        <is>
          <t>L</t>
        </is>
      </c>
      <c r="G121" s="156" t="inlineStr">
        <is>
          <t>L</t>
        </is>
      </c>
      <c r="H121" s="156" t="inlineStr">
        <is>
          <t>REFLO</t>
        </is>
      </c>
      <c r="I121" s="156" t="inlineStr">
        <is>
          <t>Playera REFLO Moana Coronet Blue</t>
        </is>
      </c>
      <c r="J121" s="156" t="inlineStr">
        <is>
          <t>Ropa</t>
        </is>
      </c>
      <c r="K121" s="156" t="inlineStr">
        <is>
          <t>Playeras</t>
        </is>
      </c>
      <c r="L121" s="156" t="n"/>
      <c r="M121" s="156" t="inlineStr">
        <is>
          <t>REFLO</t>
        </is>
      </c>
      <c r="N121" s="156" t="n"/>
      <c r="O121" s="156" t="n"/>
      <c r="P121" s="156" t="inlineStr">
        <is>
          <t>Azul</t>
        </is>
      </c>
      <c r="Q121" s="156" t="n"/>
      <c r="R121" s="156" t="n"/>
      <c r="S121" s="156" t="inlineStr">
        <is>
          <t>Poliéster reciclado</t>
        </is>
      </c>
      <c r="T121" s="156" t="inlineStr">
        <is>
          <t>Playera de golf REFLO modelo Moana en color Coronet Blue, confeccionado con materiales reciclados. Estilo MOACOR.</t>
        </is>
      </c>
      <c r="U121" s="156" t="n"/>
      <c r="V121" s="156" t="inlineStr">
        <is>
          <t>PZS</t>
        </is>
      </c>
      <c r="W121" s="51" t="inlineStr">
        <is>
          <t>53101600</t>
        </is>
      </c>
      <c r="X121" s="156" t="inlineStr">
        <is>
          <t>https://i.ibb.co/99m4sSX/MOACOR.jpg</t>
        </is>
      </c>
      <c r="Y121" s="54" t="n">
        <v>19.5</v>
      </c>
      <c r="Z121" s="54" t="n">
        <v>1449</v>
      </c>
      <c r="AA121" s="55">
        <f>IF(AND(A121="", B121="", E121=""), "", IF(AB121="", "Válido", IF((LEN(AB121)-LEN(SUBSTITUTE(AB121,"; ","")))/2+1&gt;(LEN(AB121)-LEN(SUBSTITUTE(AB121,"[Aviso]","")))/7, "Con Incidencias", "Válido")))</f>
        <v/>
      </c>
      <c r="AB121" s="56">
        <f>IF(AND(A121="", B121="", E121=""), "", TEXTJOIN("; ", TRUE, IF(OR(TRIM(A121&amp;"")="", ISNUMBER(SEARCH("FALTA", A121))), "UPC faltante/inválido", ""), IF(AND(A121&lt;&gt;"", IFERROR(_xlfn.XMATCH(A121,$A$2:$A$653,0,1)&lt;&gt;_xlfn.XMATCH(A121,$A$2:$A$653,0,-1),FALSE)), "Código de barras duplicado", ""), IF(AND(E121&lt;&gt;"", COUNTIF($E$2:$E$653, E121)&gt;1), "SKU duplicado", ""), IF(OR(J121="", J121=""), "[Aviso] División no capturada ()", IF(ISNA(MATCH(J121, Criterios!$A$123:$A$126, 0)), "División no válida", "")), IF(OR(K121="", K121=""), "[Aviso] Categoría no capturada ()", IF(ISNA(MATCH(K121, Criterios!$A$81:$A$120, 0)), "Categoría no válida", IF(AND(J121&lt;&gt;"", J121&lt;&gt;"", J121&lt;&gt;VLOOKUP(K121, Criterios!$A$81:$B$120, 2, FALSE)), "División no coincide con Categoría", ""))), IF(OR(L121="", L121=""), "[Aviso] Género no capturado ()", IF(ISNA(MATCH(L121, Criterios!$B$123:$B$127, 0)), "Género no válido", "")), IF(OR(N121="", N121=""), "[Aviso] Temporada no capturada ()", IF(ISNA(MATCH(N121, Criterios!$C$123:$C$128, 0)), "Temporada no válida", "")), IF(OR(O121="", O121=""), "[Aviso] Ciclo de vida no capturado ()", IF(ISNA(MATCH(O121, Criterios!$D$123:$D$124, 0)), "Ciclo de vida no válido", ""))))</f>
        <v/>
      </c>
      <c r="AC121" s="56" t="n"/>
      <c r="AD121" s="51" t="n">
        <v>30</v>
      </c>
      <c r="AE121" s="156" t="inlineStr">
        <is>
          <t>CONSIGNA REFLO (2); REFLO ALMACEN (14)</t>
        </is>
      </c>
      <c r="AF121" s="51" t="n">
        <v>30</v>
      </c>
      <c r="AG121" s="156" t="inlineStr">
        <is>
          <t>Nuevo – NetSuite con existencia</t>
        </is>
      </c>
      <c r="AH121" s="156" t="inlineStr">
        <is>
          <t>Género no indicado en NetSuite; Composición: poliéster reciclado (validar % en etiqueta); Físico total NetSuite 30 ≠ suma por ubicación 16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21" s="156" t="inlineStr">
        <is>
          <t>No</t>
        </is>
      </c>
      <c r="AJ121" s="156" t="n"/>
      <c r="AK121" s="155" t="inlineStr">
        <is>
          <t>G1522ProductosTodosloscamposSandboxResults894.xlsx: fila 57798 [X,Y]; G1522_Extraccion_Articulos_NetSuite_2026-09-30.xlsx: fila 39551 [Z]</t>
        </is>
      </c>
      <c r="AL121" s="58" t="n">
        <v>19.5</v>
      </c>
      <c r="AM121" s="58" t="n"/>
      <c r="AN121" s="155" t="n"/>
      <c r="AO121" s="59" t="n"/>
      <c r="AP121" s="59" t="n"/>
      <c r="AQ121" s="59" t="n"/>
      <c r="AR121" s="155" t="n"/>
    </row>
    <row r="122">
      <c r="A122" s="50" t="inlineStr">
        <is>
          <t>5056658701917</t>
        </is>
      </c>
      <c r="B122" s="51" t="inlineStr">
        <is>
          <t>84383</t>
        </is>
      </c>
      <c r="C122" s="156" t="inlineStr">
        <is>
          <t>REFLO</t>
        </is>
      </c>
      <c r="D122" s="156" t="inlineStr">
        <is>
          <t>MOACOR</t>
        </is>
      </c>
      <c r="E122" s="156" t="inlineStr">
        <is>
          <t>MOACOR-M</t>
        </is>
      </c>
      <c r="F122" s="156" t="inlineStr">
        <is>
          <t>M</t>
        </is>
      </c>
      <c r="G122" s="156" t="inlineStr">
        <is>
          <t>M</t>
        </is>
      </c>
      <c r="H122" s="156" t="inlineStr">
        <is>
          <t>REFLO</t>
        </is>
      </c>
      <c r="I122" s="156" t="inlineStr">
        <is>
          <t>Playera REFLO Moana Coronet Blue</t>
        </is>
      </c>
      <c r="J122" s="156" t="inlineStr">
        <is>
          <t>Ropa</t>
        </is>
      </c>
      <c r="K122" s="156" t="inlineStr">
        <is>
          <t>Playeras</t>
        </is>
      </c>
      <c r="L122" s="156" t="n"/>
      <c r="M122" s="156" t="inlineStr">
        <is>
          <t>REFLO</t>
        </is>
      </c>
      <c r="N122" s="156" t="n"/>
      <c r="O122" s="156" t="n"/>
      <c r="P122" s="156" t="inlineStr">
        <is>
          <t>Azul</t>
        </is>
      </c>
      <c r="Q122" s="156" t="n"/>
      <c r="R122" s="156" t="n"/>
      <c r="S122" s="156" t="inlineStr">
        <is>
          <t>Poliéster reciclado</t>
        </is>
      </c>
      <c r="T122" s="156" t="inlineStr">
        <is>
          <t>Playera de golf REFLO modelo Moana en color Coronet Blue, confeccionado con materiales reciclados. Estilo MOACOR.</t>
        </is>
      </c>
      <c r="U122" s="156" t="n"/>
      <c r="V122" s="156" t="inlineStr">
        <is>
          <t>PZS</t>
        </is>
      </c>
      <c r="W122" s="51" t="inlineStr">
        <is>
          <t>53101600</t>
        </is>
      </c>
      <c r="X122" s="156" t="inlineStr">
        <is>
          <t>https://i.ibb.co/99m4sSX/MOACOR.jpg</t>
        </is>
      </c>
      <c r="Y122" s="54" t="n">
        <v>19.5</v>
      </c>
      <c r="Z122" s="54" t="n">
        <v>1449</v>
      </c>
      <c r="AA122" s="55">
        <f>IF(AND(A122="", B122="", E122=""), "", IF(AB122="", "Válido", IF((LEN(AB122)-LEN(SUBSTITUTE(AB122,"; ","")))/2+1&gt;(LEN(AB122)-LEN(SUBSTITUTE(AB122,"[Aviso]","")))/7, "Con Incidencias", "Válido")))</f>
        <v/>
      </c>
      <c r="AB122" s="56">
        <f>IF(AND(A122="", B122="", E122=""), "", TEXTJOIN("; ", TRUE, IF(OR(TRIM(A122&amp;"")="", ISNUMBER(SEARCH("FALTA", A122))), "UPC faltante/inválido", ""), IF(AND(A122&lt;&gt;"", IFERROR(_xlfn.XMATCH(A122,$A$2:$A$653,0,1)&lt;&gt;_xlfn.XMATCH(A122,$A$2:$A$653,0,-1),FALSE)), "Código de barras duplicado", ""), IF(AND(E122&lt;&gt;"", COUNTIF($E$2:$E$653, E122)&gt;1), "SKU duplicado", ""), IF(OR(J122="", J122=""), "[Aviso] División no capturada ()", IF(ISNA(MATCH(J122, Criterios!$A$123:$A$126, 0)), "División no válida", "")), IF(OR(K122="", K122=""), "[Aviso] Categoría no capturada ()", IF(ISNA(MATCH(K122, Criterios!$A$81:$A$120, 0)), "Categoría no válida", IF(AND(J122&lt;&gt;"", J122&lt;&gt;"", J122&lt;&gt;VLOOKUP(K122, Criterios!$A$81:$B$120, 2, FALSE)), "División no coincide con Categoría", ""))), IF(OR(L122="", L122=""), "[Aviso] Género no capturado ()", IF(ISNA(MATCH(L122, Criterios!$B$123:$B$127, 0)), "Género no válido", "")), IF(OR(N122="", N122=""), "[Aviso] Temporada no capturada ()", IF(ISNA(MATCH(N122, Criterios!$C$123:$C$128, 0)), "Temporada no válida", "")), IF(OR(O122="", O122=""), "[Aviso] Ciclo de vida no capturado ()", IF(ISNA(MATCH(O122, Criterios!$D$123:$D$124, 0)), "Ciclo de vida no válido", ""))))</f>
        <v/>
      </c>
      <c r="AC122" s="56" t="n"/>
      <c r="AD122" s="51" t="n">
        <v>12</v>
      </c>
      <c r="AE122" s="156" t="inlineStr">
        <is>
          <t>CONSIGNA REFLO (1); REFLO ALMACEN (6)</t>
        </is>
      </c>
      <c r="AF122" s="51" t="n">
        <v>12</v>
      </c>
      <c r="AG122" s="156" t="inlineStr">
        <is>
          <t>Nuevo – NetSuite con existencia</t>
        </is>
      </c>
      <c r="AH122" s="156" t="inlineStr">
        <is>
          <t>Género no indicado en NetSuite; Composición: poliéster reciclado (validar % en etiqueta); Físico total NetSuite 12 ≠ suma por ubicación 7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22" s="156" t="inlineStr">
        <is>
          <t>No</t>
        </is>
      </c>
      <c r="AJ122" s="156" t="n"/>
      <c r="AK122" s="155" t="inlineStr">
        <is>
          <t>G1522ProductosTodosloscamposSandboxResults894.xlsx: fila 57797 [X,Y]; G1522_Extraccion_Articulos_NetSuite_2026-09-30.xlsx: fila 39552 [Z]</t>
        </is>
      </c>
      <c r="AL122" s="58" t="n">
        <v>19.5</v>
      </c>
      <c r="AM122" s="58" t="n"/>
      <c r="AN122" s="155" t="n"/>
      <c r="AO122" s="59" t="n"/>
      <c r="AP122" s="59" t="n"/>
      <c r="AQ122" s="59" t="n"/>
      <c r="AR122" s="155" t="n"/>
    </row>
    <row r="123">
      <c r="A123" s="50" t="inlineStr">
        <is>
          <t>5056658701900</t>
        </is>
      </c>
      <c r="B123" s="51" t="inlineStr">
        <is>
          <t>84384</t>
        </is>
      </c>
      <c r="C123" s="156" t="inlineStr">
        <is>
          <t>REFLO</t>
        </is>
      </c>
      <c r="D123" s="156" t="inlineStr">
        <is>
          <t>MOACOR</t>
        </is>
      </c>
      <c r="E123" s="156" t="inlineStr">
        <is>
          <t>MOACOR-S</t>
        </is>
      </c>
      <c r="F123" s="156" t="inlineStr">
        <is>
          <t>S</t>
        </is>
      </c>
      <c r="G123" s="156" t="inlineStr">
        <is>
          <t>S</t>
        </is>
      </c>
      <c r="H123" s="156" t="inlineStr">
        <is>
          <t>REFLO</t>
        </is>
      </c>
      <c r="I123" s="156" t="inlineStr">
        <is>
          <t>Playera REFLO Moana Coronet Blue</t>
        </is>
      </c>
      <c r="J123" s="156" t="inlineStr">
        <is>
          <t>Ropa</t>
        </is>
      </c>
      <c r="K123" s="156" t="inlineStr">
        <is>
          <t>Playeras</t>
        </is>
      </c>
      <c r="L123" s="156" t="n"/>
      <c r="M123" s="156" t="inlineStr">
        <is>
          <t>REFLO</t>
        </is>
      </c>
      <c r="N123" s="156" t="n"/>
      <c r="O123" s="156" t="n"/>
      <c r="P123" s="156" t="inlineStr">
        <is>
          <t>Azul</t>
        </is>
      </c>
      <c r="Q123" s="156" t="n"/>
      <c r="R123" s="156" t="n"/>
      <c r="S123" s="156" t="inlineStr">
        <is>
          <t>Poliéster reciclado</t>
        </is>
      </c>
      <c r="T123" s="156" t="inlineStr">
        <is>
          <t>Playera de golf REFLO modelo Moana en color Coronet Blue, confeccionado con materiales reciclados. Estilo MOACOR.</t>
        </is>
      </c>
      <c r="U123" s="156" t="n"/>
      <c r="V123" s="156" t="inlineStr">
        <is>
          <t>PZS</t>
        </is>
      </c>
      <c r="W123" s="51" t="inlineStr">
        <is>
          <t>53101600</t>
        </is>
      </c>
      <c r="X123" s="156" t="inlineStr">
        <is>
          <t>https://i.ibb.co/99m4sSX/MOACOR.jpg</t>
        </is>
      </c>
      <c r="Y123" s="54" t="n">
        <v>19.5</v>
      </c>
      <c r="Z123" s="54" t="n">
        <v>1449</v>
      </c>
      <c r="AA123" s="55">
        <f>IF(AND(A123="", B123="", E123=""), "", IF(AB123="", "Válido", IF((LEN(AB123)-LEN(SUBSTITUTE(AB123,"; ","")))/2+1&gt;(LEN(AB123)-LEN(SUBSTITUTE(AB123,"[Aviso]","")))/7, "Con Incidencias", "Válido")))</f>
        <v/>
      </c>
      <c r="AB123" s="56">
        <f>IF(AND(A123="", B123="", E123=""), "", TEXTJOIN("; ", TRUE, IF(OR(TRIM(A123&amp;"")="", ISNUMBER(SEARCH("FALTA", A123))), "UPC faltante/inválido", ""), IF(AND(A123&lt;&gt;"", IFERROR(_xlfn.XMATCH(A123,$A$2:$A$653,0,1)&lt;&gt;_xlfn.XMATCH(A123,$A$2:$A$653,0,-1),FALSE)), "Código de barras duplicado", ""), IF(AND(E123&lt;&gt;"", COUNTIF($E$2:$E$653, E123)&gt;1), "SKU duplicado", ""), IF(OR(J123="", J123=""), "[Aviso] División no capturada ()", IF(ISNA(MATCH(J123, Criterios!$A$123:$A$126, 0)), "División no válida", "")), IF(OR(K123="", K123=""), "[Aviso] Categoría no capturada ()", IF(ISNA(MATCH(K123, Criterios!$A$81:$A$120, 0)), "Categoría no válida", IF(AND(J123&lt;&gt;"", J123&lt;&gt;"", J123&lt;&gt;VLOOKUP(K123, Criterios!$A$81:$B$120, 2, FALSE)), "División no coincide con Categoría", ""))), IF(OR(L123="", L123=""), "[Aviso] Género no capturado ()", IF(ISNA(MATCH(L123, Criterios!$B$123:$B$127, 0)), "Género no válido", "")), IF(OR(N123="", N123=""), "[Aviso] Temporada no capturada ()", IF(ISNA(MATCH(N123, Criterios!$C$123:$C$128, 0)), "Temporada no válida", "")), IF(OR(O123="", O123=""), "[Aviso] Ciclo de vida no capturado ()", IF(ISNA(MATCH(O123, Criterios!$D$123:$D$124, 0)), "Ciclo de vida no válido", ""))))</f>
        <v/>
      </c>
      <c r="AC123" s="56" t="n"/>
      <c r="AD123" s="51" t="n">
        <v>6</v>
      </c>
      <c r="AE123" s="156" t="inlineStr">
        <is>
          <t>CONSIGNA REFLO (2); REFLO ALMACEN (2)</t>
        </is>
      </c>
      <c r="AF123" s="51" t="n">
        <v>6</v>
      </c>
      <c r="AG123" s="156" t="inlineStr">
        <is>
          <t>Nuevo – NetSuite con existencia</t>
        </is>
      </c>
      <c r="AH123" s="156" t="inlineStr">
        <is>
          <t>Género no indicado en NetSuite; Composición: poliéster reciclado (validar % en etiqueta); Físico total NetSuite 6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23" s="156" t="inlineStr">
        <is>
          <t>No</t>
        </is>
      </c>
      <c r="AJ123" s="156" t="n"/>
      <c r="AK123" s="155" t="inlineStr">
        <is>
          <t>G1522ProductosTodosloscamposSandboxResults894.xlsx: fila 57796 [X,Y]; G1522_Extraccion_Articulos_NetSuite_2026-09-30.xlsx: fila 39553 [Z]</t>
        </is>
      </c>
      <c r="AL123" s="58" t="n">
        <v>19.5</v>
      </c>
      <c r="AM123" s="58" t="n"/>
      <c r="AN123" s="155" t="n"/>
      <c r="AO123" s="59" t="n"/>
      <c r="AP123" s="59" t="n"/>
      <c r="AQ123" s="59" t="n"/>
      <c r="AR123" s="155" t="n"/>
    </row>
    <row r="124">
      <c r="A124" s="50" t="inlineStr">
        <is>
          <t>5056658701931</t>
        </is>
      </c>
      <c r="B124" s="51" t="inlineStr">
        <is>
          <t>84385</t>
        </is>
      </c>
      <c r="C124" s="156" t="inlineStr">
        <is>
          <t>REFLO</t>
        </is>
      </c>
      <c r="D124" s="156" t="inlineStr">
        <is>
          <t>MOACOR</t>
        </is>
      </c>
      <c r="E124" s="156" t="inlineStr">
        <is>
          <t>MOACOR-XL</t>
        </is>
      </c>
      <c r="F124" s="156" t="inlineStr">
        <is>
          <t>XL</t>
        </is>
      </c>
      <c r="G124" s="156" t="inlineStr">
        <is>
          <t>XL</t>
        </is>
      </c>
      <c r="H124" s="156" t="inlineStr">
        <is>
          <t>REFLO</t>
        </is>
      </c>
      <c r="I124" s="156" t="inlineStr">
        <is>
          <t>Playera REFLO Moana Coronet Blue</t>
        </is>
      </c>
      <c r="J124" s="156" t="inlineStr">
        <is>
          <t>Ropa</t>
        </is>
      </c>
      <c r="K124" s="156" t="inlineStr">
        <is>
          <t>Playeras</t>
        </is>
      </c>
      <c r="L124" s="156" t="n"/>
      <c r="M124" s="156" t="inlineStr">
        <is>
          <t>REFLO</t>
        </is>
      </c>
      <c r="N124" s="156" t="n"/>
      <c r="O124" s="156" t="n"/>
      <c r="P124" s="156" t="inlineStr">
        <is>
          <t>Azul</t>
        </is>
      </c>
      <c r="Q124" s="156" t="n"/>
      <c r="R124" s="156" t="n"/>
      <c r="S124" s="156" t="inlineStr">
        <is>
          <t>Poliéster reciclado</t>
        </is>
      </c>
      <c r="T124" s="156" t="inlineStr">
        <is>
          <t>Playera de golf REFLO modelo Moana en color Coronet Blue, confeccionado con materiales reciclados. Estilo MOACOR.</t>
        </is>
      </c>
      <c r="U124" s="156" t="n"/>
      <c r="V124" s="156" t="inlineStr">
        <is>
          <t>PZS</t>
        </is>
      </c>
      <c r="W124" s="51" t="inlineStr">
        <is>
          <t>53101600</t>
        </is>
      </c>
      <c r="X124" s="156" t="inlineStr">
        <is>
          <t>https://i.ibb.co/99m4sSX/MOACOR.jpg</t>
        </is>
      </c>
      <c r="Y124" s="54" t="n">
        <v>19.5</v>
      </c>
      <c r="Z124" s="54" t="n">
        <v>1449</v>
      </c>
      <c r="AA124" s="55">
        <f>IF(AND(A124="", B124="", E124=""), "", IF(AB124="", "Válido", IF((LEN(AB124)-LEN(SUBSTITUTE(AB124,"; ","")))/2+1&gt;(LEN(AB124)-LEN(SUBSTITUTE(AB124,"[Aviso]","")))/7, "Con Incidencias", "Válido")))</f>
        <v/>
      </c>
      <c r="AB124" s="56">
        <f>IF(AND(A124="", B124="", E124=""), "", TEXTJOIN("; ", TRUE, IF(OR(TRIM(A124&amp;"")="", ISNUMBER(SEARCH("FALTA", A124))), "UPC faltante/inválido", ""), IF(AND(A124&lt;&gt;"", IFERROR(_xlfn.XMATCH(A124,$A$2:$A$653,0,1)&lt;&gt;_xlfn.XMATCH(A124,$A$2:$A$653,0,-1),FALSE)), "Código de barras duplicado", ""), IF(AND(E124&lt;&gt;"", COUNTIF($E$2:$E$653, E124)&gt;1), "SKU duplicado", ""), IF(OR(J124="", J124=""), "[Aviso] División no capturada ()", IF(ISNA(MATCH(J124, Criterios!$A$123:$A$126, 0)), "División no válida", "")), IF(OR(K124="", K124=""), "[Aviso] Categoría no capturada ()", IF(ISNA(MATCH(K124, Criterios!$A$81:$A$120, 0)), "Categoría no válida", IF(AND(J124&lt;&gt;"", J124&lt;&gt;"", J124&lt;&gt;VLOOKUP(K124, Criterios!$A$81:$B$120, 2, FALSE)), "División no coincide con Categoría", ""))), IF(OR(L124="", L124=""), "[Aviso] Género no capturado ()", IF(ISNA(MATCH(L124, Criterios!$B$123:$B$127, 0)), "Género no válido", "")), IF(OR(N124="", N124=""), "[Aviso] Temporada no capturada ()", IF(ISNA(MATCH(N124, Criterios!$C$123:$C$128, 0)), "Temporada no válida", "")), IF(OR(O124="", O124=""), "[Aviso] Ciclo de vida no capturado ()", IF(ISNA(MATCH(O124, Criterios!$D$123:$D$124, 0)), "Ciclo de vida no válido", ""))))</f>
        <v/>
      </c>
      <c r="AC124" s="56" t="n"/>
      <c r="AD124" s="51" t="n">
        <v>32</v>
      </c>
      <c r="AE124" s="156" t="inlineStr">
        <is>
          <t>REFLO ALMACEN (15); CONSIGNA REFLO (2)</t>
        </is>
      </c>
      <c r="AF124" s="51" t="n">
        <v>32</v>
      </c>
      <c r="AG124" s="156" t="inlineStr">
        <is>
          <t>Nuevo – NetSuite con existencia</t>
        </is>
      </c>
      <c r="AH124" s="156" t="inlineStr">
        <is>
          <t>Género no indicado en NetSuite; Composición: poliéster reciclado (validar % en etiqueta); Físico total NetSuite 32 ≠ suma por ubicación 17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24" s="156" t="inlineStr">
        <is>
          <t>No</t>
        </is>
      </c>
      <c r="AJ124" s="156" t="n"/>
      <c r="AK124" s="155" t="inlineStr">
        <is>
          <t>G1522ProductosTodosloscamposSandboxResults894.xlsx: fila 57799 [X,Y]; G1522_Extraccion_Articulos_NetSuite_2026-09-30.xlsx: fila 39554 [Z]</t>
        </is>
      </c>
      <c r="AL124" s="58" t="n">
        <v>19.5</v>
      </c>
      <c r="AM124" s="58" t="n"/>
      <c r="AN124" s="155" t="n"/>
      <c r="AO124" s="59" t="n"/>
      <c r="AP124" s="59" t="n"/>
      <c r="AQ124" s="59" t="n"/>
      <c r="AR124" s="155" t="n"/>
    </row>
    <row r="125">
      <c r="A125" s="50" t="inlineStr">
        <is>
          <t>5056658701948</t>
        </is>
      </c>
      <c r="B125" s="51" t="inlineStr">
        <is>
          <t>84386</t>
        </is>
      </c>
      <c r="C125" s="156" t="inlineStr">
        <is>
          <t>REFLO</t>
        </is>
      </c>
      <c r="D125" s="156" t="inlineStr">
        <is>
          <t>MOACOR</t>
        </is>
      </c>
      <c r="E125" s="156" t="inlineStr">
        <is>
          <t>MOACOR-2XL</t>
        </is>
      </c>
      <c r="F125" s="156" t="inlineStr">
        <is>
          <t>XXL</t>
        </is>
      </c>
      <c r="G125" s="156" t="inlineStr">
        <is>
          <t>XXL</t>
        </is>
      </c>
      <c r="H125" s="156" t="inlineStr">
        <is>
          <t>REFLO</t>
        </is>
      </c>
      <c r="I125" s="156" t="inlineStr">
        <is>
          <t>Playera REFLO Moana Coronet Blue</t>
        </is>
      </c>
      <c r="J125" s="156" t="inlineStr">
        <is>
          <t>Ropa</t>
        </is>
      </c>
      <c r="K125" s="156" t="inlineStr">
        <is>
          <t>Playeras</t>
        </is>
      </c>
      <c r="L125" s="156" t="n"/>
      <c r="M125" s="156" t="inlineStr">
        <is>
          <t>REFLO</t>
        </is>
      </c>
      <c r="N125" s="156" t="n"/>
      <c r="O125" s="156" t="n"/>
      <c r="P125" s="156" t="inlineStr">
        <is>
          <t>Azul</t>
        </is>
      </c>
      <c r="Q125" s="156" t="n"/>
      <c r="R125" s="156" t="n"/>
      <c r="S125" s="156" t="inlineStr">
        <is>
          <t>Poliéster reciclado</t>
        </is>
      </c>
      <c r="T125" s="156" t="inlineStr">
        <is>
          <t>Playera de golf REFLO modelo Moana en color Coronet Blue, confeccionado con materiales reciclados. Estilo MOACOR.</t>
        </is>
      </c>
      <c r="U125" s="156" t="n"/>
      <c r="V125" s="156" t="inlineStr">
        <is>
          <t>PZS</t>
        </is>
      </c>
      <c r="W125" s="51" t="inlineStr">
        <is>
          <t>53101600</t>
        </is>
      </c>
      <c r="X125" s="156" t="inlineStr">
        <is>
          <t>https://i.ibb.co/99m4sSX/MOACOR.jpg</t>
        </is>
      </c>
      <c r="Y125" s="54" t="n">
        <v>19.5</v>
      </c>
      <c r="Z125" s="54" t="n">
        <v>1449</v>
      </c>
      <c r="AA125" s="55">
        <f>IF(AND(A125="", B125="", E125=""), "", IF(AB125="", "Válido", IF((LEN(AB125)-LEN(SUBSTITUTE(AB125,"; ","")))/2+1&gt;(LEN(AB125)-LEN(SUBSTITUTE(AB125,"[Aviso]","")))/7, "Con Incidencias", "Válido")))</f>
        <v/>
      </c>
      <c r="AB125" s="56">
        <f>IF(AND(A125="", B125="", E125=""), "", TEXTJOIN("; ", TRUE, IF(OR(TRIM(A125&amp;"")="", ISNUMBER(SEARCH("FALTA", A125))), "UPC faltante/inválido", ""), IF(AND(A125&lt;&gt;"", IFERROR(_xlfn.XMATCH(A125,$A$2:$A$653,0,1)&lt;&gt;_xlfn.XMATCH(A125,$A$2:$A$653,0,-1),FALSE)), "Código de barras duplicado", ""), IF(AND(E125&lt;&gt;"", COUNTIF($E$2:$E$653, E125)&gt;1), "SKU duplicado", ""), IF(OR(J125="", J125=""), "[Aviso] División no capturada ()", IF(ISNA(MATCH(J125, Criterios!$A$123:$A$126, 0)), "División no válida", "")), IF(OR(K125="", K125=""), "[Aviso] Categoría no capturada ()", IF(ISNA(MATCH(K125, Criterios!$A$81:$A$120, 0)), "Categoría no válida", IF(AND(J125&lt;&gt;"", J125&lt;&gt;"", J125&lt;&gt;VLOOKUP(K125, Criterios!$A$81:$B$120, 2, FALSE)), "División no coincide con Categoría", ""))), IF(OR(L125="", L125=""), "[Aviso] Género no capturado ()", IF(ISNA(MATCH(L125, Criterios!$B$123:$B$127, 0)), "Género no válido", "")), IF(OR(N125="", N125=""), "[Aviso] Temporada no capturada ()", IF(ISNA(MATCH(N125, Criterios!$C$123:$C$128, 0)), "Temporada no válida", "")), IF(OR(O125="", O125=""), "[Aviso] Ciclo de vida no capturado ()", IF(ISNA(MATCH(O125, Criterios!$D$123:$D$124, 0)), "Ciclo de vida no válido", ""))))</f>
        <v/>
      </c>
      <c r="AC125" s="56" t="n"/>
      <c r="AD125" s="51" t="n">
        <v>16</v>
      </c>
      <c r="AE125" s="156" t="inlineStr">
        <is>
          <t>REFLO ALMACEN (7); CONSIGNA REFLO (1)</t>
        </is>
      </c>
      <c r="AF125" s="51" t="n">
        <v>16</v>
      </c>
      <c r="AG125" s="156" t="inlineStr">
        <is>
          <t>Nuevo – NetSuite con existencia</t>
        </is>
      </c>
      <c r="AH125" s="156" t="inlineStr">
        <is>
          <t>Género no indicado en NetSuite; Composición: poliéster reciclado (validar % en etiqueta); Físico total NetSuite 16 ≠ suma por ubicación 8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125" s="156" t="inlineStr">
        <is>
          <t>No</t>
        </is>
      </c>
      <c r="AJ125" s="156" t="n"/>
      <c r="AK125" s="155" t="inlineStr">
        <is>
          <t>G1522ProductosTodosloscamposSandboxResults894.xlsx: fila 57800 [X,Y]; G1522_Extraccion_Articulos_NetSuite_2026-09-30.xlsx: fila 39555 [Z]</t>
        </is>
      </c>
      <c r="AL125" s="58" t="n">
        <v>19.5</v>
      </c>
      <c r="AM125" s="58" t="n"/>
      <c r="AN125" s="155" t="n"/>
      <c r="AO125" s="59" t="n"/>
      <c r="AP125" s="59" t="n"/>
      <c r="AQ125" s="59" t="n"/>
      <c r="AR125" s="155" t="n"/>
    </row>
    <row r="126">
      <c r="A126" s="50" t="inlineStr">
        <is>
          <t>5056658700248</t>
        </is>
      </c>
      <c r="B126" s="51" t="inlineStr">
        <is>
          <t>79330</t>
        </is>
      </c>
      <c r="C126" s="156" t="inlineStr">
        <is>
          <t>REFLO</t>
        </is>
      </c>
      <c r="D126" s="156" t="inlineStr">
        <is>
          <t>OTIGRE</t>
        </is>
      </c>
      <c r="E126" s="156" t="inlineStr">
        <is>
          <t>OTIGRE-M</t>
        </is>
      </c>
      <c r="F126" s="156" t="inlineStr">
        <is>
          <t>M</t>
        </is>
      </c>
      <c r="G126" s="156" t="inlineStr">
        <is>
          <t>M</t>
        </is>
      </c>
      <c r="H126" s="156" t="inlineStr">
        <is>
          <t>REFLO</t>
        </is>
      </c>
      <c r="I126" s="156" t="inlineStr">
        <is>
          <t>Playera tipo polo REFLO Oti Green</t>
        </is>
      </c>
      <c r="J126" s="156" t="inlineStr">
        <is>
          <t>Ropa</t>
        </is>
      </c>
      <c r="K126" s="156" t="inlineStr">
        <is>
          <t>Playeras</t>
        </is>
      </c>
      <c r="L126" s="156" t="n"/>
      <c r="M126" s="156" t="inlineStr">
        <is>
          <t>REFLO</t>
        </is>
      </c>
      <c r="N126" s="156" t="n"/>
      <c r="O126" s="156" t="n"/>
      <c r="P126" s="156" t="inlineStr">
        <is>
          <t>Verde</t>
        </is>
      </c>
      <c r="Q126" s="156" t="n"/>
      <c r="R126" s="156" t="n"/>
      <c r="S126" s="156" t="inlineStr">
        <is>
          <t>Poliéster reciclado</t>
        </is>
      </c>
      <c r="T126" s="156" t="inlineStr">
        <is>
          <t>Playera tipo polo de golf REFLO modelo Oti en color Green, confeccionado con materiales reciclados. Estilo OTIGRE.</t>
        </is>
      </c>
      <c r="U126" s="156" t="n"/>
      <c r="V126" s="156" t="inlineStr">
        <is>
          <t>PZS</t>
        </is>
      </c>
      <c r="W126" s="51" t="inlineStr">
        <is>
          <t>53101600</t>
        </is>
      </c>
      <c r="X126" s="156" t="n"/>
      <c r="Y126" s="54" t="n">
        <v>26</v>
      </c>
      <c r="Z126" s="54" t="n">
        <v>1637.068966</v>
      </c>
      <c r="AA126" s="55">
        <f>IF(AND(A126="", B126="", E126=""), "", IF(AB126="", "Válido", IF((LEN(AB126)-LEN(SUBSTITUTE(AB126,"; ","")))/2+1&gt;(LEN(AB126)-LEN(SUBSTITUTE(AB126,"[Aviso]","")))/7, "Con Incidencias", "Válido")))</f>
        <v/>
      </c>
      <c r="AB126" s="56">
        <f>IF(AND(A126="", B126="", E126=""), "", TEXTJOIN("; ", TRUE, IF(OR(TRIM(A126&amp;"")="", ISNUMBER(SEARCH("FALTA", A126))), "UPC faltante/inválido", ""), IF(AND(A126&lt;&gt;"", IFERROR(_xlfn.XMATCH(A126,$A$2:$A$653,0,1)&lt;&gt;_xlfn.XMATCH(A126,$A$2:$A$653,0,-1),FALSE)), "Código de barras duplicado", ""), IF(AND(E126&lt;&gt;"", COUNTIF($E$2:$E$653, E126)&gt;1), "SKU duplicado", ""), IF(OR(J126="", J126=""), "[Aviso] División no capturada ()", IF(ISNA(MATCH(J126, Criterios!$A$123:$A$126, 0)), "División no válida", "")), IF(OR(K126="", K126=""), "[Aviso] Categoría no capturada ()", IF(ISNA(MATCH(K126, Criterios!$A$81:$A$120, 0)), "Categoría no válida", IF(AND(J126&lt;&gt;"", J126&lt;&gt;"", J126&lt;&gt;VLOOKUP(K126, Criterios!$A$81:$B$120, 2, FALSE)), "División no coincide con Categoría", ""))), IF(OR(L126="", L126=""), "[Aviso] Género no capturado ()", IF(ISNA(MATCH(L126, Criterios!$B$123:$B$127, 0)), "Género no válido", "")), IF(OR(N126="", N126=""), "[Aviso] Temporada no capturada ()", IF(ISNA(MATCH(N126, Criterios!$C$123:$C$128, 0)), "Temporada no válida", "")), IF(OR(O126="", O126=""), "[Aviso] Ciclo de vida no capturado ()", IF(ISNA(MATCH(O126, Criterios!$D$123:$D$124, 0)), "Ciclo de vida no válido", ""))))</f>
        <v/>
      </c>
      <c r="AC126" s="56" t="n"/>
      <c r="AD126" s="51" t="n">
        <v>2</v>
      </c>
      <c r="AE126" s="156" t="inlineStr">
        <is>
          <t>REFLO ALMACEN (1)</t>
        </is>
      </c>
      <c r="AF126" s="51" t="n">
        <v>2</v>
      </c>
      <c r="AG126" s="156" t="inlineStr">
        <is>
          <t>Nuevo – NetSuite con existencia</t>
        </is>
      </c>
      <c r="AH126" s="156" t="inlineStr">
        <is>
          <t>Género no indicado en NetSuite; Composición: poliéster reciclado (validar % en etiqueta); Físico total NetSuite 2 ≠ suma por ubicación 1 | Revisión 29/09/2026: Marca REFLO fuera de lista Criterios; Campos sin respaldo: L, N, O, Q, U, X; Auditoría NetSuite 30/09/2026: llenado desde NetSuite [Y]</t>
        </is>
      </c>
      <c r="AI126" s="156" t="inlineStr">
        <is>
          <t>No</t>
        </is>
      </c>
      <c r="AJ126" s="156" t="n"/>
      <c r="AK126" s="155" t="inlineStr">
        <is>
          <t>G1522ProductosTodosloscamposSandboxResults894.xlsx: fila 57896 [Y]; G1522_Extraccion_Articulos_NetSuite_2026-09-30.xlsx: fila 37662 [Y]</t>
        </is>
      </c>
      <c r="AL126" s="58" t="n"/>
      <c r="AM126" s="58" t="n">
        <v>1637.068966</v>
      </c>
      <c r="AN126" s="155" t="n"/>
      <c r="AO126" s="59" t="n"/>
      <c r="AP126" s="59" t="n"/>
      <c r="AQ126" s="59" t="n"/>
      <c r="AR126" s="155" t="n"/>
    </row>
    <row r="127">
      <c r="A127" s="50" t="inlineStr">
        <is>
          <t>5056658700255</t>
        </is>
      </c>
      <c r="B127" s="51" t="inlineStr">
        <is>
          <t>79331</t>
        </is>
      </c>
      <c r="C127" s="156" t="inlineStr">
        <is>
          <t>REFLO</t>
        </is>
      </c>
      <c r="D127" s="156" t="inlineStr">
        <is>
          <t>OTIGRE</t>
        </is>
      </c>
      <c r="E127" s="156" t="inlineStr">
        <is>
          <t>OTIGRE-L</t>
        </is>
      </c>
      <c r="F127" s="156" t="inlineStr">
        <is>
          <t>L</t>
        </is>
      </c>
      <c r="G127" s="156" t="inlineStr">
        <is>
          <t>L</t>
        </is>
      </c>
      <c r="H127" s="156" t="inlineStr">
        <is>
          <t>REFLO</t>
        </is>
      </c>
      <c r="I127" s="156" t="inlineStr">
        <is>
          <t>Playera tipo polo REFLO Oti Green</t>
        </is>
      </c>
      <c r="J127" s="156" t="inlineStr">
        <is>
          <t>Ropa</t>
        </is>
      </c>
      <c r="K127" s="156" t="inlineStr">
        <is>
          <t>Playeras</t>
        </is>
      </c>
      <c r="L127" s="156" t="n"/>
      <c r="M127" s="156" t="inlineStr">
        <is>
          <t>REFLO</t>
        </is>
      </c>
      <c r="N127" s="156" t="n"/>
      <c r="O127" s="156" t="n"/>
      <c r="P127" s="156" t="inlineStr">
        <is>
          <t>Verde</t>
        </is>
      </c>
      <c r="Q127" s="156" t="n"/>
      <c r="R127" s="156" t="n"/>
      <c r="S127" s="156" t="inlineStr">
        <is>
          <t>Poliéster reciclado</t>
        </is>
      </c>
      <c r="T127" s="156" t="inlineStr">
        <is>
          <t>Playera tipo polo de golf REFLO modelo Oti en color Green, confeccionado con materiales reciclados. Estilo OTIGRE.</t>
        </is>
      </c>
      <c r="U127" s="156" t="n"/>
      <c r="V127" s="156" t="inlineStr">
        <is>
          <t>PZS</t>
        </is>
      </c>
      <c r="W127" s="51" t="inlineStr">
        <is>
          <t>53101600</t>
        </is>
      </c>
      <c r="X127" s="156" t="n"/>
      <c r="Y127" s="54" t="n">
        <v>26</v>
      </c>
      <c r="Z127" s="54" t="n">
        <v>1637.068966</v>
      </c>
      <c r="AA127" s="55">
        <f>IF(AND(A127="", B127="", E127=""), "", IF(AB127="", "Válido", IF((LEN(AB127)-LEN(SUBSTITUTE(AB127,"; ","")))/2+1&gt;(LEN(AB127)-LEN(SUBSTITUTE(AB127,"[Aviso]","")))/7, "Con Incidencias", "Válido")))</f>
        <v/>
      </c>
      <c r="AB127" s="56">
        <f>IF(AND(A127="", B127="", E127=""), "", TEXTJOIN("; ", TRUE, IF(OR(TRIM(A127&amp;"")="", ISNUMBER(SEARCH("FALTA", A127))), "UPC faltante/inválido", ""), IF(AND(A127&lt;&gt;"", IFERROR(_xlfn.XMATCH(A127,$A$2:$A$653,0,1)&lt;&gt;_xlfn.XMATCH(A127,$A$2:$A$653,0,-1),FALSE)), "Código de barras duplicado", ""), IF(AND(E127&lt;&gt;"", COUNTIF($E$2:$E$653, E127)&gt;1), "SKU duplicado", ""), IF(OR(J127="", J127=""), "[Aviso] División no capturada ()", IF(ISNA(MATCH(J127, Criterios!$A$123:$A$126, 0)), "División no válida", "")), IF(OR(K127="", K127=""), "[Aviso] Categoría no capturada ()", IF(ISNA(MATCH(K127, Criterios!$A$81:$A$120, 0)), "Categoría no válida", IF(AND(J127&lt;&gt;"", J127&lt;&gt;"", J127&lt;&gt;VLOOKUP(K127, Criterios!$A$81:$B$120, 2, FALSE)), "División no coincide con Categoría", ""))), IF(OR(L127="", L127=""), "[Aviso] Género no capturado ()", IF(ISNA(MATCH(L127, Criterios!$B$123:$B$127, 0)), "Género no válido", "")), IF(OR(N127="", N127=""), "[Aviso] Temporada no capturada ()", IF(ISNA(MATCH(N127, Criterios!$C$123:$C$128, 0)), "Temporada no válida", "")), IF(OR(O127="", O127=""), "[Aviso] Ciclo de vida no capturado ()", IF(ISNA(MATCH(O127, Criterios!$D$123:$D$124, 0)), "Ciclo de vida no válido", ""))))</f>
        <v/>
      </c>
      <c r="AC127" s="56" t="n"/>
      <c r="AD127" s="51" t="n">
        <v>5</v>
      </c>
      <c r="AE127" s="156" t="inlineStr">
        <is>
          <t>REFLO ALMACEN (2); MUESTRAS REFLO (1)</t>
        </is>
      </c>
      <c r="AF127" s="51" t="n">
        <v>4</v>
      </c>
      <c r="AG127" s="156" t="inlineStr">
        <is>
          <t>Nuevo – NetSuite con existencia</t>
        </is>
      </c>
      <c r="AH127" s="156" t="inlineStr">
        <is>
          <t>Género no indicado en NetSuite; Composición: poliéster reciclado (validar % en etiqueta); Físico total NetSuite 5 ≠ suma por ubicación 3 | Revisión 29/09/2026: Marca REFLO fuera de lista Criterios; Campos sin respaldo: L, N, O, Q, U, X; Auditoría NetSuite 30/09/2026: llenado desde NetSuite [Y]</t>
        </is>
      </c>
      <c r="AI127" s="156" t="inlineStr">
        <is>
          <t>No</t>
        </is>
      </c>
      <c r="AJ127" s="156" t="n"/>
      <c r="AK127" s="155" t="inlineStr">
        <is>
          <t>G1522ProductosTodosloscamposSandboxResults894.xlsx: fila 57897 [Y]; G1522_Extraccion_Articulos_NetSuite_2026-09-30.xlsx: fila 37663 [Y]</t>
        </is>
      </c>
      <c r="AL127" s="58" t="n"/>
      <c r="AM127" s="58" t="n">
        <v>1637.068966</v>
      </c>
      <c r="AN127" s="155" t="n"/>
      <c r="AO127" s="59" t="n"/>
      <c r="AP127" s="59" t="n"/>
      <c r="AQ127" s="59" t="n"/>
      <c r="AR127" s="155" t="n"/>
    </row>
    <row r="128">
      <c r="A128" s="50" t="inlineStr">
        <is>
          <t>5056658700262</t>
        </is>
      </c>
      <c r="B128" s="51" t="inlineStr">
        <is>
          <t>79332</t>
        </is>
      </c>
      <c r="C128" s="156" t="inlineStr">
        <is>
          <t>REFLO</t>
        </is>
      </c>
      <c r="D128" s="156" t="inlineStr">
        <is>
          <t>OTIGRE</t>
        </is>
      </c>
      <c r="E128" s="156" t="inlineStr">
        <is>
          <t>OTIGRE-XL</t>
        </is>
      </c>
      <c r="F128" s="156" t="inlineStr">
        <is>
          <t>XL</t>
        </is>
      </c>
      <c r="G128" s="156" t="inlineStr">
        <is>
          <t>XL</t>
        </is>
      </c>
      <c r="H128" s="156" t="inlineStr">
        <is>
          <t>REFLO</t>
        </is>
      </c>
      <c r="I128" s="156" t="inlineStr">
        <is>
          <t>Playera tipo polo REFLO Oti Green</t>
        </is>
      </c>
      <c r="J128" s="156" t="inlineStr">
        <is>
          <t>Ropa</t>
        </is>
      </c>
      <c r="K128" s="156" t="inlineStr">
        <is>
          <t>Playeras</t>
        </is>
      </c>
      <c r="L128" s="156" t="n"/>
      <c r="M128" s="156" t="inlineStr">
        <is>
          <t>REFLO</t>
        </is>
      </c>
      <c r="N128" s="156" t="n"/>
      <c r="O128" s="156" t="n"/>
      <c r="P128" s="156" t="inlineStr">
        <is>
          <t>Verde</t>
        </is>
      </c>
      <c r="Q128" s="156" t="n"/>
      <c r="R128" s="156" t="n"/>
      <c r="S128" s="156" t="inlineStr">
        <is>
          <t>Poliéster reciclado</t>
        </is>
      </c>
      <c r="T128" s="156" t="inlineStr">
        <is>
          <t>Playera tipo polo de golf REFLO modelo Oti en color Green, confeccionado con materiales reciclados. Estilo OTIGRE.</t>
        </is>
      </c>
      <c r="U128" s="156" t="n"/>
      <c r="V128" s="156" t="inlineStr">
        <is>
          <t>PZS</t>
        </is>
      </c>
      <c r="W128" s="51" t="inlineStr">
        <is>
          <t>53101600</t>
        </is>
      </c>
      <c r="X128" s="156" t="n"/>
      <c r="Y128" s="54" t="n">
        <v>26</v>
      </c>
      <c r="Z128" s="54" t="n">
        <v>1637.068966</v>
      </c>
      <c r="AA128" s="55">
        <f>IF(AND(A128="", B128="", E128=""), "", IF(AB128="", "Válido", IF((LEN(AB128)-LEN(SUBSTITUTE(AB128,"; ","")))/2+1&gt;(LEN(AB128)-LEN(SUBSTITUTE(AB128,"[Aviso]","")))/7, "Con Incidencias", "Válido")))</f>
        <v/>
      </c>
      <c r="AB128" s="56">
        <f>IF(AND(A128="", B128="", E128=""), "", TEXTJOIN("; ", TRUE, IF(OR(TRIM(A128&amp;"")="", ISNUMBER(SEARCH("FALTA", A128))), "UPC faltante/inválido", ""), IF(AND(A128&lt;&gt;"", IFERROR(_xlfn.XMATCH(A128,$A$2:$A$653,0,1)&lt;&gt;_xlfn.XMATCH(A128,$A$2:$A$653,0,-1),FALSE)), "Código de barras duplicado", ""), IF(AND(E128&lt;&gt;"", COUNTIF($E$2:$E$653, E128)&gt;1), "SKU duplicado", ""), IF(OR(J128="", J128=""), "[Aviso] División no capturada ()", IF(ISNA(MATCH(J128, Criterios!$A$123:$A$126, 0)), "División no válida", "")), IF(OR(K128="", K128=""), "[Aviso] Categoría no capturada ()", IF(ISNA(MATCH(K128, Criterios!$A$81:$A$120, 0)), "Categoría no válida", IF(AND(J128&lt;&gt;"", J128&lt;&gt;"", J128&lt;&gt;VLOOKUP(K128, Criterios!$A$81:$B$120, 2, FALSE)), "División no coincide con Categoría", ""))), IF(OR(L128="", L128=""), "[Aviso] Género no capturado ()", IF(ISNA(MATCH(L128, Criterios!$B$123:$B$127, 0)), "Género no válido", "")), IF(OR(N128="", N128=""), "[Aviso] Temporada no capturada ()", IF(ISNA(MATCH(N128, Criterios!$C$123:$C$128, 0)), "Temporada no válida", "")), IF(OR(O128="", O128=""), "[Aviso] Ciclo de vida no capturado ()", IF(ISNA(MATCH(O128, Criterios!$D$123:$D$124, 0)), "Ciclo de vida no válido", ""))))</f>
        <v/>
      </c>
      <c r="AC128" s="56" t="n"/>
      <c r="AD128" s="51" t="n">
        <v>8</v>
      </c>
      <c r="AE128" s="156" t="inlineStr">
        <is>
          <t>REFLO ALMACEN (5)</t>
        </is>
      </c>
      <c r="AF128" s="51" t="n">
        <v>9</v>
      </c>
      <c r="AG128" s="156" t="inlineStr">
        <is>
          <t>Nuevo – NetSuite con existencia</t>
        </is>
      </c>
      <c r="AH128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U, X; Auditoría NetSuite 30/09/2026: llenado desde NetSuite [Y]</t>
        </is>
      </c>
      <c r="AI128" s="156" t="inlineStr">
        <is>
          <t>Sí</t>
        </is>
      </c>
      <c r="AJ128" s="156" t="inlineStr">
        <is>
          <t>CONSIGNA REFLO (-1)</t>
        </is>
      </c>
      <c r="AK128" s="155" t="inlineStr">
        <is>
          <t>G1522ProductosTodosloscamposSandboxResults894.xlsx: fila 57898 [Y]; G1522_Extraccion_Articulos_NetSuite_2026-09-30.xlsx: fila 37664 [Y]</t>
        </is>
      </c>
      <c r="AL128" s="58" t="n"/>
      <c r="AM128" s="58" t="n">
        <v>1637.068966</v>
      </c>
      <c r="AN128" s="155" t="n"/>
      <c r="AO128" s="59" t="n"/>
      <c r="AP128" s="59" t="n"/>
      <c r="AQ128" s="59" t="n"/>
      <c r="AR128" s="155" t="n"/>
    </row>
    <row r="129">
      <c r="A129" s="50" t="inlineStr">
        <is>
          <t>5056658700279</t>
        </is>
      </c>
      <c r="B129" s="51" t="inlineStr">
        <is>
          <t>79333</t>
        </is>
      </c>
      <c r="C129" s="156" t="inlineStr">
        <is>
          <t>REFLO</t>
        </is>
      </c>
      <c r="D129" s="156" t="inlineStr">
        <is>
          <t>OTIGRE</t>
        </is>
      </c>
      <c r="E129" s="156" t="inlineStr">
        <is>
          <t>OTIGRE-2XL</t>
        </is>
      </c>
      <c r="F129" s="156" t="inlineStr">
        <is>
          <t>XXL</t>
        </is>
      </c>
      <c r="G129" s="156" t="inlineStr">
        <is>
          <t>XXL</t>
        </is>
      </c>
      <c r="H129" s="156" t="inlineStr">
        <is>
          <t>REFLO</t>
        </is>
      </c>
      <c r="I129" s="156" t="inlineStr">
        <is>
          <t>Playera tipo polo REFLO Oti Green</t>
        </is>
      </c>
      <c r="J129" s="156" t="inlineStr">
        <is>
          <t>Ropa</t>
        </is>
      </c>
      <c r="K129" s="156" t="inlineStr">
        <is>
          <t>Playeras</t>
        </is>
      </c>
      <c r="L129" s="156" t="n"/>
      <c r="M129" s="156" t="inlineStr">
        <is>
          <t>REFLO</t>
        </is>
      </c>
      <c r="N129" s="156" t="n"/>
      <c r="O129" s="156" t="n"/>
      <c r="P129" s="156" t="inlineStr">
        <is>
          <t>Verde</t>
        </is>
      </c>
      <c r="Q129" s="156" t="n"/>
      <c r="R129" s="156" t="n"/>
      <c r="S129" s="156" t="inlineStr">
        <is>
          <t>Poliéster reciclado</t>
        </is>
      </c>
      <c r="T129" s="156" t="inlineStr">
        <is>
          <t>Playera tipo polo de golf REFLO modelo Oti en color Green, confeccionado con materiales reciclados. Estilo OTIGRE.</t>
        </is>
      </c>
      <c r="U129" s="156" t="n"/>
      <c r="V129" s="156" t="inlineStr">
        <is>
          <t>PZS</t>
        </is>
      </c>
      <c r="W129" s="51" t="inlineStr">
        <is>
          <t>53101600</t>
        </is>
      </c>
      <c r="X129" s="156" t="n"/>
      <c r="Y129" s="54" t="n">
        <v>26</v>
      </c>
      <c r="Z129" s="54" t="n">
        <v>1637.068966</v>
      </c>
      <c r="AA129" s="55">
        <f>IF(AND(A129="", B129="", E129=""), "", IF(AB129="", "Válido", IF((LEN(AB129)-LEN(SUBSTITUTE(AB129,"; ","")))/2+1&gt;(LEN(AB129)-LEN(SUBSTITUTE(AB129,"[Aviso]","")))/7, "Con Incidencias", "Válido")))</f>
        <v/>
      </c>
      <c r="AB129" s="56">
        <f>IF(AND(A129="", B129="", E129=""), "", TEXTJOIN("; ", TRUE, IF(OR(TRIM(A129&amp;"")="", ISNUMBER(SEARCH("FALTA", A129))), "UPC faltante/inválido", ""), IF(AND(A129&lt;&gt;"", IFERROR(_xlfn.XMATCH(A129,$A$2:$A$653,0,1)&lt;&gt;_xlfn.XMATCH(A129,$A$2:$A$653,0,-1),FALSE)), "Código de barras duplicado", ""), IF(AND(E129&lt;&gt;"", COUNTIF($E$2:$E$653, E129)&gt;1), "SKU duplicado", ""), IF(OR(J129="", J129=""), "[Aviso] División no capturada ()", IF(ISNA(MATCH(J129, Criterios!$A$123:$A$126, 0)), "División no válida", "")), IF(OR(K129="", K129=""), "[Aviso] Categoría no capturada ()", IF(ISNA(MATCH(K129, Criterios!$A$81:$A$120, 0)), "Categoría no válida", IF(AND(J129&lt;&gt;"", J129&lt;&gt;"", J129&lt;&gt;VLOOKUP(K129, Criterios!$A$81:$B$120, 2, FALSE)), "División no coincide con Categoría", ""))), IF(OR(L129="", L129=""), "[Aviso] Género no capturado ()", IF(ISNA(MATCH(L129, Criterios!$B$123:$B$127, 0)), "Género no válido", "")), IF(OR(N129="", N129=""), "[Aviso] Temporada no capturada ()", IF(ISNA(MATCH(N129, Criterios!$C$123:$C$128, 0)), "Temporada no válida", "")), IF(OR(O129="", O129=""), "[Aviso] Ciclo de vida no capturado ()", IF(ISNA(MATCH(O129, Criterios!$D$123:$D$124, 0)), "Ciclo de vida no válido", ""))))</f>
        <v/>
      </c>
      <c r="AC129" s="56" t="n"/>
      <c r="AD129" s="51" t="n">
        <v>4</v>
      </c>
      <c r="AE129" s="156" t="inlineStr">
        <is>
          <t>REFLO ALMACEN (2)</t>
        </is>
      </c>
      <c r="AF129" s="51" t="n">
        <v>4</v>
      </c>
      <c r="AG129" s="156" t="inlineStr">
        <is>
          <t>Nuevo – NetSuite con existencia</t>
        </is>
      </c>
      <c r="AH129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U, X; Auditoría NetSuite 30/09/2026: llenado desde NetSuite [Y]</t>
        </is>
      </c>
      <c r="AI129" s="156" t="inlineStr">
        <is>
          <t>No</t>
        </is>
      </c>
      <c r="AJ129" s="156" t="n"/>
      <c r="AK129" s="155" t="inlineStr">
        <is>
          <t>G1522ProductosTodosloscamposSandboxResults894.xlsx: fila 57899 [Y]; G1522_Extraccion_Articulos_NetSuite_2026-09-30.xlsx: fila 37665 [Y]</t>
        </is>
      </c>
      <c r="AL129" s="58" t="n"/>
      <c r="AM129" s="58" t="n">
        <v>1637.068966</v>
      </c>
      <c r="AN129" s="155" t="n"/>
      <c r="AO129" s="59" t="n"/>
      <c r="AP129" s="59" t="n"/>
      <c r="AQ129" s="59" t="n"/>
      <c r="AR129" s="155" t="n"/>
    </row>
    <row r="130">
      <c r="A130" s="50" t="inlineStr">
        <is>
          <t>5056658700231</t>
        </is>
      </c>
      <c r="B130" s="51" t="inlineStr">
        <is>
          <t>84430</t>
        </is>
      </c>
      <c r="C130" s="156" t="inlineStr">
        <is>
          <t>REFLO</t>
        </is>
      </c>
      <c r="D130" s="156" t="inlineStr">
        <is>
          <t>OTIGRE</t>
        </is>
      </c>
      <c r="E130" s="156" t="inlineStr">
        <is>
          <t>OTIGRE-S</t>
        </is>
      </c>
      <c r="F130" s="156" t="inlineStr">
        <is>
          <t>S</t>
        </is>
      </c>
      <c r="G130" s="156" t="inlineStr">
        <is>
          <t>S</t>
        </is>
      </c>
      <c r="H130" s="156" t="inlineStr">
        <is>
          <t>REFLO</t>
        </is>
      </c>
      <c r="I130" s="156" t="inlineStr">
        <is>
          <t>Playera tipo polo REFLO Oti Green</t>
        </is>
      </c>
      <c r="J130" s="156" t="inlineStr">
        <is>
          <t>Ropa</t>
        </is>
      </c>
      <c r="K130" s="156" t="inlineStr">
        <is>
          <t>Playeras</t>
        </is>
      </c>
      <c r="L130" s="156" t="n"/>
      <c r="M130" s="156" t="inlineStr">
        <is>
          <t>REFLO</t>
        </is>
      </c>
      <c r="N130" s="156" t="n"/>
      <c r="O130" s="156" t="n"/>
      <c r="P130" s="156" t="inlineStr">
        <is>
          <t>Verde</t>
        </is>
      </c>
      <c r="Q130" s="156" t="n"/>
      <c r="R130" s="156" t="n"/>
      <c r="S130" s="156" t="inlineStr">
        <is>
          <t>Poliéster reciclado</t>
        </is>
      </c>
      <c r="T130" s="156" t="inlineStr">
        <is>
          <t>Playera tipo polo de golf REFLO modelo Oti en color Green, confeccionado con materiales reciclados. Estilo OTIGRE.</t>
        </is>
      </c>
      <c r="U130" s="156" t="n"/>
      <c r="V130" s="156" t="inlineStr">
        <is>
          <t>PZS</t>
        </is>
      </c>
      <c r="W130" s="51" t="inlineStr">
        <is>
          <t>53101600</t>
        </is>
      </c>
      <c r="X130" s="156" t="n"/>
      <c r="Y130" s="54" t="n">
        <v>26</v>
      </c>
      <c r="Z130" s="54" t="n">
        <v>1637.068966</v>
      </c>
      <c r="AA130" s="55">
        <f>IF(AND(A130="", B130="", E130=""), "", IF(AB130="", "Válido", IF((LEN(AB130)-LEN(SUBSTITUTE(AB130,"; ","")))/2+1&gt;(LEN(AB130)-LEN(SUBSTITUTE(AB130,"[Aviso]","")))/7, "Con Incidencias", "Válido")))</f>
        <v/>
      </c>
      <c r="AB130" s="56">
        <f>IF(AND(A130="", B130="", E130=""), "", TEXTJOIN("; ", TRUE, IF(OR(TRIM(A130&amp;"")="", ISNUMBER(SEARCH("FALTA", A130))), "UPC faltante/inválido", ""), IF(AND(A130&lt;&gt;"", IFERROR(_xlfn.XMATCH(A130,$A$2:$A$653,0,1)&lt;&gt;_xlfn.XMATCH(A130,$A$2:$A$653,0,-1),FALSE)), "Código de barras duplicado", ""), IF(AND(E130&lt;&gt;"", COUNTIF($E$2:$E$653, E130)&gt;1), "SKU duplicado", ""), IF(OR(J130="", J130=""), "[Aviso] División no capturada ()", IF(ISNA(MATCH(J130, Criterios!$A$123:$A$126, 0)), "División no válida", "")), IF(OR(K130="", K130=""), "[Aviso] Categoría no capturada ()", IF(ISNA(MATCH(K130, Criterios!$A$81:$A$120, 0)), "Categoría no válida", IF(AND(J130&lt;&gt;"", J130&lt;&gt;"", J130&lt;&gt;VLOOKUP(K130, Criterios!$A$81:$B$120, 2, FALSE)), "División no coincide con Categoría", ""))), IF(OR(L130="", L130=""), "[Aviso] Género no capturado ()", IF(ISNA(MATCH(L130, Criterios!$B$123:$B$127, 0)), "Género no válido", "")), IF(OR(N130="", N130=""), "[Aviso] Temporada no capturada ()", IF(ISNA(MATCH(N130, Criterios!$C$123:$C$128, 0)), "Temporada no válida", "")), IF(OR(O130="", O130=""), "[Aviso] Ciclo de vida no capturado ()", IF(ISNA(MATCH(O130, Criterios!$D$123:$D$124, 0)), "Ciclo de vida no válido", ""))))</f>
        <v/>
      </c>
      <c r="AC130" s="56" t="n"/>
      <c r="AD130" s="51" t="n">
        <v>2</v>
      </c>
      <c r="AE130" s="156" t="inlineStr">
        <is>
          <t>CONSIGNA REFLO (1)</t>
        </is>
      </c>
      <c r="AF130" s="51" t="n">
        <v>2</v>
      </c>
      <c r="AG130" s="156" t="inlineStr">
        <is>
          <t>Nuevo – NetSuite con existencia</t>
        </is>
      </c>
      <c r="AH130" s="156" t="inlineStr">
        <is>
          <t>Género no indicado en NetSuite; Composición: poliéster reciclado (validar % en etiqueta); Físico total NetSuite 2 ≠ suma por ubicación 1 | Revisión 29/09/2026: Marca REFLO fuera de lista Criterios; Campos sin respaldo: L, N, O, Q, U, X; Auditoría NetSuite 30/09/2026: llenado desde NetSuite [Y]</t>
        </is>
      </c>
      <c r="AI130" s="156" t="inlineStr">
        <is>
          <t>No</t>
        </is>
      </c>
      <c r="AJ130" s="156" t="n"/>
      <c r="AK130" s="155" t="inlineStr">
        <is>
          <t>G1522ProductosTodosloscamposSandboxResults894.xlsx: fila 57895 [Y]; G1522_Extraccion_Articulos_NetSuite_2026-09-30.xlsx: fila 39599 [Y]</t>
        </is>
      </c>
      <c r="AL130" s="58" t="n"/>
      <c r="AM130" s="58" t="n">
        <v>1637.068966</v>
      </c>
      <c r="AN130" s="155" t="n"/>
      <c r="AO130" s="59" t="n"/>
      <c r="AP130" s="59" t="n"/>
      <c r="AQ130" s="59" t="n"/>
      <c r="AR130" s="155" t="n"/>
    </row>
    <row r="131">
      <c r="A131" s="50" t="inlineStr">
        <is>
          <t>5056658704796</t>
        </is>
      </c>
      <c r="B131" s="51" t="inlineStr">
        <is>
          <t>79224</t>
        </is>
      </c>
      <c r="C131" s="156" t="inlineStr">
        <is>
          <t>REFLO</t>
        </is>
      </c>
      <c r="D131" s="156" t="inlineStr">
        <is>
          <t>RM02101009</t>
        </is>
      </c>
      <c r="E131" s="156" t="inlineStr">
        <is>
          <t>RM02101009-30</t>
        </is>
      </c>
      <c r="F131" s="156" t="inlineStr">
        <is>
          <t>30</t>
        </is>
      </c>
      <c r="G131" s="156" t="inlineStr">
        <is>
          <t>30W</t>
        </is>
      </c>
      <c r="H131" s="156" t="inlineStr">
        <is>
          <t>REFLO</t>
        </is>
      </c>
      <c r="I131" s="156" t="inlineStr">
        <is>
          <t>Pantalón REFLO Sidra Caviar</t>
        </is>
      </c>
      <c r="J131" s="156" t="inlineStr">
        <is>
          <t>Ropa</t>
        </is>
      </c>
      <c r="K131" s="156" t="inlineStr">
        <is>
          <t>Pantalones</t>
        </is>
      </c>
      <c r="L131" s="156" t="inlineStr">
        <is>
          <t>Hombre</t>
        </is>
      </c>
      <c r="M131" s="156" t="inlineStr">
        <is>
          <t>REFLO</t>
        </is>
      </c>
      <c r="N131" s="156" t="n"/>
      <c r="O131" s="156" t="n"/>
      <c r="P131" s="156" t="inlineStr">
        <is>
          <t>Negro</t>
        </is>
      </c>
      <c r="Q131" s="156" t="n"/>
      <c r="R131" s="156" t="n"/>
      <c r="S131" s="156" t="inlineStr">
        <is>
          <t>88% Poliéster reciclado, 12% Elastano</t>
        </is>
      </c>
      <c r="T131" s="156" t="inlineStr">
        <is>
          <t>Pantalón de golf REFLO modelo Sidra en color Caviar, confeccionado con materiales reciclados. Estilo RM02101009.</t>
        </is>
      </c>
      <c r="U131" s="156" t="inlineStr">
        <is>
          <t>China</t>
        </is>
      </c>
      <c r="V131" s="156" t="inlineStr">
        <is>
          <t>PZS</t>
        </is>
      </c>
      <c r="W131" s="51" t="inlineStr">
        <is>
          <t>53101502</t>
        </is>
      </c>
      <c r="X131" s="156" t="inlineStr">
        <is>
          <t>https://i.ibb.co/0JLgFF2/RM02101009.jpg</t>
        </is>
      </c>
      <c r="Y131" s="54" t="n">
        <v>40.95</v>
      </c>
      <c r="Z131" s="54" t="n">
        <v>2999</v>
      </c>
      <c r="AA131" s="55">
        <f>IF(AND(A131="", B131="", E131=""), "", IF(AB131="", "Válido", IF((LEN(AB131)-LEN(SUBSTITUTE(AB131,"; ","")))/2+1&gt;(LEN(AB131)-LEN(SUBSTITUTE(AB131,"[Aviso]","")))/7, "Con Incidencias", "Válido")))</f>
        <v/>
      </c>
      <c r="AB131" s="56">
        <f>IF(AND(A131="", B131="", E131=""), "", TEXTJOIN("; ", TRUE, IF(OR(TRIM(A131&amp;"")="", ISNUMBER(SEARCH("FALTA", A131))), "UPC faltante/inválido", ""), IF(AND(A131&lt;&gt;"", IFERROR(_xlfn.XMATCH(A131,$A$2:$A$653,0,1)&lt;&gt;_xlfn.XMATCH(A131,$A$2:$A$653,0,-1),FALSE)), "Código de barras duplicado", ""), IF(AND(E131&lt;&gt;"", COUNTIF($E$2:$E$653, E131)&gt;1), "SKU duplicado", ""), IF(OR(J131="", J131=""), "[Aviso] División no capturada ()", IF(ISNA(MATCH(J131, Criterios!$A$123:$A$126, 0)), "División no válida", "")), IF(OR(K131="", K131=""), "[Aviso] Categoría no capturada ()", IF(ISNA(MATCH(K131, Criterios!$A$81:$A$120, 0)), "Categoría no válida", IF(AND(J131&lt;&gt;"", J131&lt;&gt;"", J131&lt;&gt;VLOOKUP(K131, Criterios!$A$81:$B$120, 2, FALSE)), "División no coincide con Categoría", ""))), IF(OR(L131="", L131=""), "[Aviso] Género no capturado ()", IF(ISNA(MATCH(L131, Criterios!$B$123:$B$127, 0)), "Género no válido", "")), IF(OR(N131="", N131=""), "[Aviso] Temporada no capturada ()", IF(ISNA(MATCH(N131, Criterios!$C$123:$C$128, 0)), "Temporada no válida", "")), IF(OR(O131="", O131=""), "[Aviso] Ciclo de vida no capturado ()", IF(ISNA(MATCH(O131, Criterios!$D$123:$D$124, 0)), "Ciclo de vida no válido", ""))))</f>
        <v/>
      </c>
      <c r="AC131" s="56" t="n"/>
      <c r="AD131" s="51" t="n">
        <v>16</v>
      </c>
      <c r="AE131" s="156" t="inlineStr">
        <is>
          <t>REFLO ALMACEN (10)</t>
        </is>
      </c>
      <c r="AF131" s="51" t="n">
        <v>17</v>
      </c>
      <c r="AG131" s="156" t="inlineStr">
        <is>
          <t>Nuevo – NetSuite con existencia</t>
        </is>
      </c>
      <c r="AH131" s="156" t="inlineStr">
        <is>
          <t>Talla: Pantalón solo con cintura (sin largo) (origen «30»); Físico total NetSuite 16 ≠ suma por ubicación 9 | Revisión 29/09/2026: Talla fuente 30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31" s="156" t="inlineStr">
        <is>
          <t>Sí</t>
        </is>
      </c>
      <c r="AJ131" s="156" t="inlineStr">
        <is>
          <t>CONSIGNA REFLO (-1)</t>
        </is>
      </c>
      <c r="AK131" s="155" t="inlineStr">
        <is>
          <t>G1522ProductosTodosloscamposSandboxResults894.xlsx: fila 58699 [X,Y]; G1522_Extraccion_Articulos_NetSuite_2026-09-30.xlsx: fila 37557 [Z]</t>
        </is>
      </c>
      <c r="AL131" s="58" t="n">
        <v>40.95</v>
      </c>
      <c r="AM131" s="58" t="n"/>
      <c r="AN131" s="155" t="n"/>
      <c r="AO131" s="59" t="n"/>
      <c r="AP131" s="59" t="n"/>
      <c r="AQ131" s="59" t="n"/>
      <c r="AR131" s="155" t="n"/>
    </row>
    <row r="132">
      <c r="A132" s="50" t="inlineStr">
        <is>
          <t>5056658704802</t>
        </is>
      </c>
      <c r="B132" s="51" t="inlineStr">
        <is>
          <t>79225</t>
        </is>
      </c>
      <c r="C132" s="156" t="inlineStr">
        <is>
          <t>REFLO</t>
        </is>
      </c>
      <c r="D132" s="156" t="inlineStr">
        <is>
          <t>RM02101009</t>
        </is>
      </c>
      <c r="E132" s="156" t="inlineStr">
        <is>
          <t>RM02101009-32</t>
        </is>
      </c>
      <c r="F132" s="156" t="inlineStr">
        <is>
          <t>32</t>
        </is>
      </c>
      <c r="G132" s="156" t="inlineStr">
        <is>
          <t>32W</t>
        </is>
      </c>
      <c r="H132" s="156" t="inlineStr">
        <is>
          <t>REFLO</t>
        </is>
      </c>
      <c r="I132" s="156" t="inlineStr">
        <is>
          <t>Pantalón REFLO Sidra Caviar</t>
        </is>
      </c>
      <c r="J132" s="156" t="inlineStr">
        <is>
          <t>Ropa</t>
        </is>
      </c>
      <c r="K132" s="156" t="inlineStr">
        <is>
          <t>Pantalones</t>
        </is>
      </c>
      <c r="L132" s="156" t="inlineStr">
        <is>
          <t>Hombre</t>
        </is>
      </c>
      <c r="M132" s="156" t="inlineStr">
        <is>
          <t>REFLO</t>
        </is>
      </c>
      <c r="N132" s="156" t="n"/>
      <c r="O132" s="156" t="n"/>
      <c r="P132" s="156" t="inlineStr">
        <is>
          <t>Negro</t>
        </is>
      </c>
      <c r="Q132" s="156" t="n"/>
      <c r="R132" s="156" t="n"/>
      <c r="S132" s="156" t="inlineStr">
        <is>
          <t>88% Poliéster reciclado, 12% Elastano</t>
        </is>
      </c>
      <c r="T132" s="156" t="inlineStr">
        <is>
          <t>Pantalón de golf REFLO modelo Sidra en color Caviar, confeccionado con materiales reciclados. Estilo RM02101009.</t>
        </is>
      </c>
      <c r="U132" s="156" t="inlineStr">
        <is>
          <t>China</t>
        </is>
      </c>
      <c r="V132" s="156" t="inlineStr">
        <is>
          <t>PZS</t>
        </is>
      </c>
      <c r="W132" s="51" t="inlineStr">
        <is>
          <t>53101502</t>
        </is>
      </c>
      <c r="X132" s="156" t="inlineStr">
        <is>
          <t>https://i.ibb.co/0JLgFF2/RM02101009.jpg</t>
        </is>
      </c>
      <c r="Y132" s="54" t="n">
        <v>40.95</v>
      </c>
      <c r="Z132" s="54" t="n">
        <v>2999</v>
      </c>
      <c r="AA132" s="55">
        <f>IF(AND(A132="", B132="", E132=""), "", IF(AB132="", "Válido", IF((LEN(AB132)-LEN(SUBSTITUTE(AB132,"; ","")))/2+1&gt;(LEN(AB132)-LEN(SUBSTITUTE(AB132,"[Aviso]","")))/7, "Con Incidencias", "Válido")))</f>
        <v/>
      </c>
      <c r="AB132" s="56">
        <f>IF(AND(A132="", B132="", E132=""), "", TEXTJOIN("; ", TRUE, IF(OR(TRIM(A132&amp;"")="", ISNUMBER(SEARCH("FALTA", A132))), "UPC faltante/inválido", ""), IF(AND(A132&lt;&gt;"", IFERROR(_xlfn.XMATCH(A132,$A$2:$A$653,0,1)&lt;&gt;_xlfn.XMATCH(A132,$A$2:$A$653,0,-1),FALSE)), "Código de barras duplicado", ""), IF(AND(E132&lt;&gt;"", COUNTIF($E$2:$E$653, E132)&gt;1), "SKU duplicado", ""), IF(OR(J132="", J132=""), "[Aviso] División no capturada ()", IF(ISNA(MATCH(J132, Criterios!$A$123:$A$126, 0)), "División no válida", "")), IF(OR(K132="", K132=""), "[Aviso] Categoría no capturada ()", IF(ISNA(MATCH(K132, Criterios!$A$81:$A$120, 0)), "Categoría no válida", IF(AND(J132&lt;&gt;"", J132&lt;&gt;"", J132&lt;&gt;VLOOKUP(K132, Criterios!$A$81:$B$120, 2, FALSE)), "División no coincide con Categoría", ""))), IF(OR(L132="", L132=""), "[Aviso] Género no capturado ()", IF(ISNA(MATCH(L132, Criterios!$B$123:$B$127, 0)), "Género no válido", "")), IF(OR(N132="", N132=""), "[Aviso] Temporada no capturada ()", IF(ISNA(MATCH(N132, Criterios!$C$123:$C$128, 0)), "Temporada no válida", "")), IF(OR(O132="", O132=""), "[Aviso] Ciclo de vida no capturado ()", IF(ISNA(MATCH(O132, Criterios!$D$123:$D$124, 0)), "Ciclo de vida no válido", ""))))</f>
        <v/>
      </c>
      <c r="AC132" s="56" t="n"/>
      <c r="AD132" s="51" t="n">
        <v>26</v>
      </c>
      <c r="AE132" s="156" t="inlineStr">
        <is>
          <t>REFLO ALMACEN (14)</t>
        </is>
      </c>
      <c r="AF132" s="51" t="n">
        <v>27</v>
      </c>
      <c r="AG132" s="156" t="inlineStr">
        <is>
          <t>Nuevo – NetSuite con existencia</t>
        </is>
      </c>
      <c r="AH132" s="156" t="inlineStr">
        <is>
          <t>Talla: Pantalón solo con cintura (sin largo) (origen «32»); Físico total NetSuite 26 ≠ suma por ubicación 13 | Revisión 29/09/2026: Talla fuente 32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32" s="156" t="inlineStr">
        <is>
          <t>Sí</t>
        </is>
      </c>
      <c r="AJ132" s="156" t="inlineStr">
        <is>
          <t>CONSIGNA REFLO (-1)</t>
        </is>
      </c>
      <c r="AK132" s="155" t="inlineStr">
        <is>
          <t>G1522ProductosTodosloscamposSandboxResults894.xlsx: fila 58700 [X,Y]; G1522_Extraccion_Articulos_NetSuite_2026-09-30.xlsx: fila 37558 [Z]</t>
        </is>
      </c>
      <c r="AL132" s="58" t="n">
        <v>40.95</v>
      </c>
      <c r="AM132" s="58" t="n"/>
      <c r="AN132" s="155" t="n"/>
      <c r="AO132" s="59" t="n"/>
      <c r="AP132" s="59" t="n"/>
      <c r="AQ132" s="59" t="n"/>
      <c r="AR132" s="155" t="n"/>
    </row>
    <row r="133">
      <c r="A133" s="50" t="inlineStr">
        <is>
          <t>5056658704819</t>
        </is>
      </c>
      <c r="B133" s="51" t="inlineStr">
        <is>
          <t>79226</t>
        </is>
      </c>
      <c r="C133" s="156" t="inlineStr">
        <is>
          <t>REFLO</t>
        </is>
      </c>
      <c r="D133" s="156" t="inlineStr">
        <is>
          <t>RM02101009</t>
        </is>
      </c>
      <c r="E133" s="156" t="inlineStr">
        <is>
          <t>RM02101009-34</t>
        </is>
      </c>
      <c r="F133" s="156" t="inlineStr">
        <is>
          <t>34</t>
        </is>
      </c>
      <c r="G133" s="156" t="inlineStr">
        <is>
          <t>34W</t>
        </is>
      </c>
      <c r="H133" s="156" t="inlineStr">
        <is>
          <t>REFLO</t>
        </is>
      </c>
      <c r="I133" s="156" t="inlineStr">
        <is>
          <t>Pantalón REFLO Sidra Caviar</t>
        </is>
      </c>
      <c r="J133" s="156" t="inlineStr">
        <is>
          <t>Ropa</t>
        </is>
      </c>
      <c r="K133" s="156" t="inlineStr">
        <is>
          <t>Pantalones</t>
        </is>
      </c>
      <c r="L133" s="156" t="inlineStr">
        <is>
          <t>Hombre</t>
        </is>
      </c>
      <c r="M133" s="156" t="inlineStr">
        <is>
          <t>REFLO</t>
        </is>
      </c>
      <c r="N133" s="156" t="n"/>
      <c r="O133" s="156" t="n"/>
      <c r="P133" s="156" t="inlineStr">
        <is>
          <t>Negro</t>
        </is>
      </c>
      <c r="Q133" s="156" t="n"/>
      <c r="R133" s="156" t="n"/>
      <c r="S133" s="156" t="inlineStr">
        <is>
          <t>88% Poliéster reciclado, 12% Elastano</t>
        </is>
      </c>
      <c r="T133" s="156" t="inlineStr">
        <is>
          <t>Pantalón de golf REFLO modelo Sidra en color Caviar, confeccionado con materiales reciclados. Estilo RM02101009.</t>
        </is>
      </c>
      <c r="U133" s="156" t="inlineStr">
        <is>
          <t>China</t>
        </is>
      </c>
      <c r="V133" s="156" t="inlineStr">
        <is>
          <t>PZS</t>
        </is>
      </c>
      <c r="W133" s="51" t="inlineStr">
        <is>
          <t>53101502</t>
        </is>
      </c>
      <c r="X133" s="156" t="inlineStr">
        <is>
          <t>https://i.ibb.co/0JLgFF2/RM02101009.jpg</t>
        </is>
      </c>
      <c r="Y133" s="54" t="n">
        <v>40.95</v>
      </c>
      <c r="Z133" s="54" t="n">
        <v>2999</v>
      </c>
      <c r="AA133" s="55">
        <f>IF(AND(A133="", B133="", E133=""), "", IF(AB133="", "Válido", IF((LEN(AB133)-LEN(SUBSTITUTE(AB133,"; ","")))/2+1&gt;(LEN(AB133)-LEN(SUBSTITUTE(AB133,"[Aviso]","")))/7, "Con Incidencias", "Válido")))</f>
        <v/>
      </c>
      <c r="AB133" s="56">
        <f>IF(AND(A133="", B133="", E133=""), "", TEXTJOIN("; ", TRUE, IF(OR(TRIM(A133&amp;"")="", ISNUMBER(SEARCH("FALTA", A133))), "UPC faltante/inválido", ""), IF(AND(A133&lt;&gt;"", IFERROR(_xlfn.XMATCH(A133,$A$2:$A$653,0,1)&lt;&gt;_xlfn.XMATCH(A133,$A$2:$A$653,0,-1),FALSE)), "Código de barras duplicado", ""), IF(AND(E133&lt;&gt;"", COUNTIF($E$2:$E$653, E133)&gt;1), "SKU duplicado", ""), IF(OR(J133="", J133=""), "[Aviso] División no capturada ()", IF(ISNA(MATCH(J133, Criterios!$A$123:$A$126, 0)), "División no válida", "")), IF(OR(K133="", K133=""), "[Aviso] Categoría no capturada ()", IF(ISNA(MATCH(K133, Criterios!$A$81:$A$120, 0)), "Categoría no válida", IF(AND(J133&lt;&gt;"", J133&lt;&gt;"", J133&lt;&gt;VLOOKUP(K133, Criterios!$A$81:$B$120, 2, FALSE)), "División no coincide con Categoría", ""))), IF(OR(L133="", L133=""), "[Aviso] Género no capturado ()", IF(ISNA(MATCH(L133, Criterios!$B$123:$B$127, 0)), "Género no válido", "")), IF(OR(N133="", N133=""), "[Aviso] Temporada no capturada ()", IF(ISNA(MATCH(N133, Criterios!$C$123:$C$128, 0)), "Temporada no válida", "")), IF(OR(O133="", O133=""), "[Aviso] Ciclo de vida no capturado ()", IF(ISNA(MATCH(O133, Criterios!$D$123:$D$124, 0)), "Ciclo de vida no válido", ""))))</f>
        <v/>
      </c>
      <c r="AC133" s="56" t="n"/>
      <c r="AD133" s="51" t="n">
        <v>56</v>
      </c>
      <c r="AE133" s="156" t="inlineStr">
        <is>
          <t>REFLO ALMACEN (30); MUESTRAS REFLO (1)</t>
        </is>
      </c>
      <c r="AF133" s="51" t="n">
        <v>57</v>
      </c>
      <c r="AG133" s="156" t="inlineStr">
        <is>
          <t>Nuevo – NetSuite con existencia</t>
        </is>
      </c>
      <c r="AH133" s="156" t="inlineStr">
        <is>
          <t>Talla: Pantalón solo con cintura (sin largo) (origen «34»); Físico total NetSuite 56 ≠ suma por ubicación 29 | Revisión 29/09/2026: Talla fuente 34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33" s="156" t="inlineStr">
        <is>
          <t>Sí</t>
        </is>
      </c>
      <c r="AJ133" s="156" t="inlineStr">
        <is>
          <t>CONSIGNA REFLO (-2)</t>
        </is>
      </c>
      <c r="AK133" s="155" t="inlineStr">
        <is>
          <t>G1522ProductosTodosloscamposSandboxResults894.xlsx: fila 58701 [X,Y]; G1522_Extraccion_Articulos_NetSuite_2026-09-30.xlsx: fila 37559 [Z]</t>
        </is>
      </c>
      <c r="AL133" s="58" t="n">
        <v>40.95</v>
      </c>
      <c r="AM133" s="58" t="n"/>
      <c r="AN133" s="155" t="n"/>
      <c r="AO133" s="59" t="n"/>
      <c r="AP133" s="59" t="n"/>
      <c r="AQ133" s="59" t="n"/>
      <c r="AR133" s="155" t="n"/>
    </row>
    <row r="134">
      <c r="A134" s="50" t="inlineStr">
        <is>
          <t>5056658704826</t>
        </is>
      </c>
      <c r="B134" s="51" t="inlineStr">
        <is>
          <t>79227</t>
        </is>
      </c>
      <c r="C134" s="156" t="inlineStr">
        <is>
          <t>REFLO</t>
        </is>
      </c>
      <c r="D134" s="156" t="inlineStr">
        <is>
          <t>RM02101009</t>
        </is>
      </c>
      <c r="E134" s="156" t="inlineStr">
        <is>
          <t>RM02101009-36</t>
        </is>
      </c>
      <c r="F134" s="156" t="inlineStr">
        <is>
          <t>36</t>
        </is>
      </c>
      <c r="G134" s="156" t="inlineStr">
        <is>
          <t>36W</t>
        </is>
      </c>
      <c r="H134" s="156" t="inlineStr">
        <is>
          <t>REFLO</t>
        </is>
      </c>
      <c r="I134" s="156" t="inlineStr">
        <is>
          <t>Pantalón REFLO Sidra Caviar</t>
        </is>
      </c>
      <c r="J134" s="156" t="inlineStr">
        <is>
          <t>Ropa</t>
        </is>
      </c>
      <c r="K134" s="156" t="inlineStr">
        <is>
          <t>Pantalones</t>
        </is>
      </c>
      <c r="L134" s="156" t="inlineStr">
        <is>
          <t>Hombre</t>
        </is>
      </c>
      <c r="M134" s="156" t="inlineStr">
        <is>
          <t>REFLO</t>
        </is>
      </c>
      <c r="N134" s="156" t="n"/>
      <c r="O134" s="156" t="n"/>
      <c r="P134" s="156" t="inlineStr">
        <is>
          <t>Negro</t>
        </is>
      </c>
      <c r="Q134" s="156" t="n"/>
      <c r="R134" s="156" t="n"/>
      <c r="S134" s="156" t="inlineStr">
        <is>
          <t>88% Poliéster reciclado, 12% Elastano</t>
        </is>
      </c>
      <c r="T134" s="156" t="inlineStr">
        <is>
          <t>Pantalón de golf REFLO modelo Sidra en color Caviar, confeccionado con materiales reciclados. Estilo RM02101009.</t>
        </is>
      </c>
      <c r="U134" s="156" t="inlineStr">
        <is>
          <t>China</t>
        </is>
      </c>
      <c r="V134" s="156" t="inlineStr">
        <is>
          <t>PZS</t>
        </is>
      </c>
      <c r="W134" s="51" t="inlineStr">
        <is>
          <t>53101502</t>
        </is>
      </c>
      <c r="X134" s="156" t="inlineStr">
        <is>
          <t>https://i.ibb.co/0JLgFF2/RM02101009.jpg</t>
        </is>
      </c>
      <c r="Y134" s="54" t="n">
        <v>40.95</v>
      </c>
      <c r="Z134" s="54" t="n">
        <v>2999</v>
      </c>
      <c r="AA134" s="55">
        <f>IF(AND(A134="", B134="", E134=""), "", IF(AB134="", "Válido", IF((LEN(AB134)-LEN(SUBSTITUTE(AB134,"; ","")))/2+1&gt;(LEN(AB134)-LEN(SUBSTITUTE(AB134,"[Aviso]","")))/7, "Con Incidencias", "Válido")))</f>
        <v/>
      </c>
      <c r="AB134" s="56">
        <f>IF(AND(A134="", B134="", E134=""), "", TEXTJOIN("; ", TRUE, IF(OR(TRIM(A134&amp;"")="", ISNUMBER(SEARCH("FALTA", A134))), "UPC faltante/inválido", ""), IF(AND(A134&lt;&gt;"", IFERROR(_xlfn.XMATCH(A134,$A$2:$A$653,0,1)&lt;&gt;_xlfn.XMATCH(A134,$A$2:$A$653,0,-1),FALSE)), "Código de barras duplicado", ""), IF(AND(E134&lt;&gt;"", COUNTIF($E$2:$E$653, E134)&gt;1), "SKU duplicado", ""), IF(OR(J134="", J134=""), "[Aviso] División no capturada ()", IF(ISNA(MATCH(J134, Criterios!$A$123:$A$126, 0)), "División no válida", "")), IF(OR(K134="", K134=""), "[Aviso] Categoría no capturada ()", IF(ISNA(MATCH(K134, Criterios!$A$81:$A$120, 0)), "Categoría no válida", IF(AND(J134&lt;&gt;"", J134&lt;&gt;"", J134&lt;&gt;VLOOKUP(K134, Criterios!$A$81:$B$120, 2, FALSE)), "División no coincide con Categoría", ""))), IF(OR(L134="", L134=""), "[Aviso] Género no capturado ()", IF(ISNA(MATCH(L134, Criterios!$B$123:$B$127, 0)), "Género no válido", "")), IF(OR(N134="", N134=""), "[Aviso] Temporada no capturada ()", IF(ISNA(MATCH(N134, Criterios!$C$123:$C$128, 0)), "Temporada no válida", "")), IF(OR(O134="", O134=""), "[Aviso] Ciclo de vida no capturado ()", IF(ISNA(MATCH(O134, Criterios!$D$123:$D$124, 0)), "Ciclo de vida no válido", ""))))</f>
        <v/>
      </c>
      <c r="AC134" s="56" t="n"/>
      <c r="AD134" s="51" t="n">
        <v>57</v>
      </c>
      <c r="AE134" s="156" t="inlineStr">
        <is>
          <t>REFLO ALMACEN (30)</t>
        </is>
      </c>
      <c r="AF134" s="51" t="n">
        <v>58</v>
      </c>
      <c r="AG134" s="156" t="inlineStr">
        <is>
          <t>Nuevo – NetSuite con existencia</t>
        </is>
      </c>
      <c r="AH134" s="156" t="inlineStr">
        <is>
          <t>Talla: Pantalón solo con cintura (sin largo) (origen «36»); Físico total NetSuite 57 ≠ suma por ubicación 29 | Revisión 29/09/2026: Talla fuente 36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34" s="156" t="inlineStr">
        <is>
          <t>Sí</t>
        </is>
      </c>
      <c r="AJ134" s="156" t="inlineStr">
        <is>
          <t>CONSIGNA REFLO (-1)</t>
        </is>
      </c>
      <c r="AK134" s="155" t="inlineStr">
        <is>
          <t>G1522ProductosTodosloscamposSandboxResults894.xlsx: fila 58702 [X,Y]; G1522_Extraccion_Articulos_NetSuite_2026-09-30.xlsx: fila 37560 [Z]</t>
        </is>
      </c>
      <c r="AL134" s="58" t="n">
        <v>40.95</v>
      </c>
      <c r="AM134" s="58" t="n"/>
      <c r="AN134" s="155" t="n"/>
      <c r="AO134" s="59" t="n"/>
      <c r="AP134" s="59" t="n"/>
      <c r="AQ134" s="59" t="n"/>
      <c r="AR134" s="155" t="n"/>
    </row>
    <row r="135">
      <c r="A135" s="50" t="inlineStr">
        <is>
          <t>5056658704833</t>
        </is>
      </c>
      <c r="B135" s="51" t="inlineStr">
        <is>
          <t>79228</t>
        </is>
      </c>
      <c r="C135" s="156" t="inlineStr">
        <is>
          <t>REFLO</t>
        </is>
      </c>
      <c r="D135" s="156" t="inlineStr">
        <is>
          <t>RM02101009</t>
        </is>
      </c>
      <c r="E135" s="156" t="inlineStr">
        <is>
          <t>RM02101009-38</t>
        </is>
      </c>
      <c r="F135" s="156" t="inlineStr">
        <is>
          <t>38</t>
        </is>
      </c>
      <c r="G135" s="156" t="inlineStr">
        <is>
          <t>38W</t>
        </is>
      </c>
      <c r="H135" s="156" t="inlineStr">
        <is>
          <t>REFLO</t>
        </is>
      </c>
      <c r="I135" s="156" t="inlineStr">
        <is>
          <t>Pantalón REFLO Sidra Caviar</t>
        </is>
      </c>
      <c r="J135" s="156" t="inlineStr">
        <is>
          <t>Ropa</t>
        </is>
      </c>
      <c r="K135" s="156" t="inlineStr">
        <is>
          <t>Pantalones</t>
        </is>
      </c>
      <c r="L135" s="156" t="inlineStr">
        <is>
          <t>Hombre</t>
        </is>
      </c>
      <c r="M135" s="156" t="inlineStr">
        <is>
          <t>REFLO</t>
        </is>
      </c>
      <c r="N135" s="156" t="n"/>
      <c r="O135" s="156" t="n"/>
      <c r="P135" s="156" t="inlineStr">
        <is>
          <t>Negro</t>
        </is>
      </c>
      <c r="Q135" s="156" t="n"/>
      <c r="R135" s="156" t="n"/>
      <c r="S135" s="156" t="inlineStr">
        <is>
          <t>88% Poliéster reciclado, 12% Elastano</t>
        </is>
      </c>
      <c r="T135" s="156" t="inlineStr">
        <is>
          <t>Pantalón de golf REFLO modelo Sidra en color Caviar, confeccionado con materiales reciclados. Estilo RM02101009.</t>
        </is>
      </c>
      <c r="U135" s="156" t="inlineStr">
        <is>
          <t>China</t>
        </is>
      </c>
      <c r="V135" s="156" t="inlineStr">
        <is>
          <t>PZS</t>
        </is>
      </c>
      <c r="W135" s="51" t="inlineStr">
        <is>
          <t>53101502</t>
        </is>
      </c>
      <c r="X135" s="156" t="inlineStr">
        <is>
          <t>https://i.ibb.co/0JLgFF2/RM02101009.jpg</t>
        </is>
      </c>
      <c r="Y135" s="54" t="n">
        <v>40.95</v>
      </c>
      <c r="Z135" s="54" t="n">
        <v>2999</v>
      </c>
      <c r="AA135" s="55">
        <f>IF(AND(A135="", B135="", E135=""), "", IF(AB135="", "Válido", IF((LEN(AB135)-LEN(SUBSTITUTE(AB135,"; ","")))/2+1&gt;(LEN(AB135)-LEN(SUBSTITUTE(AB135,"[Aviso]","")))/7, "Con Incidencias", "Válido")))</f>
        <v/>
      </c>
      <c r="AB135" s="56">
        <f>IF(AND(A135="", B135="", E135=""), "", TEXTJOIN("; ", TRUE, IF(OR(TRIM(A135&amp;"")="", ISNUMBER(SEARCH("FALTA", A135))), "UPC faltante/inválido", ""), IF(AND(A135&lt;&gt;"", IFERROR(_xlfn.XMATCH(A135,$A$2:$A$653,0,1)&lt;&gt;_xlfn.XMATCH(A135,$A$2:$A$653,0,-1),FALSE)), "Código de barras duplicado", ""), IF(AND(E135&lt;&gt;"", COUNTIF($E$2:$E$653, E135)&gt;1), "SKU duplicado", ""), IF(OR(J135="", J135=""), "[Aviso] División no capturada ()", IF(ISNA(MATCH(J135, Criterios!$A$123:$A$126, 0)), "División no válida", "")), IF(OR(K135="", K135=""), "[Aviso] Categoría no capturada ()", IF(ISNA(MATCH(K135, Criterios!$A$81:$A$120, 0)), "Categoría no válida", IF(AND(J135&lt;&gt;"", J135&lt;&gt;"", J135&lt;&gt;VLOOKUP(K135, Criterios!$A$81:$B$120, 2, FALSE)), "División no coincide con Categoría", ""))), IF(OR(L135="", L135=""), "[Aviso] Género no capturado ()", IF(ISNA(MATCH(L135, Criterios!$B$123:$B$127, 0)), "Género no válido", "")), IF(OR(N135="", N135=""), "[Aviso] Temporada no capturada ()", IF(ISNA(MATCH(N135, Criterios!$C$123:$C$128, 0)), "Temporada no válida", "")), IF(OR(O135="", O135=""), "[Aviso] Ciclo de vida no capturado ()", IF(ISNA(MATCH(O135, Criterios!$D$123:$D$124, 0)), "Ciclo de vida no válido", ""))))</f>
        <v/>
      </c>
      <c r="AC135" s="56" t="n"/>
      <c r="AD135" s="51" t="n">
        <v>11</v>
      </c>
      <c r="AE135" s="156" t="inlineStr">
        <is>
          <t>REFLO ALMACEN (7)</t>
        </is>
      </c>
      <c r="AF135" s="51" t="n">
        <v>12</v>
      </c>
      <c r="AG135" s="156" t="inlineStr">
        <is>
          <t>Nuevo – NetSuite con existencia</t>
        </is>
      </c>
      <c r="AH135" s="156" t="inlineStr">
        <is>
          <t>Talla: Pantalón solo con cintura (sin largo) (origen «38»); Físico total NetSuite 11 ≠ suma por ubicación 6 | Revisión 29/09/2026: Talla fuente 38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35" s="156" t="inlineStr">
        <is>
          <t>Sí</t>
        </is>
      </c>
      <c r="AJ135" s="156" t="inlineStr">
        <is>
          <t>CONSIGNA REFLO (-1)</t>
        </is>
      </c>
      <c r="AK135" s="155" t="inlineStr">
        <is>
          <t>G1522ProductosTodosloscamposSandboxResults894.xlsx: fila 58703 [X,Y]; G1522_Extraccion_Articulos_NetSuite_2026-09-30.xlsx: fila 37561 [Z]</t>
        </is>
      </c>
      <c r="AL135" s="58" t="n">
        <v>40.95</v>
      </c>
      <c r="AM135" s="58" t="n"/>
      <c r="AN135" s="155" t="n"/>
      <c r="AO135" s="59" t="n"/>
      <c r="AP135" s="59" t="n"/>
      <c r="AQ135" s="59" t="n"/>
      <c r="AR135" s="155" t="n"/>
    </row>
    <row r="136">
      <c r="A136" s="50" t="inlineStr">
        <is>
          <t>5056658704840</t>
        </is>
      </c>
      <c r="B136" s="51" t="inlineStr">
        <is>
          <t>84387</t>
        </is>
      </c>
      <c r="C136" s="156" t="inlineStr">
        <is>
          <t>REFLO</t>
        </is>
      </c>
      <c r="D136" s="156" t="inlineStr">
        <is>
          <t>RM02101009</t>
        </is>
      </c>
      <c r="E136" s="156" t="inlineStr">
        <is>
          <t>RM02101009-40</t>
        </is>
      </c>
      <c r="F136" s="156" t="inlineStr">
        <is>
          <t>40</t>
        </is>
      </c>
      <c r="G136" s="156" t="inlineStr">
        <is>
          <t>40W</t>
        </is>
      </c>
      <c r="H136" s="156" t="inlineStr">
        <is>
          <t>REFLO</t>
        </is>
      </c>
      <c r="I136" s="156" t="inlineStr">
        <is>
          <t>Pantalón REFLO Sidra Caviar</t>
        </is>
      </c>
      <c r="J136" s="156" t="inlineStr">
        <is>
          <t>Ropa</t>
        </is>
      </c>
      <c r="K136" s="156" t="inlineStr">
        <is>
          <t>Pantalones</t>
        </is>
      </c>
      <c r="L136" s="156" t="inlineStr">
        <is>
          <t>Hombre</t>
        </is>
      </c>
      <c r="M136" s="156" t="inlineStr">
        <is>
          <t>REFLO</t>
        </is>
      </c>
      <c r="N136" s="156" t="n"/>
      <c r="O136" s="156" t="n"/>
      <c r="P136" s="156" t="inlineStr">
        <is>
          <t>Negro</t>
        </is>
      </c>
      <c r="Q136" s="156" t="n"/>
      <c r="R136" s="156" t="n"/>
      <c r="S136" s="156" t="inlineStr">
        <is>
          <t>88% Poliéster reciclado, 12% Elastano</t>
        </is>
      </c>
      <c r="T136" s="156" t="inlineStr">
        <is>
          <t>Pantalón de golf REFLO modelo Sidra en color Caviar, confeccionado con materiales reciclados. Estilo RM02101009.</t>
        </is>
      </c>
      <c r="U136" s="156" t="inlineStr">
        <is>
          <t>China</t>
        </is>
      </c>
      <c r="V136" s="156" t="inlineStr">
        <is>
          <t>PZS</t>
        </is>
      </c>
      <c r="W136" s="51" t="inlineStr">
        <is>
          <t>53101502</t>
        </is>
      </c>
      <c r="X136" s="156" t="inlineStr">
        <is>
          <t>https://i.ibb.co/0JLgFF2/RM02101009.jpg</t>
        </is>
      </c>
      <c r="Y136" s="54" t="n">
        <v>40.95</v>
      </c>
      <c r="Z136" s="54" t="n">
        <v>2999</v>
      </c>
      <c r="AA136" s="55">
        <f>IF(AND(A136="", B136="", E136=""), "", IF(AB136="", "Válido", IF((LEN(AB136)-LEN(SUBSTITUTE(AB136,"; ","")))/2+1&gt;(LEN(AB136)-LEN(SUBSTITUTE(AB136,"[Aviso]","")))/7, "Con Incidencias", "Válido")))</f>
        <v/>
      </c>
      <c r="AB136" s="56">
        <f>IF(AND(A136="", B136="", E136=""), "", TEXTJOIN("; ", TRUE, IF(OR(TRIM(A136&amp;"")="", ISNUMBER(SEARCH("FALTA", A136))), "UPC faltante/inválido", ""), IF(AND(A136&lt;&gt;"", IFERROR(_xlfn.XMATCH(A136,$A$2:$A$653,0,1)&lt;&gt;_xlfn.XMATCH(A136,$A$2:$A$653,0,-1),FALSE)), "Código de barras duplicado", ""), IF(AND(E136&lt;&gt;"", COUNTIF($E$2:$E$653, E136)&gt;1), "SKU duplicado", ""), IF(OR(J136="", J136=""), "[Aviso] División no capturada ()", IF(ISNA(MATCH(J136, Criterios!$A$123:$A$126, 0)), "División no válida", "")), IF(OR(K136="", K136=""), "[Aviso] Categoría no capturada ()", IF(ISNA(MATCH(K136, Criterios!$A$81:$A$120, 0)), "Categoría no válida", IF(AND(J136&lt;&gt;"", J136&lt;&gt;"", J136&lt;&gt;VLOOKUP(K136, Criterios!$A$81:$B$120, 2, FALSE)), "División no coincide con Categoría", ""))), IF(OR(L136="", L136=""), "[Aviso] Género no capturado ()", IF(ISNA(MATCH(L136, Criterios!$B$123:$B$127, 0)), "Género no válido", "")), IF(OR(N136="", N136=""), "[Aviso] Temporada no capturada ()", IF(ISNA(MATCH(N136, Criterios!$C$123:$C$128, 0)), "Temporada no válida", "")), IF(OR(O136="", O136=""), "[Aviso] Ciclo de vida no capturado ()", IF(ISNA(MATCH(O136, Criterios!$D$123:$D$124, 0)), "Ciclo de vida no válido", ""))))</f>
        <v/>
      </c>
      <c r="AC136" s="56" t="n"/>
      <c r="AD136" s="51" t="n">
        <v>8</v>
      </c>
      <c r="AE136" s="156" t="inlineStr">
        <is>
          <t>REFLO ALMACEN (4)</t>
        </is>
      </c>
      <c r="AF136" s="51" t="n">
        <v>8</v>
      </c>
      <c r="AG136" s="156" t="inlineStr">
        <is>
          <t>Nuevo – NetSuite con existencia</t>
        </is>
      </c>
      <c r="AH136" s="156" t="inlineStr">
        <is>
          <t>Talla: Pantalón solo con cintura (sin largo) (origen «40»); Físico total NetSuite 8 ≠ suma por ubicación 4 | Revisión 29/09/2026: Talla fuente 40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36" s="156" t="inlineStr">
        <is>
          <t>No</t>
        </is>
      </c>
      <c r="AJ136" s="156" t="n"/>
      <c r="AK136" s="155" t="inlineStr">
        <is>
          <t>G1522ProductosTodosloscamposSandboxResults894.xlsx: fila 58704 [X,Y]; G1522_Extraccion_Articulos_NetSuite_2026-09-30.xlsx: fila 39556 [Z]</t>
        </is>
      </c>
      <c r="AL136" s="58" t="n">
        <v>40.95</v>
      </c>
      <c r="AM136" s="58" t="n"/>
      <c r="AN136" s="155" t="n"/>
      <c r="AO136" s="59" t="n"/>
      <c r="AP136" s="59" t="n"/>
      <c r="AQ136" s="59" t="n"/>
      <c r="AR136" s="155" t="n"/>
    </row>
    <row r="137">
      <c r="A137" s="50" t="inlineStr">
        <is>
          <t>5056658704864</t>
        </is>
      </c>
      <c r="B137" s="51" t="inlineStr">
        <is>
          <t>84388</t>
        </is>
      </c>
      <c r="C137" s="156" t="inlineStr">
        <is>
          <t>REFLO</t>
        </is>
      </c>
      <c r="D137" s="156" t="inlineStr">
        <is>
          <t>RM02101023</t>
        </is>
      </c>
      <c r="E137" s="156" t="inlineStr">
        <is>
          <t>RM02101023-30</t>
        </is>
      </c>
      <c r="F137" s="156" t="inlineStr">
        <is>
          <t>30</t>
        </is>
      </c>
      <c r="G137" s="156" t="inlineStr">
        <is>
          <t>30W</t>
        </is>
      </c>
      <c r="H137" s="156" t="inlineStr">
        <is>
          <t>REFLO</t>
        </is>
      </c>
      <c r="I137" s="156" t="inlineStr">
        <is>
          <t>Pantalón REFLO Sidra Dark Forest</t>
        </is>
      </c>
      <c r="J137" s="156" t="inlineStr">
        <is>
          <t>Ropa</t>
        </is>
      </c>
      <c r="K137" s="156" t="inlineStr">
        <is>
          <t>Pantalones</t>
        </is>
      </c>
      <c r="L137" s="156" t="inlineStr">
        <is>
          <t>Hombre</t>
        </is>
      </c>
      <c r="M137" s="156" t="inlineStr">
        <is>
          <t>REFLO</t>
        </is>
      </c>
      <c r="N137" s="156" t="n"/>
      <c r="O137" s="156" t="n"/>
      <c r="P137" s="156" t="inlineStr">
        <is>
          <t>Verde</t>
        </is>
      </c>
      <c r="Q137" s="156" t="n"/>
      <c r="R137" s="156" t="n"/>
      <c r="S137" s="156" t="inlineStr">
        <is>
          <t>88% Poliéster reciclado, 12% Elastano</t>
        </is>
      </c>
      <c r="T137" s="156" t="inlineStr">
        <is>
          <t>Pantalón de golf REFLO modelo Sidra en color Dark Forest, confeccionado con materiales reciclados. Estilo RM02101023.</t>
        </is>
      </c>
      <c r="U137" s="156" t="inlineStr">
        <is>
          <t>China</t>
        </is>
      </c>
      <c r="V137" s="156" t="inlineStr">
        <is>
          <t>PZS</t>
        </is>
      </c>
      <c r="W137" s="51" t="inlineStr">
        <is>
          <t>53101502</t>
        </is>
      </c>
      <c r="X137" s="156" t="n"/>
      <c r="Y137" s="54" t="n">
        <v>40.95</v>
      </c>
      <c r="Z137" s="54" t="n">
        <v>2585.344828</v>
      </c>
      <c r="AA137" s="55">
        <f>IF(AND(A137="", B137="", E137=""), "", IF(AB137="", "Válido", IF((LEN(AB137)-LEN(SUBSTITUTE(AB137,"; ","")))/2+1&gt;(LEN(AB137)-LEN(SUBSTITUTE(AB137,"[Aviso]","")))/7, "Con Incidencias", "Válido")))</f>
        <v/>
      </c>
      <c r="AB137" s="56">
        <f>IF(AND(A137="", B137="", E137=""), "", TEXTJOIN("; ", TRUE, IF(OR(TRIM(A137&amp;"")="", ISNUMBER(SEARCH("FALTA", A137))), "UPC faltante/inválido", ""), IF(AND(A137&lt;&gt;"", IFERROR(_xlfn.XMATCH(A137,$A$2:$A$653,0,1)&lt;&gt;_xlfn.XMATCH(A137,$A$2:$A$653,0,-1),FALSE)), "Código de barras duplicado", ""), IF(AND(E137&lt;&gt;"", COUNTIF($E$2:$E$653, E137)&gt;1), "SKU duplicado", ""), IF(OR(J137="", J137=""), "[Aviso] División no capturada ()", IF(ISNA(MATCH(J137, Criterios!$A$123:$A$126, 0)), "División no válida", "")), IF(OR(K137="", K137=""), "[Aviso] Categoría no capturada ()", IF(ISNA(MATCH(K137, Criterios!$A$81:$A$120, 0)), "Categoría no válida", IF(AND(J137&lt;&gt;"", J137&lt;&gt;"", J137&lt;&gt;VLOOKUP(K137, Criterios!$A$81:$B$120, 2, FALSE)), "División no coincide con Categoría", ""))), IF(OR(L137="", L137=""), "[Aviso] Género no capturado ()", IF(ISNA(MATCH(L137, Criterios!$B$123:$B$127, 0)), "Género no válido", "")), IF(OR(N137="", N137=""), "[Aviso] Temporada no capturada ()", IF(ISNA(MATCH(N137, Criterios!$C$123:$C$128, 0)), "Temporada no válida", "")), IF(OR(O137="", O137=""), "[Aviso] Ciclo de vida no capturado ()", IF(ISNA(MATCH(O137, Criterios!$D$123:$D$124, 0)), "Ciclo de vida no válido", ""))))</f>
        <v/>
      </c>
      <c r="AC137" s="56" t="n"/>
      <c r="AD137" s="51" t="n">
        <v>7</v>
      </c>
      <c r="AE137" s="156" t="inlineStr">
        <is>
          <t>REFLO ALMACEN (4)</t>
        </is>
      </c>
      <c r="AF137" s="51" t="n">
        <v>7</v>
      </c>
      <c r="AG137" s="156" t="inlineStr">
        <is>
          <t>Nuevo – NetSuite con existencia</t>
        </is>
      </c>
      <c r="AH137" s="156" t="inlineStr">
        <is>
          <t>Talla: Pantalón solo con cintura (sin largo) (origen «30»); Físico total NetSuite 7 ≠ suma por ubicación 4 | Revisión 29/09/2026: Talla fuente 30 sin equivalencia exacta en Criterios para Cintura Jean + Largo Jean; Marca REFLO fuera de lista Criterios; Campos sin respaldo: N, O, Q, X; Auditoría NetSuite 30/09/2026: llenado desde NetSuite [Y]</t>
        </is>
      </c>
      <c r="AI137" s="156" t="inlineStr">
        <is>
          <t>No</t>
        </is>
      </c>
      <c r="AJ137" s="156" t="n"/>
      <c r="AK137" s="155" t="inlineStr">
        <is>
          <t>G1522ProductosTodosloscamposSandboxResults894.xlsx: fila 58706 [Y]; G1522_Extraccion_Articulos_NetSuite_2026-09-30.xlsx: fila 39557 [Y]</t>
        </is>
      </c>
      <c r="AL137" s="58" t="n"/>
      <c r="AM137" s="58" t="n">
        <v>2585.344828</v>
      </c>
      <c r="AN137" s="155" t="n"/>
      <c r="AO137" s="59" t="n"/>
      <c r="AP137" s="59" t="n"/>
      <c r="AQ137" s="59" t="n"/>
      <c r="AR137" s="155" t="n"/>
    </row>
    <row r="138">
      <c r="A138" s="50" t="inlineStr">
        <is>
          <t>5056658704871</t>
        </is>
      </c>
      <c r="B138" s="51" t="inlineStr">
        <is>
          <t>84389</t>
        </is>
      </c>
      <c r="C138" s="156" t="inlineStr">
        <is>
          <t>REFLO</t>
        </is>
      </c>
      <c r="D138" s="156" t="inlineStr">
        <is>
          <t>RM02101023</t>
        </is>
      </c>
      <c r="E138" s="156" t="inlineStr">
        <is>
          <t>RM02101023-32</t>
        </is>
      </c>
      <c r="F138" s="156" t="inlineStr">
        <is>
          <t>32</t>
        </is>
      </c>
      <c r="G138" s="156" t="inlineStr">
        <is>
          <t>32W</t>
        </is>
      </c>
      <c r="H138" s="156" t="inlineStr">
        <is>
          <t>REFLO</t>
        </is>
      </c>
      <c r="I138" s="156" t="inlineStr">
        <is>
          <t>Pantalón REFLO Sidra Dark Forest</t>
        </is>
      </c>
      <c r="J138" s="156" t="inlineStr">
        <is>
          <t>Ropa</t>
        </is>
      </c>
      <c r="K138" s="156" t="inlineStr">
        <is>
          <t>Pantalones</t>
        </is>
      </c>
      <c r="L138" s="156" t="inlineStr">
        <is>
          <t>Hombre</t>
        </is>
      </c>
      <c r="M138" s="156" t="inlineStr">
        <is>
          <t>REFLO</t>
        </is>
      </c>
      <c r="N138" s="156" t="n"/>
      <c r="O138" s="156" t="n"/>
      <c r="P138" s="156" t="inlineStr">
        <is>
          <t>Verde</t>
        </is>
      </c>
      <c r="Q138" s="156" t="n"/>
      <c r="R138" s="156" t="n"/>
      <c r="S138" s="156" t="inlineStr">
        <is>
          <t>88% Poliéster reciclado, 12% Elastano</t>
        </is>
      </c>
      <c r="T138" s="156" t="inlineStr">
        <is>
          <t>Pantalón de golf REFLO modelo Sidra en color Dark Forest, confeccionado con materiales reciclados. Estilo RM02101023.</t>
        </is>
      </c>
      <c r="U138" s="156" t="inlineStr">
        <is>
          <t>China</t>
        </is>
      </c>
      <c r="V138" s="156" t="inlineStr">
        <is>
          <t>PZS</t>
        </is>
      </c>
      <c r="W138" s="51" t="inlineStr">
        <is>
          <t>53101502</t>
        </is>
      </c>
      <c r="X138" s="156" t="n"/>
      <c r="Y138" s="54" t="n">
        <v>40.95</v>
      </c>
      <c r="Z138" s="54" t="n">
        <v>2585.344828</v>
      </c>
      <c r="AA138" s="55">
        <f>IF(AND(A138="", B138="", E138=""), "", IF(AB138="", "Válido", IF((LEN(AB138)-LEN(SUBSTITUTE(AB138,"; ","")))/2+1&gt;(LEN(AB138)-LEN(SUBSTITUTE(AB138,"[Aviso]","")))/7, "Con Incidencias", "Válido")))</f>
        <v/>
      </c>
      <c r="AB138" s="56">
        <f>IF(AND(A138="", B138="", E138=""), "", TEXTJOIN("; ", TRUE, IF(OR(TRIM(A138&amp;"")="", ISNUMBER(SEARCH("FALTA", A138))), "UPC faltante/inválido", ""), IF(AND(A138&lt;&gt;"", IFERROR(_xlfn.XMATCH(A138,$A$2:$A$653,0,1)&lt;&gt;_xlfn.XMATCH(A138,$A$2:$A$653,0,-1),FALSE)), "Código de barras duplicado", ""), IF(AND(E138&lt;&gt;"", COUNTIF($E$2:$E$653, E138)&gt;1), "SKU duplicado", ""), IF(OR(J138="", J138=""), "[Aviso] División no capturada ()", IF(ISNA(MATCH(J138, Criterios!$A$123:$A$126, 0)), "División no válida", "")), IF(OR(K138="", K138=""), "[Aviso] Categoría no capturada ()", IF(ISNA(MATCH(K138, Criterios!$A$81:$A$120, 0)), "Categoría no válida", IF(AND(J138&lt;&gt;"", J138&lt;&gt;"", J138&lt;&gt;VLOOKUP(K138, Criterios!$A$81:$B$120, 2, FALSE)), "División no coincide con Categoría", ""))), IF(OR(L138="", L138=""), "[Aviso] Género no capturado ()", IF(ISNA(MATCH(L138, Criterios!$B$123:$B$127, 0)), "Género no válido", "")), IF(OR(N138="", N138=""), "[Aviso] Temporada no capturada ()", IF(ISNA(MATCH(N138, Criterios!$C$123:$C$128, 0)), "Temporada no válida", "")), IF(OR(O138="", O138=""), "[Aviso] Ciclo de vida no capturado ()", IF(ISNA(MATCH(O138, Criterios!$D$123:$D$124, 0)), "Ciclo de vida no válido", ""))))</f>
        <v/>
      </c>
      <c r="AC138" s="56" t="n"/>
      <c r="AD138" s="51" t="n">
        <v>14</v>
      </c>
      <c r="AE138" s="156" t="inlineStr">
        <is>
          <t>REFLO ALMACEN (8)</t>
        </is>
      </c>
      <c r="AF138" s="51" t="n">
        <v>14</v>
      </c>
      <c r="AG138" s="156" t="inlineStr">
        <is>
          <t>Nuevo – NetSuite con existencia</t>
        </is>
      </c>
      <c r="AH138" s="156" t="inlineStr">
        <is>
          <t>Talla: Pantalón solo con cintura (sin largo) (origen «32»); Físico total NetSuite 14 ≠ suma por ubicación 8 | Revisión 29/09/2026: Talla fuente 32 sin equivalencia exacta en Criterios para Cintura Jean + Largo Jean; Marca REFLO fuera de lista Criterios; Campos sin respaldo: N, O, Q, X; Auditoría NetSuite 30/09/2026: llenado desde NetSuite [Y]</t>
        </is>
      </c>
      <c r="AI138" s="156" t="inlineStr">
        <is>
          <t>No</t>
        </is>
      </c>
      <c r="AJ138" s="156" t="n"/>
      <c r="AK138" s="155" t="inlineStr">
        <is>
          <t>G1522ProductosTodosloscamposSandboxResults894.xlsx: fila 58707 [Y]; G1522_Extraccion_Articulos_NetSuite_2026-09-30.xlsx: fila 39558 [Y]</t>
        </is>
      </c>
      <c r="AL138" s="58" t="n"/>
      <c r="AM138" s="58" t="n">
        <v>2585.344828</v>
      </c>
      <c r="AN138" s="155" t="n"/>
      <c r="AO138" s="59" t="n"/>
      <c r="AP138" s="59" t="n"/>
      <c r="AQ138" s="59" t="n"/>
      <c r="AR138" s="155" t="n"/>
    </row>
    <row r="139">
      <c r="A139" s="50" t="inlineStr">
        <is>
          <t>5056658704888</t>
        </is>
      </c>
      <c r="B139" s="51" t="inlineStr">
        <is>
          <t>84390</t>
        </is>
      </c>
      <c r="C139" s="156" t="inlineStr">
        <is>
          <t>REFLO</t>
        </is>
      </c>
      <c r="D139" s="156" t="inlineStr">
        <is>
          <t>RM02101023</t>
        </is>
      </c>
      <c r="E139" s="156" t="inlineStr">
        <is>
          <t>RM02101023-34</t>
        </is>
      </c>
      <c r="F139" s="156" t="inlineStr">
        <is>
          <t>34</t>
        </is>
      </c>
      <c r="G139" s="156" t="inlineStr">
        <is>
          <t>34W</t>
        </is>
      </c>
      <c r="H139" s="156" t="inlineStr">
        <is>
          <t>REFLO</t>
        </is>
      </c>
      <c r="I139" s="156" t="inlineStr">
        <is>
          <t>Pantalón REFLO Sidra Dark Forest</t>
        </is>
      </c>
      <c r="J139" s="156" t="inlineStr">
        <is>
          <t>Ropa</t>
        </is>
      </c>
      <c r="K139" s="156" t="inlineStr">
        <is>
          <t>Pantalones</t>
        </is>
      </c>
      <c r="L139" s="156" t="inlineStr">
        <is>
          <t>Hombre</t>
        </is>
      </c>
      <c r="M139" s="156" t="inlineStr">
        <is>
          <t>REFLO</t>
        </is>
      </c>
      <c r="N139" s="156" t="n"/>
      <c r="O139" s="156" t="n"/>
      <c r="P139" s="156" t="inlineStr">
        <is>
          <t>Verde</t>
        </is>
      </c>
      <c r="Q139" s="156" t="n"/>
      <c r="R139" s="156" t="n"/>
      <c r="S139" s="156" t="inlineStr">
        <is>
          <t>88% Poliéster reciclado, 12% Elastano</t>
        </is>
      </c>
      <c r="T139" s="156" t="inlineStr">
        <is>
          <t>Pantalón de golf REFLO modelo Sidra en color Dark Forest, confeccionado con materiales reciclados. Estilo RM02101023.</t>
        </is>
      </c>
      <c r="U139" s="156" t="inlineStr">
        <is>
          <t>China</t>
        </is>
      </c>
      <c r="V139" s="156" t="inlineStr">
        <is>
          <t>PZS</t>
        </is>
      </c>
      <c r="W139" s="51" t="inlineStr">
        <is>
          <t>53101502</t>
        </is>
      </c>
      <c r="X139" s="156" t="n"/>
      <c r="Y139" s="54" t="n">
        <v>40.95</v>
      </c>
      <c r="Z139" s="54" t="n">
        <v>2585.344828</v>
      </c>
      <c r="AA139" s="55">
        <f>IF(AND(A139="", B139="", E139=""), "", IF(AB139="", "Válido", IF((LEN(AB139)-LEN(SUBSTITUTE(AB139,"; ","")))/2+1&gt;(LEN(AB139)-LEN(SUBSTITUTE(AB139,"[Aviso]","")))/7, "Con Incidencias", "Válido")))</f>
        <v/>
      </c>
      <c r="AB139" s="56">
        <f>IF(AND(A139="", B139="", E139=""), "", TEXTJOIN("; ", TRUE, IF(OR(TRIM(A139&amp;"")="", ISNUMBER(SEARCH("FALTA", A139))), "UPC faltante/inválido", ""), IF(AND(A139&lt;&gt;"", IFERROR(_xlfn.XMATCH(A139,$A$2:$A$653,0,1)&lt;&gt;_xlfn.XMATCH(A139,$A$2:$A$653,0,-1),FALSE)), "Código de barras duplicado", ""), IF(AND(E139&lt;&gt;"", COUNTIF($E$2:$E$653, E139)&gt;1), "SKU duplicado", ""), IF(OR(J139="", J139=""), "[Aviso] División no capturada ()", IF(ISNA(MATCH(J139, Criterios!$A$123:$A$126, 0)), "División no válida", "")), IF(OR(K139="", K139=""), "[Aviso] Categoría no capturada ()", IF(ISNA(MATCH(K139, Criterios!$A$81:$A$120, 0)), "Categoría no válida", IF(AND(J139&lt;&gt;"", J139&lt;&gt;"", J139&lt;&gt;VLOOKUP(K139, Criterios!$A$81:$B$120, 2, FALSE)), "División no coincide con Categoría", ""))), IF(OR(L139="", L139=""), "[Aviso] Género no capturado ()", IF(ISNA(MATCH(L139, Criterios!$B$123:$B$127, 0)), "Género no válido", "")), IF(OR(N139="", N139=""), "[Aviso] Temporada no capturada ()", IF(ISNA(MATCH(N139, Criterios!$C$123:$C$128, 0)), "Temporada no válida", "")), IF(OR(O139="", O139=""), "[Aviso] Ciclo de vida no capturado ()", IF(ISNA(MATCH(O139, Criterios!$D$123:$D$124, 0)), "Ciclo de vida no válido", ""))))</f>
        <v/>
      </c>
      <c r="AC139" s="56" t="n"/>
      <c r="AD139" s="51" t="n">
        <v>31</v>
      </c>
      <c r="AE139" s="156" t="inlineStr">
        <is>
          <t>REFLO ALMACEN (16)</t>
        </is>
      </c>
      <c r="AF139" s="51" t="n">
        <v>31</v>
      </c>
      <c r="AG139" s="156" t="inlineStr">
        <is>
          <t>Nuevo – NetSuite con existencia</t>
        </is>
      </c>
      <c r="AH139" s="156" t="inlineStr">
        <is>
          <t>Talla: Pantalón solo con cintura (sin largo) (origen «34»); Físico total NetSuite 31 ≠ suma por ubicación 16 | Revisión 29/09/2026: Talla fuente 34 sin equivalencia exacta en Criterios para Cintura Jean + Largo Jean; Marca REFLO fuera de lista Criterios; Campos sin respaldo: N, O, Q, X; Auditoría NetSuite 30/09/2026: llenado desde NetSuite [Y]</t>
        </is>
      </c>
      <c r="AI139" s="156" t="inlineStr">
        <is>
          <t>No</t>
        </is>
      </c>
      <c r="AJ139" s="156" t="n"/>
      <c r="AK139" s="155" t="inlineStr">
        <is>
          <t>G1522ProductosTodosloscamposSandboxResults894.xlsx: fila 58708 [Y]; G1522_Extraccion_Articulos_NetSuite_2026-09-30.xlsx: fila 39559 [Y]</t>
        </is>
      </c>
      <c r="AL139" s="58" t="n"/>
      <c r="AM139" s="58" t="n">
        <v>2585.344828</v>
      </c>
      <c r="AN139" s="155" t="n"/>
      <c r="AO139" s="59" t="n"/>
      <c r="AP139" s="59" t="n"/>
      <c r="AQ139" s="59" t="n"/>
      <c r="AR139" s="155" t="n"/>
    </row>
    <row r="140">
      <c r="A140" s="50" t="inlineStr">
        <is>
          <t>5056658704895</t>
        </is>
      </c>
      <c r="B140" s="51" t="inlineStr">
        <is>
          <t>84391</t>
        </is>
      </c>
      <c r="C140" s="156" t="inlineStr">
        <is>
          <t>REFLO</t>
        </is>
      </c>
      <c r="D140" s="156" t="inlineStr">
        <is>
          <t>RM02101023</t>
        </is>
      </c>
      <c r="E140" s="156" t="inlineStr">
        <is>
          <t>RM02101023-36</t>
        </is>
      </c>
      <c r="F140" s="156" t="inlineStr">
        <is>
          <t>36</t>
        </is>
      </c>
      <c r="G140" s="156" t="inlineStr">
        <is>
          <t>36W</t>
        </is>
      </c>
      <c r="H140" s="156" t="inlineStr">
        <is>
          <t>REFLO</t>
        </is>
      </c>
      <c r="I140" s="156" t="inlineStr">
        <is>
          <t>Pantalón REFLO Sidra Dark Forest</t>
        </is>
      </c>
      <c r="J140" s="156" t="inlineStr">
        <is>
          <t>Ropa</t>
        </is>
      </c>
      <c r="K140" s="156" t="inlineStr">
        <is>
          <t>Pantalones</t>
        </is>
      </c>
      <c r="L140" s="156" t="inlineStr">
        <is>
          <t>Hombre</t>
        </is>
      </c>
      <c r="M140" s="156" t="inlineStr">
        <is>
          <t>REFLO</t>
        </is>
      </c>
      <c r="N140" s="156" t="n"/>
      <c r="O140" s="156" t="n"/>
      <c r="P140" s="156" t="inlineStr">
        <is>
          <t>Verde</t>
        </is>
      </c>
      <c r="Q140" s="156" t="n"/>
      <c r="R140" s="156" t="n"/>
      <c r="S140" s="156" t="inlineStr">
        <is>
          <t>88% Poliéster reciclado, 12% Elastano</t>
        </is>
      </c>
      <c r="T140" s="156" t="inlineStr">
        <is>
          <t>Pantalón de golf REFLO modelo Sidra en color Dark Forest, confeccionado con materiales reciclados. Estilo RM02101023.</t>
        </is>
      </c>
      <c r="U140" s="156" t="inlineStr">
        <is>
          <t>China</t>
        </is>
      </c>
      <c r="V140" s="156" t="inlineStr">
        <is>
          <t>PZS</t>
        </is>
      </c>
      <c r="W140" s="51" t="inlineStr">
        <is>
          <t>53101502</t>
        </is>
      </c>
      <c r="X140" s="156" t="n"/>
      <c r="Y140" s="54" t="n">
        <v>40.95</v>
      </c>
      <c r="Z140" s="54" t="n">
        <v>2585.344828</v>
      </c>
      <c r="AA140" s="55">
        <f>IF(AND(A140="", B140="", E140=""), "", IF(AB140="", "Válido", IF((LEN(AB140)-LEN(SUBSTITUTE(AB140,"; ","")))/2+1&gt;(LEN(AB140)-LEN(SUBSTITUTE(AB140,"[Aviso]","")))/7, "Con Incidencias", "Válido")))</f>
        <v/>
      </c>
      <c r="AB140" s="56">
        <f>IF(AND(A140="", B140="", E140=""), "", TEXTJOIN("; ", TRUE, IF(OR(TRIM(A140&amp;"")="", ISNUMBER(SEARCH("FALTA", A140))), "UPC faltante/inválido", ""), IF(AND(A140&lt;&gt;"", IFERROR(_xlfn.XMATCH(A140,$A$2:$A$653,0,1)&lt;&gt;_xlfn.XMATCH(A140,$A$2:$A$653,0,-1),FALSE)), "Código de barras duplicado", ""), IF(AND(E140&lt;&gt;"", COUNTIF($E$2:$E$653, E140)&gt;1), "SKU duplicado", ""), IF(OR(J140="", J140=""), "[Aviso] División no capturada ()", IF(ISNA(MATCH(J140, Criterios!$A$123:$A$126, 0)), "División no válida", "")), IF(OR(K140="", K140=""), "[Aviso] Categoría no capturada ()", IF(ISNA(MATCH(K140, Criterios!$A$81:$A$120, 0)), "Categoría no válida", IF(AND(J140&lt;&gt;"", J140&lt;&gt;"", J140&lt;&gt;VLOOKUP(K140, Criterios!$A$81:$B$120, 2, FALSE)), "División no coincide con Categoría", ""))), IF(OR(L140="", L140=""), "[Aviso] Género no capturado ()", IF(ISNA(MATCH(L140, Criterios!$B$123:$B$127, 0)), "Género no válido", "")), IF(OR(N140="", N140=""), "[Aviso] Temporada no capturada ()", IF(ISNA(MATCH(N140, Criterios!$C$123:$C$128, 0)), "Temporada no válida", "")), IF(OR(O140="", O140=""), "[Aviso] Ciclo de vida no capturado ()", IF(ISNA(MATCH(O140, Criterios!$D$123:$D$124, 0)), "Ciclo de vida no válido", ""))))</f>
        <v/>
      </c>
      <c r="AC140" s="56" t="n"/>
      <c r="AD140" s="51" t="n">
        <v>31</v>
      </c>
      <c r="AE140" s="156" t="inlineStr">
        <is>
          <t>REFLO ALMACEN (16)</t>
        </is>
      </c>
      <c r="AF140" s="51" t="n">
        <v>31</v>
      </c>
      <c r="AG140" s="156" t="inlineStr">
        <is>
          <t>Nuevo – NetSuite con existencia</t>
        </is>
      </c>
      <c r="AH140" s="156" t="inlineStr">
        <is>
          <t>Talla: Pantalón solo con cintura (sin largo) (origen «36»); Físico total NetSuite 31 ≠ suma por ubicación 16 | Revisión 29/09/2026: Talla fuente 36 sin equivalencia exacta en Criterios para Cintura Jean + Largo Jean; Marca REFLO fuera de lista Criterios; Campos sin respaldo: N, O, Q, X; Auditoría NetSuite 30/09/2026: llenado desde NetSuite [Y]</t>
        </is>
      </c>
      <c r="AI140" s="156" t="inlineStr">
        <is>
          <t>No</t>
        </is>
      </c>
      <c r="AJ140" s="156" t="n"/>
      <c r="AK140" s="155" t="inlineStr">
        <is>
          <t>G1522ProductosTodosloscamposSandboxResults894.xlsx: fila 58709 [Y]; G1522_Extraccion_Articulos_NetSuite_2026-09-30.xlsx: fila 39560 [Y]</t>
        </is>
      </c>
      <c r="AL140" s="58" t="n"/>
      <c r="AM140" s="58" t="n">
        <v>2585.344828</v>
      </c>
      <c r="AN140" s="155" t="n"/>
      <c r="AO140" s="59" t="n"/>
      <c r="AP140" s="59" t="n"/>
      <c r="AQ140" s="59" t="n"/>
      <c r="AR140" s="155" t="n"/>
    </row>
    <row r="141">
      <c r="A141" s="50" t="inlineStr">
        <is>
          <t>5056658704901</t>
        </is>
      </c>
      <c r="B141" s="51" t="inlineStr">
        <is>
          <t>84392</t>
        </is>
      </c>
      <c r="C141" s="156" t="inlineStr">
        <is>
          <t>REFLO</t>
        </is>
      </c>
      <c r="D141" s="156" t="inlineStr">
        <is>
          <t>RM02101023</t>
        </is>
      </c>
      <c r="E141" s="156" t="inlineStr">
        <is>
          <t>RM02101023-38</t>
        </is>
      </c>
      <c r="F141" s="156" t="inlineStr">
        <is>
          <t>38</t>
        </is>
      </c>
      <c r="G141" s="156" t="inlineStr">
        <is>
          <t>38W</t>
        </is>
      </c>
      <c r="H141" s="156" t="inlineStr">
        <is>
          <t>REFLO</t>
        </is>
      </c>
      <c r="I141" s="156" t="inlineStr">
        <is>
          <t>Pantalón REFLO Sidra Dark Forest</t>
        </is>
      </c>
      <c r="J141" s="156" t="inlineStr">
        <is>
          <t>Ropa</t>
        </is>
      </c>
      <c r="K141" s="156" t="inlineStr">
        <is>
          <t>Pantalones</t>
        </is>
      </c>
      <c r="L141" s="156" t="inlineStr">
        <is>
          <t>Hombre</t>
        </is>
      </c>
      <c r="M141" s="156" t="inlineStr">
        <is>
          <t>REFLO</t>
        </is>
      </c>
      <c r="N141" s="156" t="n"/>
      <c r="O141" s="156" t="n"/>
      <c r="P141" s="156" t="inlineStr">
        <is>
          <t>Verde</t>
        </is>
      </c>
      <c r="Q141" s="156" t="n"/>
      <c r="R141" s="156" t="n"/>
      <c r="S141" s="156" t="inlineStr">
        <is>
          <t>88% Poliéster reciclado, 12% Elastano</t>
        </is>
      </c>
      <c r="T141" s="156" t="inlineStr">
        <is>
          <t>Pantalón de golf REFLO modelo Sidra en color Dark Forest, confeccionado con materiales reciclados. Estilo RM02101023.</t>
        </is>
      </c>
      <c r="U141" s="156" t="inlineStr">
        <is>
          <t>China</t>
        </is>
      </c>
      <c r="V141" s="156" t="inlineStr">
        <is>
          <t>PZS</t>
        </is>
      </c>
      <c r="W141" s="51" t="inlineStr">
        <is>
          <t>53101502</t>
        </is>
      </c>
      <c r="X141" s="156" t="n"/>
      <c r="Y141" s="54" t="n">
        <v>40.95</v>
      </c>
      <c r="Z141" s="54" t="n">
        <v>2585.344828</v>
      </c>
      <c r="AA141" s="55">
        <f>IF(AND(A141="", B141="", E141=""), "", IF(AB141="", "Válido", IF((LEN(AB141)-LEN(SUBSTITUTE(AB141,"; ","")))/2+1&gt;(LEN(AB141)-LEN(SUBSTITUTE(AB141,"[Aviso]","")))/7, "Con Incidencias", "Válido")))</f>
        <v/>
      </c>
      <c r="AB141" s="56">
        <f>IF(AND(A141="", B141="", E141=""), "", TEXTJOIN("; ", TRUE, IF(OR(TRIM(A141&amp;"")="", ISNUMBER(SEARCH("FALTA", A141))), "UPC faltante/inválido", ""), IF(AND(A141&lt;&gt;"", IFERROR(_xlfn.XMATCH(A141,$A$2:$A$653,0,1)&lt;&gt;_xlfn.XMATCH(A141,$A$2:$A$653,0,-1),FALSE)), "Código de barras duplicado", ""), IF(AND(E141&lt;&gt;"", COUNTIF($E$2:$E$653, E141)&gt;1), "SKU duplicado", ""), IF(OR(J141="", J141=""), "[Aviso] División no capturada ()", IF(ISNA(MATCH(J141, Criterios!$A$123:$A$126, 0)), "División no válida", "")), IF(OR(K141="", K141=""), "[Aviso] Categoría no capturada ()", IF(ISNA(MATCH(K141, Criterios!$A$81:$A$120, 0)), "Categoría no válida", IF(AND(J141&lt;&gt;"", J141&lt;&gt;"", J141&lt;&gt;VLOOKUP(K141, Criterios!$A$81:$B$120, 2, FALSE)), "División no coincide con Categoría", ""))), IF(OR(L141="", L141=""), "[Aviso] Género no capturado ()", IF(ISNA(MATCH(L141, Criterios!$B$123:$B$127, 0)), "Género no válido", "")), IF(OR(N141="", N141=""), "[Aviso] Temporada no capturada ()", IF(ISNA(MATCH(N141, Criterios!$C$123:$C$128, 0)), "Temporada no válida", "")), IF(OR(O141="", O141=""), "[Aviso] Ciclo de vida no capturado ()", IF(ISNA(MATCH(O141, Criterios!$D$123:$D$124, 0)), "Ciclo de vida no válido", ""))))</f>
        <v/>
      </c>
      <c r="AC141" s="56" t="n"/>
      <c r="AD141" s="51" t="n">
        <v>9</v>
      </c>
      <c r="AE141" s="156" t="inlineStr">
        <is>
          <t>REFLO ALMACEN (5)</t>
        </is>
      </c>
      <c r="AF141" s="51" t="n">
        <v>9</v>
      </c>
      <c r="AG141" s="156" t="inlineStr">
        <is>
          <t>Nuevo – NetSuite con existencia</t>
        </is>
      </c>
      <c r="AH141" s="156" t="inlineStr">
        <is>
          <t>Talla: Pantalón solo con cintura (sin largo) (origen «38»); Físico total NetSuite 9 ≠ suma por ubicación 5 | Revisión 29/09/2026: Talla fuente 38 sin equivalencia exacta en Criterios para Cintura Jean + Largo Jean; Marca REFLO fuera de lista Criterios; Campos sin respaldo: N, O, Q, X; Auditoría NetSuite 30/09/2026: llenado desde NetSuite [Y]</t>
        </is>
      </c>
      <c r="AI141" s="156" t="inlineStr">
        <is>
          <t>No</t>
        </is>
      </c>
      <c r="AJ141" s="156" t="n"/>
      <c r="AK141" s="155" t="inlineStr">
        <is>
          <t>G1522ProductosTodosloscamposSandboxResults894.xlsx: fila 58710 [Y]; G1522_Extraccion_Articulos_NetSuite_2026-09-30.xlsx: fila 39561 [Y]</t>
        </is>
      </c>
      <c r="AL141" s="58" t="n"/>
      <c r="AM141" s="58" t="n">
        <v>2585.344828</v>
      </c>
      <c r="AN141" s="155" t="n"/>
      <c r="AO141" s="59" t="n"/>
      <c r="AP141" s="59" t="n"/>
      <c r="AQ141" s="59" t="n"/>
      <c r="AR141" s="155" t="n"/>
    </row>
    <row r="142">
      <c r="A142" s="50" t="inlineStr">
        <is>
          <t>5056658704918</t>
        </is>
      </c>
      <c r="B142" s="51" t="inlineStr">
        <is>
          <t>84393</t>
        </is>
      </c>
      <c r="C142" s="156" t="inlineStr">
        <is>
          <t>REFLO</t>
        </is>
      </c>
      <c r="D142" s="156" t="inlineStr">
        <is>
          <t>RM02101023</t>
        </is>
      </c>
      <c r="E142" s="156" t="inlineStr">
        <is>
          <t>RM02101023-40</t>
        </is>
      </c>
      <c r="F142" s="156" t="inlineStr">
        <is>
          <t>40</t>
        </is>
      </c>
      <c r="G142" s="156" t="inlineStr">
        <is>
          <t>40W</t>
        </is>
      </c>
      <c r="H142" s="156" t="inlineStr">
        <is>
          <t>REFLO</t>
        </is>
      </c>
      <c r="I142" s="156" t="inlineStr">
        <is>
          <t>Pantalón REFLO Sidra Dark Forest</t>
        </is>
      </c>
      <c r="J142" s="156" t="inlineStr">
        <is>
          <t>Ropa</t>
        </is>
      </c>
      <c r="K142" s="156" t="inlineStr">
        <is>
          <t>Pantalones</t>
        </is>
      </c>
      <c r="L142" s="156" t="inlineStr">
        <is>
          <t>Hombre</t>
        </is>
      </c>
      <c r="M142" s="156" t="inlineStr">
        <is>
          <t>REFLO</t>
        </is>
      </c>
      <c r="N142" s="156" t="n"/>
      <c r="O142" s="156" t="n"/>
      <c r="P142" s="156" t="inlineStr">
        <is>
          <t>Verde</t>
        </is>
      </c>
      <c r="Q142" s="156" t="n"/>
      <c r="R142" s="156" t="n"/>
      <c r="S142" s="156" t="inlineStr">
        <is>
          <t>88% Poliéster reciclado, 12% Elastano</t>
        </is>
      </c>
      <c r="T142" s="156" t="inlineStr">
        <is>
          <t>Pantalón de golf REFLO modelo Sidra en color Dark Forest, confeccionado con materiales reciclados. Estilo RM02101023.</t>
        </is>
      </c>
      <c r="U142" s="156" t="inlineStr">
        <is>
          <t>China</t>
        </is>
      </c>
      <c r="V142" s="156" t="inlineStr">
        <is>
          <t>PZS</t>
        </is>
      </c>
      <c r="W142" s="51" t="inlineStr">
        <is>
          <t>53101502</t>
        </is>
      </c>
      <c r="X142" s="156" t="n"/>
      <c r="Y142" s="54" t="n">
        <v>40.95</v>
      </c>
      <c r="Z142" s="54" t="n">
        <v>2585.344828</v>
      </c>
      <c r="AA142" s="55">
        <f>IF(AND(A142="", B142="", E142=""), "", IF(AB142="", "Válido", IF((LEN(AB142)-LEN(SUBSTITUTE(AB142,"; ","")))/2+1&gt;(LEN(AB142)-LEN(SUBSTITUTE(AB142,"[Aviso]","")))/7, "Con Incidencias", "Válido")))</f>
        <v/>
      </c>
      <c r="AB142" s="56">
        <f>IF(AND(A142="", B142="", E142=""), "", TEXTJOIN("; ", TRUE, IF(OR(TRIM(A142&amp;"")="", ISNUMBER(SEARCH("FALTA", A142))), "UPC faltante/inválido", ""), IF(AND(A142&lt;&gt;"", IFERROR(_xlfn.XMATCH(A142,$A$2:$A$653,0,1)&lt;&gt;_xlfn.XMATCH(A142,$A$2:$A$653,0,-1),FALSE)), "Código de barras duplicado", ""), IF(AND(E142&lt;&gt;"", COUNTIF($E$2:$E$653, E142)&gt;1), "SKU duplicado", ""), IF(OR(J142="", J142=""), "[Aviso] División no capturada ()", IF(ISNA(MATCH(J142, Criterios!$A$123:$A$126, 0)), "División no válida", "")), IF(OR(K142="", K142=""), "[Aviso] Categoría no capturada ()", IF(ISNA(MATCH(K142, Criterios!$A$81:$A$120, 0)), "Categoría no válida", IF(AND(J142&lt;&gt;"", J142&lt;&gt;"", J142&lt;&gt;VLOOKUP(K142, Criterios!$A$81:$B$120, 2, FALSE)), "División no coincide con Categoría", ""))), IF(OR(L142="", L142=""), "[Aviso] Género no capturado ()", IF(ISNA(MATCH(L142, Criterios!$B$123:$B$127, 0)), "Género no válido", "")), IF(OR(N142="", N142=""), "[Aviso] Temporada no capturada ()", IF(ISNA(MATCH(N142, Criterios!$C$123:$C$128, 0)), "Temporada no válida", "")), IF(OR(O142="", O142=""), "[Aviso] Ciclo de vida no capturado ()", IF(ISNA(MATCH(O142, Criterios!$D$123:$D$124, 0)), "Ciclo de vida no válido", ""))))</f>
        <v/>
      </c>
      <c r="AC142" s="56" t="n"/>
      <c r="AD142" s="51" t="n">
        <v>7</v>
      </c>
      <c r="AE142" s="156" t="inlineStr">
        <is>
          <t>REFLO ALMACEN (4)</t>
        </is>
      </c>
      <c r="AF142" s="51" t="n">
        <v>7</v>
      </c>
      <c r="AG142" s="156" t="inlineStr">
        <is>
          <t>Nuevo – NetSuite con existencia</t>
        </is>
      </c>
      <c r="AH142" s="156" t="inlineStr">
        <is>
          <t>Talla: Pantalón solo con cintura (sin largo) (origen «40»); Físico total NetSuite 7 ≠ suma por ubicación 4 | Revisión 29/09/2026: Talla fuente 40 sin equivalencia exacta en Criterios para Cintura Jean + Largo Jean; Marca REFLO fuera de lista Criterios; Campos sin respaldo: N, O, Q, X; Auditoría NetSuite 30/09/2026: llenado desde NetSuite [Y]</t>
        </is>
      </c>
      <c r="AI142" s="156" t="inlineStr">
        <is>
          <t>No</t>
        </is>
      </c>
      <c r="AJ142" s="156" t="n"/>
      <c r="AK142" s="155" t="inlineStr">
        <is>
          <t>G1522ProductosTodosloscamposSandboxResults894.xlsx: fila 58711 [Y]; G1522_Extraccion_Articulos_NetSuite_2026-09-30.xlsx: fila 39562 [Y]</t>
        </is>
      </c>
      <c r="AL142" s="58" t="n"/>
      <c r="AM142" s="58" t="n">
        <v>2585.344828</v>
      </c>
      <c r="AN142" s="155" t="n"/>
      <c r="AO142" s="59" t="n"/>
      <c r="AP142" s="59" t="n"/>
      <c r="AQ142" s="59" t="n"/>
      <c r="AR142" s="155" t="n"/>
    </row>
    <row r="143">
      <c r="A143" s="50" t="inlineStr">
        <is>
          <t>5056658705007</t>
        </is>
      </c>
      <c r="B143" s="51" t="inlineStr">
        <is>
          <t>79229</t>
        </is>
      </c>
      <c r="C143" s="156" t="inlineStr">
        <is>
          <t>REFLO</t>
        </is>
      </c>
      <c r="D143" s="156" t="inlineStr">
        <is>
          <t>RM02101035</t>
        </is>
      </c>
      <c r="E143" s="156" t="inlineStr">
        <is>
          <t>RM02101035-30</t>
        </is>
      </c>
      <c r="F143" s="156" t="inlineStr">
        <is>
          <t>30</t>
        </is>
      </c>
      <c r="G143" s="156" t="inlineStr">
        <is>
          <t>30W</t>
        </is>
      </c>
      <c r="H143" s="156" t="inlineStr">
        <is>
          <t>REFLO</t>
        </is>
      </c>
      <c r="I143" s="156" t="inlineStr">
        <is>
          <t>Pantalón REFLO Sidra Quarry</t>
        </is>
      </c>
      <c r="J143" s="156" t="inlineStr">
        <is>
          <t>Ropa</t>
        </is>
      </c>
      <c r="K143" s="156" t="inlineStr">
        <is>
          <t>Pantalones</t>
        </is>
      </c>
      <c r="L143" s="156" t="inlineStr">
        <is>
          <t>Hombre</t>
        </is>
      </c>
      <c r="M143" s="156" t="inlineStr">
        <is>
          <t>REFLO</t>
        </is>
      </c>
      <c r="N143" s="156" t="n"/>
      <c r="O143" s="156" t="n"/>
      <c r="P143" s="156" t="inlineStr">
        <is>
          <t>Gris</t>
        </is>
      </c>
      <c r="Q143" s="156" t="n"/>
      <c r="R143" s="156" t="n"/>
      <c r="S143" s="156" t="inlineStr">
        <is>
          <t>88% Poliéster reciclado, 12% Elastano</t>
        </is>
      </c>
      <c r="T143" s="156" t="inlineStr">
        <is>
          <t>Pantalón de golf REFLO modelo Sidra en color Quarry, confeccionado con materiales reciclados. Estilo RM02101035.</t>
        </is>
      </c>
      <c r="U143" s="156" t="inlineStr">
        <is>
          <t>China</t>
        </is>
      </c>
      <c r="V143" s="156" t="inlineStr">
        <is>
          <t>PZS</t>
        </is>
      </c>
      <c r="W143" s="51" t="inlineStr">
        <is>
          <t>53101502</t>
        </is>
      </c>
      <c r="X143" s="156" t="inlineStr">
        <is>
          <t>https://i.ibb.co/WsTRD5x/RM02101035.jpg</t>
        </is>
      </c>
      <c r="Y143" s="54" t="n">
        <v>40.95</v>
      </c>
      <c r="Z143" s="54" t="n">
        <v>2999</v>
      </c>
      <c r="AA143" s="55">
        <f>IF(AND(A143="", B143="", E143=""), "", IF(AB143="", "Válido", IF((LEN(AB143)-LEN(SUBSTITUTE(AB143,"; ","")))/2+1&gt;(LEN(AB143)-LEN(SUBSTITUTE(AB143,"[Aviso]","")))/7, "Con Incidencias", "Válido")))</f>
        <v/>
      </c>
      <c r="AB143" s="56">
        <f>IF(AND(A143="", B143="", E143=""), "", TEXTJOIN("; ", TRUE, IF(OR(TRIM(A143&amp;"")="", ISNUMBER(SEARCH("FALTA", A143))), "UPC faltante/inválido", ""), IF(AND(A143&lt;&gt;"", IFERROR(_xlfn.XMATCH(A143,$A$2:$A$653,0,1)&lt;&gt;_xlfn.XMATCH(A143,$A$2:$A$653,0,-1),FALSE)), "Código de barras duplicado", ""), IF(AND(E143&lt;&gt;"", COUNTIF($E$2:$E$653, E143)&gt;1), "SKU duplicado", ""), IF(OR(J143="", J143=""), "[Aviso] División no capturada ()", IF(ISNA(MATCH(J143, Criterios!$A$123:$A$126, 0)), "División no válida", "")), IF(OR(K143="", K143=""), "[Aviso] Categoría no capturada ()", IF(ISNA(MATCH(K143, Criterios!$A$81:$A$120, 0)), "Categoría no válida", IF(AND(J143&lt;&gt;"", J143&lt;&gt;"", J143&lt;&gt;VLOOKUP(K143, Criterios!$A$81:$B$120, 2, FALSE)), "División no coincide con Categoría", ""))), IF(OR(L143="", L143=""), "[Aviso] Género no capturado ()", IF(ISNA(MATCH(L143, Criterios!$B$123:$B$127, 0)), "Género no válido", "")), IF(OR(N143="", N143=""), "[Aviso] Temporada no capturada ()", IF(ISNA(MATCH(N143, Criterios!$C$123:$C$128, 0)), "Temporada no válida", "")), IF(OR(O143="", O143=""), "[Aviso] Ciclo de vida no capturado ()", IF(ISNA(MATCH(O143, Criterios!$D$123:$D$124, 0)), "Ciclo de vida no válido", ""))))</f>
        <v/>
      </c>
      <c r="AC143" s="56" t="n"/>
      <c r="AD143" s="51" t="n">
        <v>15</v>
      </c>
      <c r="AE143" s="156" t="inlineStr">
        <is>
          <t>REFLO ALMACEN (9); MUESTRAS REFLO (1)</t>
        </is>
      </c>
      <c r="AF143" s="51" t="n">
        <v>15</v>
      </c>
      <c r="AG143" s="156" t="inlineStr">
        <is>
          <t>Nuevo – NetSuite con existencia</t>
        </is>
      </c>
      <c r="AH143" s="156" t="inlineStr">
        <is>
          <t>Talla: Pantalón solo con cintura (sin largo) (origen «30»); Físico total NetSuite 15 ≠ suma por ubicación 9 | Revisión 29/09/2026: Talla fuente 30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43" s="156" t="inlineStr">
        <is>
          <t>Sí</t>
        </is>
      </c>
      <c r="AJ143" s="156" t="inlineStr">
        <is>
          <t>CONSIGNA REFLO (-1)</t>
        </is>
      </c>
      <c r="AK143" s="155" t="inlineStr">
        <is>
          <t>G1522ProductosTodosloscamposSandboxResults894.xlsx: fila 58720 [X,Y]; G1522_Extraccion_Articulos_NetSuite_2026-09-30.xlsx: fila 37562 [Z]</t>
        </is>
      </c>
      <c r="AL143" s="58" t="n">
        <v>40.95</v>
      </c>
      <c r="AM143" s="58" t="n"/>
      <c r="AN143" s="155" t="n"/>
      <c r="AO143" s="59" t="n"/>
      <c r="AP143" s="59" t="n"/>
      <c r="AQ143" s="59" t="n"/>
      <c r="AR143" s="155" t="n"/>
    </row>
    <row r="144">
      <c r="A144" s="50" t="inlineStr">
        <is>
          <t>5056658705014</t>
        </is>
      </c>
      <c r="B144" s="51" t="inlineStr">
        <is>
          <t>79230</t>
        </is>
      </c>
      <c r="C144" s="156" t="inlineStr">
        <is>
          <t>REFLO</t>
        </is>
      </c>
      <c r="D144" s="156" t="inlineStr">
        <is>
          <t>RM02101035</t>
        </is>
      </c>
      <c r="E144" s="156" t="inlineStr">
        <is>
          <t>RM02101035-32</t>
        </is>
      </c>
      <c r="F144" s="156" t="inlineStr">
        <is>
          <t>32</t>
        </is>
      </c>
      <c r="G144" s="156" t="inlineStr">
        <is>
          <t>32W</t>
        </is>
      </c>
      <c r="H144" s="156" t="inlineStr">
        <is>
          <t>REFLO</t>
        </is>
      </c>
      <c r="I144" s="156" t="inlineStr">
        <is>
          <t>Pantalón REFLO Sidra Quarry</t>
        </is>
      </c>
      <c r="J144" s="156" t="inlineStr">
        <is>
          <t>Ropa</t>
        </is>
      </c>
      <c r="K144" s="156" t="inlineStr">
        <is>
          <t>Pantalones</t>
        </is>
      </c>
      <c r="L144" s="156" t="inlineStr">
        <is>
          <t>Hombre</t>
        </is>
      </c>
      <c r="M144" s="156" t="inlineStr">
        <is>
          <t>REFLO</t>
        </is>
      </c>
      <c r="N144" s="156" t="n"/>
      <c r="O144" s="156" t="n"/>
      <c r="P144" s="156" t="inlineStr">
        <is>
          <t>Gris</t>
        </is>
      </c>
      <c r="Q144" s="156" t="n"/>
      <c r="R144" s="156" t="n"/>
      <c r="S144" s="156" t="inlineStr">
        <is>
          <t>88% Poliéster reciclado, 12% Elastano</t>
        </is>
      </c>
      <c r="T144" s="156" t="inlineStr">
        <is>
          <t>Pantalón de golf REFLO modelo Sidra en color Quarry, confeccionado con materiales reciclados. Estilo RM02101035.</t>
        </is>
      </c>
      <c r="U144" s="156" t="inlineStr">
        <is>
          <t>China</t>
        </is>
      </c>
      <c r="V144" s="156" t="inlineStr">
        <is>
          <t>PZS</t>
        </is>
      </c>
      <c r="W144" s="51" t="inlineStr">
        <is>
          <t>53101502</t>
        </is>
      </c>
      <c r="X144" s="156" t="inlineStr">
        <is>
          <t>https://i.ibb.co/WsTRD5x/RM02101035.jpg</t>
        </is>
      </c>
      <c r="Y144" s="54" t="n">
        <v>40.95</v>
      </c>
      <c r="Z144" s="54" t="n">
        <v>2999</v>
      </c>
      <c r="AA144" s="55">
        <f>IF(AND(A144="", B144="", E144=""), "", IF(AB144="", "Válido", IF((LEN(AB144)-LEN(SUBSTITUTE(AB144,"; ","")))/2+1&gt;(LEN(AB144)-LEN(SUBSTITUTE(AB144,"[Aviso]","")))/7, "Con Incidencias", "Válido")))</f>
        <v/>
      </c>
      <c r="AB144" s="56">
        <f>IF(AND(A144="", B144="", E144=""), "", TEXTJOIN("; ", TRUE, IF(OR(TRIM(A144&amp;"")="", ISNUMBER(SEARCH("FALTA", A144))), "UPC faltante/inválido", ""), IF(AND(A144&lt;&gt;"", IFERROR(_xlfn.XMATCH(A144,$A$2:$A$653,0,1)&lt;&gt;_xlfn.XMATCH(A144,$A$2:$A$653,0,-1),FALSE)), "Código de barras duplicado", ""), IF(AND(E144&lt;&gt;"", COUNTIF($E$2:$E$653, E144)&gt;1), "SKU duplicado", ""), IF(OR(J144="", J144=""), "[Aviso] División no capturada ()", IF(ISNA(MATCH(J144, Criterios!$A$123:$A$126, 0)), "División no válida", "")), IF(OR(K144="", K144=""), "[Aviso] Categoría no capturada ()", IF(ISNA(MATCH(K144, Criterios!$A$81:$A$120, 0)), "Categoría no válida", IF(AND(J144&lt;&gt;"", J144&lt;&gt;"", J144&lt;&gt;VLOOKUP(K144, Criterios!$A$81:$B$120, 2, FALSE)), "División no coincide con Categoría", ""))), IF(OR(L144="", L144=""), "[Aviso] Género no capturado ()", IF(ISNA(MATCH(L144, Criterios!$B$123:$B$127, 0)), "Género no válido", "")), IF(OR(N144="", N144=""), "[Aviso] Temporada no capturada ()", IF(ISNA(MATCH(N144, Criterios!$C$123:$C$128, 0)), "Temporada no válida", "")), IF(OR(O144="", O144=""), "[Aviso] Ciclo de vida no capturado ()", IF(ISNA(MATCH(O144, Criterios!$D$123:$D$124, 0)), "Ciclo de vida no válido", ""))))</f>
        <v/>
      </c>
      <c r="AC144" s="56" t="n"/>
      <c r="AD144" s="51" t="n">
        <v>34</v>
      </c>
      <c r="AE144" s="156" t="inlineStr">
        <is>
          <t>MUESTRAS REFLO (1); REFLO ALMACEN (19)</t>
        </is>
      </c>
      <c r="AF144" s="51" t="n">
        <v>35</v>
      </c>
      <c r="AG144" s="156" t="inlineStr">
        <is>
          <t>Nuevo – NetSuite con existencia</t>
        </is>
      </c>
      <c r="AH144" s="156" t="inlineStr">
        <is>
          <t>Talla: Pantalón solo con cintura (sin largo) (origen «32»); Físico total NetSuite 34 ≠ suma por ubicación 18 | Revisión 29/09/2026: Talla fuente 32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44" s="156" t="inlineStr">
        <is>
          <t>Sí</t>
        </is>
      </c>
      <c r="AJ144" s="156" t="inlineStr">
        <is>
          <t>CONSIGNA REFLO (-2)</t>
        </is>
      </c>
      <c r="AK144" s="155" t="inlineStr">
        <is>
          <t>G1522ProductosTodosloscamposSandboxResults894.xlsx: fila 58721 [X,Y]; G1522_Extraccion_Articulos_NetSuite_2026-09-30.xlsx: fila 37563 [Z]</t>
        </is>
      </c>
      <c r="AL144" s="58" t="n">
        <v>40.95</v>
      </c>
      <c r="AM144" s="58" t="n"/>
      <c r="AN144" s="155" t="n"/>
      <c r="AO144" s="59" t="n"/>
      <c r="AP144" s="59" t="n"/>
      <c r="AQ144" s="59" t="n"/>
      <c r="AR144" s="155" t="n"/>
    </row>
    <row r="145">
      <c r="A145" s="50" t="inlineStr">
        <is>
          <t>5056658705021</t>
        </is>
      </c>
      <c r="B145" s="51" t="inlineStr">
        <is>
          <t>79231</t>
        </is>
      </c>
      <c r="C145" s="156" t="inlineStr">
        <is>
          <t>REFLO</t>
        </is>
      </c>
      <c r="D145" s="156" t="inlineStr">
        <is>
          <t>RM02101035</t>
        </is>
      </c>
      <c r="E145" s="156" t="inlineStr">
        <is>
          <t>RM02101035-34</t>
        </is>
      </c>
      <c r="F145" s="156" t="inlineStr">
        <is>
          <t>34</t>
        </is>
      </c>
      <c r="G145" s="156" t="inlineStr">
        <is>
          <t>34W</t>
        </is>
      </c>
      <c r="H145" s="156" t="inlineStr">
        <is>
          <t>REFLO</t>
        </is>
      </c>
      <c r="I145" s="156" t="inlineStr">
        <is>
          <t>Pantalón REFLO Sidra Quarry</t>
        </is>
      </c>
      <c r="J145" s="156" t="inlineStr">
        <is>
          <t>Ropa</t>
        </is>
      </c>
      <c r="K145" s="156" t="inlineStr">
        <is>
          <t>Pantalones</t>
        </is>
      </c>
      <c r="L145" s="156" t="inlineStr">
        <is>
          <t>Hombre</t>
        </is>
      </c>
      <c r="M145" s="156" t="inlineStr">
        <is>
          <t>REFLO</t>
        </is>
      </c>
      <c r="N145" s="156" t="n"/>
      <c r="O145" s="156" t="n"/>
      <c r="P145" s="156" t="inlineStr">
        <is>
          <t>Gris</t>
        </is>
      </c>
      <c r="Q145" s="156" t="n"/>
      <c r="R145" s="156" t="n"/>
      <c r="S145" s="156" t="inlineStr">
        <is>
          <t>88% Poliéster reciclado, 12% Elastano</t>
        </is>
      </c>
      <c r="T145" s="156" t="inlineStr">
        <is>
          <t>Pantalón de golf REFLO modelo Sidra en color Quarry, confeccionado con materiales reciclados. Estilo RM02101035.</t>
        </is>
      </c>
      <c r="U145" s="156" t="inlineStr">
        <is>
          <t>China</t>
        </is>
      </c>
      <c r="V145" s="156" t="inlineStr">
        <is>
          <t>PZS</t>
        </is>
      </c>
      <c r="W145" s="51" t="inlineStr">
        <is>
          <t>53101502</t>
        </is>
      </c>
      <c r="X145" s="156" t="inlineStr">
        <is>
          <t>https://i.ibb.co/WsTRD5x/RM02101035.jpg</t>
        </is>
      </c>
      <c r="Y145" s="54" t="n">
        <v>40.95</v>
      </c>
      <c r="Z145" s="54" t="n">
        <v>2999</v>
      </c>
      <c r="AA145" s="55">
        <f>IF(AND(A145="", B145="", E145=""), "", IF(AB145="", "Válido", IF((LEN(AB145)-LEN(SUBSTITUTE(AB145,"; ","")))/2+1&gt;(LEN(AB145)-LEN(SUBSTITUTE(AB145,"[Aviso]","")))/7, "Con Incidencias", "Válido")))</f>
        <v/>
      </c>
      <c r="AB145" s="56">
        <f>IF(AND(A145="", B145="", E145=""), "", TEXTJOIN("; ", TRUE, IF(OR(TRIM(A145&amp;"")="", ISNUMBER(SEARCH("FALTA", A145))), "UPC faltante/inválido", ""), IF(AND(A145&lt;&gt;"", IFERROR(_xlfn.XMATCH(A145,$A$2:$A$653,0,1)&lt;&gt;_xlfn.XMATCH(A145,$A$2:$A$653,0,-1),FALSE)), "Código de barras duplicado", ""), IF(AND(E145&lt;&gt;"", COUNTIF($E$2:$E$653, E145)&gt;1), "SKU duplicado", ""), IF(OR(J145="", J145=""), "[Aviso] División no capturada ()", IF(ISNA(MATCH(J145, Criterios!$A$123:$A$126, 0)), "División no válida", "")), IF(OR(K145="", K145=""), "[Aviso] Categoría no capturada ()", IF(ISNA(MATCH(K145, Criterios!$A$81:$A$120, 0)), "Categoría no válida", IF(AND(J145&lt;&gt;"", J145&lt;&gt;"", J145&lt;&gt;VLOOKUP(K145, Criterios!$A$81:$B$120, 2, FALSE)), "División no coincide con Categoría", ""))), IF(OR(L145="", L145=""), "[Aviso] Género no capturado ()", IF(ISNA(MATCH(L145, Criterios!$B$123:$B$127, 0)), "Género no válido", "")), IF(OR(N145="", N145=""), "[Aviso] Temporada no capturada ()", IF(ISNA(MATCH(N145, Criterios!$C$123:$C$128, 0)), "Temporada no válida", "")), IF(OR(O145="", O145=""), "[Aviso] Ciclo de vida no capturado ()", IF(ISNA(MATCH(O145, Criterios!$D$123:$D$124, 0)), "Ciclo de vida no válido", ""))))</f>
        <v/>
      </c>
      <c r="AC145" s="56" t="n"/>
      <c r="AD145" s="51" t="n">
        <v>60</v>
      </c>
      <c r="AE145" s="156" t="inlineStr">
        <is>
          <t>REFLO ALMACEN (32)</t>
        </is>
      </c>
      <c r="AF145" s="51" t="n">
        <v>62</v>
      </c>
      <c r="AG145" s="156" t="inlineStr">
        <is>
          <t>Nuevo – NetSuite con existencia</t>
        </is>
      </c>
      <c r="AH145" s="156" t="inlineStr">
        <is>
          <t>Talla: Pantalón solo con cintura (sin largo) (origen «34»); Físico total NetSuite 60 ≠ suma por ubicación 30 | Revisión 29/09/2026: Talla fuente 34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45" s="156" t="inlineStr">
        <is>
          <t>Sí</t>
        </is>
      </c>
      <c r="AJ145" s="156" t="inlineStr">
        <is>
          <t>CONSIGNA REFLO (-2)</t>
        </is>
      </c>
      <c r="AK145" s="155" t="inlineStr">
        <is>
          <t>G1522ProductosTodosloscamposSandboxResults894.xlsx: fila 58722 [X,Y]; G1522_Extraccion_Articulos_NetSuite_2026-09-30.xlsx: fila 37564 [Z]</t>
        </is>
      </c>
      <c r="AL145" s="58" t="n">
        <v>40.95</v>
      </c>
      <c r="AM145" s="58" t="n"/>
      <c r="AN145" s="155" t="n"/>
      <c r="AO145" s="59" t="n"/>
      <c r="AP145" s="59" t="n"/>
      <c r="AQ145" s="59" t="n"/>
      <c r="AR145" s="155" t="n"/>
    </row>
    <row r="146">
      <c r="A146" s="50" t="inlineStr">
        <is>
          <t>5056658705038</t>
        </is>
      </c>
      <c r="B146" s="51" t="inlineStr">
        <is>
          <t>79232</t>
        </is>
      </c>
      <c r="C146" s="156" t="inlineStr">
        <is>
          <t>REFLO</t>
        </is>
      </c>
      <c r="D146" s="156" t="inlineStr">
        <is>
          <t>RM02101035</t>
        </is>
      </c>
      <c r="E146" s="156" t="inlineStr">
        <is>
          <t>RM02101035-36</t>
        </is>
      </c>
      <c r="F146" s="156" t="inlineStr">
        <is>
          <t>36</t>
        </is>
      </c>
      <c r="G146" s="156" t="inlineStr">
        <is>
          <t>36W</t>
        </is>
      </c>
      <c r="H146" s="156" t="inlineStr">
        <is>
          <t>REFLO</t>
        </is>
      </c>
      <c r="I146" s="156" t="inlineStr">
        <is>
          <t>Pantalón REFLO Sidra Quarry</t>
        </is>
      </c>
      <c r="J146" s="156" t="inlineStr">
        <is>
          <t>Ropa</t>
        </is>
      </c>
      <c r="K146" s="156" t="inlineStr">
        <is>
          <t>Pantalones</t>
        </is>
      </c>
      <c r="L146" s="156" t="inlineStr">
        <is>
          <t>Hombre</t>
        </is>
      </c>
      <c r="M146" s="156" t="inlineStr">
        <is>
          <t>REFLO</t>
        </is>
      </c>
      <c r="N146" s="156" t="n"/>
      <c r="O146" s="156" t="n"/>
      <c r="P146" s="156" t="inlineStr">
        <is>
          <t>Gris</t>
        </is>
      </c>
      <c r="Q146" s="156" t="n"/>
      <c r="R146" s="156" t="n"/>
      <c r="S146" s="156" t="inlineStr">
        <is>
          <t>88% Poliéster reciclado, 12% Elastano</t>
        </is>
      </c>
      <c r="T146" s="156" t="inlineStr">
        <is>
          <t>Pantalón de golf REFLO modelo Sidra en color Quarry, confeccionado con materiales reciclados. Estilo RM02101035.</t>
        </is>
      </c>
      <c r="U146" s="156" t="inlineStr">
        <is>
          <t>China</t>
        </is>
      </c>
      <c r="V146" s="156" t="inlineStr">
        <is>
          <t>PZS</t>
        </is>
      </c>
      <c r="W146" s="51" t="inlineStr">
        <is>
          <t>53101502</t>
        </is>
      </c>
      <c r="X146" s="156" t="inlineStr">
        <is>
          <t>https://i.ibb.co/WsTRD5x/RM02101035.jpg</t>
        </is>
      </c>
      <c r="Y146" s="54" t="n">
        <v>40.95</v>
      </c>
      <c r="Z146" s="54" t="n">
        <v>2999</v>
      </c>
      <c r="AA146" s="55">
        <f>IF(AND(A146="", B146="", E146=""), "", IF(AB146="", "Válido", IF((LEN(AB146)-LEN(SUBSTITUTE(AB146,"; ","")))/2+1&gt;(LEN(AB146)-LEN(SUBSTITUTE(AB146,"[Aviso]","")))/7, "Con Incidencias", "Válido")))</f>
        <v/>
      </c>
      <c r="AB146" s="56">
        <f>IF(AND(A146="", B146="", E146=""), "", TEXTJOIN("; ", TRUE, IF(OR(TRIM(A146&amp;"")="", ISNUMBER(SEARCH("FALTA", A146))), "UPC faltante/inválido", ""), IF(AND(A146&lt;&gt;"", IFERROR(_xlfn.XMATCH(A146,$A$2:$A$653,0,1)&lt;&gt;_xlfn.XMATCH(A146,$A$2:$A$653,0,-1),FALSE)), "Código de barras duplicado", ""), IF(AND(E146&lt;&gt;"", COUNTIF($E$2:$E$653, E146)&gt;1), "SKU duplicado", ""), IF(OR(J146="", J146=""), "[Aviso] División no capturada ()", IF(ISNA(MATCH(J146, Criterios!$A$123:$A$126, 0)), "División no válida", "")), IF(OR(K146="", K146=""), "[Aviso] Categoría no capturada ()", IF(ISNA(MATCH(K146, Criterios!$A$81:$A$120, 0)), "Categoría no válida", IF(AND(J146&lt;&gt;"", J146&lt;&gt;"", J146&lt;&gt;VLOOKUP(K146, Criterios!$A$81:$B$120, 2, FALSE)), "División no coincide con Categoría", ""))), IF(OR(L146="", L146=""), "[Aviso] Género no capturado ()", IF(ISNA(MATCH(L146, Criterios!$B$123:$B$127, 0)), "Género no válido", "")), IF(OR(N146="", N146=""), "[Aviso] Temporada no capturada ()", IF(ISNA(MATCH(N146, Criterios!$C$123:$C$128, 0)), "Temporada no válida", "")), IF(OR(O146="", O146=""), "[Aviso] Ciclo de vida no capturado ()", IF(ISNA(MATCH(O146, Criterios!$D$123:$D$124, 0)), "Ciclo de vida no válido", ""))))</f>
        <v/>
      </c>
      <c r="AC146" s="56" t="n"/>
      <c r="AD146" s="51" t="n">
        <v>59</v>
      </c>
      <c r="AE146" s="156" t="inlineStr">
        <is>
          <t>REFLO ALMACEN (31)</t>
        </is>
      </c>
      <c r="AF146" s="51" t="n">
        <v>60</v>
      </c>
      <c r="AG146" s="156" t="inlineStr">
        <is>
          <t>Nuevo – NetSuite con existencia</t>
        </is>
      </c>
      <c r="AH146" s="156" t="inlineStr">
        <is>
          <t>Talla: Pantalón solo con cintura (sin largo) (origen «36»); Físico total NetSuite 59 ≠ suma por ubicación 30 | Revisión 29/09/2026: Talla fuente 36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46" s="156" t="inlineStr">
        <is>
          <t>Sí</t>
        </is>
      </c>
      <c r="AJ146" s="156" t="inlineStr">
        <is>
          <t>CONSIGNA REFLO (-1)</t>
        </is>
      </c>
      <c r="AK146" s="155" t="inlineStr">
        <is>
          <t>G1522ProductosTodosloscamposSandboxResults894.xlsx: fila 58723 [X,Y]; G1522_Extraccion_Articulos_NetSuite_2026-09-30.xlsx: fila 37565 [Z]</t>
        </is>
      </c>
      <c r="AL146" s="58" t="n">
        <v>40.95</v>
      </c>
      <c r="AM146" s="58" t="n"/>
      <c r="AN146" s="155" t="n"/>
      <c r="AO146" s="59" t="n"/>
      <c r="AP146" s="59" t="n"/>
      <c r="AQ146" s="59" t="n"/>
      <c r="AR146" s="155" t="n"/>
    </row>
    <row r="147">
      <c r="A147" s="50" t="inlineStr">
        <is>
          <t>5056658705045</t>
        </is>
      </c>
      <c r="B147" s="51" t="inlineStr">
        <is>
          <t>79233</t>
        </is>
      </c>
      <c r="C147" s="156" t="inlineStr">
        <is>
          <t>REFLO</t>
        </is>
      </c>
      <c r="D147" s="156" t="inlineStr">
        <is>
          <t>RM02101035</t>
        </is>
      </c>
      <c r="E147" s="156" t="inlineStr">
        <is>
          <t>RM02101035-38</t>
        </is>
      </c>
      <c r="F147" s="156" t="inlineStr">
        <is>
          <t>38</t>
        </is>
      </c>
      <c r="G147" s="156" t="inlineStr">
        <is>
          <t>38W</t>
        </is>
      </c>
      <c r="H147" s="156" t="inlineStr">
        <is>
          <t>REFLO</t>
        </is>
      </c>
      <c r="I147" s="156" t="inlineStr">
        <is>
          <t>Pantalón REFLO Sidra Quarry</t>
        </is>
      </c>
      <c r="J147" s="156" t="inlineStr">
        <is>
          <t>Ropa</t>
        </is>
      </c>
      <c r="K147" s="156" t="inlineStr">
        <is>
          <t>Pantalones</t>
        </is>
      </c>
      <c r="L147" s="156" t="inlineStr">
        <is>
          <t>Hombre</t>
        </is>
      </c>
      <c r="M147" s="156" t="inlineStr">
        <is>
          <t>REFLO</t>
        </is>
      </c>
      <c r="N147" s="156" t="n"/>
      <c r="O147" s="156" t="n"/>
      <c r="P147" s="156" t="inlineStr">
        <is>
          <t>Gris</t>
        </is>
      </c>
      <c r="Q147" s="156" t="n"/>
      <c r="R147" s="156" t="n"/>
      <c r="S147" s="156" t="inlineStr">
        <is>
          <t>88% Poliéster reciclado, 12% Elastano</t>
        </is>
      </c>
      <c r="T147" s="156" t="inlineStr">
        <is>
          <t>Pantalón de golf REFLO modelo Sidra en color Quarry, confeccionado con materiales reciclados. Estilo RM02101035.</t>
        </is>
      </c>
      <c r="U147" s="156" t="inlineStr">
        <is>
          <t>China</t>
        </is>
      </c>
      <c r="V147" s="156" t="inlineStr">
        <is>
          <t>PZS</t>
        </is>
      </c>
      <c r="W147" s="51" t="inlineStr">
        <is>
          <t>53101502</t>
        </is>
      </c>
      <c r="X147" s="156" t="inlineStr">
        <is>
          <t>https://i.ibb.co/WsTRD5x/RM02101035.jpg</t>
        </is>
      </c>
      <c r="Y147" s="54" t="n">
        <v>40.95</v>
      </c>
      <c r="Z147" s="54" t="n">
        <v>2999</v>
      </c>
      <c r="AA147" s="55">
        <f>IF(AND(A147="", B147="", E147=""), "", IF(AB147="", "Válido", IF((LEN(AB147)-LEN(SUBSTITUTE(AB147,"; ","")))/2+1&gt;(LEN(AB147)-LEN(SUBSTITUTE(AB147,"[Aviso]","")))/7, "Con Incidencias", "Válido")))</f>
        <v/>
      </c>
      <c r="AB147" s="56">
        <f>IF(AND(A147="", B147="", E147=""), "", TEXTJOIN("; ", TRUE, IF(OR(TRIM(A147&amp;"")="", ISNUMBER(SEARCH("FALTA", A147))), "UPC faltante/inválido", ""), IF(AND(A147&lt;&gt;"", IFERROR(_xlfn.XMATCH(A147,$A$2:$A$653,0,1)&lt;&gt;_xlfn.XMATCH(A147,$A$2:$A$653,0,-1),FALSE)), "Código de barras duplicado", ""), IF(AND(E147&lt;&gt;"", COUNTIF($E$2:$E$653, E147)&gt;1), "SKU duplicado", ""), IF(OR(J147="", J147=""), "[Aviso] División no capturada ()", IF(ISNA(MATCH(J147, Criterios!$A$123:$A$126, 0)), "División no válida", "")), IF(OR(K147="", K147=""), "[Aviso] Categoría no capturada ()", IF(ISNA(MATCH(K147, Criterios!$A$81:$A$120, 0)), "Categoría no válida", IF(AND(J147&lt;&gt;"", J147&lt;&gt;"", J147&lt;&gt;VLOOKUP(K147, Criterios!$A$81:$B$120, 2, FALSE)), "División no coincide con Categoría", ""))), IF(OR(L147="", L147=""), "[Aviso] Género no capturado ()", IF(ISNA(MATCH(L147, Criterios!$B$123:$B$127, 0)), "Género no válido", "")), IF(OR(N147="", N147=""), "[Aviso] Temporada no capturada ()", IF(ISNA(MATCH(N147, Criterios!$C$123:$C$128, 0)), "Temporada no válida", "")), IF(OR(O147="", O147=""), "[Aviso] Ciclo de vida no capturado ()", IF(ISNA(MATCH(O147, Criterios!$D$123:$D$124, 0)), "Ciclo de vida no válido", ""))))</f>
        <v/>
      </c>
      <c r="AC147" s="56" t="n"/>
      <c r="AD147" s="51" t="n">
        <v>13</v>
      </c>
      <c r="AE147" s="156" t="inlineStr">
        <is>
          <t>REFLO ALMACEN (8)</t>
        </is>
      </c>
      <c r="AF147" s="51" t="n">
        <v>14</v>
      </c>
      <c r="AG147" s="156" t="inlineStr">
        <is>
          <t>Nuevo – NetSuite con existencia</t>
        </is>
      </c>
      <c r="AH147" s="156" t="inlineStr">
        <is>
          <t>Talla: Pantalón solo con cintura (sin largo) (origen «38»); Físico total NetSuite 13 ≠ suma por ubicación 7 | Revisión 29/09/2026: Talla fuente 38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47" s="156" t="inlineStr">
        <is>
          <t>Sí</t>
        </is>
      </c>
      <c r="AJ147" s="156" t="inlineStr">
        <is>
          <t>CONSIGNA REFLO (-1)</t>
        </is>
      </c>
      <c r="AK147" s="155" t="inlineStr">
        <is>
          <t>G1522ProductosTodosloscamposSandboxResults894.xlsx: fila 58724 [X,Y]; G1522_Extraccion_Articulos_NetSuite_2026-09-30.xlsx: fila 37566 [Z]</t>
        </is>
      </c>
      <c r="AL147" s="58" t="n">
        <v>40.95</v>
      </c>
      <c r="AM147" s="58" t="n"/>
      <c r="AN147" s="155" t="n"/>
      <c r="AO147" s="59" t="n"/>
      <c r="AP147" s="59" t="n"/>
      <c r="AQ147" s="59" t="n"/>
      <c r="AR147" s="155" t="n"/>
    </row>
    <row r="148">
      <c r="A148" s="50" t="inlineStr">
        <is>
          <t>5056658705052</t>
        </is>
      </c>
      <c r="B148" s="51" t="inlineStr">
        <is>
          <t>84394</t>
        </is>
      </c>
      <c r="C148" s="156" t="inlineStr">
        <is>
          <t>REFLO</t>
        </is>
      </c>
      <c r="D148" s="156" t="inlineStr">
        <is>
          <t>RM02101035</t>
        </is>
      </c>
      <c r="E148" s="156" t="inlineStr">
        <is>
          <t>RM02101035-40</t>
        </is>
      </c>
      <c r="F148" s="156" t="inlineStr">
        <is>
          <t>40</t>
        </is>
      </c>
      <c r="G148" s="156" t="inlineStr">
        <is>
          <t>40W</t>
        </is>
      </c>
      <c r="H148" s="156" t="inlineStr">
        <is>
          <t>REFLO</t>
        </is>
      </c>
      <c r="I148" s="156" t="inlineStr">
        <is>
          <t>Pantalón REFLO Sidra Quarry</t>
        </is>
      </c>
      <c r="J148" s="156" t="inlineStr">
        <is>
          <t>Ropa</t>
        </is>
      </c>
      <c r="K148" s="156" t="inlineStr">
        <is>
          <t>Pantalones</t>
        </is>
      </c>
      <c r="L148" s="156" t="inlineStr">
        <is>
          <t>Hombre</t>
        </is>
      </c>
      <c r="M148" s="156" t="inlineStr">
        <is>
          <t>REFLO</t>
        </is>
      </c>
      <c r="N148" s="156" t="n"/>
      <c r="O148" s="156" t="n"/>
      <c r="P148" s="156" t="inlineStr">
        <is>
          <t>Gris</t>
        </is>
      </c>
      <c r="Q148" s="156" t="n"/>
      <c r="R148" s="156" t="n"/>
      <c r="S148" s="156" t="inlineStr">
        <is>
          <t>88% Poliéster reciclado, 12% Elastano</t>
        </is>
      </c>
      <c r="T148" s="156" t="inlineStr">
        <is>
          <t>Pantalón de golf REFLO modelo Sidra en color Quarry, confeccionado con materiales reciclados. Estilo RM02101035.</t>
        </is>
      </c>
      <c r="U148" s="156" t="inlineStr">
        <is>
          <t>China</t>
        </is>
      </c>
      <c r="V148" s="156" t="inlineStr">
        <is>
          <t>PZS</t>
        </is>
      </c>
      <c r="W148" s="51" t="inlineStr">
        <is>
          <t>53101502</t>
        </is>
      </c>
      <c r="X148" s="156" t="inlineStr">
        <is>
          <t>https://i.ibb.co/WsTRD5x/RM02101035.jpg</t>
        </is>
      </c>
      <c r="Y148" s="54" t="n">
        <v>40.95</v>
      </c>
      <c r="Z148" s="54" t="n">
        <v>2999</v>
      </c>
      <c r="AA148" s="55">
        <f>IF(AND(A148="", B148="", E148=""), "", IF(AB148="", "Válido", IF((LEN(AB148)-LEN(SUBSTITUTE(AB148,"; ","")))/2+1&gt;(LEN(AB148)-LEN(SUBSTITUTE(AB148,"[Aviso]","")))/7, "Con Incidencias", "Válido")))</f>
        <v/>
      </c>
      <c r="AB148" s="56">
        <f>IF(AND(A148="", B148="", E148=""), "", TEXTJOIN("; ", TRUE, IF(OR(TRIM(A148&amp;"")="", ISNUMBER(SEARCH("FALTA", A148))), "UPC faltante/inválido", ""), IF(AND(A148&lt;&gt;"", IFERROR(_xlfn.XMATCH(A148,$A$2:$A$653,0,1)&lt;&gt;_xlfn.XMATCH(A148,$A$2:$A$653,0,-1),FALSE)), "Código de barras duplicado", ""), IF(AND(E148&lt;&gt;"", COUNTIF($E$2:$E$653, E148)&gt;1), "SKU duplicado", ""), IF(OR(J148="", J148=""), "[Aviso] División no capturada ()", IF(ISNA(MATCH(J148, Criterios!$A$123:$A$126, 0)), "División no válida", "")), IF(OR(K148="", K148=""), "[Aviso] Categoría no capturada ()", IF(ISNA(MATCH(K148, Criterios!$A$81:$A$120, 0)), "Categoría no válida", IF(AND(J148&lt;&gt;"", J148&lt;&gt;"", J148&lt;&gt;VLOOKUP(K148, Criterios!$A$81:$B$120, 2, FALSE)), "División no coincide con Categoría", ""))), IF(OR(L148="", L148=""), "[Aviso] Género no capturado ()", IF(ISNA(MATCH(L148, Criterios!$B$123:$B$127, 0)), "Género no válido", "")), IF(OR(N148="", N148=""), "[Aviso] Temporada no capturada ()", IF(ISNA(MATCH(N148, Criterios!$C$123:$C$128, 0)), "Temporada no válida", "")), IF(OR(O148="", O148=""), "[Aviso] Ciclo de vida no capturado ()", IF(ISNA(MATCH(O148, Criterios!$D$123:$D$124, 0)), "Ciclo de vida no válido", ""))))</f>
        <v/>
      </c>
      <c r="AC148" s="56" t="n"/>
      <c r="AD148" s="51" t="n">
        <v>10</v>
      </c>
      <c r="AE148" s="156" t="inlineStr">
        <is>
          <t>REFLO ALMACEN (5)</t>
        </is>
      </c>
      <c r="AF148" s="51" t="n">
        <v>10</v>
      </c>
      <c r="AG148" s="156" t="inlineStr">
        <is>
          <t>Nuevo – NetSuite con existencia</t>
        </is>
      </c>
      <c r="AH148" s="156" t="inlineStr">
        <is>
          <t>Talla: Pantalón solo con cintura (sin largo) (origen «40»); Físico total NetSuite 10 ≠ suma por ubicación 5 | Revisión 29/09/2026: Talla fuente 40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48" s="156" t="inlineStr">
        <is>
          <t>No</t>
        </is>
      </c>
      <c r="AJ148" s="156" t="n"/>
      <c r="AK148" s="155" t="inlineStr">
        <is>
          <t>G1522ProductosTodosloscamposSandboxResults894.xlsx: fila 58725 [X,Y]; G1522_Extraccion_Articulos_NetSuite_2026-09-30.xlsx: fila 39563 [Z]</t>
        </is>
      </c>
      <c r="AL148" s="58" t="n">
        <v>40.95</v>
      </c>
      <c r="AM148" s="58" t="n"/>
      <c r="AN148" s="155" t="n"/>
      <c r="AO148" s="59" t="n"/>
      <c r="AP148" s="59" t="n"/>
      <c r="AQ148" s="59" t="n"/>
      <c r="AR148" s="155" t="n"/>
    </row>
    <row r="149">
      <c r="A149" s="50" t="inlineStr">
        <is>
          <t>5056658704727</t>
        </is>
      </c>
      <c r="B149" s="51" t="inlineStr">
        <is>
          <t>79234</t>
        </is>
      </c>
      <c r="C149" s="156" t="inlineStr">
        <is>
          <t>REFLO</t>
        </is>
      </c>
      <c r="D149" s="156" t="inlineStr">
        <is>
          <t>RM02101054</t>
        </is>
      </c>
      <c r="E149" s="156" t="inlineStr">
        <is>
          <t>RM02101054-30</t>
        </is>
      </c>
      <c r="F149" s="156" t="inlineStr">
        <is>
          <t>30</t>
        </is>
      </c>
      <c r="G149" s="156" t="inlineStr">
        <is>
          <t>30W</t>
        </is>
      </c>
      <c r="H149" s="156" t="inlineStr">
        <is>
          <t>REFLO</t>
        </is>
      </c>
      <c r="I149" s="156" t="inlineStr">
        <is>
          <t>Pantalón REFLO Sidra Sand</t>
        </is>
      </c>
      <c r="J149" s="156" t="inlineStr">
        <is>
          <t>Ropa</t>
        </is>
      </c>
      <c r="K149" s="156" t="inlineStr">
        <is>
          <t>Pantalones</t>
        </is>
      </c>
      <c r="L149" s="156" t="inlineStr">
        <is>
          <t>Hombre</t>
        </is>
      </c>
      <c r="M149" s="156" t="inlineStr">
        <is>
          <t>REFLO</t>
        </is>
      </c>
      <c r="N149" s="156" t="n"/>
      <c r="O149" s="156" t="n"/>
      <c r="P149" s="156" t="inlineStr">
        <is>
          <t>Beige</t>
        </is>
      </c>
      <c r="Q149" s="156" t="n"/>
      <c r="R149" s="156" t="n"/>
      <c r="S149" s="156" t="inlineStr">
        <is>
          <t>88% Poliéster reciclado, 12% Elastano</t>
        </is>
      </c>
      <c r="T149" s="156" t="inlineStr">
        <is>
          <t>Pantalón de golf REFLO modelo Sidra en color Sand, confeccionado con materiales reciclados. Estilo RM02101054.</t>
        </is>
      </c>
      <c r="U149" s="156" t="inlineStr">
        <is>
          <t>China</t>
        </is>
      </c>
      <c r="V149" s="156" t="inlineStr">
        <is>
          <t>PZS</t>
        </is>
      </c>
      <c r="W149" s="51" t="inlineStr">
        <is>
          <t>53101502</t>
        </is>
      </c>
      <c r="X149" s="156" t="inlineStr">
        <is>
          <t>https://i.ibb.co/TWrh3sQ/RM02101054.jpg</t>
        </is>
      </c>
      <c r="Y149" s="54" t="n">
        <v>40.95</v>
      </c>
      <c r="Z149" s="54" t="n">
        <v>2999</v>
      </c>
      <c r="AA149" s="55">
        <f>IF(AND(A149="", B149="", E149=""), "", IF(AB149="", "Válido", IF((LEN(AB149)-LEN(SUBSTITUTE(AB149,"; ","")))/2+1&gt;(LEN(AB149)-LEN(SUBSTITUTE(AB149,"[Aviso]","")))/7, "Con Incidencias", "Válido")))</f>
        <v/>
      </c>
      <c r="AB149" s="56">
        <f>IF(AND(A149="", B149="", E149=""), "", TEXTJOIN("; ", TRUE, IF(OR(TRIM(A149&amp;"")="", ISNUMBER(SEARCH("FALTA", A149))), "UPC faltante/inválido", ""), IF(AND(A149&lt;&gt;"", IFERROR(_xlfn.XMATCH(A149,$A$2:$A$653,0,1)&lt;&gt;_xlfn.XMATCH(A149,$A$2:$A$653,0,-1),FALSE)), "Código de barras duplicado", ""), IF(AND(E149&lt;&gt;"", COUNTIF($E$2:$E$653, E149)&gt;1), "SKU duplicado", ""), IF(OR(J149="", J149=""), "[Aviso] División no capturada ()", IF(ISNA(MATCH(J149, Criterios!$A$123:$A$126, 0)), "División no válida", "")), IF(OR(K149="", K149=""), "[Aviso] Categoría no capturada ()", IF(ISNA(MATCH(K149, Criterios!$A$81:$A$120, 0)), "Categoría no válida", IF(AND(J149&lt;&gt;"", J149&lt;&gt;"", J149&lt;&gt;VLOOKUP(K149, Criterios!$A$81:$B$120, 2, FALSE)), "División no coincide con Categoría", ""))), IF(OR(L149="", L149=""), "[Aviso] Género no capturado ()", IF(ISNA(MATCH(L149, Criterios!$B$123:$B$127, 0)), "Género no válido", "")), IF(OR(N149="", N149=""), "[Aviso] Temporada no capturada ()", IF(ISNA(MATCH(N149, Criterios!$C$123:$C$128, 0)), "Temporada no válida", "")), IF(OR(O149="", O149=""), "[Aviso] Ciclo de vida no capturado ()", IF(ISNA(MATCH(O149, Criterios!$D$123:$D$124, 0)), "Ciclo de vida no válido", ""))))</f>
        <v/>
      </c>
      <c r="AC149" s="56" t="n"/>
      <c r="AD149" s="51" t="n">
        <v>24</v>
      </c>
      <c r="AE149" s="156" t="inlineStr">
        <is>
          <t>REFLO ALMACEN (14)</t>
        </is>
      </c>
      <c r="AF149" s="51" t="n">
        <v>25</v>
      </c>
      <c r="AG149" s="156" t="inlineStr">
        <is>
          <t>Nuevo – NetSuite con existencia</t>
        </is>
      </c>
      <c r="AH149" s="156" t="inlineStr">
        <is>
          <t>Talla: Pantalón solo con cintura (sin largo) (origen «30»); Físico total NetSuite 24 ≠ suma por ubicación 13 | Revisión 29/09/2026: Talla fuente 30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49" s="156" t="inlineStr">
        <is>
          <t>Sí</t>
        </is>
      </c>
      <c r="AJ149" s="156" t="inlineStr">
        <is>
          <t>CONSIGNA REFLO (-1)</t>
        </is>
      </c>
      <c r="AK149" s="155" t="inlineStr">
        <is>
          <t>G1522ProductosTodosloscamposSandboxResults894.xlsx: fila 58727 [X,Y]; G1522_Extraccion_Articulos_NetSuite_2026-09-30.xlsx: fila 37567 [Z]</t>
        </is>
      </c>
      <c r="AL149" s="58" t="n">
        <v>40.95</v>
      </c>
      <c r="AM149" s="58" t="n"/>
      <c r="AN149" s="155" t="n"/>
      <c r="AO149" s="59" t="n"/>
      <c r="AP149" s="59" t="n"/>
      <c r="AQ149" s="59" t="n"/>
      <c r="AR149" s="155" t="n"/>
    </row>
    <row r="150">
      <c r="A150" s="50" t="inlineStr">
        <is>
          <t>5056658704734</t>
        </is>
      </c>
      <c r="B150" s="51" t="inlineStr">
        <is>
          <t>79235</t>
        </is>
      </c>
      <c r="C150" s="156" t="inlineStr">
        <is>
          <t>REFLO</t>
        </is>
      </c>
      <c r="D150" s="156" t="inlineStr">
        <is>
          <t>RM02101054</t>
        </is>
      </c>
      <c r="E150" s="156" t="inlineStr">
        <is>
          <t>RM02101054-32</t>
        </is>
      </c>
      <c r="F150" s="156" t="inlineStr">
        <is>
          <t>32</t>
        </is>
      </c>
      <c r="G150" s="156" t="inlineStr">
        <is>
          <t>32W</t>
        </is>
      </c>
      <c r="H150" s="156" t="inlineStr">
        <is>
          <t>REFLO</t>
        </is>
      </c>
      <c r="I150" s="156" t="inlineStr">
        <is>
          <t>Pantalón REFLO Sidra Sand</t>
        </is>
      </c>
      <c r="J150" s="156" t="inlineStr">
        <is>
          <t>Ropa</t>
        </is>
      </c>
      <c r="K150" s="156" t="inlineStr">
        <is>
          <t>Pantalones</t>
        </is>
      </c>
      <c r="L150" s="156" t="inlineStr">
        <is>
          <t>Hombre</t>
        </is>
      </c>
      <c r="M150" s="156" t="inlineStr">
        <is>
          <t>REFLO</t>
        </is>
      </c>
      <c r="N150" s="156" t="n"/>
      <c r="O150" s="156" t="n"/>
      <c r="P150" s="156" t="inlineStr">
        <is>
          <t>Beige</t>
        </is>
      </c>
      <c r="Q150" s="156" t="n"/>
      <c r="R150" s="156" t="n"/>
      <c r="S150" s="156" t="inlineStr">
        <is>
          <t>88% Poliéster reciclado, 12% Elastano</t>
        </is>
      </c>
      <c r="T150" s="156" t="inlineStr">
        <is>
          <t>Pantalón de golf REFLO modelo Sidra en color Sand, confeccionado con materiales reciclados. Estilo RM02101054.</t>
        </is>
      </c>
      <c r="U150" s="156" t="inlineStr">
        <is>
          <t>China</t>
        </is>
      </c>
      <c r="V150" s="156" t="inlineStr">
        <is>
          <t>PZS</t>
        </is>
      </c>
      <c r="W150" s="51" t="inlineStr">
        <is>
          <t>53101502</t>
        </is>
      </c>
      <c r="X150" s="156" t="inlineStr">
        <is>
          <t>https://i.ibb.co/TWrh3sQ/RM02101054.jpg</t>
        </is>
      </c>
      <c r="Y150" s="54" t="n">
        <v>40.95</v>
      </c>
      <c r="Z150" s="54" t="n">
        <v>2999</v>
      </c>
      <c r="AA150" s="55">
        <f>IF(AND(A150="", B150="", E150=""), "", IF(AB150="", "Válido", IF((LEN(AB150)-LEN(SUBSTITUTE(AB150,"; ","")))/2+1&gt;(LEN(AB150)-LEN(SUBSTITUTE(AB150,"[Aviso]","")))/7, "Con Incidencias", "Válido")))</f>
        <v/>
      </c>
      <c r="AB150" s="56">
        <f>IF(AND(A150="", B150="", E150=""), "", TEXTJOIN("; ", TRUE, IF(OR(TRIM(A150&amp;"")="", ISNUMBER(SEARCH("FALTA", A150))), "UPC faltante/inválido", ""), IF(AND(A150&lt;&gt;"", IFERROR(_xlfn.XMATCH(A150,$A$2:$A$653,0,1)&lt;&gt;_xlfn.XMATCH(A150,$A$2:$A$653,0,-1),FALSE)), "Código de barras duplicado", ""), IF(AND(E150&lt;&gt;"", COUNTIF($E$2:$E$653, E150)&gt;1), "SKU duplicado", ""), IF(OR(J150="", J150=""), "[Aviso] División no capturada ()", IF(ISNA(MATCH(J150, Criterios!$A$123:$A$126, 0)), "División no válida", "")), IF(OR(K150="", K150=""), "[Aviso] Categoría no capturada ()", IF(ISNA(MATCH(K150, Criterios!$A$81:$A$120, 0)), "Categoría no válida", IF(AND(J150&lt;&gt;"", J150&lt;&gt;"", J150&lt;&gt;VLOOKUP(K150, Criterios!$A$81:$B$120, 2, FALSE)), "División no coincide con Categoría", ""))), IF(OR(L150="", L150=""), "[Aviso] Género no capturado ()", IF(ISNA(MATCH(L150, Criterios!$B$123:$B$127, 0)), "Género no válido", "")), IF(OR(N150="", N150=""), "[Aviso] Temporada no capturada ()", IF(ISNA(MATCH(N150, Criterios!$C$123:$C$128, 0)), "Temporada no válida", "")), IF(OR(O150="", O150=""), "[Aviso] Ciclo de vida no capturado ()", IF(ISNA(MATCH(O150, Criterios!$D$123:$D$124, 0)), "Ciclo de vida no válido", ""))))</f>
        <v/>
      </c>
      <c r="AC150" s="56" t="n"/>
      <c r="AD150" s="51" t="n">
        <v>36</v>
      </c>
      <c r="AE150" s="156" t="inlineStr">
        <is>
          <t>MUESTRAS REFLO (1); REFLO ALMACEN (19)</t>
        </is>
      </c>
      <c r="AF150" s="51" t="n">
        <v>36</v>
      </c>
      <c r="AG150" s="156" t="inlineStr">
        <is>
          <t>Nuevo – NetSuite con existencia</t>
        </is>
      </c>
      <c r="AH150" s="156" t="inlineStr">
        <is>
          <t>Talla: Pantalón solo con cintura (sin largo) (origen «32»); Físico total NetSuite 36 ≠ suma por ubicación 19 | Revisión 29/09/2026: Talla fuente 32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0" s="156" t="inlineStr">
        <is>
          <t>Sí</t>
        </is>
      </c>
      <c r="AJ150" s="156" t="inlineStr">
        <is>
          <t>CONSIGNA REFLO (-1)</t>
        </is>
      </c>
      <c r="AK150" s="155" t="inlineStr">
        <is>
          <t>G1522ProductosTodosloscamposSandboxResults894.xlsx: fila 58728 [X,Y]; G1522_Extraccion_Articulos_NetSuite_2026-09-30.xlsx: fila 37568 [Z]</t>
        </is>
      </c>
      <c r="AL150" s="58" t="n">
        <v>40.95</v>
      </c>
      <c r="AM150" s="58" t="n"/>
      <c r="AN150" s="155" t="n"/>
      <c r="AO150" s="59" t="n"/>
      <c r="AP150" s="59" t="n"/>
      <c r="AQ150" s="59" t="n"/>
      <c r="AR150" s="155" t="n"/>
    </row>
    <row r="151">
      <c r="A151" s="50" t="inlineStr">
        <is>
          <t>5056658704741</t>
        </is>
      </c>
      <c r="B151" s="51" t="inlineStr">
        <is>
          <t>79236</t>
        </is>
      </c>
      <c r="C151" s="156" t="inlineStr">
        <is>
          <t>REFLO</t>
        </is>
      </c>
      <c r="D151" s="156" t="inlineStr">
        <is>
          <t>RM02101054</t>
        </is>
      </c>
      <c r="E151" s="156" t="inlineStr">
        <is>
          <t>RM02101054-34</t>
        </is>
      </c>
      <c r="F151" s="156" t="inlineStr">
        <is>
          <t>34</t>
        </is>
      </c>
      <c r="G151" s="156" t="inlineStr">
        <is>
          <t>34W</t>
        </is>
      </c>
      <c r="H151" s="156" t="inlineStr">
        <is>
          <t>REFLO</t>
        </is>
      </c>
      <c r="I151" s="156" t="inlineStr">
        <is>
          <t>Pantalón REFLO Sidra Sand</t>
        </is>
      </c>
      <c r="J151" s="156" t="inlineStr">
        <is>
          <t>Ropa</t>
        </is>
      </c>
      <c r="K151" s="156" t="inlineStr">
        <is>
          <t>Pantalones</t>
        </is>
      </c>
      <c r="L151" s="156" t="inlineStr">
        <is>
          <t>Hombre</t>
        </is>
      </c>
      <c r="M151" s="156" t="inlineStr">
        <is>
          <t>REFLO</t>
        </is>
      </c>
      <c r="N151" s="156" t="n"/>
      <c r="O151" s="156" t="n"/>
      <c r="P151" s="156" t="inlineStr">
        <is>
          <t>Beige</t>
        </is>
      </c>
      <c r="Q151" s="156" t="n"/>
      <c r="R151" s="156" t="n"/>
      <c r="S151" s="156" t="inlineStr">
        <is>
          <t>88% Poliéster reciclado, 12% Elastano</t>
        </is>
      </c>
      <c r="T151" s="156" t="inlineStr">
        <is>
          <t>Pantalón de golf REFLO modelo Sidra en color Sand, confeccionado con materiales reciclados. Estilo RM02101054.</t>
        </is>
      </c>
      <c r="U151" s="156" t="inlineStr">
        <is>
          <t>China</t>
        </is>
      </c>
      <c r="V151" s="156" t="inlineStr">
        <is>
          <t>PZS</t>
        </is>
      </c>
      <c r="W151" s="51" t="inlineStr">
        <is>
          <t>53101502</t>
        </is>
      </c>
      <c r="X151" s="156" t="inlineStr">
        <is>
          <t>https://i.ibb.co/TWrh3sQ/RM02101054.jpg</t>
        </is>
      </c>
      <c r="Y151" s="54" t="n">
        <v>40.95</v>
      </c>
      <c r="Z151" s="54" t="n">
        <v>2999</v>
      </c>
      <c r="AA151" s="55">
        <f>IF(AND(A151="", B151="", E151=""), "", IF(AB151="", "Válido", IF((LEN(AB151)-LEN(SUBSTITUTE(AB151,"; ","")))/2+1&gt;(LEN(AB151)-LEN(SUBSTITUTE(AB151,"[Aviso]","")))/7, "Con Incidencias", "Válido")))</f>
        <v/>
      </c>
      <c r="AB151" s="56">
        <f>IF(AND(A151="", B151="", E151=""), "", TEXTJOIN("; ", TRUE, IF(OR(TRIM(A151&amp;"")="", ISNUMBER(SEARCH("FALTA", A151))), "UPC faltante/inválido", ""), IF(AND(A151&lt;&gt;"", IFERROR(_xlfn.XMATCH(A151,$A$2:$A$653,0,1)&lt;&gt;_xlfn.XMATCH(A151,$A$2:$A$653,0,-1),FALSE)), "Código de barras duplicado", ""), IF(AND(E151&lt;&gt;"", COUNTIF($E$2:$E$653, E151)&gt;1), "SKU duplicado", ""), IF(OR(J151="", J151=""), "[Aviso] División no capturada ()", IF(ISNA(MATCH(J151, Criterios!$A$123:$A$126, 0)), "División no válida", "")), IF(OR(K151="", K151=""), "[Aviso] Categoría no capturada ()", IF(ISNA(MATCH(K151, Criterios!$A$81:$A$120, 0)), "Categoría no válida", IF(AND(J151&lt;&gt;"", J151&lt;&gt;"", J151&lt;&gt;VLOOKUP(K151, Criterios!$A$81:$B$120, 2, FALSE)), "División no coincide con Categoría", ""))), IF(OR(L151="", L151=""), "[Aviso] Género no capturado ()", IF(ISNA(MATCH(L151, Criterios!$B$123:$B$127, 0)), "Género no válido", "")), IF(OR(N151="", N151=""), "[Aviso] Temporada no capturada ()", IF(ISNA(MATCH(N151, Criterios!$C$123:$C$128, 0)), "Temporada no válida", "")), IF(OR(O151="", O151=""), "[Aviso] Ciclo de vida no capturado ()", IF(ISNA(MATCH(O151, Criterios!$D$123:$D$124, 0)), "Ciclo de vida no válido", ""))))</f>
        <v/>
      </c>
      <c r="AC151" s="56" t="n"/>
      <c r="AD151" s="51" t="n">
        <v>67</v>
      </c>
      <c r="AE151" s="156" t="inlineStr">
        <is>
          <t>REFLO ALMACEN (36)</t>
        </is>
      </c>
      <c r="AF151" s="51" t="n">
        <v>69</v>
      </c>
      <c r="AG151" s="156" t="inlineStr">
        <is>
          <t>Nuevo – NetSuite con existencia</t>
        </is>
      </c>
      <c r="AH151" s="156" t="inlineStr">
        <is>
          <t>Talla: Pantalón solo con cintura (sin largo) (origen «34»); Físico total NetSuite 67 ≠ suma por ubicación 34 | Revisión 29/09/2026: Talla fuente 34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1" s="156" t="inlineStr">
        <is>
          <t>Sí</t>
        </is>
      </c>
      <c r="AJ151" s="156" t="inlineStr">
        <is>
          <t>CONSIGNA REFLO (-2)</t>
        </is>
      </c>
      <c r="AK151" s="155" t="inlineStr">
        <is>
          <t>G1522ProductosTodosloscamposSandboxResults894.xlsx: fila 58729 [X,Y]; G1522_Extraccion_Articulos_NetSuite_2026-09-30.xlsx: fila 37569 [Z]</t>
        </is>
      </c>
      <c r="AL151" s="58" t="n">
        <v>40.95</v>
      </c>
      <c r="AM151" s="58" t="n"/>
      <c r="AN151" s="155" t="n"/>
      <c r="AO151" s="59" t="n"/>
      <c r="AP151" s="59" t="n"/>
      <c r="AQ151" s="59" t="n"/>
      <c r="AR151" s="155" t="n"/>
    </row>
    <row r="152">
      <c r="A152" s="50" t="inlineStr">
        <is>
          <t>5056658704758</t>
        </is>
      </c>
      <c r="B152" s="51" t="inlineStr">
        <is>
          <t>79237</t>
        </is>
      </c>
      <c r="C152" s="156" t="inlineStr">
        <is>
          <t>REFLO</t>
        </is>
      </c>
      <c r="D152" s="156" t="inlineStr">
        <is>
          <t>RM02101054</t>
        </is>
      </c>
      <c r="E152" s="156" t="inlineStr">
        <is>
          <t>RM02101054-36</t>
        </is>
      </c>
      <c r="F152" s="156" t="inlineStr">
        <is>
          <t>36</t>
        </is>
      </c>
      <c r="G152" s="156" t="inlineStr">
        <is>
          <t>36W</t>
        </is>
      </c>
      <c r="H152" s="156" t="inlineStr">
        <is>
          <t>REFLO</t>
        </is>
      </c>
      <c r="I152" s="156" t="inlineStr">
        <is>
          <t>Pantalón REFLO Sidra Sand</t>
        </is>
      </c>
      <c r="J152" s="156" t="inlineStr">
        <is>
          <t>Ropa</t>
        </is>
      </c>
      <c r="K152" s="156" t="inlineStr">
        <is>
          <t>Pantalones</t>
        </is>
      </c>
      <c r="L152" s="156" t="inlineStr">
        <is>
          <t>Hombre</t>
        </is>
      </c>
      <c r="M152" s="156" t="inlineStr">
        <is>
          <t>REFLO</t>
        </is>
      </c>
      <c r="N152" s="156" t="n"/>
      <c r="O152" s="156" t="n"/>
      <c r="P152" s="156" t="inlineStr">
        <is>
          <t>Beige</t>
        </is>
      </c>
      <c r="Q152" s="156" t="n"/>
      <c r="R152" s="156" t="n"/>
      <c r="S152" s="156" t="inlineStr">
        <is>
          <t>88% Poliéster reciclado, 12% Elastano</t>
        </is>
      </c>
      <c r="T152" s="156" t="inlineStr">
        <is>
          <t>Pantalón de golf REFLO modelo Sidra en color Sand, confeccionado con materiales reciclados. Estilo RM02101054.</t>
        </is>
      </c>
      <c r="U152" s="156" t="inlineStr">
        <is>
          <t>China</t>
        </is>
      </c>
      <c r="V152" s="156" t="inlineStr">
        <is>
          <t>PZS</t>
        </is>
      </c>
      <c r="W152" s="51" t="inlineStr">
        <is>
          <t>53101502</t>
        </is>
      </c>
      <c r="X152" s="156" t="inlineStr">
        <is>
          <t>https://i.ibb.co/TWrh3sQ/RM02101054.jpg</t>
        </is>
      </c>
      <c r="Y152" s="54" t="n">
        <v>40.95</v>
      </c>
      <c r="Z152" s="54" t="n">
        <v>2999</v>
      </c>
      <c r="AA152" s="55">
        <f>IF(AND(A152="", B152="", E152=""), "", IF(AB152="", "Válido", IF((LEN(AB152)-LEN(SUBSTITUTE(AB152,"; ","")))/2+1&gt;(LEN(AB152)-LEN(SUBSTITUTE(AB152,"[Aviso]","")))/7, "Con Incidencias", "Válido")))</f>
        <v/>
      </c>
      <c r="AB152" s="56">
        <f>IF(AND(A152="", B152="", E152=""), "", TEXTJOIN("; ", TRUE, IF(OR(TRIM(A152&amp;"")="", ISNUMBER(SEARCH("FALTA", A152))), "UPC faltante/inválido", ""), IF(AND(A152&lt;&gt;"", IFERROR(_xlfn.XMATCH(A152,$A$2:$A$653,0,1)&lt;&gt;_xlfn.XMATCH(A152,$A$2:$A$653,0,-1),FALSE)), "Código de barras duplicado", ""), IF(AND(E152&lt;&gt;"", COUNTIF($E$2:$E$653, E152)&gt;1), "SKU duplicado", ""), IF(OR(J152="", J152=""), "[Aviso] División no capturada ()", IF(ISNA(MATCH(J152, Criterios!$A$123:$A$126, 0)), "División no válida", "")), IF(OR(K152="", K152=""), "[Aviso] Categoría no capturada ()", IF(ISNA(MATCH(K152, Criterios!$A$81:$A$120, 0)), "Categoría no válida", IF(AND(J152&lt;&gt;"", J152&lt;&gt;"", J152&lt;&gt;VLOOKUP(K152, Criterios!$A$81:$B$120, 2, FALSE)), "División no coincide con Categoría", ""))), IF(OR(L152="", L152=""), "[Aviso] Género no capturado ()", IF(ISNA(MATCH(L152, Criterios!$B$123:$B$127, 0)), "Género no válido", "")), IF(OR(N152="", N152=""), "[Aviso] Temporada no capturada ()", IF(ISNA(MATCH(N152, Criterios!$C$123:$C$128, 0)), "Temporada no válida", "")), IF(OR(O152="", O152=""), "[Aviso] Ciclo de vida no capturado ()", IF(ISNA(MATCH(O152, Criterios!$D$123:$D$124, 0)), "Ciclo de vida no válido", ""))))</f>
        <v/>
      </c>
      <c r="AC152" s="56" t="n"/>
      <c r="AD152" s="51" t="n">
        <v>67</v>
      </c>
      <c r="AE152" s="156" t="inlineStr">
        <is>
          <t>REFLO ALMACEN (35)</t>
        </is>
      </c>
      <c r="AF152" s="51" t="n">
        <v>68</v>
      </c>
      <c r="AG152" s="156" t="inlineStr">
        <is>
          <t>Nuevo – NetSuite con existencia</t>
        </is>
      </c>
      <c r="AH152" s="156" t="inlineStr">
        <is>
          <t>Talla: Pantalón solo con cintura (sin largo) (origen «36»); Físico total NetSuite 67 ≠ suma por ubicación 34 | Revisión 29/09/2026: Talla fuente 36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2" s="156" t="inlineStr">
        <is>
          <t>Sí</t>
        </is>
      </c>
      <c r="AJ152" s="156" t="inlineStr">
        <is>
          <t>CONSIGNA REFLO (-1)</t>
        </is>
      </c>
      <c r="AK152" s="155" t="inlineStr">
        <is>
          <t>G1522ProductosTodosloscamposSandboxResults894.xlsx: fila 58730 [X,Y]; G1522_Extraccion_Articulos_NetSuite_2026-09-30.xlsx: fila 37570 [Z]</t>
        </is>
      </c>
      <c r="AL152" s="58" t="n">
        <v>40.95</v>
      </c>
      <c r="AM152" s="58" t="n"/>
      <c r="AN152" s="155" t="n"/>
      <c r="AO152" s="59" t="n"/>
      <c r="AP152" s="59" t="n"/>
      <c r="AQ152" s="59" t="n"/>
      <c r="AR152" s="155" t="n"/>
    </row>
    <row r="153">
      <c r="A153" s="50" t="inlineStr">
        <is>
          <t>5056658704765</t>
        </is>
      </c>
      <c r="B153" s="51" t="inlineStr">
        <is>
          <t>79238</t>
        </is>
      </c>
      <c r="C153" s="156" t="inlineStr">
        <is>
          <t>REFLO</t>
        </is>
      </c>
      <c r="D153" s="156" t="inlineStr">
        <is>
          <t>RM02101054</t>
        </is>
      </c>
      <c r="E153" s="156" t="inlineStr">
        <is>
          <t>RM02101054-38</t>
        </is>
      </c>
      <c r="F153" s="156" t="inlineStr">
        <is>
          <t>38</t>
        </is>
      </c>
      <c r="G153" s="156" t="inlineStr">
        <is>
          <t>38W</t>
        </is>
      </c>
      <c r="H153" s="156" t="inlineStr">
        <is>
          <t>REFLO</t>
        </is>
      </c>
      <c r="I153" s="156" t="inlineStr">
        <is>
          <t>Pantalón REFLO Sidra Sand</t>
        </is>
      </c>
      <c r="J153" s="156" t="inlineStr">
        <is>
          <t>Ropa</t>
        </is>
      </c>
      <c r="K153" s="156" t="inlineStr">
        <is>
          <t>Pantalones</t>
        </is>
      </c>
      <c r="L153" s="156" t="inlineStr">
        <is>
          <t>Hombre</t>
        </is>
      </c>
      <c r="M153" s="156" t="inlineStr">
        <is>
          <t>REFLO</t>
        </is>
      </c>
      <c r="N153" s="156" t="n"/>
      <c r="O153" s="156" t="n"/>
      <c r="P153" s="156" t="inlineStr">
        <is>
          <t>Beige</t>
        </is>
      </c>
      <c r="Q153" s="156" t="n"/>
      <c r="R153" s="156" t="n"/>
      <c r="S153" s="156" t="inlineStr">
        <is>
          <t>88% Poliéster reciclado, 12% Elastano</t>
        </is>
      </c>
      <c r="T153" s="156" t="inlineStr">
        <is>
          <t>Pantalón de golf REFLO modelo Sidra en color Sand, confeccionado con materiales reciclados. Estilo RM02101054.</t>
        </is>
      </c>
      <c r="U153" s="156" t="inlineStr">
        <is>
          <t>China</t>
        </is>
      </c>
      <c r="V153" s="156" t="inlineStr">
        <is>
          <t>PZS</t>
        </is>
      </c>
      <c r="W153" s="51" t="inlineStr">
        <is>
          <t>53101502</t>
        </is>
      </c>
      <c r="X153" s="156" t="inlineStr">
        <is>
          <t>https://i.ibb.co/TWrh3sQ/RM02101054.jpg</t>
        </is>
      </c>
      <c r="Y153" s="54" t="n">
        <v>40.95</v>
      </c>
      <c r="Z153" s="54" t="n">
        <v>2999</v>
      </c>
      <c r="AA153" s="55">
        <f>IF(AND(A153="", B153="", E153=""), "", IF(AB153="", "Válido", IF((LEN(AB153)-LEN(SUBSTITUTE(AB153,"; ","")))/2+1&gt;(LEN(AB153)-LEN(SUBSTITUTE(AB153,"[Aviso]","")))/7, "Con Incidencias", "Válido")))</f>
        <v/>
      </c>
      <c r="AB153" s="56">
        <f>IF(AND(A153="", B153="", E153=""), "", TEXTJOIN("; ", TRUE, IF(OR(TRIM(A153&amp;"")="", ISNUMBER(SEARCH("FALTA", A153))), "UPC faltante/inválido", ""), IF(AND(A153&lt;&gt;"", IFERROR(_xlfn.XMATCH(A153,$A$2:$A$653,0,1)&lt;&gt;_xlfn.XMATCH(A153,$A$2:$A$653,0,-1),FALSE)), "Código de barras duplicado", ""), IF(AND(E153&lt;&gt;"", COUNTIF($E$2:$E$653, E153)&gt;1), "SKU duplicado", ""), IF(OR(J153="", J153=""), "[Aviso] División no capturada ()", IF(ISNA(MATCH(J153, Criterios!$A$123:$A$126, 0)), "División no válida", "")), IF(OR(K153="", K153=""), "[Aviso] Categoría no capturada ()", IF(ISNA(MATCH(K153, Criterios!$A$81:$A$120, 0)), "Categoría no válida", IF(AND(J153&lt;&gt;"", J153&lt;&gt;"", J153&lt;&gt;VLOOKUP(K153, Criterios!$A$81:$B$120, 2, FALSE)), "División no coincide con Categoría", ""))), IF(OR(L153="", L153=""), "[Aviso] Género no capturado ()", IF(ISNA(MATCH(L153, Criterios!$B$123:$B$127, 0)), "Género no válido", "")), IF(OR(N153="", N153=""), "[Aviso] Temporada no capturada ()", IF(ISNA(MATCH(N153, Criterios!$C$123:$C$128, 0)), "Temporada no válida", "")), IF(OR(O153="", O153=""), "[Aviso] Ciclo de vida no capturado ()", IF(ISNA(MATCH(O153, Criterios!$D$123:$D$124, 0)), "Ciclo de vida no válido", ""))))</f>
        <v/>
      </c>
      <c r="AC153" s="56" t="n"/>
      <c r="AD153" s="51" t="n">
        <v>20</v>
      </c>
      <c r="AE153" s="156" t="inlineStr">
        <is>
          <t>REFLO ALMACEN (11)</t>
        </is>
      </c>
      <c r="AF153" s="51" t="n">
        <v>21</v>
      </c>
      <c r="AG153" s="156" t="inlineStr">
        <is>
          <t>Nuevo – NetSuite con existencia</t>
        </is>
      </c>
      <c r="AH153" s="156" t="inlineStr">
        <is>
          <t>Talla: Pantalón solo con cintura (sin largo) (origen «38»); Físico total NetSuite 20 ≠ suma por ubicación 10 | Revisión 29/09/2026: Talla fuente 38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3" s="156" t="inlineStr">
        <is>
          <t>Sí</t>
        </is>
      </c>
      <c r="AJ153" s="156" t="inlineStr">
        <is>
          <t>CONSIGNA REFLO (-1)</t>
        </is>
      </c>
      <c r="AK153" s="155" t="inlineStr">
        <is>
          <t>G1522ProductosTodosloscamposSandboxResults894.xlsx: fila 58731 [X,Y]; G1522_Extraccion_Articulos_NetSuite_2026-09-30.xlsx: fila 37571 [Z]</t>
        </is>
      </c>
      <c r="AL153" s="58" t="n">
        <v>40.95</v>
      </c>
      <c r="AM153" s="58" t="n"/>
      <c r="AN153" s="155" t="n"/>
      <c r="AO153" s="59" t="n"/>
      <c r="AP153" s="59" t="n"/>
      <c r="AQ153" s="59" t="n"/>
      <c r="AR153" s="155" t="n"/>
    </row>
    <row r="154">
      <c r="A154" s="50" t="inlineStr">
        <is>
          <t>5056658704772</t>
        </is>
      </c>
      <c r="B154" s="51" t="inlineStr">
        <is>
          <t>84395</t>
        </is>
      </c>
      <c r="C154" s="156" t="inlineStr">
        <is>
          <t>REFLO</t>
        </is>
      </c>
      <c r="D154" s="156" t="inlineStr">
        <is>
          <t>RM02101054</t>
        </is>
      </c>
      <c r="E154" s="156" t="inlineStr">
        <is>
          <t>RM02101054-40</t>
        </is>
      </c>
      <c r="F154" s="156" t="inlineStr">
        <is>
          <t>40</t>
        </is>
      </c>
      <c r="G154" s="156" t="inlineStr">
        <is>
          <t>40W</t>
        </is>
      </c>
      <c r="H154" s="156" t="inlineStr">
        <is>
          <t>REFLO</t>
        </is>
      </c>
      <c r="I154" s="156" t="inlineStr">
        <is>
          <t>Pantalón REFLO Sidra Sand</t>
        </is>
      </c>
      <c r="J154" s="156" t="inlineStr">
        <is>
          <t>Ropa</t>
        </is>
      </c>
      <c r="K154" s="156" t="inlineStr">
        <is>
          <t>Pantalones</t>
        </is>
      </c>
      <c r="L154" s="156" t="inlineStr">
        <is>
          <t>Hombre</t>
        </is>
      </c>
      <c r="M154" s="156" t="inlineStr">
        <is>
          <t>REFLO</t>
        </is>
      </c>
      <c r="N154" s="156" t="n"/>
      <c r="O154" s="156" t="n"/>
      <c r="P154" s="156" t="inlineStr">
        <is>
          <t>Beige</t>
        </is>
      </c>
      <c r="Q154" s="156" t="n"/>
      <c r="R154" s="156" t="n"/>
      <c r="S154" s="156" t="inlineStr">
        <is>
          <t>88% Poliéster reciclado, 12% Elastano</t>
        </is>
      </c>
      <c r="T154" s="156" t="inlineStr">
        <is>
          <t>Pantalón de golf REFLO modelo Sidra en color Sand, confeccionado con materiales reciclados. Estilo RM02101054.</t>
        </is>
      </c>
      <c r="U154" s="156" t="inlineStr">
        <is>
          <t>China</t>
        </is>
      </c>
      <c r="V154" s="156" t="inlineStr">
        <is>
          <t>PZS</t>
        </is>
      </c>
      <c r="W154" s="51" t="inlineStr">
        <is>
          <t>53101502</t>
        </is>
      </c>
      <c r="X154" s="156" t="inlineStr">
        <is>
          <t>https://i.ibb.co/TWrh3sQ/RM02101054.jpg</t>
        </is>
      </c>
      <c r="Y154" s="54" t="n">
        <v>40.95</v>
      </c>
      <c r="Z154" s="54" t="n">
        <v>2999</v>
      </c>
      <c r="AA154" s="55">
        <f>IF(AND(A154="", B154="", E154=""), "", IF(AB154="", "Válido", IF((LEN(AB154)-LEN(SUBSTITUTE(AB154,"; ","")))/2+1&gt;(LEN(AB154)-LEN(SUBSTITUTE(AB154,"[Aviso]","")))/7, "Con Incidencias", "Válido")))</f>
        <v/>
      </c>
      <c r="AB154" s="56">
        <f>IF(AND(A154="", B154="", E154=""), "", TEXTJOIN("; ", TRUE, IF(OR(TRIM(A154&amp;"")="", ISNUMBER(SEARCH("FALTA", A154))), "UPC faltante/inválido", ""), IF(AND(A154&lt;&gt;"", IFERROR(_xlfn.XMATCH(A154,$A$2:$A$653,0,1)&lt;&gt;_xlfn.XMATCH(A154,$A$2:$A$653,0,-1),FALSE)), "Código de barras duplicado", ""), IF(AND(E154&lt;&gt;"", COUNTIF($E$2:$E$653, E154)&gt;1), "SKU duplicado", ""), IF(OR(J154="", J154=""), "[Aviso] División no capturada ()", IF(ISNA(MATCH(J154, Criterios!$A$123:$A$126, 0)), "División no válida", "")), IF(OR(K154="", K154=""), "[Aviso] Categoría no capturada ()", IF(ISNA(MATCH(K154, Criterios!$A$81:$A$120, 0)), "Categoría no válida", IF(AND(J154&lt;&gt;"", J154&lt;&gt;"", J154&lt;&gt;VLOOKUP(K154, Criterios!$A$81:$B$120, 2, FALSE)), "División no coincide con Categoría", ""))), IF(OR(L154="", L154=""), "[Aviso] Género no capturado ()", IF(ISNA(MATCH(L154, Criterios!$B$123:$B$127, 0)), "Género no válido", "")), IF(OR(N154="", N154=""), "[Aviso] Temporada no capturada ()", IF(ISNA(MATCH(N154, Criterios!$C$123:$C$128, 0)), "Temporada no válida", "")), IF(OR(O154="", O154=""), "[Aviso] Ciclo de vida no capturado ()", IF(ISNA(MATCH(O154, Criterios!$D$123:$D$124, 0)), "Ciclo de vida no válido", ""))))</f>
        <v/>
      </c>
      <c r="AC154" s="56" t="n"/>
      <c r="AD154" s="51" t="n">
        <v>10</v>
      </c>
      <c r="AE154" s="156" t="inlineStr">
        <is>
          <t>REFLO ALMACEN (5)</t>
        </is>
      </c>
      <c r="AF154" s="51" t="n">
        <v>10</v>
      </c>
      <c r="AG154" s="156" t="inlineStr">
        <is>
          <t>Nuevo – NetSuite con existencia</t>
        </is>
      </c>
      <c r="AH154" s="156" t="inlineStr">
        <is>
          <t>Talla: Pantalón solo con cintura (sin largo) (origen «40»); Físico total NetSuite 10 ≠ suma por ubicación 5 | Revisión 29/09/2026: Talla fuente 40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4" s="156" t="inlineStr">
        <is>
          <t>No</t>
        </is>
      </c>
      <c r="AJ154" s="156" t="n"/>
      <c r="AK154" s="155" t="inlineStr">
        <is>
          <t>G1522ProductosTodosloscamposSandboxResults894.xlsx: fila 58732 [X,Y]; G1522_Extraccion_Articulos_NetSuite_2026-09-30.xlsx: fila 39564 [Z]</t>
        </is>
      </c>
      <c r="AL154" s="58" t="n">
        <v>40.95</v>
      </c>
      <c r="AM154" s="58" t="n"/>
      <c r="AN154" s="155" t="n"/>
      <c r="AO154" s="59" t="n"/>
      <c r="AP154" s="59" t="n"/>
      <c r="AQ154" s="59" t="n"/>
      <c r="AR154" s="155" t="n"/>
    </row>
    <row r="155">
      <c r="A155" s="50" t="inlineStr">
        <is>
          <t>5056658704932</t>
        </is>
      </c>
      <c r="B155" s="51" t="inlineStr">
        <is>
          <t>79239</t>
        </is>
      </c>
      <c r="C155" s="156" t="inlineStr">
        <is>
          <t>REFLO</t>
        </is>
      </c>
      <c r="D155" s="156" t="inlineStr">
        <is>
          <t>RM02101068</t>
        </is>
      </c>
      <c r="E155" s="156" t="inlineStr">
        <is>
          <t>RM02101068-30</t>
        </is>
      </c>
      <c r="F155" s="156" t="inlineStr">
        <is>
          <t>30</t>
        </is>
      </c>
      <c r="G155" s="156" t="inlineStr">
        <is>
          <t>30W</t>
        </is>
      </c>
      <c r="H155" s="156" t="inlineStr">
        <is>
          <t>REFLO</t>
        </is>
      </c>
      <c r="I155" s="156" t="inlineStr">
        <is>
          <t>Pantalón REFLO Sidra Medieval Blue</t>
        </is>
      </c>
      <c r="J155" s="156" t="inlineStr">
        <is>
          <t>Ropa</t>
        </is>
      </c>
      <c r="K155" s="156" t="inlineStr">
        <is>
          <t>Pantalones</t>
        </is>
      </c>
      <c r="L155" s="156" t="inlineStr">
        <is>
          <t>Hombre</t>
        </is>
      </c>
      <c r="M155" s="156" t="inlineStr">
        <is>
          <t>REFLO</t>
        </is>
      </c>
      <c r="N155" s="156" t="n"/>
      <c r="O155" s="156" t="n"/>
      <c r="P155" s="156" t="inlineStr">
        <is>
          <t>Azul</t>
        </is>
      </c>
      <c r="Q155" s="156" t="n"/>
      <c r="R155" s="156" t="n"/>
      <c r="S155" s="156" t="inlineStr">
        <is>
          <t>88% Poliéster reciclado, 12% Elastano</t>
        </is>
      </c>
      <c r="T155" s="156" t="inlineStr">
        <is>
          <t>Pantalón de golf REFLO modelo Sidra en color Medieval Blue, confeccionado con materiales reciclados. Estilo RM02101068.</t>
        </is>
      </c>
      <c r="U155" s="156" t="inlineStr">
        <is>
          <t>China</t>
        </is>
      </c>
      <c r="V155" s="156" t="inlineStr">
        <is>
          <t>PZS</t>
        </is>
      </c>
      <c r="W155" s="51" t="inlineStr">
        <is>
          <t>53101502</t>
        </is>
      </c>
      <c r="X155" s="156" t="inlineStr">
        <is>
          <t>https://i.ibb.co/V2CR48b/RM02101068.jpg</t>
        </is>
      </c>
      <c r="Y155" s="54" t="n">
        <v>40.95</v>
      </c>
      <c r="Z155" s="54" t="n">
        <v>2999</v>
      </c>
      <c r="AA155" s="55">
        <f>IF(AND(A155="", B155="", E155=""), "", IF(AB155="", "Válido", IF((LEN(AB155)-LEN(SUBSTITUTE(AB155,"; ","")))/2+1&gt;(LEN(AB155)-LEN(SUBSTITUTE(AB155,"[Aviso]","")))/7, "Con Incidencias", "Válido")))</f>
        <v/>
      </c>
      <c r="AB155" s="56">
        <f>IF(AND(A155="", B155="", E155=""), "", TEXTJOIN("; ", TRUE, IF(OR(TRIM(A155&amp;"")="", ISNUMBER(SEARCH("FALTA", A155))), "UPC faltante/inválido", ""), IF(AND(A155&lt;&gt;"", IFERROR(_xlfn.XMATCH(A155,$A$2:$A$653,0,1)&lt;&gt;_xlfn.XMATCH(A155,$A$2:$A$653,0,-1),FALSE)), "Código de barras duplicado", ""), IF(AND(E155&lt;&gt;"", COUNTIF($E$2:$E$653, E155)&gt;1), "SKU duplicado", ""), IF(OR(J155="", J155=""), "[Aviso] División no capturada ()", IF(ISNA(MATCH(J155, Criterios!$A$123:$A$126, 0)), "División no válida", "")), IF(OR(K155="", K155=""), "[Aviso] Categoría no capturada ()", IF(ISNA(MATCH(K155, Criterios!$A$81:$A$120, 0)), "Categoría no válida", IF(AND(J155&lt;&gt;"", J155&lt;&gt;"", J155&lt;&gt;VLOOKUP(K155, Criterios!$A$81:$B$120, 2, FALSE)), "División no coincide con Categoría", ""))), IF(OR(L155="", L155=""), "[Aviso] Género no capturado ()", IF(ISNA(MATCH(L155, Criterios!$B$123:$B$127, 0)), "Género no válido", "")), IF(OR(N155="", N155=""), "[Aviso] Temporada no capturada ()", IF(ISNA(MATCH(N155, Criterios!$C$123:$C$128, 0)), "Temporada no válida", "")), IF(OR(O155="", O155=""), "[Aviso] Ciclo de vida no capturado ()", IF(ISNA(MATCH(O155, Criterios!$D$123:$D$124, 0)), "Ciclo de vida no válido", ""))))</f>
        <v/>
      </c>
      <c r="AC155" s="56" t="n"/>
      <c r="AD155" s="51" t="n">
        <v>13</v>
      </c>
      <c r="AE155" s="156" t="inlineStr">
        <is>
          <t>REFLO ALMACEN (8)</t>
        </is>
      </c>
      <c r="AF155" s="51" t="n">
        <v>13</v>
      </c>
      <c r="AG155" s="156" t="inlineStr">
        <is>
          <t>Nuevo – NetSuite con existencia</t>
        </is>
      </c>
      <c r="AH155" s="156" t="inlineStr">
        <is>
          <t>Talla: Pantalón solo con cintura (sin largo) (origen «30»); Físico total NetSuite 13 ≠ suma por ubicación 8 | Revisión 29/09/2026: Talla fuente 30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5" s="156" t="inlineStr">
        <is>
          <t>No</t>
        </is>
      </c>
      <c r="AJ155" s="156" t="n"/>
      <c r="AK155" s="155" t="inlineStr">
        <is>
          <t>G1522ProductosTodosloscamposSandboxResults894.xlsx: fila 58713 [X,Y]; G1522_Extraccion_Articulos_NetSuite_2026-09-30.xlsx: fila 37572 [Z]</t>
        </is>
      </c>
      <c r="AL155" s="58" t="n">
        <v>40.95</v>
      </c>
      <c r="AM155" s="58" t="n"/>
      <c r="AN155" s="155" t="n"/>
      <c r="AO155" s="59" t="n"/>
      <c r="AP155" s="59" t="n"/>
      <c r="AQ155" s="59" t="n"/>
      <c r="AR155" s="155" t="n"/>
    </row>
    <row r="156">
      <c r="A156" s="50" t="inlineStr">
        <is>
          <t>5056658704949</t>
        </is>
      </c>
      <c r="B156" s="51" t="inlineStr">
        <is>
          <t>79240</t>
        </is>
      </c>
      <c r="C156" s="156" t="inlineStr">
        <is>
          <t>REFLO</t>
        </is>
      </c>
      <c r="D156" s="156" t="inlineStr">
        <is>
          <t>RM02101068</t>
        </is>
      </c>
      <c r="E156" s="156" t="inlineStr">
        <is>
          <t>RM02101068-32</t>
        </is>
      </c>
      <c r="F156" s="156" t="inlineStr">
        <is>
          <t>32</t>
        </is>
      </c>
      <c r="G156" s="156" t="inlineStr">
        <is>
          <t>32W</t>
        </is>
      </c>
      <c r="H156" s="156" t="inlineStr">
        <is>
          <t>REFLO</t>
        </is>
      </c>
      <c r="I156" s="156" t="inlineStr">
        <is>
          <t>Pantalón REFLO Sidra Medieval Blue</t>
        </is>
      </c>
      <c r="J156" s="156" t="inlineStr">
        <is>
          <t>Ropa</t>
        </is>
      </c>
      <c r="K156" s="156" t="inlineStr">
        <is>
          <t>Pantalones</t>
        </is>
      </c>
      <c r="L156" s="156" t="inlineStr">
        <is>
          <t>Hombre</t>
        </is>
      </c>
      <c r="M156" s="156" t="inlineStr">
        <is>
          <t>REFLO</t>
        </is>
      </c>
      <c r="N156" s="156" t="n"/>
      <c r="O156" s="156" t="n"/>
      <c r="P156" s="156" t="inlineStr">
        <is>
          <t>Azul</t>
        </is>
      </c>
      <c r="Q156" s="156" t="n"/>
      <c r="R156" s="156" t="n"/>
      <c r="S156" s="156" t="inlineStr">
        <is>
          <t>88% Poliéster reciclado, 12% Elastano</t>
        </is>
      </c>
      <c r="T156" s="156" t="inlineStr">
        <is>
          <t>Pantalón de golf REFLO modelo Sidra en color Medieval Blue, confeccionado con materiales reciclados. Estilo RM02101068.</t>
        </is>
      </c>
      <c r="U156" s="156" t="inlineStr">
        <is>
          <t>China</t>
        </is>
      </c>
      <c r="V156" s="156" t="inlineStr">
        <is>
          <t>PZS</t>
        </is>
      </c>
      <c r="W156" s="51" t="inlineStr">
        <is>
          <t>53101502</t>
        </is>
      </c>
      <c r="X156" s="156" t="inlineStr">
        <is>
          <t>https://i.ibb.co/V2CR48b/RM02101068.jpg</t>
        </is>
      </c>
      <c r="Y156" s="54" t="n">
        <v>40.95</v>
      </c>
      <c r="Z156" s="54" t="n">
        <v>2999</v>
      </c>
      <c r="AA156" s="55">
        <f>IF(AND(A156="", B156="", E156=""), "", IF(AB156="", "Válido", IF((LEN(AB156)-LEN(SUBSTITUTE(AB156,"; ","")))/2+1&gt;(LEN(AB156)-LEN(SUBSTITUTE(AB156,"[Aviso]","")))/7, "Con Incidencias", "Válido")))</f>
        <v/>
      </c>
      <c r="AB156" s="56">
        <f>IF(AND(A156="", B156="", E156=""), "", TEXTJOIN("; ", TRUE, IF(OR(TRIM(A156&amp;"")="", ISNUMBER(SEARCH("FALTA", A156))), "UPC faltante/inválido", ""), IF(AND(A156&lt;&gt;"", IFERROR(_xlfn.XMATCH(A156,$A$2:$A$653,0,1)&lt;&gt;_xlfn.XMATCH(A156,$A$2:$A$653,0,-1),FALSE)), "Código de barras duplicado", ""), IF(AND(E156&lt;&gt;"", COUNTIF($E$2:$E$653, E156)&gt;1), "SKU duplicado", ""), IF(OR(J156="", J156=""), "[Aviso] División no capturada ()", IF(ISNA(MATCH(J156, Criterios!$A$123:$A$126, 0)), "División no válida", "")), IF(OR(K156="", K156=""), "[Aviso] Categoría no capturada ()", IF(ISNA(MATCH(K156, Criterios!$A$81:$A$120, 0)), "Categoría no válida", IF(AND(J156&lt;&gt;"", J156&lt;&gt;"", J156&lt;&gt;VLOOKUP(K156, Criterios!$A$81:$B$120, 2, FALSE)), "División no coincide con Categoría", ""))), IF(OR(L156="", L156=""), "[Aviso] Género no capturado ()", IF(ISNA(MATCH(L156, Criterios!$B$123:$B$127, 0)), "Género no válido", "")), IF(OR(N156="", N156=""), "[Aviso] Temporada no capturada ()", IF(ISNA(MATCH(N156, Criterios!$C$123:$C$128, 0)), "Temporada no válida", "")), IF(OR(O156="", O156=""), "[Aviso] Ciclo de vida no capturado ()", IF(ISNA(MATCH(O156, Criterios!$D$123:$D$124, 0)), "Ciclo de vida no válido", ""))))</f>
        <v/>
      </c>
      <c r="AC156" s="56" t="n"/>
      <c r="AD156" s="51" t="n">
        <v>31</v>
      </c>
      <c r="AE156" s="156" t="inlineStr">
        <is>
          <t>REFLO ALMACEN (17)</t>
        </is>
      </c>
      <c r="AF156" s="51" t="n">
        <v>32</v>
      </c>
      <c r="AG156" s="156" t="inlineStr">
        <is>
          <t>Nuevo – NetSuite con existencia</t>
        </is>
      </c>
      <c r="AH156" s="156" t="inlineStr">
        <is>
          <t>Talla: Pantalón solo con cintura (sin largo) (origen «32»); Físico total NetSuite 31 ≠ suma por ubicación 16 | Revisión 29/09/2026: Talla fuente 32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6" s="156" t="inlineStr">
        <is>
          <t>Sí</t>
        </is>
      </c>
      <c r="AJ156" s="156" t="inlineStr">
        <is>
          <t>CONSIGNA REFLO (-1)</t>
        </is>
      </c>
      <c r="AK156" s="155" t="inlineStr">
        <is>
          <t>G1522ProductosTodosloscamposSandboxResults894.xlsx: fila 58714 [X,Y]; G1522_Extraccion_Articulos_NetSuite_2026-09-30.xlsx: fila 37573 [Z]</t>
        </is>
      </c>
      <c r="AL156" s="58" t="n">
        <v>40.95</v>
      </c>
      <c r="AM156" s="58" t="n"/>
      <c r="AN156" s="155" t="n"/>
      <c r="AO156" s="59" t="n"/>
      <c r="AP156" s="59" t="n"/>
      <c r="AQ156" s="59" t="n"/>
      <c r="AR156" s="155" t="n"/>
    </row>
    <row r="157">
      <c r="A157" s="50" t="inlineStr">
        <is>
          <t>5056658704956</t>
        </is>
      </c>
      <c r="B157" s="51" t="inlineStr">
        <is>
          <t>79241</t>
        </is>
      </c>
      <c r="C157" s="156" t="inlineStr">
        <is>
          <t>REFLO</t>
        </is>
      </c>
      <c r="D157" s="156" t="inlineStr">
        <is>
          <t>RM02101068</t>
        </is>
      </c>
      <c r="E157" s="156" t="inlineStr">
        <is>
          <t>RM02101068-34</t>
        </is>
      </c>
      <c r="F157" s="156" t="inlineStr">
        <is>
          <t>34</t>
        </is>
      </c>
      <c r="G157" s="156" t="inlineStr">
        <is>
          <t>34W</t>
        </is>
      </c>
      <c r="H157" s="156" t="inlineStr">
        <is>
          <t>REFLO</t>
        </is>
      </c>
      <c r="I157" s="156" t="inlineStr">
        <is>
          <t>Pantalón REFLO Sidra Medieval Blue</t>
        </is>
      </c>
      <c r="J157" s="156" t="inlineStr">
        <is>
          <t>Ropa</t>
        </is>
      </c>
      <c r="K157" s="156" t="inlineStr">
        <is>
          <t>Pantalones</t>
        </is>
      </c>
      <c r="L157" s="156" t="inlineStr">
        <is>
          <t>Hombre</t>
        </is>
      </c>
      <c r="M157" s="156" t="inlineStr">
        <is>
          <t>REFLO</t>
        </is>
      </c>
      <c r="N157" s="156" t="n"/>
      <c r="O157" s="156" t="n"/>
      <c r="P157" s="156" t="inlineStr">
        <is>
          <t>Azul</t>
        </is>
      </c>
      <c r="Q157" s="156" t="n"/>
      <c r="R157" s="156" t="n"/>
      <c r="S157" s="156" t="inlineStr">
        <is>
          <t>88% Poliéster reciclado, 12% Elastano</t>
        </is>
      </c>
      <c r="T157" s="156" t="inlineStr">
        <is>
          <t>Pantalón de golf REFLO modelo Sidra en color Medieval Blue, confeccionado con materiales reciclados. Estilo RM02101068.</t>
        </is>
      </c>
      <c r="U157" s="156" t="inlineStr">
        <is>
          <t>China</t>
        </is>
      </c>
      <c r="V157" s="156" t="inlineStr">
        <is>
          <t>PZS</t>
        </is>
      </c>
      <c r="W157" s="51" t="inlineStr">
        <is>
          <t>53101502</t>
        </is>
      </c>
      <c r="X157" s="156" t="inlineStr">
        <is>
          <t>https://i.ibb.co/V2CR48b/RM02101068.jpg</t>
        </is>
      </c>
      <c r="Y157" s="54" t="n">
        <v>40.95</v>
      </c>
      <c r="Z157" s="54" t="n">
        <v>2999</v>
      </c>
      <c r="AA157" s="55">
        <f>IF(AND(A157="", B157="", E157=""), "", IF(AB157="", "Válido", IF((LEN(AB157)-LEN(SUBSTITUTE(AB157,"; ","")))/2+1&gt;(LEN(AB157)-LEN(SUBSTITUTE(AB157,"[Aviso]","")))/7, "Con Incidencias", "Válido")))</f>
        <v/>
      </c>
      <c r="AB157" s="56">
        <f>IF(AND(A157="", B157="", E157=""), "", TEXTJOIN("; ", TRUE, IF(OR(TRIM(A157&amp;"")="", ISNUMBER(SEARCH("FALTA", A157))), "UPC faltante/inválido", ""), IF(AND(A157&lt;&gt;"", IFERROR(_xlfn.XMATCH(A157,$A$2:$A$653,0,1)&lt;&gt;_xlfn.XMATCH(A157,$A$2:$A$653,0,-1),FALSE)), "Código de barras duplicado", ""), IF(AND(E157&lt;&gt;"", COUNTIF($E$2:$E$653, E157)&gt;1), "SKU duplicado", ""), IF(OR(J157="", J157=""), "[Aviso] División no capturada ()", IF(ISNA(MATCH(J157, Criterios!$A$123:$A$126, 0)), "División no válida", "")), IF(OR(K157="", K157=""), "[Aviso] Categoría no capturada ()", IF(ISNA(MATCH(K157, Criterios!$A$81:$A$120, 0)), "Categoría no válida", IF(AND(J157&lt;&gt;"", J157&lt;&gt;"", J157&lt;&gt;VLOOKUP(K157, Criterios!$A$81:$B$120, 2, FALSE)), "División no coincide con Categoría", ""))), IF(OR(L157="", L157=""), "[Aviso] Género no capturado ()", IF(ISNA(MATCH(L157, Criterios!$B$123:$B$127, 0)), "Género no válido", "")), IF(OR(N157="", N157=""), "[Aviso] Temporada no capturada ()", IF(ISNA(MATCH(N157, Criterios!$C$123:$C$128, 0)), "Temporada no válida", "")), IF(OR(O157="", O157=""), "[Aviso] Ciclo de vida no capturado ()", IF(ISNA(MATCH(O157, Criterios!$D$123:$D$124, 0)), "Ciclo de vida no válido", ""))))</f>
        <v/>
      </c>
      <c r="AC157" s="56" t="n"/>
      <c r="AD157" s="51" t="n">
        <v>56</v>
      </c>
      <c r="AE157" s="156" t="inlineStr">
        <is>
          <t>REFLO ALMACEN (29); MUESTRAS REFLO (1)</t>
        </is>
      </c>
      <c r="AF157" s="51" t="n">
        <v>56</v>
      </c>
      <c r="AG157" s="156" t="inlineStr">
        <is>
          <t>Nuevo – NetSuite con existencia</t>
        </is>
      </c>
      <c r="AH157" s="156" t="inlineStr">
        <is>
          <t>Talla: Pantalón solo con cintura (sin largo) (origen «34»); Físico total NetSuite 56 ≠ suma por ubicación 29 | Revisión 29/09/2026: Talla fuente 34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7" s="156" t="inlineStr">
        <is>
          <t>Sí</t>
        </is>
      </c>
      <c r="AJ157" s="156" t="inlineStr">
        <is>
          <t>CONSIGNA REFLO (-1)</t>
        </is>
      </c>
      <c r="AK157" s="155" t="inlineStr">
        <is>
          <t>G1522ProductosTodosloscamposSandboxResults894.xlsx: fila 58715 [X,Y]; G1522_Extraccion_Articulos_NetSuite_2026-09-30.xlsx: fila 37574 [Z]</t>
        </is>
      </c>
      <c r="AL157" s="58" t="n">
        <v>40.95</v>
      </c>
      <c r="AM157" s="58" t="n"/>
      <c r="AN157" s="155" t="n"/>
      <c r="AO157" s="59" t="n"/>
      <c r="AP157" s="59" t="n"/>
      <c r="AQ157" s="59" t="n"/>
      <c r="AR157" s="155" t="n"/>
    </row>
    <row r="158">
      <c r="A158" s="50" t="inlineStr">
        <is>
          <t>5056658704963</t>
        </is>
      </c>
      <c r="B158" s="51" t="inlineStr">
        <is>
          <t>79242</t>
        </is>
      </c>
      <c r="C158" s="156" t="inlineStr">
        <is>
          <t>REFLO</t>
        </is>
      </c>
      <c r="D158" s="156" t="inlineStr">
        <is>
          <t>RM02101068</t>
        </is>
      </c>
      <c r="E158" s="156" t="inlineStr">
        <is>
          <t>RM02101068-36</t>
        </is>
      </c>
      <c r="F158" s="156" t="inlineStr">
        <is>
          <t>36</t>
        </is>
      </c>
      <c r="G158" s="156" t="inlineStr">
        <is>
          <t>36W</t>
        </is>
      </c>
      <c r="H158" s="156" t="inlineStr">
        <is>
          <t>REFLO</t>
        </is>
      </c>
      <c r="I158" s="156" t="inlineStr">
        <is>
          <t>Pantalón REFLO Sidra Medieval Blue</t>
        </is>
      </c>
      <c r="J158" s="156" t="inlineStr">
        <is>
          <t>Ropa</t>
        </is>
      </c>
      <c r="K158" s="156" t="inlineStr">
        <is>
          <t>Pantalones</t>
        </is>
      </c>
      <c r="L158" s="156" t="inlineStr">
        <is>
          <t>Hombre</t>
        </is>
      </c>
      <c r="M158" s="156" t="inlineStr">
        <is>
          <t>REFLO</t>
        </is>
      </c>
      <c r="N158" s="156" t="n"/>
      <c r="O158" s="156" t="n"/>
      <c r="P158" s="156" t="inlineStr">
        <is>
          <t>Azul</t>
        </is>
      </c>
      <c r="Q158" s="156" t="n"/>
      <c r="R158" s="156" t="n"/>
      <c r="S158" s="156" t="inlineStr">
        <is>
          <t>88% Poliéster reciclado, 12% Elastano</t>
        </is>
      </c>
      <c r="T158" s="156" t="inlineStr">
        <is>
          <t>Pantalón de golf REFLO modelo Sidra en color Medieval Blue, confeccionado con materiales reciclados. Estilo RM02101068.</t>
        </is>
      </c>
      <c r="U158" s="156" t="inlineStr">
        <is>
          <t>China</t>
        </is>
      </c>
      <c r="V158" s="156" t="inlineStr">
        <is>
          <t>PZS</t>
        </is>
      </c>
      <c r="W158" s="51" t="inlineStr">
        <is>
          <t>53101502</t>
        </is>
      </c>
      <c r="X158" s="156" t="inlineStr">
        <is>
          <t>https://i.ibb.co/V2CR48b/RM02101068.jpg</t>
        </is>
      </c>
      <c r="Y158" s="54" t="n">
        <v>40.95</v>
      </c>
      <c r="Z158" s="54" t="n">
        <v>2999</v>
      </c>
      <c r="AA158" s="55">
        <f>IF(AND(A158="", B158="", E158=""), "", IF(AB158="", "Válido", IF((LEN(AB158)-LEN(SUBSTITUTE(AB158,"; ","")))/2+1&gt;(LEN(AB158)-LEN(SUBSTITUTE(AB158,"[Aviso]","")))/7, "Con Incidencias", "Válido")))</f>
        <v/>
      </c>
      <c r="AB158" s="56">
        <f>IF(AND(A158="", B158="", E158=""), "", TEXTJOIN("; ", TRUE, IF(OR(TRIM(A158&amp;"")="", ISNUMBER(SEARCH("FALTA", A158))), "UPC faltante/inválido", ""), IF(AND(A158&lt;&gt;"", IFERROR(_xlfn.XMATCH(A158,$A$2:$A$653,0,1)&lt;&gt;_xlfn.XMATCH(A158,$A$2:$A$653,0,-1),FALSE)), "Código de barras duplicado", ""), IF(AND(E158&lt;&gt;"", COUNTIF($E$2:$E$653, E158)&gt;1), "SKU duplicado", ""), IF(OR(J158="", J158=""), "[Aviso] División no capturada ()", IF(ISNA(MATCH(J158, Criterios!$A$123:$A$126, 0)), "División no válida", "")), IF(OR(K158="", K158=""), "[Aviso] Categoría no capturada ()", IF(ISNA(MATCH(K158, Criterios!$A$81:$A$120, 0)), "Categoría no válida", IF(AND(J158&lt;&gt;"", J158&lt;&gt;"", J158&lt;&gt;VLOOKUP(K158, Criterios!$A$81:$B$120, 2, FALSE)), "División no coincide con Categoría", ""))), IF(OR(L158="", L158=""), "[Aviso] Género no capturado ()", IF(ISNA(MATCH(L158, Criterios!$B$123:$B$127, 0)), "Género no válido", "")), IF(OR(N158="", N158=""), "[Aviso] Temporada no capturada ()", IF(ISNA(MATCH(N158, Criterios!$C$123:$C$128, 0)), "Temporada no válida", "")), IF(OR(O158="", O158=""), "[Aviso] Ciclo de vida no capturado ()", IF(ISNA(MATCH(O158, Criterios!$D$123:$D$124, 0)), "Ciclo de vida no válido", ""))))</f>
        <v/>
      </c>
      <c r="AC158" s="56" t="n"/>
      <c r="AD158" s="51" t="n">
        <v>57</v>
      </c>
      <c r="AE158" s="156" t="inlineStr">
        <is>
          <t>REFLO ALMACEN (30)</t>
        </is>
      </c>
      <c r="AF158" s="51" t="n">
        <v>57</v>
      </c>
      <c r="AG158" s="156" t="inlineStr">
        <is>
          <t>Nuevo – NetSuite con existencia</t>
        </is>
      </c>
      <c r="AH158" s="156" t="inlineStr">
        <is>
          <t>Talla: Pantalón solo con cintura (sin largo) (origen «36»); Físico total NetSuite 57 ≠ suma por ubicación 30 | Revisión 29/09/2026: Talla fuente 36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8" s="156" t="inlineStr">
        <is>
          <t>No</t>
        </is>
      </c>
      <c r="AJ158" s="156" t="n"/>
      <c r="AK158" s="155" t="inlineStr">
        <is>
          <t>G1522ProductosTodosloscamposSandboxResults894.xlsx: fila 58716 [X,Y]; G1522_Extraccion_Articulos_NetSuite_2026-09-30.xlsx: fila 37575 [Z]</t>
        </is>
      </c>
      <c r="AL158" s="58" t="n">
        <v>40.95</v>
      </c>
      <c r="AM158" s="58" t="n"/>
      <c r="AN158" s="155" t="n"/>
      <c r="AO158" s="59" t="n"/>
      <c r="AP158" s="59" t="n"/>
      <c r="AQ158" s="59" t="n"/>
      <c r="AR158" s="155" t="n"/>
    </row>
    <row r="159">
      <c r="A159" s="50" t="inlineStr">
        <is>
          <t>5056658704970</t>
        </is>
      </c>
      <c r="B159" s="51" t="inlineStr">
        <is>
          <t>79243</t>
        </is>
      </c>
      <c r="C159" s="156" t="inlineStr">
        <is>
          <t>REFLO</t>
        </is>
      </c>
      <c r="D159" s="156" t="inlineStr">
        <is>
          <t>RM02101068</t>
        </is>
      </c>
      <c r="E159" s="156" t="inlineStr">
        <is>
          <t>RM02101068-38</t>
        </is>
      </c>
      <c r="F159" s="156" t="inlineStr">
        <is>
          <t>38</t>
        </is>
      </c>
      <c r="G159" s="156" t="inlineStr">
        <is>
          <t>38W</t>
        </is>
      </c>
      <c r="H159" s="156" t="inlineStr">
        <is>
          <t>REFLO</t>
        </is>
      </c>
      <c r="I159" s="156" t="inlineStr">
        <is>
          <t>Pantalón REFLO Sidra Medieval Blue</t>
        </is>
      </c>
      <c r="J159" s="156" t="inlineStr">
        <is>
          <t>Ropa</t>
        </is>
      </c>
      <c r="K159" s="156" t="inlineStr">
        <is>
          <t>Pantalones</t>
        </is>
      </c>
      <c r="L159" s="156" t="inlineStr">
        <is>
          <t>Hombre</t>
        </is>
      </c>
      <c r="M159" s="156" t="inlineStr">
        <is>
          <t>REFLO</t>
        </is>
      </c>
      <c r="N159" s="156" t="n"/>
      <c r="O159" s="156" t="n"/>
      <c r="P159" s="156" t="inlineStr">
        <is>
          <t>Azul</t>
        </is>
      </c>
      <c r="Q159" s="156" t="n"/>
      <c r="R159" s="156" t="n"/>
      <c r="S159" s="156" t="inlineStr">
        <is>
          <t>88% Poliéster reciclado, 12% Elastano</t>
        </is>
      </c>
      <c r="T159" s="156" t="inlineStr">
        <is>
          <t>Pantalón de golf REFLO modelo Sidra en color Medieval Blue, confeccionado con materiales reciclados. Estilo RM02101068.</t>
        </is>
      </c>
      <c r="U159" s="156" t="inlineStr">
        <is>
          <t>China</t>
        </is>
      </c>
      <c r="V159" s="156" t="inlineStr">
        <is>
          <t>PZS</t>
        </is>
      </c>
      <c r="W159" s="51" t="inlineStr">
        <is>
          <t>53101502</t>
        </is>
      </c>
      <c r="X159" s="156" t="inlineStr">
        <is>
          <t>https://i.ibb.co/V2CR48b/RM02101068.jpg</t>
        </is>
      </c>
      <c r="Y159" s="54" t="n">
        <v>40.95</v>
      </c>
      <c r="Z159" s="54" t="n">
        <v>2999</v>
      </c>
      <c r="AA159" s="55">
        <f>IF(AND(A159="", B159="", E159=""), "", IF(AB159="", "Válido", IF((LEN(AB159)-LEN(SUBSTITUTE(AB159,"; ","")))/2+1&gt;(LEN(AB159)-LEN(SUBSTITUTE(AB159,"[Aviso]","")))/7, "Con Incidencias", "Válido")))</f>
        <v/>
      </c>
      <c r="AB159" s="56">
        <f>IF(AND(A159="", B159="", E159=""), "", TEXTJOIN("; ", TRUE, IF(OR(TRIM(A159&amp;"")="", ISNUMBER(SEARCH("FALTA", A159))), "UPC faltante/inválido", ""), IF(AND(A159&lt;&gt;"", IFERROR(_xlfn.XMATCH(A159,$A$2:$A$653,0,1)&lt;&gt;_xlfn.XMATCH(A159,$A$2:$A$653,0,-1),FALSE)), "Código de barras duplicado", ""), IF(AND(E159&lt;&gt;"", COUNTIF($E$2:$E$653, E159)&gt;1), "SKU duplicado", ""), IF(OR(J159="", J159=""), "[Aviso] División no capturada ()", IF(ISNA(MATCH(J159, Criterios!$A$123:$A$126, 0)), "División no válida", "")), IF(OR(K159="", K159=""), "[Aviso] Categoría no capturada ()", IF(ISNA(MATCH(K159, Criterios!$A$81:$A$120, 0)), "Categoría no válida", IF(AND(J159&lt;&gt;"", J159&lt;&gt;"", J159&lt;&gt;VLOOKUP(K159, Criterios!$A$81:$B$120, 2, FALSE)), "División no coincide con Categoría", ""))), IF(OR(L159="", L159=""), "[Aviso] Género no capturado ()", IF(ISNA(MATCH(L159, Criterios!$B$123:$B$127, 0)), "Género no válido", "")), IF(OR(N159="", N159=""), "[Aviso] Temporada no capturada ()", IF(ISNA(MATCH(N159, Criterios!$C$123:$C$128, 0)), "Temporada no válida", "")), IF(OR(O159="", O159=""), "[Aviso] Ciclo de vida no capturado ()", IF(ISNA(MATCH(O159, Criterios!$D$123:$D$124, 0)), "Ciclo de vida no válido", ""))))</f>
        <v/>
      </c>
      <c r="AC159" s="56" t="n"/>
      <c r="AD159" s="51" t="n">
        <v>15</v>
      </c>
      <c r="AE159" s="156" t="inlineStr">
        <is>
          <t>REFLO ALMACEN (8)</t>
        </is>
      </c>
      <c r="AF159" s="51" t="n">
        <v>15</v>
      </c>
      <c r="AG159" s="156" t="inlineStr">
        <is>
          <t>Nuevo – NetSuite con existencia</t>
        </is>
      </c>
      <c r="AH159" s="156" t="inlineStr">
        <is>
          <t>Talla: Pantalón solo con cintura (sin largo) (origen «38»); Físico total NetSuite 15 ≠ suma por ubicación 8 | Revisión 29/09/2026: Talla fuente 38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59" s="156" t="inlineStr">
        <is>
          <t>No</t>
        </is>
      </c>
      <c r="AJ159" s="156" t="n"/>
      <c r="AK159" s="155" t="inlineStr">
        <is>
          <t>G1522ProductosTodosloscamposSandboxResults894.xlsx: fila 58717 [X,Y]; G1522_Extraccion_Articulos_NetSuite_2026-09-30.xlsx: fila 37576 [Z]</t>
        </is>
      </c>
      <c r="AL159" s="58" t="n">
        <v>40.95</v>
      </c>
      <c r="AM159" s="58" t="n"/>
      <c r="AN159" s="155" t="n"/>
      <c r="AO159" s="59" t="n"/>
      <c r="AP159" s="59" t="n"/>
      <c r="AQ159" s="59" t="n"/>
      <c r="AR159" s="155" t="n"/>
    </row>
    <row r="160">
      <c r="A160" s="50" t="inlineStr">
        <is>
          <t>5056658704987</t>
        </is>
      </c>
      <c r="B160" s="51" t="inlineStr">
        <is>
          <t>84396</t>
        </is>
      </c>
      <c r="C160" s="156" t="inlineStr">
        <is>
          <t>REFLO</t>
        </is>
      </c>
      <c r="D160" s="156" t="inlineStr">
        <is>
          <t>RM02101068</t>
        </is>
      </c>
      <c r="E160" s="156" t="inlineStr">
        <is>
          <t>RM02101068-40</t>
        </is>
      </c>
      <c r="F160" s="156" t="inlineStr">
        <is>
          <t>40</t>
        </is>
      </c>
      <c r="G160" s="156" t="inlineStr">
        <is>
          <t>40W</t>
        </is>
      </c>
      <c r="H160" s="156" t="inlineStr">
        <is>
          <t>REFLO</t>
        </is>
      </c>
      <c r="I160" s="156" t="inlineStr">
        <is>
          <t>Pantalón REFLO Sidra Medieval Blue</t>
        </is>
      </c>
      <c r="J160" s="156" t="inlineStr">
        <is>
          <t>Ropa</t>
        </is>
      </c>
      <c r="K160" s="156" t="inlineStr">
        <is>
          <t>Pantalones</t>
        </is>
      </c>
      <c r="L160" s="156" t="inlineStr">
        <is>
          <t>Hombre</t>
        </is>
      </c>
      <c r="M160" s="156" t="inlineStr">
        <is>
          <t>REFLO</t>
        </is>
      </c>
      <c r="N160" s="156" t="n"/>
      <c r="O160" s="156" t="n"/>
      <c r="P160" s="156" t="inlineStr">
        <is>
          <t>Azul</t>
        </is>
      </c>
      <c r="Q160" s="156" t="n"/>
      <c r="R160" s="156" t="n"/>
      <c r="S160" s="156" t="inlineStr">
        <is>
          <t>88% Poliéster reciclado, 12% Elastano</t>
        </is>
      </c>
      <c r="T160" s="156" t="inlineStr">
        <is>
          <t>Pantalón de golf REFLO modelo Sidra en color Medieval Blue, confeccionado con materiales reciclados. Estilo RM02101068.</t>
        </is>
      </c>
      <c r="U160" s="156" t="inlineStr">
        <is>
          <t>China</t>
        </is>
      </c>
      <c r="V160" s="156" t="inlineStr">
        <is>
          <t>PZS</t>
        </is>
      </c>
      <c r="W160" s="51" t="inlineStr">
        <is>
          <t>53101502</t>
        </is>
      </c>
      <c r="X160" s="156" t="inlineStr">
        <is>
          <t>https://i.ibb.co/V2CR48b/RM02101068.jpg</t>
        </is>
      </c>
      <c r="Y160" s="54" t="n">
        <v>40.95</v>
      </c>
      <c r="Z160" s="54" t="n">
        <v>2999</v>
      </c>
      <c r="AA160" s="55">
        <f>IF(AND(A160="", B160="", E160=""), "", IF(AB160="", "Válido", IF((LEN(AB160)-LEN(SUBSTITUTE(AB160,"; ","")))/2+1&gt;(LEN(AB160)-LEN(SUBSTITUTE(AB160,"[Aviso]","")))/7, "Con Incidencias", "Válido")))</f>
        <v/>
      </c>
      <c r="AB160" s="56">
        <f>IF(AND(A160="", B160="", E160=""), "", TEXTJOIN("; ", TRUE, IF(OR(TRIM(A160&amp;"")="", ISNUMBER(SEARCH("FALTA", A160))), "UPC faltante/inválido", ""), IF(AND(A160&lt;&gt;"", IFERROR(_xlfn.XMATCH(A160,$A$2:$A$653,0,1)&lt;&gt;_xlfn.XMATCH(A160,$A$2:$A$653,0,-1),FALSE)), "Código de barras duplicado", ""), IF(AND(E160&lt;&gt;"", COUNTIF($E$2:$E$653, E160)&gt;1), "SKU duplicado", ""), IF(OR(J160="", J160=""), "[Aviso] División no capturada ()", IF(ISNA(MATCH(J160, Criterios!$A$123:$A$126, 0)), "División no válida", "")), IF(OR(K160="", K160=""), "[Aviso] Categoría no capturada ()", IF(ISNA(MATCH(K160, Criterios!$A$81:$A$120, 0)), "Categoría no válida", IF(AND(J160&lt;&gt;"", J160&lt;&gt;"", J160&lt;&gt;VLOOKUP(K160, Criterios!$A$81:$B$120, 2, FALSE)), "División no coincide con Categoría", ""))), IF(OR(L160="", L160=""), "[Aviso] Género no capturado ()", IF(ISNA(MATCH(L160, Criterios!$B$123:$B$127, 0)), "Género no válido", "")), IF(OR(N160="", N160=""), "[Aviso] Temporada no capturada ()", IF(ISNA(MATCH(N160, Criterios!$C$123:$C$128, 0)), "Temporada no válida", "")), IF(OR(O160="", O160=""), "[Aviso] Ciclo de vida no capturado ()", IF(ISNA(MATCH(O160, Criterios!$D$123:$D$124, 0)), "Ciclo de vida no válido", ""))))</f>
        <v/>
      </c>
      <c r="AC160" s="56" t="n"/>
      <c r="AD160" s="51" t="n">
        <v>11</v>
      </c>
      <c r="AE160" s="156" t="inlineStr">
        <is>
          <t>CONSIGNA REFLO (1); REFLO ALMACEN (5)</t>
        </is>
      </c>
      <c r="AF160" s="51" t="n">
        <v>11</v>
      </c>
      <c r="AG160" s="156" t="inlineStr">
        <is>
          <t>Nuevo – NetSuite con existencia</t>
        </is>
      </c>
      <c r="AH160" s="156" t="inlineStr">
        <is>
          <t>Talla: Pantalón solo con cintura (sin largo) (origen «40»); Físico total NetSuite 11 ≠ suma por ubicación 6 | Revisión 29/09/2026: Talla fuente 40 sin equivalencia exacta en Criterios para Cintura Jean + Largo Jean; Marca REFLO fuera de lista Criterios; Campos sin respaldo: N, O, Q; Auditoría NetSuite 30/09/2026: llenado desde NetSuite [Z] | Homologación G1522 06/10/2026: Validador Shopify: WB: precio con IVA no termina en 9</t>
        </is>
      </c>
      <c r="AI160" s="156" t="inlineStr">
        <is>
          <t>No</t>
        </is>
      </c>
      <c r="AJ160" s="156" t="n"/>
      <c r="AK160" s="155" t="inlineStr">
        <is>
          <t>G1522ProductosTodosloscamposSandboxResults894.xlsx: fila 58718 [X,Y]; G1522_Extraccion_Articulos_NetSuite_2026-09-30.xlsx: fila 39565 [Z]</t>
        </is>
      </c>
      <c r="AL160" s="58" t="n">
        <v>40.95</v>
      </c>
      <c r="AM160" s="58" t="n"/>
      <c r="AN160" s="155" t="n"/>
      <c r="AO160" s="59" t="n"/>
      <c r="AP160" s="59" t="n"/>
      <c r="AQ160" s="59" t="n"/>
      <c r="AR160" s="155" t="n"/>
    </row>
    <row r="161">
      <c r="A161" s="50" t="inlineStr">
        <is>
          <t>5056658705144</t>
        </is>
      </c>
      <c r="B161" s="51" t="inlineStr">
        <is>
          <t>79207</t>
        </is>
      </c>
      <c r="C161" s="156" t="inlineStr">
        <is>
          <t>REFLO</t>
        </is>
      </c>
      <c r="D161" s="156" t="inlineStr">
        <is>
          <t>RM02202009</t>
        </is>
      </c>
      <c r="E161" s="156" t="inlineStr">
        <is>
          <t>RM02202009-30</t>
        </is>
      </c>
      <c r="F161" s="156" t="inlineStr">
        <is>
          <t>30</t>
        </is>
      </c>
      <c r="G161" s="156" t="inlineStr">
        <is>
          <t>30W</t>
        </is>
      </c>
      <c r="H161" s="156" t="inlineStr">
        <is>
          <t>REFLO</t>
        </is>
      </c>
      <c r="I161" s="156" t="inlineStr">
        <is>
          <t>Short REFLO Icarian Caviar</t>
        </is>
      </c>
      <c r="J161" s="156" t="inlineStr">
        <is>
          <t>Ropa</t>
        </is>
      </c>
      <c r="K161" s="156" t="inlineStr">
        <is>
          <t>Shorts</t>
        </is>
      </c>
      <c r="L161" s="156" t="inlineStr">
        <is>
          <t>Hombre</t>
        </is>
      </c>
      <c r="M161" s="156" t="inlineStr">
        <is>
          <t>REFLO</t>
        </is>
      </c>
      <c r="N161" s="156" t="n"/>
      <c r="O161" s="156" t="n"/>
      <c r="P161" s="156" t="inlineStr">
        <is>
          <t>Negro</t>
        </is>
      </c>
      <c r="Q161" s="156" t="n"/>
      <c r="R161" s="156" t="n"/>
      <c r="S161" s="156" t="inlineStr">
        <is>
          <t>Poliéster reciclado</t>
        </is>
      </c>
      <c r="T161" s="156" t="inlineStr">
        <is>
          <t>Short de golf REFLO modelo Icarian en color Caviar, confeccionado con materiales reciclados. Estilo RM02202009.</t>
        </is>
      </c>
      <c r="U161" s="156" t="n"/>
      <c r="V161" s="156" t="inlineStr">
        <is>
          <t>PZS</t>
        </is>
      </c>
      <c r="W161" s="51" t="inlineStr">
        <is>
          <t>53101502</t>
        </is>
      </c>
      <c r="X161" s="156" t="inlineStr">
        <is>
          <t>https://i.ibb.co/5Bt6V6D/RM02202009.jpg</t>
        </is>
      </c>
      <c r="Y161" s="54" t="n">
        <v>31.85</v>
      </c>
      <c r="Z161" s="54" t="n">
        <v>2349</v>
      </c>
      <c r="AA161" s="55">
        <f>IF(AND(A161="", B161="", E161=""), "", IF(AB161="", "Válido", IF((LEN(AB161)-LEN(SUBSTITUTE(AB161,"; ","")))/2+1&gt;(LEN(AB161)-LEN(SUBSTITUTE(AB161,"[Aviso]","")))/7, "Con Incidencias", "Válido")))</f>
        <v/>
      </c>
      <c r="AB161" s="56">
        <f>IF(AND(A161="", B161="", E161=""), "", TEXTJOIN("; ", TRUE, IF(OR(TRIM(A161&amp;"")="", ISNUMBER(SEARCH("FALTA", A161))), "UPC faltante/inválido", ""), IF(AND(A161&lt;&gt;"", IFERROR(_xlfn.XMATCH(A161,$A$2:$A$653,0,1)&lt;&gt;_xlfn.XMATCH(A161,$A$2:$A$653,0,-1),FALSE)), "Código de barras duplicado", ""), IF(AND(E161&lt;&gt;"", COUNTIF($E$2:$E$653, E161)&gt;1), "SKU duplicado", ""), IF(OR(J161="", J161=""), "[Aviso] División no capturada ()", IF(ISNA(MATCH(J161, Criterios!$A$123:$A$126, 0)), "División no válida", "")), IF(OR(K161="", K161=""), "[Aviso] Categoría no capturada ()", IF(ISNA(MATCH(K161, Criterios!$A$81:$A$120, 0)), "Categoría no válida", IF(AND(J161&lt;&gt;"", J161&lt;&gt;"", J161&lt;&gt;VLOOKUP(K161, Criterios!$A$81:$B$120, 2, FALSE)), "División no coincide con Categoría", ""))), IF(OR(L161="", L161=""), "[Aviso] Género no capturado ()", IF(ISNA(MATCH(L161, Criterios!$B$123:$B$127, 0)), "Género no válido", "")), IF(OR(N161="", N161=""), "[Aviso] Temporada no capturada ()", IF(ISNA(MATCH(N161, Criterios!$C$123:$C$128, 0)), "Temporada no válida", "")), IF(OR(O161="", O161=""), "[Aviso] Ciclo de vida no capturado ()", IF(ISNA(MATCH(O161, Criterios!$D$123:$D$124, 0)), "Ciclo de vida no válido", ""))))</f>
        <v/>
      </c>
      <c r="AC161" s="56" t="n"/>
      <c r="AD161" s="51" t="n">
        <v>19</v>
      </c>
      <c r="AE161" s="156" t="inlineStr">
        <is>
          <t>REFLO ALMACEN (11)</t>
        </is>
      </c>
      <c r="AF161" s="51" t="n">
        <v>19</v>
      </c>
      <c r="AG161" s="156" t="inlineStr">
        <is>
          <t>Nuevo – NetSuite con existencia</t>
        </is>
      </c>
      <c r="AH161" s="156" t="inlineStr">
        <is>
          <t>Composición: poliéster reciclado (validar % en etiqueta); Físico total NetSuite 19 ≠ suma por ubicación 11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61" s="156" t="inlineStr">
        <is>
          <t>No</t>
        </is>
      </c>
      <c r="AJ161" s="156" t="n"/>
      <c r="AK161" s="155" t="inlineStr">
        <is>
          <t>G1522ProductosTodosloscamposSandboxResults894.xlsx: fila 49280 [X,Y]; G1522_Extraccion_Articulos_NetSuite_2026-09-30.xlsx: fila 37540 [Z]</t>
        </is>
      </c>
      <c r="AL161" s="58" t="n">
        <v>31.85</v>
      </c>
      <c r="AM161" s="58" t="n"/>
      <c r="AN161" s="155" t="n"/>
      <c r="AO161" s="59" t="n"/>
      <c r="AP161" s="59" t="n"/>
      <c r="AQ161" s="59" t="n"/>
      <c r="AR161" s="155" t="n"/>
    </row>
    <row r="162">
      <c r="A162" s="50" t="inlineStr">
        <is>
          <t>5056658705151</t>
        </is>
      </c>
      <c r="B162" s="51" t="inlineStr">
        <is>
          <t>79208</t>
        </is>
      </c>
      <c r="C162" s="156" t="inlineStr">
        <is>
          <t>REFLO</t>
        </is>
      </c>
      <c r="D162" s="156" t="inlineStr">
        <is>
          <t>RM02202009</t>
        </is>
      </c>
      <c r="E162" s="156" t="inlineStr">
        <is>
          <t>RM02202009-32</t>
        </is>
      </c>
      <c r="F162" s="156" t="inlineStr">
        <is>
          <t>32</t>
        </is>
      </c>
      <c r="G162" s="156" t="inlineStr">
        <is>
          <t>32W</t>
        </is>
      </c>
      <c r="H162" s="156" t="inlineStr">
        <is>
          <t>REFLO</t>
        </is>
      </c>
      <c r="I162" s="156" t="inlineStr">
        <is>
          <t>Short REFLO Icarian Caviar</t>
        </is>
      </c>
      <c r="J162" s="156" t="inlineStr">
        <is>
          <t>Ropa</t>
        </is>
      </c>
      <c r="K162" s="156" t="inlineStr">
        <is>
          <t>Shorts</t>
        </is>
      </c>
      <c r="L162" s="156" t="inlineStr">
        <is>
          <t>Hombre</t>
        </is>
      </c>
      <c r="M162" s="156" t="inlineStr">
        <is>
          <t>REFLO</t>
        </is>
      </c>
      <c r="N162" s="156" t="n"/>
      <c r="O162" s="156" t="n"/>
      <c r="P162" s="156" t="inlineStr">
        <is>
          <t>Negro</t>
        </is>
      </c>
      <c r="Q162" s="156" t="n"/>
      <c r="R162" s="156" t="n"/>
      <c r="S162" s="156" t="inlineStr">
        <is>
          <t>Poliéster reciclado</t>
        </is>
      </c>
      <c r="T162" s="156" t="inlineStr">
        <is>
          <t>Short de golf REFLO modelo Icarian en color Caviar, confeccionado con materiales reciclados. Estilo RM02202009.</t>
        </is>
      </c>
      <c r="U162" s="156" t="n"/>
      <c r="V162" s="156" t="inlineStr">
        <is>
          <t>PZS</t>
        </is>
      </c>
      <c r="W162" s="51" t="inlineStr">
        <is>
          <t>53101502</t>
        </is>
      </c>
      <c r="X162" s="156" t="inlineStr">
        <is>
          <t>https://i.ibb.co/5Bt6V6D/RM02202009.jpg</t>
        </is>
      </c>
      <c r="Y162" s="54" t="n">
        <v>31.85</v>
      </c>
      <c r="Z162" s="54" t="n">
        <v>2349</v>
      </c>
      <c r="AA162" s="55">
        <f>IF(AND(A162="", B162="", E162=""), "", IF(AB162="", "Válido", IF((LEN(AB162)-LEN(SUBSTITUTE(AB162,"; ","")))/2+1&gt;(LEN(AB162)-LEN(SUBSTITUTE(AB162,"[Aviso]","")))/7, "Con Incidencias", "Válido")))</f>
        <v/>
      </c>
      <c r="AB162" s="56">
        <f>IF(AND(A162="", B162="", E162=""), "", TEXTJOIN("; ", TRUE, IF(OR(TRIM(A162&amp;"")="", ISNUMBER(SEARCH("FALTA", A162))), "UPC faltante/inválido", ""), IF(AND(A162&lt;&gt;"", IFERROR(_xlfn.XMATCH(A162,$A$2:$A$653,0,1)&lt;&gt;_xlfn.XMATCH(A162,$A$2:$A$653,0,-1),FALSE)), "Código de barras duplicado", ""), IF(AND(E162&lt;&gt;"", COUNTIF($E$2:$E$653, E162)&gt;1), "SKU duplicado", ""), IF(OR(J162="", J162=""), "[Aviso] División no capturada ()", IF(ISNA(MATCH(J162, Criterios!$A$123:$A$126, 0)), "División no válida", "")), IF(OR(K162="", K162=""), "[Aviso] Categoría no capturada ()", IF(ISNA(MATCH(K162, Criterios!$A$81:$A$120, 0)), "Categoría no válida", IF(AND(J162&lt;&gt;"", J162&lt;&gt;"", J162&lt;&gt;VLOOKUP(K162, Criterios!$A$81:$B$120, 2, FALSE)), "División no coincide con Categoría", ""))), IF(OR(L162="", L162=""), "[Aviso] Género no capturado ()", IF(ISNA(MATCH(L162, Criterios!$B$123:$B$127, 0)), "Género no válido", "")), IF(OR(N162="", N162=""), "[Aviso] Temporada no capturada ()", IF(ISNA(MATCH(N162, Criterios!$C$123:$C$128, 0)), "Temporada no válida", "")), IF(OR(O162="", O162=""), "[Aviso] Ciclo de vida no capturado ()", IF(ISNA(MATCH(O162, Criterios!$D$123:$D$124, 0)), "Ciclo de vida no válido", ""))))</f>
        <v/>
      </c>
      <c r="AC162" s="56" t="n"/>
      <c r="AD162" s="51" t="n">
        <v>32</v>
      </c>
      <c r="AE162" s="156" t="inlineStr">
        <is>
          <t>REFLO ALMACEN (18)</t>
        </is>
      </c>
      <c r="AF162" s="51" t="n">
        <v>33</v>
      </c>
      <c r="AG162" s="156" t="inlineStr">
        <is>
          <t>Nuevo – NetSuite con existencia</t>
        </is>
      </c>
      <c r="AH162" s="156" t="inlineStr">
        <is>
          <t>Composición: poliéster reciclado (validar % en etiqueta); Físico total NetSuite 32 ≠ suma por ubicación 17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62" s="156" t="inlineStr">
        <is>
          <t>Sí</t>
        </is>
      </c>
      <c r="AJ162" s="156" t="inlineStr">
        <is>
          <t>CONSIGNA REFLO (-1)</t>
        </is>
      </c>
      <c r="AK162" s="155" t="inlineStr">
        <is>
          <t>G1522ProductosTodosloscamposSandboxResults894.xlsx: fila 49281 [X,Y]; G1522_Extraccion_Articulos_NetSuite_2026-09-30.xlsx: fila 37541 [Z]</t>
        </is>
      </c>
      <c r="AL162" s="58" t="n">
        <v>31.85</v>
      </c>
      <c r="AM162" s="58" t="n"/>
      <c r="AN162" s="155" t="n"/>
      <c r="AO162" s="59" t="n"/>
      <c r="AP162" s="59" t="n"/>
      <c r="AQ162" s="59" t="n"/>
      <c r="AR162" s="155" t="n"/>
    </row>
    <row r="163">
      <c r="A163" s="50" t="inlineStr">
        <is>
          <t>5056658705168</t>
        </is>
      </c>
      <c r="B163" s="51" t="inlineStr">
        <is>
          <t>79209</t>
        </is>
      </c>
      <c r="C163" s="156" t="inlineStr">
        <is>
          <t>REFLO</t>
        </is>
      </c>
      <c r="D163" s="156" t="inlineStr">
        <is>
          <t>RM02202009</t>
        </is>
      </c>
      <c r="E163" s="156" t="inlineStr">
        <is>
          <t>RM02202009-34</t>
        </is>
      </c>
      <c r="F163" s="156" t="inlineStr">
        <is>
          <t>34</t>
        </is>
      </c>
      <c r="G163" s="156" t="inlineStr">
        <is>
          <t>34W</t>
        </is>
      </c>
      <c r="H163" s="156" t="inlineStr">
        <is>
          <t>REFLO</t>
        </is>
      </c>
      <c r="I163" s="156" t="inlineStr">
        <is>
          <t>Short REFLO Icarian Caviar</t>
        </is>
      </c>
      <c r="J163" s="156" t="inlineStr">
        <is>
          <t>Ropa</t>
        </is>
      </c>
      <c r="K163" s="156" t="inlineStr">
        <is>
          <t>Shorts</t>
        </is>
      </c>
      <c r="L163" s="156" t="inlineStr">
        <is>
          <t>Hombre</t>
        </is>
      </c>
      <c r="M163" s="156" t="inlineStr">
        <is>
          <t>REFLO</t>
        </is>
      </c>
      <c r="N163" s="156" t="n"/>
      <c r="O163" s="156" t="n"/>
      <c r="P163" s="156" t="inlineStr">
        <is>
          <t>Negro</t>
        </is>
      </c>
      <c r="Q163" s="156" t="n"/>
      <c r="R163" s="156" t="n"/>
      <c r="S163" s="156" t="inlineStr">
        <is>
          <t>Poliéster reciclado</t>
        </is>
      </c>
      <c r="T163" s="156" t="inlineStr">
        <is>
          <t>Short de golf REFLO modelo Icarian en color Caviar, confeccionado con materiales reciclados. Estilo RM02202009.</t>
        </is>
      </c>
      <c r="U163" s="156" t="n"/>
      <c r="V163" s="156" t="inlineStr">
        <is>
          <t>PZS</t>
        </is>
      </c>
      <c r="W163" s="51" t="inlineStr">
        <is>
          <t>53101502</t>
        </is>
      </c>
      <c r="X163" s="156" t="inlineStr">
        <is>
          <t>https://i.ibb.co/5Bt6V6D/RM02202009.jpg</t>
        </is>
      </c>
      <c r="Y163" s="54" t="n">
        <v>31.85</v>
      </c>
      <c r="Z163" s="54" t="n">
        <v>2349</v>
      </c>
      <c r="AA163" s="55">
        <f>IF(AND(A163="", B163="", E163=""), "", IF(AB163="", "Válido", IF((LEN(AB163)-LEN(SUBSTITUTE(AB163,"; ","")))/2+1&gt;(LEN(AB163)-LEN(SUBSTITUTE(AB163,"[Aviso]","")))/7, "Con Incidencias", "Válido")))</f>
        <v/>
      </c>
      <c r="AB163" s="56">
        <f>IF(AND(A163="", B163="", E163=""), "", TEXTJOIN("; ", TRUE, IF(OR(TRIM(A163&amp;"")="", ISNUMBER(SEARCH("FALTA", A163))), "UPC faltante/inválido", ""), IF(AND(A163&lt;&gt;"", IFERROR(_xlfn.XMATCH(A163,$A$2:$A$653,0,1)&lt;&gt;_xlfn.XMATCH(A163,$A$2:$A$653,0,-1),FALSE)), "Código de barras duplicado", ""), IF(AND(E163&lt;&gt;"", COUNTIF($E$2:$E$653, E163)&gt;1), "SKU duplicado", ""), IF(OR(J163="", J163=""), "[Aviso] División no capturada ()", IF(ISNA(MATCH(J163, Criterios!$A$123:$A$126, 0)), "División no válida", "")), IF(OR(K163="", K163=""), "[Aviso] Categoría no capturada ()", IF(ISNA(MATCH(K163, Criterios!$A$81:$A$120, 0)), "Categoría no válida", IF(AND(J163&lt;&gt;"", J163&lt;&gt;"", J163&lt;&gt;VLOOKUP(K163, Criterios!$A$81:$B$120, 2, FALSE)), "División no coincide con Categoría", ""))), IF(OR(L163="", L163=""), "[Aviso] Género no capturado ()", IF(ISNA(MATCH(L163, Criterios!$B$123:$B$127, 0)), "Género no válido", "")), IF(OR(N163="", N163=""), "[Aviso] Temporada no capturada ()", IF(ISNA(MATCH(N163, Criterios!$C$123:$C$128, 0)), "Temporada no válida", "")), IF(OR(O163="", O163=""), "[Aviso] Ciclo de vida no capturado ()", IF(ISNA(MATCH(O163, Criterios!$D$123:$D$124, 0)), "Ciclo de vida no válido", ""))))</f>
        <v/>
      </c>
      <c r="AC163" s="56" t="n"/>
      <c r="AD163" s="51" t="n">
        <v>66</v>
      </c>
      <c r="AE163" s="156" t="inlineStr">
        <is>
          <t>MUESTRAS REFLO (1); REFLO ALMACEN (34)</t>
        </is>
      </c>
      <c r="AF163" s="51" t="n">
        <v>66</v>
      </c>
      <c r="AG163" s="156" t="inlineStr">
        <is>
          <t>Nuevo – NetSuite con existencia</t>
        </is>
      </c>
      <c r="AH163" s="156" t="inlineStr">
        <is>
          <t>Composición: poliéster reciclado (validar % en etiqueta); Físico total NetSuite 66 ≠ suma por ubicación 34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63" s="156" t="inlineStr">
        <is>
          <t>Sí</t>
        </is>
      </c>
      <c r="AJ163" s="156" t="inlineStr">
        <is>
          <t>CONSIGNA REFLO (-1)</t>
        </is>
      </c>
      <c r="AK163" s="155" t="inlineStr">
        <is>
          <t>G1522ProductosTodosloscamposSandboxResults894.xlsx: fila 49282 [X,Y]; G1522_Extraccion_Articulos_NetSuite_2026-09-30.xlsx: fila 37542 [Z]</t>
        </is>
      </c>
      <c r="AL163" s="58" t="n">
        <v>31.85</v>
      </c>
      <c r="AM163" s="58" t="n"/>
      <c r="AN163" s="155" t="n"/>
      <c r="AO163" s="59" t="n"/>
      <c r="AP163" s="59" t="n"/>
      <c r="AQ163" s="59" t="n"/>
      <c r="AR163" s="155" t="n"/>
    </row>
    <row r="164">
      <c r="A164" s="50" t="inlineStr">
        <is>
          <t>5056658705175</t>
        </is>
      </c>
      <c r="B164" s="51" t="inlineStr">
        <is>
          <t>79210</t>
        </is>
      </c>
      <c r="C164" s="156" t="inlineStr">
        <is>
          <t>REFLO</t>
        </is>
      </c>
      <c r="D164" s="156" t="inlineStr">
        <is>
          <t>RM02202009</t>
        </is>
      </c>
      <c r="E164" s="156" t="inlineStr">
        <is>
          <t>RM02202009-36</t>
        </is>
      </c>
      <c r="F164" s="156" t="inlineStr">
        <is>
          <t>36</t>
        </is>
      </c>
      <c r="G164" s="156" t="inlineStr">
        <is>
          <t>36W</t>
        </is>
      </c>
      <c r="H164" s="156" t="inlineStr">
        <is>
          <t>REFLO</t>
        </is>
      </c>
      <c r="I164" s="156" t="inlineStr">
        <is>
          <t>Short REFLO Icarian Caviar</t>
        </is>
      </c>
      <c r="J164" s="156" t="inlineStr">
        <is>
          <t>Ropa</t>
        </is>
      </c>
      <c r="K164" s="156" t="inlineStr">
        <is>
          <t>Shorts</t>
        </is>
      </c>
      <c r="L164" s="156" t="inlineStr">
        <is>
          <t>Hombre</t>
        </is>
      </c>
      <c r="M164" s="156" t="inlineStr">
        <is>
          <t>REFLO</t>
        </is>
      </c>
      <c r="N164" s="156" t="n"/>
      <c r="O164" s="156" t="n"/>
      <c r="P164" s="156" t="inlineStr">
        <is>
          <t>Negro</t>
        </is>
      </c>
      <c r="Q164" s="156" t="n"/>
      <c r="R164" s="156" t="n"/>
      <c r="S164" s="156" t="inlineStr">
        <is>
          <t>Poliéster reciclado</t>
        </is>
      </c>
      <c r="T164" s="156" t="inlineStr">
        <is>
          <t>Short de golf REFLO modelo Icarian en color Caviar, confeccionado con materiales reciclados. Estilo RM02202009.</t>
        </is>
      </c>
      <c r="U164" s="156" t="n"/>
      <c r="V164" s="156" t="inlineStr">
        <is>
          <t>PZS</t>
        </is>
      </c>
      <c r="W164" s="51" t="inlineStr">
        <is>
          <t>53101502</t>
        </is>
      </c>
      <c r="X164" s="156" t="inlineStr">
        <is>
          <t>https://i.ibb.co/5Bt6V6D/RM02202009.jpg</t>
        </is>
      </c>
      <c r="Y164" s="54" t="n">
        <v>31.85</v>
      </c>
      <c r="Z164" s="54" t="n">
        <v>2349</v>
      </c>
      <c r="AA164" s="55">
        <f>IF(AND(A164="", B164="", E164=""), "", IF(AB164="", "Válido", IF((LEN(AB164)-LEN(SUBSTITUTE(AB164,"; ","")))/2+1&gt;(LEN(AB164)-LEN(SUBSTITUTE(AB164,"[Aviso]","")))/7, "Con Incidencias", "Válido")))</f>
        <v/>
      </c>
      <c r="AB164" s="56">
        <f>IF(AND(A164="", B164="", E164=""), "", TEXTJOIN("; ", TRUE, IF(OR(TRIM(A164&amp;"")="", ISNUMBER(SEARCH("FALTA", A164))), "UPC faltante/inválido", ""), IF(AND(A164&lt;&gt;"", IFERROR(_xlfn.XMATCH(A164,$A$2:$A$653,0,1)&lt;&gt;_xlfn.XMATCH(A164,$A$2:$A$653,0,-1),FALSE)), "Código de barras duplicado", ""), IF(AND(E164&lt;&gt;"", COUNTIF($E$2:$E$653, E164)&gt;1), "SKU duplicado", ""), IF(OR(J164="", J164=""), "[Aviso] División no capturada ()", IF(ISNA(MATCH(J164, Criterios!$A$123:$A$126, 0)), "División no válida", "")), IF(OR(K164="", K164=""), "[Aviso] Categoría no capturada ()", IF(ISNA(MATCH(K164, Criterios!$A$81:$A$120, 0)), "Categoría no válida", IF(AND(J164&lt;&gt;"", J164&lt;&gt;"", J164&lt;&gt;VLOOKUP(K164, Criterios!$A$81:$B$120, 2, FALSE)), "División no coincide con Categoría", ""))), IF(OR(L164="", L164=""), "[Aviso] Género no capturado ()", IF(ISNA(MATCH(L164, Criterios!$B$123:$B$127, 0)), "Género no válido", "")), IF(OR(N164="", N164=""), "[Aviso] Temporada no capturada ()", IF(ISNA(MATCH(N164, Criterios!$C$123:$C$128, 0)), "Temporada no válida", "")), IF(OR(O164="", O164=""), "[Aviso] Ciclo de vida no capturado ()", IF(ISNA(MATCH(O164, Criterios!$D$123:$D$124, 0)), "Ciclo de vida no válido", ""))))</f>
        <v/>
      </c>
      <c r="AC164" s="56" t="n"/>
      <c r="AD164" s="51" t="n">
        <v>57</v>
      </c>
      <c r="AE164" s="156" t="inlineStr">
        <is>
          <t>REFLO ALMACEN (28); CONSIGNA REFLO (1)</t>
        </is>
      </c>
      <c r="AF164" s="51" t="n">
        <v>57</v>
      </c>
      <c r="AG164" s="156" t="inlineStr">
        <is>
          <t>Nuevo – NetSuite con existencia</t>
        </is>
      </c>
      <c r="AH164" s="156" t="inlineStr">
        <is>
          <t>Composición: poliéster reciclado (validar % en etiqueta); Físico total NetSuite 57 ≠ suma por ubicación 29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64" s="156" t="inlineStr">
        <is>
          <t>No</t>
        </is>
      </c>
      <c r="AJ164" s="156" t="n"/>
      <c r="AK164" s="155" t="inlineStr">
        <is>
          <t>G1522ProductosTodosloscamposSandboxResults894.xlsx: fila 49283 [X,Y]; G1522_Extraccion_Articulos_NetSuite_2026-09-30.xlsx: fila 37543 [Z]</t>
        </is>
      </c>
      <c r="AL164" s="58" t="n">
        <v>31.85</v>
      </c>
      <c r="AM164" s="58" t="n"/>
      <c r="AN164" s="155" t="n"/>
      <c r="AO164" s="59" t="n"/>
      <c r="AP164" s="59" t="n"/>
      <c r="AQ164" s="59" t="n"/>
      <c r="AR164" s="155" t="n"/>
    </row>
    <row r="165">
      <c r="A165" s="50" t="inlineStr">
        <is>
          <t>5056658705182</t>
        </is>
      </c>
      <c r="B165" s="51" t="inlineStr">
        <is>
          <t>84397</t>
        </is>
      </c>
      <c r="C165" s="156" t="inlineStr">
        <is>
          <t>REFLO</t>
        </is>
      </c>
      <c r="D165" s="156" t="inlineStr">
        <is>
          <t>RM02202009</t>
        </is>
      </c>
      <c r="E165" s="156" t="inlineStr">
        <is>
          <t>RM02202009-38</t>
        </is>
      </c>
      <c r="F165" s="156" t="inlineStr">
        <is>
          <t>38</t>
        </is>
      </c>
      <c r="G165" s="156" t="inlineStr">
        <is>
          <t>38W</t>
        </is>
      </c>
      <c r="H165" s="156" t="inlineStr">
        <is>
          <t>REFLO</t>
        </is>
      </c>
      <c r="I165" s="156" t="inlineStr">
        <is>
          <t>Short REFLO Icarian Caviar</t>
        </is>
      </c>
      <c r="J165" s="156" t="inlineStr">
        <is>
          <t>Ropa</t>
        </is>
      </c>
      <c r="K165" s="156" t="inlineStr">
        <is>
          <t>Shorts</t>
        </is>
      </c>
      <c r="L165" s="156" t="inlineStr">
        <is>
          <t>Hombre</t>
        </is>
      </c>
      <c r="M165" s="156" t="inlineStr">
        <is>
          <t>REFLO</t>
        </is>
      </c>
      <c r="N165" s="156" t="n"/>
      <c r="O165" s="156" t="n"/>
      <c r="P165" s="156" t="inlineStr">
        <is>
          <t>Negro</t>
        </is>
      </c>
      <c r="Q165" s="156" t="n"/>
      <c r="R165" s="156" t="n"/>
      <c r="S165" s="156" t="inlineStr">
        <is>
          <t>Poliéster reciclado</t>
        </is>
      </c>
      <c r="T165" s="156" t="inlineStr">
        <is>
          <t>Short de golf REFLO modelo Icarian en color Caviar, confeccionado con materiales reciclados. Estilo RM02202009.</t>
        </is>
      </c>
      <c r="U165" s="156" t="n"/>
      <c r="V165" s="156" t="inlineStr">
        <is>
          <t>PZS</t>
        </is>
      </c>
      <c r="W165" s="51" t="inlineStr">
        <is>
          <t>53101502</t>
        </is>
      </c>
      <c r="X165" s="156" t="inlineStr">
        <is>
          <t>https://i.ibb.co/5Bt6V6D/RM02202009.jpg</t>
        </is>
      </c>
      <c r="Y165" s="54" t="n">
        <v>31.85</v>
      </c>
      <c r="Z165" s="54" t="n">
        <v>2349</v>
      </c>
      <c r="AA165" s="55">
        <f>IF(AND(A165="", B165="", E165=""), "", IF(AB165="", "Válido", IF((LEN(AB165)-LEN(SUBSTITUTE(AB165,"; ","")))/2+1&gt;(LEN(AB165)-LEN(SUBSTITUTE(AB165,"[Aviso]","")))/7, "Con Incidencias", "Válido")))</f>
        <v/>
      </c>
      <c r="AB165" s="56">
        <f>IF(AND(A165="", B165="", E165=""), "", TEXTJOIN("; ", TRUE, IF(OR(TRIM(A165&amp;"")="", ISNUMBER(SEARCH("FALTA", A165))), "UPC faltante/inválido", ""), IF(AND(A165&lt;&gt;"", IFERROR(_xlfn.XMATCH(A165,$A$2:$A$653,0,1)&lt;&gt;_xlfn.XMATCH(A165,$A$2:$A$653,0,-1),FALSE)), "Código de barras duplicado", ""), IF(AND(E165&lt;&gt;"", COUNTIF($E$2:$E$653, E165)&gt;1), "SKU duplicado", ""), IF(OR(J165="", J165=""), "[Aviso] División no capturada ()", IF(ISNA(MATCH(J165, Criterios!$A$123:$A$126, 0)), "División no válida", "")), IF(OR(K165="", K165=""), "[Aviso] Categoría no capturada ()", IF(ISNA(MATCH(K165, Criterios!$A$81:$A$120, 0)), "Categoría no válida", IF(AND(J165&lt;&gt;"", J165&lt;&gt;"", J165&lt;&gt;VLOOKUP(K165, Criterios!$A$81:$B$120, 2, FALSE)), "División no coincide con Categoría", ""))), IF(OR(L165="", L165=""), "[Aviso] Género no capturado ()", IF(ISNA(MATCH(L165, Criterios!$B$123:$B$127, 0)), "Género no válido", "")), IF(OR(N165="", N165=""), "[Aviso] Temporada no capturada ()", IF(ISNA(MATCH(N165, Criterios!$C$123:$C$128, 0)), "Temporada no válida", "")), IF(OR(O165="", O165=""), "[Aviso] Ciclo de vida no capturado ()", IF(ISNA(MATCH(O165, Criterios!$D$123:$D$124, 0)), "Ciclo de vida no válido", ""))))</f>
        <v/>
      </c>
      <c r="AC165" s="56" t="n"/>
      <c r="AD165" s="51" t="n">
        <v>3</v>
      </c>
      <c r="AE165" s="156" t="inlineStr">
        <is>
          <t>REFLO ALMACEN (1); CONSIGNA REFLO (1)</t>
        </is>
      </c>
      <c r="AF165" s="51" t="n">
        <v>3</v>
      </c>
      <c r="AG165" s="156" t="inlineStr">
        <is>
          <t>Nuevo – NetSuite con existencia</t>
        </is>
      </c>
      <c r="AH165" s="156" t="inlineStr">
        <is>
          <t>Composición: poliéster reciclado (validar % en etiqueta); Físico total NetSuite 3 ≠ suma por ubicación 2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65" s="156" t="inlineStr">
        <is>
          <t>No</t>
        </is>
      </c>
      <c r="AJ165" s="156" t="n"/>
      <c r="AK165" s="155" t="inlineStr">
        <is>
          <t>G1522ProductosTodosloscamposSandboxResults894.xlsx: fila 49284 [X,Y]; G1522_Extraccion_Articulos_NetSuite_2026-09-30.xlsx: fila 39566 [Z]</t>
        </is>
      </c>
      <c r="AL165" s="58" t="n">
        <v>31.85</v>
      </c>
      <c r="AM165" s="58" t="n"/>
      <c r="AN165" s="155" t="n"/>
      <c r="AO165" s="59" t="n"/>
      <c r="AP165" s="59" t="n"/>
      <c r="AQ165" s="59" t="n"/>
      <c r="AR165" s="155" t="n"/>
    </row>
    <row r="166">
      <c r="A166" s="50" t="inlineStr">
        <is>
          <t>5056658705199</t>
        </is>
      </c>
      <c r="B166" s="51" t="inlineStr">
        <is>
          <t>84398</t>
        </is>
      </c>
      <c r="C166" s="156" t="inlineStr">
        <is>
          <t>REFLO</t>
        </is>
      </c>
      <c r="D166" s="156" t="inlineStr">
        <is>
          <t>RM02202009</t>
        </is>
      </c>
      <c r="E166" s="156" t="inlineStr">
        <is>
          <t>RM02202009-40</t>
        </is>
      </c>
      <c r="F166" s="156" t="inlineStr">
        <is>
          <t>40</t>
        </is>
      </c>
      <c r="G166" s="156" t="inlineStr">
        <is>
          <t>40W</t>
        </is>
      </c>
      <c r="H166" s="156" t="inlineStr">
        <is>
          <t>REFLO</t>
        </is>
      </c>
      <c r="I166" s="156" t="inlineStr">
        <is>
          <t>Short REFLO Icarian Caviar</t>
        </is>
      </c>
      <c r="J166" s="156" t="inlineStr">
        <is>
          <t>Ropa</t>
        </is>
      </c>
      <c r="K166" s="156" t="inlineStr">
        <is>
          <t>Shorts</t>
        </is>
      </c>
      <c r="L166" s="156" t="inlineStr">
        <is>
          <t>Hombre</t>
        </is>
      </c>
      <c r="M166" s="156" t="inlineStr">
        <is>
          <t>REFLO</t>
        </is>
      </c>
      <c r="N166" s="156" t="n"/>
      <c r="O166" s="156" t="n"/>
      <c r="P166" s="156" t="inlineStr">
        <is>
          <t>Negro</t>
        </is>
      </c>
      <c r="Q166" s="156" t="n"/>
      <c r="R166" s="156" t="n"/>
      <c r="S166" s="156" t="inlineStr">
        <is>
          <t>Poliéster reciclado</t>
        </is>
      </c>
      <c r="T166" s="156" t="inlineStr">
        <is>
          <t>Short de golf REFLO modelo Icarian en color Caviar, confeccionado con materiales reciclados. Estilo RM02202009.</t>
        </is>
      </c>
      <c r="U166" s="156" t="n"/>
      <c r="V166" s="156" t="inlineStr">
        <is>
          <t>PZS</t>
        </is>
      </c>
      <c r="W166" s="51" t="inlineStr">
        <is>
          <t>53101502</t>
        </is>
      </c>
      <c r="X166" s="156" t="inlineStr">
        <is>
          <t>https://i.ibb.co/5Bt6V6D/RM02202009.jpg</t>
        </is>
      </c>
      <c r="Y166" s="54" t="n">
        <v>31.85</v>
      </c>
      <c r="Z166" s="54" t="n">
        <v>2349</v>
      </c>
      <c r="AA166" s="55">
        <f>IF(AND(A166="", B166="", E166=""), "", IF(AB166="", "Válido", IF((LEN(AB166)-LEN(SUBSTITUTE(AB166,"; ","")))/2+1&gt;(LEN(AB166)-LEN(SUBSTITUTE(AB166,"[Aviso]","")))/7, "Con Incidencias", "Válido")))</f>
        <v/>
      </c>
      <c r="AB166" s="56">
        <f>IF(AND(A166="", B166="", E166=""), "", TEXTJOIN("; ", TRUE, IF(OR(TRIM(A166&amp;"")="", ISNUMBER(SEARCH("FALTA", A166))), "UPC faltante/inválido", ""), IF(AND(A166&lt;&gt;"", IFERROR(_xlfn.XMATCH(A166,$A$2:$A$653,0,1)&lt;&gt;_xlfn.XMATCH(A166,$A$2:$A$653,0,-1),FALSE)), "Código de barras duplicado", ""), IF(AND(E166&lt;&gt;"", COUNTIF($E$2:$E$653, E166)&gt;1), "SKU duplicado", ""), IF(OR(J166="", J166=""), "[Aviso] División no capturada ()", IF(ISNA(MATCH(J166, Criterios!$A$123:$A$126, 0)), "División no válida", "")), IF(OR(K166="", K166=""), "[Aviso] Categoría no capturada ()", IF(ISNA(MATCH(K166, Criterios!$A$81:$A$120, 0)), "Categoría no válida", IF(AND(J166&lt;&gt;"", J166&lt;&gt;"", J166&lt;&gt;VLOOKUP(K166, Criterios!$A$81:$B$120, 2, FALSE)), "División no coincide con Categoría", ""))), IF(OR(L166="", L166=""), "[Aviso] Género no capturado ()", IF(ISNA(MATCH(L166, Criterios!$B$123:$B$127, 0)), "Género no válido", "")), IF(OR(N166="", N166=""), "[Aviso] Temporada no capturada ()", IF(ISNA(MATCH(N166, Criterios!$C$123:$C$128, 0)), "Temporada no válida", "")), IF(OR(O166="", O166=""), "[Aviso] Ciclo de vida no capturado ()", IF(ISNA(MATCH(O166, Criterios!$D$123:$D$124, 0)), "Ciclo de vida no válido", ""))))</f>
        <v/>
      </c>
      <c r="AC166" s="56" t="n"/>
      <c r="AD166" s="51" t="n">
        <v>13</v>
      </c>
      <c r="AE166" s="156" t="inlineStr">
        <is>
          <t>CONSIGNA REFLO (1); REFLO ALMACEN (6)</t>
        </is>
      </c>
      <c r="AF166" s="51" t="n">
        <v>13</v>
      </c>
      <c r="AG166" s="156" t="inlineStr">
        <is>
          <t>Nuevo – NetSuite con existencia</t>
        </is>
      </c>
      <c r="AH166" s="156" t="inlineStr">
        <is>
          <t>Composición: poliéster reciclado (validar % en etiqueta); Físico total NetSuite 13 ≠ suma por ubicación 7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66" s="156" t="inlineStr">
        <is>
          <t>No</t>
        </is>
      </c>
      <c r="AJ166" s="156" t="n"/>
      <c r="AK166" s="155" t="inlineStr">
        <is>
          <t>G1522ProductosTodosloscamposSandboxResults894.xlsx: fila 49285 [X,Y]; G1522_Extraccion_Articulos_NetSuite_2026-09-30.xlsx: fila 39567 [Z]</t>
        </is>
      </c>
      <c r="AL166" s="58" t="n">
        <v>31.85</v>
      </c>
      <c r="AM166" s="58" t="n"/>
      <c r="AN166" s="155" t="n"/>
      <c r="AO166" s="59" t="n"/>
      <c r="AP166" s="59" t="n"/>
      <c r="AQ166" s="59" t="n"/>
      <c r="AR166" s="155" t="n"/>
    </row>
    <row r="167">
      <c r="A167" s="50" t="inlineStr">
        <is>
          <t>5056658705212</t>
        </is>
      </c>
      <c r="B167" s="51" t="inlineStr">
        <is>
          <t>84399</t>
        </is>
      </c>
      <c r="C167" s="156" t="inlineStr">
        <is>
          <t>REFLO</t>
        </is>
      </c>
      <c r="D167" s="156" t="inlineStr">
        <is>
          <t>RM02202023</t>
        </is>
      </c>
      <c r="E167" s="156" t="inlineStr">
        <is>
          <t>RM02202023-30</t>
        </is>
      </c>
      <c r="F167" s="156" t="inlineStr">
        <is>
          <t>30</t>
        </is>
      </c>
      <c r="G167" s="156" t="inlineStr">
        <is>
          <t>30W</t>
        </is>
      </c>
      <c r="H167" s="156" t="inlineStr">
        <is>
          <t>REFLO</t>
        </is>
      </c>
      <c r="I167" s="156" t="inlineStr">
        <is>
          <t>Short REFLO Icarian Dark Forest</t>
        </is>
      </c>
      <c r="J167" s="156" t="inlineStr">
        <is>
          <t>Ropa</t>
        </is>
      </c>
      <c r="K167" s="156" t="inlineStr">
        <is>
          <t>Shorts</t>
        </is>
      </c>
      <c r="L167" s="156" t="inlineStr">
        <is>
          <t>Hombre</t>
        </is>
      </c>
      <c r="M167" s="156" t="inlineStr">
        <is>
          <t>REFLO</t>
        </is>
      </c>
      <c r="N167" s="156" t="n"/>
      <c r="O167" s="156" t="n"/>
      <c r="P167" s="156" t="inlineStr">
        <is>
          <t>Verde</t>
        </is>
      </c>
      <c r="Q167" s="156" t="n"/>
      <c r="R167" s="156" t="n"/>
      <c r="S167" s="156" t="inlineStr">
        <is>
          <t>Poliéster reciclado</t>
        </is>
      </c>
      <c r="T167" s="156" t="inlineStr">
        <is>
          <t>Short de golf REFLO modelo Icarian en color Dark Forest, confeccionado con materiales reciclados. Estilo RM02202023.</t>
        </is>
      </c>
      <c r="U167" s="156" t="n"/>
      <c r="V167" s="156" t="inlineStr">
        <is>
          <t>PZS</t>
        </is>
      </c>
      <c r="W167" s="51" t="inlineStr">
        <is>
          <t>53101502</t>
        </is>
      </c>
      <c r="X167" s="156" t="n"/>
      <c r="Y167" s="54" t="n">
        <v>31.85</v>
      </c>
      <c r="Z167" s="54" t="n">
        <v>2025</v>
      </c>
      <c r="AA167" s="55">
        <f>IF(AND(A167="", B167="", E167=""), "", IF(AB167="", "Válido", IF((LEN(AB167)-LEN(SUBSTITUTE(AB167,"; ","")))/2+1&gt;(LEN(AB167)-LEN(SUBSTITUTE(AB167,"[Aviso]","")))/7, "Con Incidencias", "Válido")))</f>
        <v/>
      </c>
      <c r="AB167" s="56">
        <f>IF(AND(A167="", B167="", E167=""), "", TEXTJOIN("; ", TRUE, IF(OR(TRIM(A167&amp;"")="", ISNUMBER(SEARCH("FALTA", A167))), "UPC faltante/inválido", ""), IF(AND(A167&lt;&gt;"", IFERROR(_xlfn.XMATCH(A167,$A$2:$A$653,0,1)&lt;&gt;_xlfn.XMATCH(A167,$A$2:$A$653,0,-1),FALSE)), "Código de barras duplicado", ""), IF(AND(E167&lt;&gt;"", COUNTIF($E$2:$E$653, E167)&gt;1), "SKU duplicado", ""), IF(OR(J167="", J167=""), "[Aviso] División no capturada ()", IF(ISNA(MATCH(J167, Criterios!$A$123:$A$126, 0)), "División no válida", "")), IF(OR(K167="", K167=""), "[Aviso] Categoría no capturada ()", IF(ISNA(MATCH(K167, Criterios!$A$81:$A$120, 0)), "Categoría no válida", IF(AND(J167&lt;&gt;"", J167&lt;&gt;"", J167&lt;&gt;VLOOKUP(K167, Criterios!$A$81:$B$120, 2, FALSE)), "División no coincide con Categoría", ""))), IF(OR(L167="", L167=""), "[Aviso] Género no capturado ()", IF(ISNA(MATCH(L167, Criterios!$B$123:$B$127, 0)), "Género no válido", "")), IF(OR(N167="", N167=""), "[Aviso] Temporada no capturada ()", IF(ISNA(MATCH(N167, Criterios!$C$123:$C$128, 0)), "Temporada no válida", "")), IF(OR(O167="", O167=""), "[Aviso] Ciclo de vida no capturado ()", IF(ISNA(MATCH(O167, Criterios!$D$123:$D$124, 0)), "Ciclo de vida no válido", ""))))</f>
        <v/>
      </c>
      <c r="AC167" s="56" t="n"/>
      <c r="AD167" s="51" t="n">
        <v>6</v>
      </c>
      <c r="AE167" s="156" t="inlineStr">
        <is>
          <t>CONSIGNA REFLO (1); REFLO ALMACEN (3)</t>
        </is>
      </c>
      <c r="AF167" s="51" t="n">
        <v>6</v>
      </c>
      <c r="AG167" s="156" t="inlineStr">
        <is>
          <t>Nuevo – NetSuite con existencia</t>
        </is>
      </c>
      <c r="AH167" s="156" t="inlineStr">
        <is>
          <t>Composición: poliéster reciclado (validar % en etiqueta); Físico total NetSuite 6 ≠ suma por ubicación 4 | Revisión 29/09/2026: Marca REFLO fuera de lista Criterios; Campos sin respaldo: N, O, Q, U, X; Auditoría NetSuite 30/09/2026: llenado desde NetSuite [Y]</t>
        </is>
      </c>
      <c r="AI167" s="156" t="inlineStr">
        <is>
          <t>No</t>
        </is>
      </c>
      <c r="AJ167" s="156" t="n"/>
      <c r="AK167" s="155" t="inlineStr">
        <is>
          <t>G1522ProductosTodosloscamposSandboxResults894.xlsx: fila 49287 [Y]; G1522_Extraccion_Articulos_NetSuite_2026-09-30.xlsx: fila 39568 [Y]</t>
        </is>
      </c>
      <c r="AL167" s="58" t="n"/>
      <c r="AM167" s="58" t="n">
        <v>2025</v>
      </c>
      <c r="AN167" s="155" t="n"/>
      <c r="AO167" s="59" t="n"/>
      <c r="AP167" s="59" t="n"/>
      <c r="AQ167" s="59" t="n"/>
      <c r="AR167" s="155" t="n"/>
    </row>
    <row r="168">
      <c r="A168" s="50" t="inlineStr">
        <is>
          <t>5056658705229</t>
        </is>
      </c>
      <c r="B168" s="51" t="inlineStr">
        <is>
          <t>84400</t>
        </is>
      </c>
      <c r="C168" s="156" t="inlineStr">
        <is>
          <t>REFLO</t>
        </is>
      </c>
      <c r="D168" s="156" t="inlineStr">
        <is>
          <t>RM02202023</t>
        </is>
      </c>
      <c r="E168" s="156" t="inlineStr">
        <is>
          <t>RM02202023-32</t>
        </is>
      </c>
      <c r="F168" s="156" t="inlineStr">
        <is>
          <t>32</t>
        </is>
      </c>
      <c r="G168" s="156" t="inlineStr">
        <is>
          <t>32W</t>
        </is>
      </c>
      <c r="H168" s="156" t="inlineStr">
        <is>
          <t>REFLO</t>
        </is>
      </c>
      <c r="I168" s="156" t="inlineStr">
        <is>
          <t>Short REFLO Icarian Dark Forest</t>
        </is>
      </c>
      <c r="J168" s="156" t="inlineStr">
        <is>
          <t>Ropa</t>
        </is>
      </c>
      <c r="K168" s="156" t="inlineStr">
        <is>
          <t>Shorts</t>
        </is>
      </c>
      <c r="L168" s="156" t="inlineStr">
        <is>
          <t>Hombre</t>
        </is>
      </c>
      <c r="M168" s="156" t="inlineStr">
        <is>
          <t>REFLO</t>
        </is>
      </c>
      <c r="N168" s="156" t="n"/>
      <c r="O168" s="156" t="n"/>
      <c r="P168" s="156" t="inlineStr">
        <is>
          <t>Verde</t>
        </is>
      </c>
      <c r="Q168" s="156" t="n"/>
      <c r="R168" s="156" t="n"/>
      <c r="S168" s="156" t="inlineStr">
        <is>
          <t>Poliéster reciclado</t>
        </is>
      </c>
      <c r="T168" s="156" t="inlineStr">
        <is>
          <t>Short de golf REFLO modelo Icarian en color Dark Forest, confeccionado con materiales reciclados. Estilo RM02202023.</t>
        </is>
      </c>
      <c r="U168" s="156" t="n"/>
      <c r="V168" s="156" t="inlineStr">
        <is>
          <t>PZS</t>
        </is>
      </c>
      <c r="W168" s="51" t="inlineStr">
        <is>
          <t>53101502</t>
        </is>
      </c>
      <c r="X168" s="156" t="n"/>
      <c r="Y168" s="54" t="n">
        <v>31.85</v>
      </c>
      <c r="Z168" s="54" t="n">
        <v>2025</v>
      </c>
      <c r="AA168" s="55">
        <f>IF(AND(A168="", B168="", E168=""), "", IF(AB168="", "Válido", IF((LEN(AB168)-LEN(SUBSTITUTE(AB168,"; ","")))/2+1&gt;(LEN(AB168)-LEN(SUBSTITUTE(AB168,"[Aviso]","")))/7, "Con Incidencias", "Válido")))</f>
        <v/>
      </c>
      <c r="AB168" s="56">
        <f>IF(AND(A168="", B168="", E168=""), "", TEXTJOIN("; ", TRUE, IF(OR(TRIM(A168&amp;"")="", ISNUMBER(SEARCH("FALTA", A168))), "UPC faltante/inválido", ""), IF(AND(A168&lt;&gt;"", IFERROR(_xlfn.XMATCH(A168,$A$2:$A$653,0,1)&lt;&gt;_xlfn.XMATCH(A168,$A$2:$A$653,0,-1),FALSE)), "Código de barras duplicado", ""), IF(AND(E168&lt;&gt;"", COUNTIF($E$2:$E$653, E168)&gt;1), "SKU duplicado", ""), IF(OR(J168="", J168=""), "[Aviso] División no capturada ()", IF(ISNA(MATCH(J168, Criterios!$A$123:$A$126, 0)), "División no válida", "")), IF(OR(K168="", K168=""), "[Aviso] Categoría no capturada ()", IF(ISNA(MATCH(K168, Criterios!$A$81:$A$120, 0)), "Categoría no válida", IF(AND(J168&lt;&gt;"", J168&lt;&gt;"", J168&lt;&gt;VLOOKUP(K168, Criterios!$A$81:$B$120, 2, FALSE)), "División no coincide con Categoría", ""))), IF(OR(L168="", L168=""), "[Aviso] Género no capturado ()", IF(ISNA(MATCH(L168, Criterios!$B$123:$B$127, 0)), "Género no válido", "")), IF(OR(N168="", N168=""), "[Aviso] Temporada no capturada ()", IF(ISNA(MATCH(N168, Criterios!$C$123:$C$128, 0)), "Temporada no válida", "")), IF(OR(O168="", O168=""), "[Aviso] Ciclo de vida no capturado ()", IF(ISNA(MATCH(O168, Criterios!$D$123:$D$124, 0)), "Ciclo de vida no válido", ""))))</f>
        <v/>
      </c>
      <c r="AC168" s="56" t="n"/>
      <c r="AD168" s="51" t="n">
        <v>10</v>
      </c>
      <c r="AE168" s="156" t="inlineStr">
        <is>
          <t>REFLO ALMACEN (7); CONSIGNA REFLO (1)</t>
        </is>
      </c>
      <c r="AF168" s="51" t="n">
        <v>10</v>
      </c>
      <c r="AG168" s="156" t="inlineStr">
        <is>
          <t>Nuevo – NetSuite con existencia</t>
        </is>
      </c>
      <c r="AH168" s="156" t="inlineStr">
        <is>
          <t>Composición: poliéster reciclado (validar % en etiqueta); Físico total NetSuite 10 ≠ suma por ubicación 8 | Revisión 29/09/2026: Marca REFLO fuera de lista Criterios; Campos sin respaldo: N, O, Q, U, X; Auditoría NetSuite 30/09/2026: llenado desde NetSuite [Y]</t>
        </is>
      </c>
      <c r="AI168" s="156" t="inlineStr">
        <is>
          <t>No</t>
        </is>
      </c>
      <c r="AJ168" s="156" t="n"/>
      <c r="AK168" s="155" t="inlineStr">
        <is>
          <t>G1522ProductosTodosloscamposSandboxResults894.xlsx: fila 49288 [Y]; G1522_Extraccion_Articulos_NetSuite_2026-09-30.xlsx: fila 39569 [Y]</t>
        </is>
      </c>
      <c r="AL168" s="58" t="n"/>
      <c r="AM168" s="58" t="n">
        <v>2025</v>
      </c>
      <c r="AN168" s="155" t="n"/>
      <c r="AO168" s="59" t="n"/>
      <c r="AP168" s="59" t="n"/>
      <c r="AQ168" s="59" t="n"/>
      <c r="AR168" s="155" t="n"/>
    </row>
    <row r="169">
      <c r="A169" s="50" t="inlineStr">
        <is>
          <t>5056658705236</t>
        </is>
      </c>
      <c r="B169" s="51" t="inlineStr">
        <is>
          <t>84401</t>
        </is>
      </c>
      <c r="C169" s="156" t="inlineStr">
        <is>
          <t>REFLO</t>
        </is>
      </c>
      <c r="D169" s="156" t="inlineStr">
        <is>
          <t>RM02202023</t>
        </is>
      </c>
      <c r="E169" s="156" t="inlineStr">
        <is>
          <t>RM02202023-34</t>
        </is>
      </c>
      <c r="F169" s="156" t="inlineStr">
        <is>
          <t>34</t>
        </is>
      </c>
      <c r="G169" s="156" t="inlineStr">
        <is>
          <t>34W</t>
        </is>
      </c>
      <c r="H169" s="156" t="inlineStr">
        <is>
          <t>REFLO</t>
        </is>
      </c>
      <c r="I169" s="156" t="inlineStr">
        <is>
          <t>Short REFLO Icarian Dark Forest</t>
        </is>
      </c>
      <c r="J169" s="156" t="inlineStr">
        <is>
          <t>Ropa</t>
        </is>
      </c>
      <c r="K169" s="156" t="inlineStr">
        <is>
          <t>Shorts</t>
        </is>
      </c>
      <c r="L169" s="156" t="inlineStr">
        <is>
          <t>Hombre</t>
        </is>
      </c>
      <c r="M169" s="156" t="inlineStr">
        <is>
          <t>REFLO</t>
        </is>
      </c>
      <c r="N169" s="156" t="n"/>
      <c r="O169" s="156" t="n"/>
      <c r="P169" s="156" t="inlineStr">
        <is>
          <t>Verde</t>
        </is>
      </c>
      <c r="Q169" s="156" t="n"/>
      <c r="R169" s="156" t="n"/>
      <c r="S169" s="156" t="inlineStr">
        <is>
          <t>Poliéster reciclado</t>
        </is>
      </c>
      <c r="T169" s="156" t="inlineStr">
        <is>
          <t>Short de golf REFLO modelo Icarian en color Dark Forest, confeccionado con materiales reciclados. Estilo RM02202023.</t>
        </is>
      </c>
      <c r="U169" s="156" t="n"/>
      <c r="V169" s="156" t="inlineStr">
        <is>
          <t>PZS</t>
        </is>
      </c>
      <c r="W169" s="51" t="inlineStr">
        <is>
          <t>53101502</t>
        </is>
      </c>
      <c r="X169" s="156" t="n"/>
      <c r="Y169" s="54" t="n">
        <v>31.85</v>
      </c>
      <c r="Z169" s="54" t="n">
        <v>2025</v>
      </c>
      <c r="AA169" s="55">
        <f>IF(AND(A169="", B169="", E169=""), "", IF(AB169="", "Válido", IF((LEN(AB169)-LEN(SUBSTITUTE(AB169,"; ","")))/2+1&gt;(LEN(AB169)-LEN(SUBSTITUTE(AB169,"[Aviso]","")))/7, "Con Incidencias", "Válido")))</f>
        <v/>
      </c>
      <c r="AB169" s="56">
        <f>IF(AND(A169="", B169="", E169=""), "", TEXTJOIN("; ", TRUE, IF(OR(TRIM(A169&amp;"")="", ISNUMBER(SEARCH("FALTA", A169))), "UPC faltante/inválido", ""), IF(AND(A169&lt;&gt;"", IFERROR(_xlfn.XMATCH(A169,$A$2:$A$653,0,1)&lt;&gt;_xlfn.XMATCH(A169,$A$2:$A$653,0,-1),FALSE)), "Código de barras duplicado", ""), IF(AND(E169&lt;&gt;"", COUNTIF($E$2:$E$653, E169)&gt;1), "SKU duplicado", ""), IF(OR(J169="", J169=""), "[Aviso] División no capturada ()", IF(ISNA(MATCH(J169, Criterios!$A$123:$A$126, 0)), "División no válida", "")), IF(OR(K169="", K169=""), "[Aviso] Categoría no capturada ()", IF(ISNA(MATCH(K169, Criterios!$A$81:$A$120, 0)), "Categoría no válida", IF(AND(J169&lt;&gt;"", J169&lt;&gt;"", J169&lt;&gt;VLOOKUP(K169, Criterios!$A$81:$B$120, 2, FALSE)), "División no coincide con Categoría", ""))), IF(OR(L169="", L169=""), "[Aviso] Género no capturado ()", IF(ISNA(MATCH(L169, Criterios!$B$123:$B$127, 0)), "Género no válido", "")), IF(OR(N169="", N169=""), "[Aviso] Temporada no capturada ()", IF(ISNA(MATCH(N169, Criterios!$C$123:$C$128, 0)), "Temporada no válida", "")), IF(OR(O169="", O169=""), "[Aviso] Ciclo de vida no capturado ()", IF(ISNA(MATCH(O169, Criterios!$D$123:$D$124, 0)), "Ciclo de vida no válido", ""))))</f>
        <v/>
      </c>
      <c r="AC169" s="56" t="n"/>
      <c r="AD169" s="51" t="n">
        <v>29</v>
      </c>
      <c r="AE169" s="156" t="inlineStr">
        <is>
          <t>CONSIGNA REFLO (1); REFLO ALMACEN (15)</t>
        </is>
      </c>
      <c r="AF169" s="51" t="n">
        <v>29</v>
      </c>
      <c r="AG169" s="156" t="inlineStr">
        <is>
          <t>Nuevo – NetSuite con existencia</t>
        </is>
      </c>
      <c r="AH169" s="156" t="inlineStr">
        <is>
          <t>Composición: poliéster reciclado (validar % en etiqueta); Físico total NetSuite 29 ≠ suma por ubicación 16 | Revisión 29/09/2026: Marca REFLO fuera de lista Criterios; Campos sin respaldo: N, O, Q, U, X; Auditoría NetSuite 30/09/2026: llenado desde NetSuite [Y]</t>
        </is>
      </c>
      <c r="AI169" s="156" t="inlineStr">
        <is>
          <t>No</t>
        </is>
      </c>
      <c r="AJ169" s="156" t="n"/>
      <c r="AK169" s="155" t="inlineStr">
        <is>
          <t>G1522ProductosTodosloscamposSandboxResults894.xlsx: fila 49289 [Y]; G1522_Extraccion_Articulos_NetSuite_2026-09-30.xlsx: fila 39570 [Y]</t>
        </is>
      </c>
      <c r="AL169" s="58" t="n"/>
      <c r="AM169" s="58" t="n">
        <v>2025</v>
      </c>
      <c r="AN169" s="155" t="n"/>
      <c r="AO169" s="59" t="n"/>
      <c r="AP169" s="59" t="n"/>
      <c r="AQ169" s="59" t="n"/>
      <c r="AR169" s="155" t="n"/>
    </row>
    <row r="170">
      <c r="A170" s="50" t="inlineStr">
        <is>
          <t>5056658705243</t>
        </is>
      </c>
      <c r="B170" s="51" t="inlineStr">
        <is>
          <t>84402</t>
        </is>
      </c>
      <c r="C170" s="156" t="inlineStr">
        <is>
          <t>REFLO</t>
        </is>
      </c>
      <c r="D170" s="156" t="inlineStr">
        <is>
          <t>RM02202023</t>
        </is>
      </c>
      <c r="E170" s="156" t="inlineStr">
        <is>
          <t>RM02202023-36</t>
        </is>
      </c>
      <c r="F170" s="156" t="inlineStr">
        <is>
          <t>36</t>
        </is>
      </c>
      <c r="G170" s="156" t="inlineStr">
        <is>
          <t>36W</t>
        </is>
      </c>
      <c r="H170" s="156" t="inlineStr">
        <is>
          <t>REFLO</t>
        </is>
      </c>
      <c r="I170" s="156" t="inlineStr">
        <is>
          <t>Short REFLO Icarian Dark Forest</t>
        </is>
      </c>
      <c r="J170" s="156" t="inlineStr">
        <is>
          <t>Ropa</t>
        </is>
      </c>
      <c r="K170" s="156" t="inlineStr">
        <is>
          <t>Shorts</t>
        </is>
      </c>
      <c r="L170" s="156" t="inlineStr">
        <is>
          <t>Hombre</t>
        </is>
      </c>
      <c r="M170" s="156" t="inlineStr">
        <is>
          <t>REFLO</t>
        </is>
      </c>
      <c r="N170" s="156" t="n"/>
      <c r="O170" s="156" t="n"/>
      <c r="P170" s="156" t="inlineStr">
        <is>
          <t>Verde</t>
        </is>
      </c>
      <c r="Q170" s="156" t="n"/>
      <c r="R170" s="156" t="n"/>
      <c r="S170" s="156" t="inlineStr">
        <is>
          <t>Poliéster reciclado</t>
        </is>
      </c>
      <c r="T170" s="156" t="inlineStr">
        <is>
          <t>Short de golf REFLO modelo Icarian en color Dark Forest, confeccionado con materiales reciclados. Estilo RM02202023.</t>
        </is>
      </c>
      <c r="U170" s="156" t="n"/>
      <c r="V170" s="156" t="inlineStr">
        <is>
          <t>PZS</t>
        </is>
      </c>
      <c r="W170" s="51" t="inlineStr">
        <is>
          <t>53101502</t>
        </is>
      </c>
      <c r="X170" s="156" t="n"/>
      <c r="Y170" s="54" t="n">
        <v>31.85</v>
      </c>
      <c r="Z170" s="54" t="n">
        <v>2025</v>
      </c>
      <c r="AA170" s="55">
        <f>IF(AND(A170="", B170="", E170=""), "", IF(AB170="", "Válido", IF((LEN(AB170)-LEN(SUBSTITUTE(AB170,"; ","")))/2+1&gt;(LEN(AB170)-LEN(SUBSTITUTE(AB170,"[Aviso]","")))/7, "Con Incidencias", "Válido")))</f>
        <v/>
      </c>
      <c r="AB170" s="56">
        <f>IF(AND(A170="", B170="", E170=""), "", TEXTJOIN("; ", TRUE, IF(OR(TRIM(A170&amp;"")="", ISNUMBER(SEARCH("FALTA", A170))), "UPC faltante/inválido", ""), IF(AND(A170&lt;&gt;"", IFERROR(_xlfn.XMATCH(A170,$A$2:$A$653,0,1)&lt;&gt;_xlfn.XMATCH(A170,$A$2:$A$653,0,-1),FALSE)), "Código de barras duplicado", ""), IF(AND(E170&lt;&gt;"", COUNTIF($E$2:$E$653, E170)&gt;1), "SKU duplicado", ""), IF(OR(J170="", J170=""), "[Aviso] División no capturada ()", IF(ISNA(MATCH(J170, Criterios!$A$123:$A$126, 0)), "División no válida", "")), IF(OR(K170="", K170=""), "[Aviso] Categoría no capturada ()", IF(ISNA(MATCH(K170, Criterios!$A$81:$A$120, 0)), "Categoría no válida", IF(AND(J170&lt;&gt;"", J170&lt;&gt;"", J170&lt;&gt;VLOOKUP(K170, Criterios!$A$81:$B$120, 2, FALSE)), "División no coincide con Categoría", ""))), IF(OR(L170="", L170=""), "[Aviso] Género no capturado ()", IF(ISNA(MATCH(L170, Criterios!$B$123:$B$127, 0)), "Género no válido", "")), IF(OR(N170="", N170=""), "[Aviso] Temporada no capturada ()", IF(ISNA(MATCH(N170, Criterios!$C$123:$C$128, 0)), "Temporada no válida", "")), IF(OR(O170="", O170=""), "[Aviso] Ciclo de vida no capturado ()", IF(ISNA(MATCH(O170, Criterios!$D$123:$D$124, 0)), "Ciclo de vida no válido", ""))))</f>
        <v/>
      </c>
      <c r="AC170" s="56" t="n"/>
      <c r="AD170" s="51" t="n">
        <v>29</v>
      </c>
      <c r="AE170" s="156" t="inlineStr">
        <is>
          <t>REFLO ALMACEN (15); CONSIGNA REFLO (1)</t>
        </is>
      </c>
      <c r="AF170" s="51" t="n">
        <v>29</v>
      </c>
      <c r="AG170" s="156" t="inlineStr">
        <is>
          <t>Nuevo – NetSuite con existencia</t>
        </is>
      </c>
      <c r="AH170" s="156" t="inlineStr">
        <is>
          <t>Composición: poliéster reciclado (validar % en etiqueta); Físico total NetSuite 29 ≠ suma por ubicación 16 | Revisión 29/09/2026: Marca REFLO fuera de lista Criterios; Campos sin respaldo: N, O, Q, U, X; Auditoría NetSuite 30/09/2026: llenado desde NetSuite [Y]</t>
        </is>
      </c>
      <c r="AI170" s="156" t="inlineStr">
        <is>
          <t>No</t>
        </is>
      </c>
      <c r="AJ170" s="156" t="n"/>
      <c r="AK170" s="155" t="inlineStr">
        <is>
          <t>G1522ProductosTodosloscamposSandboxResults894.xlsx: fila 49290 [Y]; G1522_Extraccion_Articulos_NetSuite_2026-09-30.xlsx: fila 39571 [Y]</t>
        </is>
      </c>
      <c r="AL170" s="58" t="n"/>
      <c r="AM170" s="58" t="n">
        <v>2025</v>
      </c>
      <c r="AN170" s="155" t="n"/>
      <c r="AO170" s="59" t="n"/>
      <c r="AP170" s="59" t="n"/>
      <c r="AQ170" s="59" t="n"/>
      <c r="AR170" s="155" t="n"/>
    </row>
    <row r="171">
      <c r="A171" s="50" t="inlineStr">
        <is>
          <t>5056658705250</t>
        </is>
      </c>
      <c r="B171" s="51" t="inlineStr">
        <is>
          <t>84403</t>
        </is>
      </c>
      <c r="C171" s="156" t="inlineStr">
        <is>
          <t>REFLO</t>
        </is>
      </c>
      <c r="D171" s="156" t="inlineStr">
        <is>
          <t>RM02202023</t>
        </is>
      </c>
      <c r="E171" s="156" t="inlineStr">
        <is>
          <t>RM02202023-38</t>
        </is>
      </c>
      <c r="F171" s="156" t="inlineStr">
        <is>
          <t>38</t>
        </is>
      </c>
      <c r="G171" s="156" t="inlineStr">
        <is>
          <t>38W</t>
        </is>
      </c>
      <c r="H171" s="156" t="inlineStr">
        <is>
          <t>REFLO</t>
        </is>
      </c>
      <c r="I171" s="156" t="inlineStr">
        <is>
          <t>Short REFLO Icarian Dark Forest</t>
        </is>
      </c>
      <c r="J171" s="156" t="inlineStr">
        <is>
          <t>Ropa</t>
        </is>
      </c>
      <c r="K171" s="156" t="inlineStr">
        <is>
          <t>Shorts</t>
        </is>
      </c>
      <c r="L171" s="156" t="inlineStr">
        <is>
          <t>Hombre</t>
        </is>
      </c>
      <c r="M171" s="156" t="inlineStr">
        <is>
          <t>REFLO</t>
        </is>
      </c>
      <c r="N171" s="156" t="n"/>
      <c r="O171" s="156" t="n"/>
      <c r="P171" s="156" t="inlineStr">
        <is>
          <t>Verde</t>
        </is>
      </c>
      <c r="Q171" s="156" t="n"/>
      <c r="R171" s="156" t="n"/>
      <c r="S171" s="156" t="inlineStr">
        <is>
          <t>Poliéster reciclado</t>
        </is>
      </c>
      <c r="T171" s="156" t="inlineStr">
        <is>
          <t>Short de golf REFLO modelo Icarian en color Dark Forest, confeccionado con materiales reciclados. Estilo RM02202023.</t>
        </is>
      </c>
      <c r="U171" s="156" t="n"/>
      <c r="V171" s="156" t="inlineStr">
        <is>
          <t>PZS</t>
        </is>
      </c>
      <c r="W171" s="51" t="inlineStr">
        <is>
          <t>53101502</t>
        </is>
      </c>
      <c r="X171" s="156" t="n"/>
      <c r="Y171" s="54" t="n">
        <v>31.85</v>
      </c>
      <c r="Z171" s="54" t="n">
        <v>2025</v>
      </c>
      <c r="AA171" s="55">
        <f>IF(AND(A171="", B171="", E171=""), "", IF(AB171="", "Válido", IF((LEN(AB171)-LEN(SUBSTITUTE(AB171,"; ","")))/2+1&gt;(LEN(AB171)-LEN(SUBSTITUTE(AB171,"[Aviso]","")))/7, "Con Incidencias", "Válido")))</f>
        <v/>
      </c>
      <c r="AB171" s="56">
        <f>IF(AND(A171="", B171="", E171=""), "", TEXTJOIN("; ", TRUE, IF(OR(TRIM(A171&amp;"")="", ISNUMBER(SEARCH("FALTA", A171))), "UPC faltante/inválido", ""), IF(AND(A171&lt;&gt;"", IFERROR(_xlfn.XMATCH(A171,$A$2:$A$653,0,1)&lt;&gt;_xlfn.XMATCH(A171,$A$2:$A$653,0,-1),FALSE)), "Código de barras duplicado", ""), IF(AND(E171&lt;&gt;"", COUNTIF($E$2:$E$653, E171)&gt;1), "SKU duplicado", ""), IF(OR(J171="", J171=""), "[Aviso] División no capturada ()", IF(ISNA(MATCH(J171, Criterios!$A$123:$A$126, 0)), "División no válida", "")), IF(OR(K171="", K171=""), "[Aviso] Categoría no capturada ()", IF(ISNA(MATCH(K171, Criterios!$A$81:$A$120, 0)), "Categoría no válida", IF(AND(J171&lt;&gt;"", J171&lt;&gt;"", J171&lt;&gt;VLOOKUP(K171, Criterios!$A$81:$B$120, 2, FALSE)), "División no coincide con Categoría", ""))), IF(OR(L171="", L171=""), "[Aviso] Género no capturado ()", IF(ISNA(MATCH(L171, Criterios!$B$123:$B$127, 0)), "Género no válido", "")), IF(OR(N171="", N171=""), "[Aviso] Temporada no capturada ()", IF(ISNA(MATCH(N171, Criterios!$C$123:$C$128, 0)), "Temporada no válida", "")), IF(OR(O171="", O171=""), "[Aviso] Ciclo de vida no capturado ()", IF(ISNA(MATCH(O171, Criterios!$D$123:$D$124, 0)), "Ciclo de vida no válido", ""))))</f>
        <v/>
      </c>
      <c r="AC171" s="56" t="n"/>
      <c r="AD171" s="51" t="n">
        <v>10</v>
      </c>
      <c r="AE171" s="156" t="inlineStr">
        <is>
          <t>CONSIGNA REFLO (1); REFLO ALMACEN (5)</t>
        </is>
      </c>
      <c r="AF171" s="51" t="n">
        <v>10</v>
      </c>
      <c r="AG171" s="156" t="inlineStr">
        <is>
          <t>Nuevo – NetSuite con existencia</t>
        </is>
      </c>
      <c r="AH171" s="156" t="inlineStr">
        <is>
          <t>Composición: poliéster reciclado (validar % en etiqueta); Físico total NetSuite 10 ≠ suma por ubicación 6 | Revisión 29/09/2026: Marca REFLO fuera de lista Criterios; Campos sin respaldo: N, O, Q, U, X; Auditoría NetSuite 30/09/2026: llenado desde NetSuite [Y]</t>
        </is>
      </c>
      <c r="AI171" s="156" t="inlineStr">
        <is>
          <t>No</t>
        </is>
      </c>
      <c r="AJ171" s="156" t="n"/>
      <c r="AK171" s="155" t="inlineStr">
        <is>
          <t>G1522ProductosTodosloscamposSandboxResults894.xlsx: fila 49291 [Y]; G1522_Extraccion_Articulos_NetSuite_2026-09-30.xlsx: fila 39572 [Y]</t>
        </is>
      </c>
      <c r="AL171" s="58" t="n"/>
      <c r="AM171" s="58" t="n">
        <v>2025</v>
      </c>
      <c r="AN171" s="155" t="n"/>
      <c r="AO171" s="59" t="n"/>
      <c r="AP171" s="59" t="n"/>
      <c r="AQ171" s="59" t="n"/>
      <c r="AR171" s="155" t="n"/>
    </row>
    <row r="172">
      <c r="A172" s="50" t="inlineStr">
        <is>
          <t>5056658705267</t>
        </is>
      </c>
      <c r="B172" s="51" t="inlineStr">
        <is>
          <t>84404</t>
        </is>
      </c>
      <c r="C172" s="156" t="inlineStr">
        <is>
          <t>REFLO</t>
        </is>
      </c>
      <c r="D172" s="156" t="inlineStr">
        <is>
          <t>RM02202023</t>
        </is>
      </c>
      <c r="E172" s="156" t="inlineStr">
        <is>
          <t>RM02202023-40</t>
        </is>
      </c>
      <c r="F172" s="156" t="inlineStr">
        <is>
          <t>40</t>
        </is>
      </c>
      <c r="G172" s="156" t="inlineStr">
        <is>
          <t>40W</t>
        </is>
      </c>
      <c r="H172" s="156" t="inlineStr">
        <is>
          <t>REFLO</t>
        </is>
      </c>
      <c r="I172" s="156" t="inlineStr">
        <is>
          <t>Short REFLO Icarian Dark Forest</t>
        </is>
      </c>
      <c r="J172" s="156" t="inlineStr">
        <is>
          <t>Ropa</t>
        </is>
      </c>
      <c r="K172" s="156" t="inlineStr">
        <is>
          <t>Shorts</t>
        </is>
      </c>
      <c r="L172" s="156" t="inlineStr">
        <is>
          <t>Hombre</t>
        </is>
      </c>
      <c r="M172" s="156" t="inlineStr">
        <is>
          <t>REFLO</t>
        </is>
      </c>
      <c r="N172" s="156" t="n"/>
      <c r="O172" s="156" t="n"/>
      <c r="P172" s="156" t="inlineStr">
        <is>
          <t>Verde</t>
        </is>
      </c>
      <c r="Q172" s="156" t="n"/>
      <c r="R172" s="156" t="n"/>
      <c r="S172" s="156" t="inlineStr">
        <is>
          <t>Poliéster reciclado</t>
        </is>
      </c>
      <c r="T172" s="156" t="inlineStr">
        <is>
          <t>Short de golf REFLO modelo Icarian en color Dark Forest, confeccionado con materiales reciclados. Estilo RM02202023.</t>
        </is>
      </c>
      <c r="U172" s="156" t="n"/>
      <c r="V172" s="156" t="inlineStr">
        <is>
          <t>PZS</t>
        </is>
      </c>
      <c r="W172" s="51" t="inlineStr">
        <is>
          <t>53101502</t>
        </is>
      </c>
      <c r="X172" s="156" t="n"/>
      <c r="Y172" s="54" t="n">
        <v>31.85</v>
      </c>
      <c r="Z172" s="54" t="n">
        <v>2025</v>
      </c>
      <c r="AA172" s="55">
        <f>IF(AND(A172="", B172="", E172=""), "", IF(AB172="", "Válido", IF((LEN(AB172)-LEN(SUBSTITUTE(AB172,"; ","")))/2+1&gt;(LEN(AB172)-LEN(SUBSTITUTE(AB172,"[Aviso]","")))/7, "Con Incidencias", "Válido")))</f>
        <v/>
      </c>
      <c r="AB172" s="56">
        <f>IF(AND(A172="", B172="", E172=""), "", TEXTJOIN("; ", TRUE, IF(OR(TRIM(A172&amp;"")="", ISNUMBER(SEARCH("FALTA", A172))), "UPC faltante/inválido", ""), IF(AND(A172&lt;&gt;"", IFERROR(_xlfn.XMATCH(A172,$A$2:$A$653,0,1)&lt;&gt;_xlfn.XMATCH(A172,$A$2:$A$653,0,-1),FALSE)), "Código de barras duplicado", ""), IF(AND(E172&lt;&gt;"", COUNTIF($E$2:$E$653, E172)&gt;1), "SKU duplicado", ""), IF(OR(J172="", J172=""), "[Aviso] División no capturada ()", IF(ISNA(MATCH(J172, Criterios!$A$123:$A$126, 0)), "División no válida", "")), IF(OR(K172="", K172=""), "[Aviso] Categoría no capturada ()", IF(ISNA(MATCH(K172, Criterios!$A$81:$A$120, 0)), "Categoría no válida", IF(AND(J172&lt;&gt;"", J172&lt;&gt;"", J172&lt;&gt;VLOOKUP(K172, Criterios!$A$81:$B$120, 2, FALSE)), "División no coincide con Categoría", ""))), IF(OR(L172="", L172=""), "[Aviso] Género no capturado ()", IF(ISNA(MATCH(L172, Criterios!$B$123:$B$127, 0)), "Género no válido", "")), IF(OR(N172="", N172=""), "[Aviso] Temporada no capturada ()", IF(ISNA(MATCH(N172, Criterios!$C$123:$C$128, 0)), "Temporada no válida", "")), IF(OR(O172="", O172=""), "[Aviso] Ciclo de vida no capturado ()", IF(ISNA(MATCH(O172, Criterios!$D$123:$D$124, 0)), "Ciclo de vida no válido", ""))))</f>
        <v/>
      </c>
      <c r="AC172" s="56" t="n"/>
      <c r="AD172" s="51" t="n">
        <v>8</v>
      </c>
      <c r="AE172" s="156" t="inlineStr">
        <is>
          <t>REFLO ALMACEN (3); CONSIGNA REFLO (1)</t>
        </is>
      </c>
      <c r="AF172" s="51" t="n">
        <v>8</v>
      </c>
      <c r="AG172" s="156" t="inlineStr">
        <is>
          <t>Nuevo – NetSuite con existencia</t>
        </is>
      </c>
      <c r="AH172" s="156" t="inlineStr">
        <is>
          <t>Composición: poliéster reciclado (validar % en etiqueta); Físico total NetSuite 8 ≠ suma por ubicación 4 | Revisión 29/09/2026: Marca REFLO fuera de lista Criterios; Campos sin respaldo: N, O, Q, U, X; Auditoría NetSuite 30/09/2026: llenado desde NetSuite [Y]</t>
        </is>
      </c>
      <c r="AI172" s="156" t="inlineStr">
        <is>
          <t>No</t>
        </is>
      </c>
      <c r="AJ172" s="156" t="n"/>
      <c r="AK172" s="155" t="inlineStr">
        <is>
          <t>G1522ProductosTodosloscamposSandboxResults894.xlsx: fila 49292 [Y]; G1522_Extraccion_Articulos_NetSuite_2026-09-30.xlsx: fila 39573 [Y]</t>
        </is>
      </c>
      <c r="AL172" s="58" t="n"/>
      <c r="AM172" s="58" t="n">
        <v>2025</v>
      </c>
      <c r="AN172" s="155" t="n"/>
      <c r="AO172" s="59" t="n"/>
      <c r="AP172" s="59" t="n"/>
      <c r="AQ172" s="59" t="n"/>
      <c r="AR172" s="155" t="n"/>
    </row>
    <row r="173">
      <c r="A173" s="50" t="inlineStr">
        <is>
          <t>5056658705359</t>
        </is>
      </c>
      <c r="B173" s="51" t="inlineStr">
        <is>
          <t>79211</t>
        </is>
      </c>
      <c r="C173" s="156" t="inlineStr">
        <is>
          <t>REFLO</t>
        </is>
      </c>
      <c r="D173" s="156" t="inlineStr">
        <is>
          <t>RM02202035</t>
        </is>
      </c>
      <c r="E173" s="156" t="inlineStr">
        <is>
          <t>RM02202035-30</t>
        </is>
      </c>
      <c r="F173" s="156" t="inlineStr">
        <is>
          <t>30</t>
        </is>
      </c>
      <c r="G173" s="156" t="inlineStr">
        <is>
          <t>30W</t>
        </is>
      </c>
      <c r="H173" s="156" t="inlineStr">
        <is>
          <t>REFLO</t>
        </is>
      </c>
      <c r="I173" s="156" t="inlineStr">
        <is>
          <t>Short REFLO Icarian Quarry</t>
        </is>
      </c>
      <c r="J173" s="156" t="inlineStr">
        <is>
          <t>Ropa</t>
        </is>
      </c>
      <c r="K173" s="156" t="inlineStr">
        <is>
          <t>Shorts</t>
        </is>
      </c>
      <c r="L173" s="156" t="inlineStr">
        <is>
          <t>Hombre</t>
        </is>
      </c>
      <c r="M173" s="156" t="inlineStr">
        <is>
          <t>REFLO</t>
        </is>
      </c>
      <c r="N173" s="156" t="n"/>
      <c r="O173" s="156" t="n"/>
      <c r="P173" s="156" t="inlineStr">
        <is>
          <t>Gris</t>
        </is>
      </c>
      <c r="Q173" s="156" t="n"/>
      <c r="R173" s="156" t="n"/>
      <c r="S173" s="156" t="inlineStr">
        <is>
          <t>Poliéster reciclado</t>
        </is>
      </c>
      <c r="T173" s="156" t="inlineStr">
        <is>
          <t>Short de golf REFLO modelo Icarian en color Quarry, confeccionado con materiales reciclados. Estilo RM02202035.</t>
        </is>
      </c>
      <c r="U173" s="156" t="n"/>
      <c r="V173" s="156" t="inlineStr">
        <is>
          <t>PZS</t>
        </is>
      </c>
      <c r="W173" s="51" t="inlineStr">
        <is>
          <t>53101502</t>
        </is>
      </c>
      <c r="X173" s="156" t="inlineStr">
        <is>
          <t>https://i.ibb.co/v31nCq8/RM02202035.jpg</t>
        </is>
      </c>
      <c r="Y173" s="54" t="n">
        <v>31.85</v>
      </c>
      <c r="Z173" s="54" t="n">
        <v>2349</v>
      </c>
      <c r="AA173" s="55">
        <f>IF(AND(A173="", B173="", E173=""), "", IF(AB173="", "Válido", IF((LEN(AB173)-LEN(SUBSTITUTE(AB173,"; ","")))/2+1&gt;(LEN(AB173)-LEN(SUBSTITUTE(AB173,"[Aviso]","")))/7, "Con Incidencias", "Válido")))</f>
        <v/>
      </c>
      <c r="AB173" s="56">
        <f>IF(AND(A173="", B173="", E173=""), "", TEXTJOIN("; ", TRUE, IF(OR(TRIM(A173&amp;"")="", ISNUMBER(SEARCH("FALTA", A173))), "UPC faltante/inválido", ""), IF(AND(A173&lt;&gt;"", IFERROR(_xlfn.XMATCH(A173,$A$2:$A$653,0,1)&lt;&gt;_xlfn.XMATCH(A173,$A$2:$A$653,0,-1),FALSE)), "Código de barras duplicado", ""), IF(AND(E173&lt;&gt;"", COUNTIF($E$2:$E$653, E173)&gt;1), "SKU duplicado", ""), IF(OR(J173="", J173=""), "[Aviso] División no capturada ()", IF(ISNA(MATCH(J173, Criterios!$A$123:$A$126, 0)), "División no válida", "")), IF(OR(K173="", K173=""), "[Aviso] Categoría no capturada ()", IF(ISNA(MATCH(K173, Criterios!$A$81:$A$120, 0)), "Categoría no válida", IF(AND(J173&lt;&gt;"", J173&lt;&gt;"", J173&lt;&gt;VLOOKUP(K173, Criterios!$A$81:$B$120, 2, FALSE)), "División no coincide con Categoría", ""))), IF(OR(L173="", L173=""), "[Aviso] Género no capturado ()", IF(ISNA(MATCH(L173, Criterios!$B$123:$B$127, 0)), "Género no válido", "")), IF(OR(N173="", N173=""), "[Aviso] Temporada no capturada ()", IF(ISNA(MATCH(N173, Criterios!$C$123:$C$128, 0)), "Temporada no válida", "")), IF(OR(O173="", O173=""), "[Aviso] Ciclo de vida no capturado ()", IF(ISNA(MATCH(O173, Criterios!$D$123:$D$124, 0)), "Ciclo de vida no válido", ""))))</f>
        <v/>
      </c>
      <c r="AC173" s="56" t="n"/>
      <c r="AD173" s="51" t="n">
        <v>10</v>
      </c>
      <c r="AE173" s="156" t="inlineStr">
        <is>
          <t>REFLO ALMACEN (8)</t>
        </is>
      </c>
      <c r="AF173" s="51" t="n">
        <v>11</v>
      </c>
      <c r="AG173" s="156" t="inlineStr">
        <is>
          <t>Nuevo – NetSuite con existencia</t>
        </is>
      </c>
      <c r="AH173" s="156" t="inlineStr">
        <is>
          <t>Composición: poliéster reciclado (validar % en etiqueta); Físico total NetSuite 10 ≠ suma por ubicación 7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73" s="156" t="inlineStr">
        <is>
          <t>Sí</t>
        </is>
      </c>
      <c r="AJ173" s="156" t="inlineStr">
        <is>
          <t>CONSIGNA REFLO (-1)</t>
        </is>
      </c>
      <c r="AK173" s="155" t="inlineStr">
        <is>
          <t>G1522ProductosTodosloscamposSandboxResults894.xlsx: fila 49301 [X,Y]; G1522_Extraccion_Articulos_NetSuite_2026-09-30.xlsx: fila 37544 [Z]</t>
        </is>
      </c>
      <c r="AL173" s="58" t="n">
        <v>31.85</v>
      </c>
      <c r="AM173" s="58" t="n"/>
      <c r="AN173" s="155" t="n"/>
      <c r="AO173" s="59" t="n"/>
      <c r="AP173" s="59" t="n"/>
      <c r="AQ173" s="59" t="n"/>
      <c r="AR173" s="155" t="n"/>
    </row>
    <row r="174">
      <c r="A174" s="50" t="inlineStr">
        <is>
          <t>5056658705366</t>
        </is>
      </c>
      <c r="B174" s="51" t="inlineStr">
        <is>
          <t>79212</t>
        </is>
      </c>
      <c r="C174" s="156" t="inlineStr">
        <is>
          <t>REFLO</t>
        </is>
      </c>
      <c r="D174" s="156" t="inlineStr">
        <is>
          <t>RM02202035</t>
        </is>
      </c>
      <c r="E174" s="156" t="inlineStr">
        <is>
          <t>RM02202035-32</t>
        </is>
      </c>
      <c r="F174" s="156" t="inlineStr">
        <is>
          <t>32</t>
        </is>
      </c>
      <c r="G174" s="156" t="inlineStr">
        <is>
          <t>32W</t>
        </is>
      </c>
      <c r="H174" s="156" t="inlineStr">
        <is>
          <t>REFLO</t>
        </is>
      </c>
      <c r="I174" s="156" t="inlineStr">
        <is>
          <t>Short REFLO Icarian Quarry</t>
        </is>
      </c>
      <c r="J174" s="156" t="inlineStr">
        <is>
          <t>Ropa</t>
        </is>
      </c>
      <c r="K174" s="156" t="inlineStr">
        <is>
          <t>Shorts</t>
        </is>
      </c>
      <c r="L174" s="156" t="inlineStr">
        <is>
          <t>Hombre</t>
        </is>
      </c>
      <c r="M174" s="156" t="inlineStr">
        <is>
          <t>REFLO</t>
        </is>
      </c>
      <c r="N174" s="156" t="n"/>
      <c r="O174" s="156" t="n"/>
      <c r="P174" s="156" t="inlineStr">
        <is>
          <t>Gris</t>
        </is>
      </c>
      <c r="Q174" s="156" t="n"/>
      <c r="R174" s="156" t="n"/>
      <c r="S174" s="156" t="inlineStr">
        <is>
          <t>Poliéster reciclado</t>
        </is>
      </c>
      <c r="T174" s="156" t="inlineStr">
        <is>
          <t>Short de golf REFLO modelo Icarian en color Quarry, confeccionado con materiales reciclados. Estilo RM02202035.</t>
        </is>
      </c>
      <c r="U174" s="156" t="n"/>
      <c r="V174" s="156" t="inlineStr">
        <is>
          <t>PZS</t>
        </is>
      </c>
      <c r="W174" s="51" t="inlineStr">
        <is>
          <t>53101502</t>
        </is>
      </c>
      <c r="X174" s="156" t="inlineStr">
        <is>
          <t>https://i.ibb.co/v31nCq8/RM02202035.jpg</t>
        </is>
      </c>
      <c r="Y174" s="54" t="n">
        <v>31.85</v>
      </c>
      <c r="Z174" s="54" t="n">
        <v>2349</v>
      </c>
      <c r="AA174" s="55">
        <f>IF(AND(A174="", B174="", E174=""), "", IF(AB174="", "Válido", IF((LEN(AB174)-LEN(SUBSTITUTE(AB174,"; ","")))/2+1&gt;(LEN(AB174)-LEN(SUBSTITUTE(AB174,"[Aviso]","")))/7, "Con Incidencias", "Válido")))</f>
        <v/>
      </c>
      <c r="AB174" s="56">
        <f>IF(AND(A174="", B174="", E174=""), "", TEXTJOIN("; ", TRUE, IF(OR(TRIM(A174&amp;"")="", ISNUMBER(SEARCH("FALTA", A174))), "UPC faltante/inválido", ""), IF(AND(A174&lt;&gt;"", IFERROR(_xlfn.XMATCH(A174,$A$2:$A$653,0,1)&lt;&gt;_xlfn.XMATCH(A174,$A$2:$A$653,0,-1),FALSE)), "Código de barras duplicado", ""), IF(AND(E174&lt;&gt;"", COUNTIF($E$2:$E$653, E174)&gt;1), "SKU duplicado", ""), IF(OR(J174="", J174=""), "[Aviso] División no capturada ()", IF(ISNA(MATCH(J174, Criterios!$A$123:$A$126, 0)), "División no válida", "")), IF(OR(K174="", K174=""), "[Aviso] Categoría no capturada ()", IF(ISNA(MATCH(K174, Criterios!$A$81:$A$120, 0)), "Categoría no válida", IF(AND(J174&lt;&gt;"", J174&lt;&gt;"", J174&lt;&gt;VLOOKUP(K174, Criterios!$A$81:$B$120, 2, FALSE)), "División no coincide con Categoría", ""))), IF(OR(L174="", L174=""), "[Aviso] Género no capturado ()", IF(ISNA(MATCH(L174, Criterios!$B$123:$B$127, 0)), "Género no válido", "")), IF(OR(N174="", N174=""), "[Aviso] Temporada no capturada ()", IF(ISNA(MATCH(N174, Criterios!$C$123:$C$128, 0)), "Temporada no válida", "")), IF(OR(O174="", O174=""), "[Aviso] Ciclo de vida no capturado ()", IF(ISNA(MATCH(O174, Criterios!$D$123:$D$124, 0)), "Ciclo de vida no válido", ""))))</f>
        <v/>
      </c>
      <c r="AC174" s="56" t="n"/>
      <c r="AD174" s="51" t="n">
        <v>22</v>
      </c>
      <c r="AE174" s="156" t="inlineStr">
        <is>
          <t>REFLO ALMACEN (16)</t>
        </is>
      </c>
      <c r="AF174" s="51" t="n">
        <v>24</v>
      </c>
      <c r="AG174" s="156" t="inlineStr">
        <is>
          <t>Nuevo – NetSuite con existencia</t>
        </is>
      </c>
      <c r="AH174" s="156" t="inlineStr">
        <is>
          <t>Composición: poliéster reciclado (validar % en etiqueta); Físico total NetSuite 22 ≠ suma por ubicación 14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74" s="156" t="inlineStr">
        <is>
          <t>Sí</t>
        </is>
      </c>
      <c r="AJ174" s="156" t="inlineStr">
        <is>
          <t>CONSIGNA REFLO (-2)</t>
        </is>
      </c>
      <c r="AK174" s="155" t="inlineStr">
        <is>
          <t>G1522ProductosTodosloscamposSandboxResults894.xlsx: fila 49302 [X,Y]; G1522_Extraccion_Articulos_NetSuite_2026-09-30.xlsx: fila 37545 [Z]</t>
        </is>
      </c>
      <c r="AL174" s="58" t="n">
        <v>31.85</v>
      </c>
      <c r="AM174" s="58" t="n"/>
      <c r="AN174" s="155" t="n"/>
      <c r="AO174" s="59" t="n"/>
      <c r="AP174" s="59" t="n"/>
      <c r="AQ174" s="59" t="n"/>
      <c r="AR174" s="155" t="n"/>
    </row>
    <row r="175">
      <c r="A175" s="50" t="inlineStr">
        <is>
          <t>5056658705373</t>
        </is>
      </c>
      <c r="B175" s="51" t="inlineStr">
        <is>
          <t>79213</t>
        </is>
      </c>
      <c r="C175" s="156" t="inlineStr">
        <is>
          <t>REFLO</t>
        </is>
      </c>
      <c r="D175" s="156" t="inlineStr">
        <is>
          <t>RM02202035</t>
        </is>
      </c>
      <c r="E175" s="156" t="inlineStr">
        <is>
          <t>RM02202035-34</t>
        </is>
      </c>
      <c r="F175" s="156" t="inlineStr">
        <is>
          <t>34</t>
        </is>
      </c>
      <c r="G175" s="156" t="inlineStr">
        <is>
          <t>34W</t>
        </is>
      </c>
      <c r="H175" s="156" t="inlineStr">
        <is>
          <t>REFLO</t>
        </is>
      </c>
      <c r="I175" s="156" t="inlineStr">
        <is>
          <t>Short REFLO Icarian Quarry</t>
        </is>
      </c>
      <c r="J175" s="156" t="inlineStr">
        <is>
          <t>Ropa</t>
        </is>
      </c>
      <c r="K175" s="156" t="inlineStr">
        <is>
          <t>Shorts</t>
        </is>
      </c>
      <c r="L175" s="156" t="inlineStr">
        <is>
          <t>Hombre</t>
        </is>
      </c>
      <c r="M175" s="156" t="inlineStr">
        <is>
          <t>REFLO</t>
        </is>
      </c>
      <c r="N175" s="156" t="n"/>
      <c r="O175" s="156" t="n"/>
      <c r="P175" s="156" t="inlineStr">
        <is>
          <t>Gris</t>
        </is>
      </c>
      <c r="Q175" s="156" t="n"/>
      <c r="R175" s="156" t="n"/>
      <c r="S175" s="156" t="inlineStr">
        <is>
          <t>Poliéster reciclado</t>
        </is>
      </c>
      <c r="T175" s="156" t="inlineStr">
        <is>
          <t>Short de golf REFLO modelo Icarian en color Quarry, confeccionado con materiales reciclados. Estilo RM02202035.</t>
        </is>
      </c>
      <c r="U175" s="156" t="n"/>
      <c r="V175" s="156" t="inlineStr">
        <is>
          <t>PZS</t>
        </is>
      </c>
      <c r="W175" s="51" t="inlineStr">
        <is>
          <t>53101502</t>
        </is>
      </c>
      <c r="X175" s="156" t="inlineStr">
        <is>
          <t>https://i.ibb.co/v31nCq8/RM02202035.jpg</t>
        </is>
      </c>
      <c r="Y175" s="54" t="n">
        <v>31.85</v>
      </c>
      <c r="Z175" s="54" t="n">
        <v>2349</v>
      </c>
      <c r="AA175" s="55">
        <f>IF(AND(A175="", B175="", E175=""), "", IF(AB175="", "Válido", IF((LEN(AB175)-LEN(SUBSTITUTE(AB175,"; ","")))/2+1&gt;(LEN(AB175)-LEN(SUBSTITUTE(AB175,"[Aviso]","")))/7, "Con Incidencias", "Válido")))</f>
        <v/>
      </c>
      <c r="AB175" s="56">
        <f>IF(AND(A175="", B175="", E175=""), "", TEXTJOIN("; ", TRUE, IF(OR(TRIM(A175&amp;"")="", ISNUMBER(SEARCH("FALTA", A175))), "UPC faltante/inválido", ""), IF(AND(A175&lt;&gt;"", IFERROR(_xlfn.XMATCH(A175,$A$2:$A$653,0,1)&lt;&gt;_xlfn.XMATCH(A175,$A$2:$A$653,0,-1),FALSE)), "Código de barras duplicado", ""), IF(AND(E175&lt;&gt;"", COUNTIF($E$2:$E$653, E175)&gt;1), "SKU duplicado", ""), IF(OR(J175="", J175=""), "[Aviso] División no capturada ()", IF(ISNA(MATCH(J175, Criterios!$A$123:$A$126, 0)), "División no válida", "")), IF(OR(K175="", K175=""), "[Aviso] Categoría no capturada ()", IF(ISNA(MATCH(K175, Criterios!$A$81:$A$120, 0)), "Categoría no válida", IF(AND(J175&lt;&gt;"", J175&lt;&gt;"", J175&lt;&gt;VLOOKUP(K175, Criterios!$A$81:$B$120, 2, FALSE)), "División no coincide con Categoría", ""))), IF(OR(L175="", L175=""), "[Aviso] Género no capturado ()", IF(ISNA(MATCH(L175, Criterios!$B$123:$B$127, 0)), "Género no válido", "")), IF(OR(N175="", N175=""), "[Aviso] Temporada no capturada ()", IF(ISNA(MATCH(N175, Criterios!$C$123:$C$128, 0)), "Temporada no válida", "")), IF(OR(O175="", O175=""), "[Aviso] Ciclo de vida no capturado ()", IF(ISNA(MATCH(O175, Criterios!$D$123:$D$124, 0)), "Ciclo de vida no válido", ""))))</f>
        <v/>
      </c>
      <c r="AC175" s="56" t="n"/>
      <c r="AD175" s="51" t="n">
        <v>40</v>
      </c>
      <c r="AE175" s="156" t="inlineStr">
        <is>
          <t>REFLO ALMACEN (23); MUESTRAS REFLO (1)</t>
        </is>
      </c>
      <c r="AF175" s="51" t="n">
        <v>41</v>
      </c>
      <c r="AG175" s="156" t="inlineStr">
        <is>
          <t>Nuevo – NetSuite con existencia</t>
        </is>
      </c>
      <c r="AH175" s="156" t="inlineStr">
        <is>
          <t>Composición: poliéster reciclado (validar % en etiqueta); Físico total NetSuite 40 ≠ suma por ubicación 22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75" s="156" t="inlineStr">
        <is>
          <t>Sí</t>
        </is>
      </c>
      <c r="AJ175" s="156" t="inlineStr">
        <is>
          <t>CONSIGNA REFLO (-2)</t>
        </is>
      </c>
      <c r="AK175" s="155" t="inlineStr">
        <is>
          <t>G1522ProductosTodosloscamposSandboxResults894.xlsx: fila 49303 [X,Y]; G1522_Extraccion_Articulos_NetSuite_2026-09-30.xlsx: fila 37546 [Z]</t>
        </is>
      </c>
      <c r="AL175" s="58" t="n">
        <v>31.85</v>
      </c>
      <c r="AM175" s="58" t="n"/>
      <c r="AN175" s="155" t="n"/>
      <c r="AO175" s="59" t="n"/>
      <c r="AP175" s="59" t="n"/>
      <c r="AQ175" s="59" t="n"/>
      <c r="AR175" s="155" t="n"/>
    </row>
    <row r="176">
      <c r="A176" s="50" t="inlineStr">
        <is>
          <t>5056658705380</t>
        </is>
      </c>
      <c r="B176" s="51" t="inlineStr">
        <is>
          <t>79214</t>
        </is>
      </c>
      <c r="C176" s="156" t="inlineStr">
        <is>
          <t>REFLO</t>
        </is>
      </c>
      <c r="D176" s="156" t="inlineStr">
        <is>
          <t>RM02202035</t>
        </is>
      </c>
      <c r="E176" s="156" t="inlineStr">
        <is>
          <t>RM02202035-36</t>
        </is>
      </c>
      <c r="F176" s="156" t="inlineStr">
        <is>
          <t>36</t>
        </is>
      </c>
      <c r="G176" s="156" t="inlineStr">
        <is>
          <t>36W</t>
        </is>
      </c>
      <c r="H176" s="156" t="inlineStr">
        <is>
          <t>REFLO</t>
        </is>
      </c>
      <c r="I176" s="156" t="inlineStr">
        <is>
          <t>Short REFLO Icarian Quarry</t>
        </is>
      </c>
      <c r="J176" s="156" t="inlineStr">
        <is>
          <t>Ropa</t>
        </is>
      </c>
      <c r="K176" s="156" t="inlineStr">
        <is>
          <t>Shorts</t>
        </is>
      </c>
      <c r="L176" s="156" t="inlineStr">
        <is>
          <t>Hombre</t>
        </is>
      </c>
      <c r="M176" s="156" t="inlineStr">
        <is>
          <t>REFLO</t>
        </is>
      </c>
      <c r="N176" s="156" t="n"/>
      <c r="O176" s="156" t="n"/>
      <c r="P176" s="156" t="inlineStr">
        <is>
          <t>Gris</t>
        </is>
      </c>
      <c r="Q176" s="156" t="n"/>
      <c r="R176" s="156" t="n"/>
      <c r="S176" s="156" t="inlineStr">
        <is>
          <t>Poliéster reciclado</t>
        </is>
      </c>
      <c r="T176" s="156" t="inlineStr">
        <is>
          <t>Short de golf REFLO modelo Icarian en color Quarry, confeccionado con materiales reciclados. Estilo RM02202035.</t>
        </is>
      </c>
      <c r="U176" s="156" t="n"/>
      <c r="V176" s="156" t="inlineStr">
        <is>
          <t>PZS</t>
        </is>
      </c>
      <c r="W176" s="51" t="inlineStr">
        <is>
          <t>53101502</t>
        </is>
      </c>
      <c r="X176" s="156" t="inlineStr">
        <is>
          <t>https://i.ibb.co/v31nCq8/RM02202035.jpg</t>
        </is>
      </c>
      <c r="Y176" s="54" t="n">
        <v>31.85</v>
      </c>
      <c r="Z176" s="54" t="n">
        <v>2349</v>
      </c>
      <c r="AA176" s="55">
        <f>IF(AND(A176="", B176="", E176=""), "", IF(AB176="", "Válido", IF((LEN(AB176)-LEN(SUBSTITUTE(AB176,"; ","")))/2+1&gt;(LEN(AB176)-LEN(SUBSTITUTE(AB176,"[Aviso]","")))/7, "Con Incidencias", "Válido")))</f>
        <v/>
      </c>
      <c r="AB176" s="56">
        <f>IF(AND(A176="", B176="", E176=""), "", TEXTJOIN("; ", TRUE, IF(OR(TRIM(A176&amp;"")="", ISNUMBER(SEARCH("FALTA", A176))), "UPC faltante/inválido", ""), IF(AND(A176&lt;&gt;"", IFERROR(_xlfn.XMATCH(A176,$A$2:$A$653,0,1)&lt;&gt;_xlfn.XMATCH(A176,$A$2:$A$653,0,-1),FALSE)), "Código de barras duplicado", ""), IF(AND(E176&lt;&gt;"", COUNTIF($E$2:$E$653, E176)&gt;1), "SKU duplicado", ""), IF(OR(J176="", J176=""), "[Aviso] División no capturada ()", IF(ISNA(MATCH(J176, Criterios!$A$123:$A$126, 0)), "División no válida", "")), IF(OR(K176="", K176=""), "[Aviso] Categoría no capturada ()", IF(ISNA(MATCH(K176, Criterios!$A$81:$A$120, 0)), "Categoría no válida", IF(AND(J176&lt;&gt;"", J176&lt;&gt;"", J176&lt;&gt;VLOOKUP(K176, Criterios!$A$81:$B$120, 2, FALSE)), "División no coincide con Categoría", ""))), IF(OR(L176="", L176=""), "[Aviso] Género no capturado ()", IF(ISNA(MATCH(L176, Criterios!$B$123:$B$127, 0)), "Género no válido", "")), IF(OR(N176="", N176=""), "[Aviso] Temporada no capturada ()", IF(ISNA(MATCH(N176, Criterios!$C$123:$C$128, 0)), "Temporada no válida", "")), IF(OR(O176="", O176=""), "[Aviso] Ciclo de vida no capturado ()", IF(ISNA(MATCH(O176, Criterios!$D$123:$D$124, 0)), "Ciclo de vida no válido", ""))))</f>
        <v/>
      </c>
      <c r="AC176" s="56" t="n"/>
      <c r="AD176" s="51" t="n">
        <v>33</v>
      </c>
      <c r="AE176" s="156" t="inlineStr">
        <is>
          <t>REFLO ALMACEN (19)</t>
        </is>
      </c>
      <c r="AF176" s="51" t="n">
        <v>34</v>
      </c>
      <c r="AG176" s="156" t="inlineStr">
        <is>
          <t>Nuevo – NetSuite con existencia</t>
        </is>
      </c>
      <c r="AH176" s="156" t="inlineStr">
        <is>
          <t>Composición: poliéster reciclado (validar % en etiqueta); Físico total NetSuite 33 ≠ suma por ubicación 18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76" s="156" t="inlineStr">
        <is>
          <t>Sí</t>
        </is>
      </c>
      <c r="AJ176" s="156" t="inlineStr">
        <is>
          <t>CONSIGNA REFLO (-1)</t>
        </is>
      </c>
      <c r="AK176" s="155" t="inlineStr">
        <is>
          <t>G1522ProductosTodosloscamposSandboxResults894.xlsx: fila 49304 [X,Y]; G1522_Extraccion_Articulos_NetSuite_2026-09-30.xlsx: fila 37547 [Z]</t>
        </is>
      </c>
      <c r="AL176" s="58" t="n">
        <v>31.85</v>
      </c>
      <c r="AM176" s="58" t="n"/>
      <c r="AN176" s="155" t="n"/>
      <c r="AO176" s="59" t="n"/>
      <c r="AP176" s="59" t="n"/>
      <c r="AQ176" s="59" t="n"/>
      <c r="AR176" s="155" t="n"/>
    </row>
    <row r="177">
      <c r="A177" s="50" t="inlineStr">
        <is>
          <t>5056658705397</t>
        </is>
      </c>
      <c r="B177" s="51" t="inlineStr">
        <is>
          <t>84405</t>
        </is>
      </c>
      <c r="C177" s="156" t="inlineStr">
        <is>
          <t>REFLO</t>
        </is>
      </c>
      <c r="D177" s="156" t="inlineStr">
        <is>
          <t>RM02202035</t>
        </is>
      </c>
      <c r="E177" s="156" t="inlineStr">
        <is>
          <t>RM02202035-38</t>
        </is>
      </c>
      <c r="F177" s="156" t="inlineStr">
        <is>
          <t>38</t>
        </is>
      </c>
      <c r="G177" s="156" t="inlineStr">
        <is>
          <t>38W</t>
        </is>
      </c>
      <c r="H177" s="156" t="inlineStr">
        <is>
          <t>REFLO</t>
        </is>
      </c>
      <c r="I177" s="156" t="inlineStr">
        <is>
          <t>Short REFLO Icarian Quarry</t>
        </is>
      </c>
      <c r="J177" s="156" t="inlineStr">
        <is>
          <t>Ropa</t>
        </is>
      </c>
      <c r="K177" s="156" t="inlineStr">
        <is>
          <t>Shorts</t>
        </is>
      </c>
      <c r="L177" s="156" t="inlineStr">
        <is>
          <t>Hombre</t>
        </is>
      </c>
      <c r="M177" s="156" t="inlineStr">
        <is>
          <t>REFLO</t>
        </is>
      </c>
      <c r="N177" s="156" t="n"/>
      <c r="O177" s="156" t="n"/>
      <c r="P177" s="156" t="inlineStr">
        <is>
          <t>Gris</t>
        </is>
      </c>
      <c r="Q177" s="156" t="n"/>
      <c r="R177" s="156" t="n"/>
      <c r="S177" s="156" t="inlineStr">
        <is>
          <t>Poliéster reciclado</t>
        </is>
      </c>
      <c r="T177" s="156" t="inlineStr">
        <is>
          <t>Short de golf REFLO modelo Icarian en color Quarry, confeccionado con materiales reciclados. Estilo RM02202035.</t>
        </is>
      </c>
      <c r="U177" s="156" t="n"/>
      <c r="V177" s="156" t="inlineStr">
        <is>
          <t>PZS</t>
        </is>
      </c>
      <c r="W177" s="51" t="inlineStr">
        <is>
          <t>53101502</t>
        </is>
      </c>
      <c r="X177" s="156" t="inlineStr">
        <is>
          <t>https://i.ibb.co/v31nCq8/RM02202035.jpg</t>
        </is>
      </c>
      <c r="Y177" s="54" t="n">
        <v>31.85</v>
      </c>
      <c r="Z177" s="54" t="n">
        <v>2349</v>
      </c>
      <c r="AA177" s="55">
        <f>IF(AND(A177="", B177="", E177=""), "", IF(AB177="", "Válido", IF((LEN(AB177)-LEN(SUBSTITUTE(AB177,"; ","")))/2+1&gt;(LEN(AB177)-LEN(SUBSTITUTE(AB177,"[Aviso]","")))/7, "Con Incidencias", "Válido")))</f>
        <v/>
      </c>
      <c r="AB177" s="56">
        <f>IF(AND(A177="", B177="", E177=""), "", TEXTJOIN("; ", TRUE, IF(OR(TRIM(A177&amp;"")="", ISNUMBER(SEARCH("FALTA", A177))), "UPC faltante/inválido", ""), IF(AND(A177&lt;&gt;"", IFERROR(_xlfn.XMATCH(A177,$A$2:$A$653,0,1)&lt;&gt;_xlfn.XMATCH(A177,$A$2:$A$653,0,-1),FALSE)), "Código de barras duplicado", ""), IF(AND(E177&lt;&gt;"", COUNTIF($E$2:$E$653, E177)&gt;1), "SKU duplicado", ""), IF(OR(J177="", J177=""), "[Aviso] División no capturada ()", IF(ISNA(MATCH(J177, Criterios!$A$123:$A$126, 0)), "División no válida", "")), IF(OR(K177="", K177=""), "[Aviso] Categoría no capturada ()", IF(ISNA(MATCH(K177, Criterios!$A$81:$A$120, 0)), "Categoría no válida", IF(AND(J177&lt;&gt;"", J177&lt;&gt;"", J177&lt;&gt;VLOOKUP(K177, Criterios!$A$81:$B$120, 2, FALSE)), "División no coincide con Categoría", ""))), IF(OR(L177="", L177=""), "[Aviso] Género no capturado ()", IF(ISNA(MATCH(L177, Criterios!$B$123:$B$127, 0)), "Género no válido", "")), IF(OR(N177="", N177=""), "[Aviso] Temporada no capturada ()", IF(ISNA(MATCH(N177, Criterios!$C$123:$C$128, 0)), "Temporada no válida", "")), IF(OR(O177="", O177=""), "[Aviso] Ciclo de vida no capturado ()", IF(ISNA(MATCH(O177, Criterios!$D$123:$D$124, 0)), "Ciclo de vida no válido", ""))))</f>
        <v/>
      </c>
      <c r="AC177" s="56" t="n"/>
      <c r="AD177" s="51" t="n">
        <v>4</v>
      </c>
      <c r="AE177" s="156" t="inlineStr">
        <is>
          <t>REFLO ALMACEN (3)</t>
        </is>
      </c>
      <c r="AF177" s="51" t="n">
        <v>4</v>
      </c>
      <c r="AG177" s="156" t="inlineStr">
        <is>
          <t>Nuevo – NetSuite con existencia</t>
        </is>
      </c>
      <c r="AH177" s="156" t="inlineStr">
        <is>
          <t>Composición: poliéster reciclado (validar % en etiqueta); Físico total NetSuite 4 ≠ suma por ubicación 3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77" s="156" t="inlineStr">
        <is>
          <t>No</t>
        </is>
      </c>
      <c r="AJ177" s="156" t="n"/>
      <c r="AK177" s="155" t="inlineStr">
        <is>
          <t>G1522ProductosTodosloscamposSandboxResults894.xlsx: fila 49305 [X,Y]; G1522_Extraccion_Articulos_NetSuite_2026-09-30.xlsx: fila 39574 [Z]</t>
        </is>
      </c>
      <c r="AL177" s="58" t="n">
        <v>31.85</v>
      </c>
      <c r="AM177" s="58" t="n"/>
      <c r="AN177" s="155" t="n"/>
      <c r="AO177" s="59" t="n"/>
      <c r="AP177" s="59" t="n"/>
      <c r="AQ177" s="59" t="n"/>
      <c r="AR177" s="155" t="n"/>
    </row>
    <row r="178">
      <c r="A178" s="50" t="inlineStr">
        <is>
          <t>5056658705403</t>
        </is>
      </c>
      <c r="B178" s="51" t="inlineStr">
        <is>
          <t>84406</t>
        </is>
      </c>
      <c r="C178" s="156" t="inlineStr">
        <is>
          <t>REFLO</t>
        </is>
      </c>
      <c r="D178" s="156" t="inlineStr">
        <is>
          <t>RM02202035</t>
        </is>
      </c>
      <c r="E178" s="156" t="inlineStr">
        <is>
          <t>RM02202035-40</t>
        </is>
      </c>
      <c r="F178" s="156" t="inlineStr">
        <is>
          <t>40</t>
        </is>
      </c>
      <c r="G178" s="156" t="inlineStr">
        <is>
          <t>40W</t>
        </is>
      </c>
      <c r="H178" s="156" t="inlineStr">
        <is>
          <t>REFLO</t>
        </is>
      </c>
      <c r="I178" s="156" t="inlineStr">
        <is>
          <t>Short REFLO Icarian Quarry</t>
        </is>
      </c>
      <c r="J178" s="156" t="inlineStr">
        <is>
          <t>Ropa</t>
        </is>
      </c>
      <c r="K178" s="156" t="inlineStr">
        <is>
          <t>Shorts</t>
        </is>
      </c>
      <c r="L178" s="156" t="inlineStr">
        <is>
          <t>Hombre</t>
        </is>
      </c>
      <c r="M178" s="156" t="inlineStr">
        <is>
          <t>REFLO</t>
        </is>
      </c>
      <c r="N178" s="156" t="n"/>
      <c r="O178" s="156" t="n"/>
      <c r="P178" s="156" t="inlineStr">
        <is>
          <t>Gris</t>
        </is>
      </c>
      <c r="Q178" s="156" t="n"/>
      <c r="R178" s="156" t="n"/>
      <c r="S178" s="156" t="inlineStr">
        <is>
          <t>Poliéster reciclado</t>
        </is>
      </c>
      <c r="T178" s="156" t="inlineStr">
        <is>
          <t>Short de golf REFLO modelo Icarian en color Quarry, confeccionado con materiales reciclados. Estilo RM02202035.</t>
        </is>
      </c>
      <c r="U178" s="156" t="n"/>
      <c r="V178" s="156" t="inlineStr">
        <is>
          <t>PZS</t>
        </is>
      </c>
      <c r="W178" s="51" t="inlineStr">
        <is>
          <t>53101502</t>
        </is>
      </c>
      <c r="X178" s="156" t="inlineStr">
        <is>
          <t>https://i.ibb.co/v31nCq8/RM02202035.jpg</t>
        </is>
      </c>
      <c r="Y178" s="54" t="n">
        <v>31.85</v>
      </c>
      <c r="Z178" s="54" t="n">
        <v>2349</v>
      </c>
      <c r="AA178" s="55">
        <f>IF(AND(A178="", B178="", E178=""), "", IF(AB178="", "Válido", IF((LEN(AB178)-LEN(SUBSTITUTE(AB178,"; ","")))/2+1&gt;(LEN(AB178)-LEN(SUBSTITUTE(AB178,"[Aviso]","")))/7, "Con Incidencias", "Válido")))</f>
        <v/>
      </c>
      <c r="AB178" s="56">
        <f>IF(AND(A178="", B178="", E178=""), "", TEXTJOIN("; ", TRUE, IF(OR(TRIM(A178&amp;"")="", ISNUMBER(SEARCH("FALTA", A178))), "UPC faltante/inválido", ""), IF(AND(A178&lt;&gt;"", IFERROR(_xlfn.XMATCH(A178,$A$2:$A$653,0,1)&lt;&gt;_xlfn.XMATCH(A178,$A$2:$A$653,0,-1),FALSE)), "Código de barras duplicado", ""), IF(AND(E178&lt;&gt;"", COUNTIF($E$2:$E$653, E178)&gt;1), "SKU duplicado", ""), IF(OR(J178="", J178=""), "[Aviso] División no capturada ()", IF(ISNA(MATCH(J178, Criterios!$A$123:$A$126, 0)), "División no válida", "")), IF(OR(K178="", K178=""), "[Aviso] Categoría no capturada ()", IF(ISNA(MATCH(K178, Criterios!$A$81:$A$120, 0)), "Categoría no válida", IF(AND(J178&lt;&gt;"", J178&lt;&gt;"", J178&lt;&gt;VLOOKUP(K178, Criterios!$A$81:$B$120, 2, FALSE)), "División no coincide con Categoría", ""))), IF(OR(L178="", L178=""), "[Aviso] Género no capturado ()", IF(ISNA(MATCH(L178, Criterios!$B$123:$B$127, 0)), "Género no válido", "")), IF(OR(N178="", N178=""), "[Aviso] Temporada no capturada ()", IF(ISNA(MATCH(N178, Criterios!$C$123:$C$128, 0)), "Temporada no válida", "")), IF(OR(O178="", O178=""), "[Aviso] Ciclo de vida no capturado ()", IF(ISNA(MATCH(O178, Criterios!$D$123:$D$124, 0)), "Ciclo de vida no válido", ""))))</f>
        <v/>
      </c>
      <c r="AC178" s="56" t="n"/>
      <c r="AD178" s="51" t="n">
        <v>8</v>
      </c>
      <c r="AE178" s="156" t="inlineStr">
        <is>
          <t>REFLO ALMACEN (4)</t>
        </is>
      </c>
      <c r="AF178" s="51" t="n">
        <v>8</v>
      </c>
      <c r="AG178" s="156" t="inlineStr">
        <is>
          <t>Nuevo – NetSuite con existencia</t>
        </is>
      </c>
      <c r="AH178" s="156" t="inlineStr">
        <is>
          <t>Composición: poliéster reciclado (validar % en etiqueta); Físico total NetSuite 8 ≠ suma por ubicación 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78" s="156" t="inlineStr">
        <is>
          <t>No</t>
        </is>
      </c>
      <c r="AJ178" s="156" t="n"/>
      <c r="AK178" s="155" t="inlineStr">
        <is>
          <t>G1522ProductosTodosloscamposSandboxResults894.xlsx: fila 49306 [X,Y]; G1522_Extraccion_Articulos_NetSuite_2026-09-30.xlsx: fila 39575 [Z]</t>
        </is>
      </c>
      <c r="AL178" s="58" t="n">
        <v>31.85</v>
      </c>
      <c r="AM178" s="58" t="n"/>
      <c r="AN178" s="155" t="n"/>
      <c r="AO178" s="59" t="n"/>
      <c r="AP178" s="59" t="n"/>
      <c r="AQ178" s="59" t="n"/>
      <c r="AR178" s="155" t="n"/>
    </row>
    <row r="179">
      <c r="A179" s="50" t="inlineStr">
        <is>
          <t>5056658705076</t>
        </is>
      </c>
      <c r="B179" s="51" t="inlineStr">
        <is>
          <t>79215</t>
        </is>
      </c>
      <c r="C179" s="156" t="inlineStr">
        <is>
          <t>REFLO</t>
        </is>
      </c>
      <c r="D179" s="156" t="inlineStr">
        <is>
          <t>RM02202054</t>
        </is>
      </c>
      <c r="E179" s="156" t="inlineStr">
        <is>
          <t>RM02202054-30</t>
        </is>
      </c>
      <c r="F179" s="156" t="inlineStr">
        <is>
          <t>30</t>
        </is>
      </c>
      <c r="G179" s="156" t="inlineStr">
        <is>
          <t>30W</t>
        </is>
      </c>
      <c r="H179" s="156" t="inlineStr">
        <is>
          <t>REFLO</t>
        </is>
      </c>
      <c r="I179" s="156" t="inlineStr">
        <is>
          <t>Short REFLO Icarian Sand</t>
        </is>
      </c>
      <c r="J179" s="156" t="inlineStr">
        <is>
          <t>Ropa</t>
        </is>
      </c>
      <c r="K179" s="156" t="inlineStr">
        <is>
          <t>Shorts</t>
        </is>
      </c>
      <c r="L179" s="156" t="inlineStr">
        <is>
          <t>Hombre</t>
        </is>
      </c>
      <c r="M179" s="156" t="inlineStr">
        <is>
          <t>REFLO</t>
        </is>
      </c>
      <c r="N179" s="156" t="n"/>
      <c r="O179" s="156" t="n"/>
      <c r="P179" s="156" t="inlineStr">
        <is>
          <t>Beige</t>
        </is>
      </c>
      <c r="Q179" s="156" t="n"/>
      <c r="R179" s="156" t="n"/>
      <c r="S179" s="156" t="inlineStr">
        <is>
          <t>Poliéster reciclado</t>
        </is>
      </c>
      <c r="T179" s="156" t="inlineStr">
        <is>
          <t>Short de golf REFLO modelo Icarian en color Sand, confeccionado con materiales reciclados. Estilo RM02202054.</t>
        </is>
      </c>
      <c r="U179" s="156" t="n"/>
      <c r="V179" s="156" t="inlineStr">
        <is>
          <t>PZS</t>
        </is>
      </c>
      <c r="W179" s="51" t="inlineStr">
        <is>
          <t>53101502</t>
        </is>
      </c>
      <c r="X179" s="156" t="inlineStr">
        <is>
          <t>https://i.ibb.co/nbyHFxS/RM02202054.jpg</t>
        </is>
      </c>
      <c r="Y179" s="54" t="n">
        <v>31.85</v>
      </c>
      <c r="Z179" s="54" t="n">
        <v>2349</v>
      </c>
      <c r="AA179" s="55">
        <f>IF(AND(A179="", B179="", E179=""), "", IF(AB179="", "Válido", IF((LEN(AB179)-LEN(SUBSTITUTE(AB179,"; ","")))/2+1&gt;(LEN(AB179)-LEN(SUBSTITUTE(AB179,"[Aviso]","")))/7, "Con Incidencias", "Válido")))</f>
        <v/>
      </c>
      <c r="AB179" s="56">
        <f>IF(AND(A179="", B179="", E179=""), "", TEXTJOIN("; ", TRUE, IF(OR(TRIM(A179&amp;"")="", ISNUMBER(SEARCH("FALTA", A179))), "UPC faltante/inválido", ""), IF(AND(A179&lt;&gt;"", IFERROR(_xlfn.XMATCH(A179,$A$2:$A$653,0,1)&lt;&gt;_xlfn.XMATCH(A179,$A$2:$A$653,0,-1),FALSE)), "Código de barras duplicado", ""), IF(AND(E179&lt;&gt;"", COUNTIF($E$2:$E$653, E179)&gt;1), "SKU duplicado", ""), IF(OR(J179="", J179=""), "[Aviso] División no capturada ()", IF(ISNA(MATCH(J179, Criterios!$A$123:$A$126, 0)), "División no válida", "")), IF(OR(K179="", K179=""), "[Aviso] Categoría no capturada ()", IF(ISNA(MATCH(K179, Criterios!$A$81:$A$120, 0)), "Categoría no válida", IF(AND(J179&lt;&gt;"", J179&lt;&gt;"", J179&lt;&gt;VLOOKUP(K179, Criterios!$A$81:$B$120, 2, FALSE)), "División no coincide con Categoría", ""))), IF(OR(L179="", L179=""), "[Aviso] Género no capturado ()", IF(ISNA(MATCH(L179, Criterios!$B$123:$B$127, 0)), "Género no válido", "")), IF(OR(N179="", N179=""), "[Aviso] Temporada no capturada ()", IF(ISNA(MATCH(N179, Criterios!$C$123:$C$128, 0)), "Temporada no válida", "")), IF(OR(O179="", O179=""), "[Aviso] Ciclo de vida no capturado ()", IF(ISNA(MATCH(O179, Criterios!$D$123:$D$124, 0)), "Ciclo de vida no válido", ""))))</f>
        <v/>
      </c>
      <c r="AC179" s="56" t="n"/>
      <c r="AD179" s="51" t="n">
        <v>23</v>
      </c>
      <c r="AE179" s="156" t="inlineStr">
        <is>
          <t>REFLO ALMACEN (14)</t>
        </is>
      </c>
      <c r="AF179" s="51" t="n">
        <v>24</v>
      </c>
      <c r="AG179" s="156" t="inlineStr">
        <is>
          <t>Nuevo – NetSuite con existencia</t>
        </is>
      </c>
      <c r="AH179" s="156" t="inlineStr">
        <is>
          <t>Composición: poliéster reciclado (validar % en etiqueta); Físico total NetSuite 23 ≠ suma por ubicación 13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79" s="156" t="inlineStr">
        <is>
          <t>Sí</t>
        </is>
      </c>
      <c r="AJ179" s="156" t="inlineStr">
        <is>
          <t>CONSIGNA REFLO (-1)</t>
        </is>
      </c>
      <c r="AK179" s="155" t="inlineStr">
        <is>
          <t>G1522ProductosTodosloscamposSandboxResults894.xlsx: fila 49308 [X,Y]; G1522_Extraccion_Articulos_NetSuite_2026-09-30.xlsx: fila 37548 [Z]</t>
        </is>
      </c>
      <c r="AL179" s="58" t="n">
        <v>31.85</v>
      </c>
      <c r="AM179" s="58" t="n"/>
      <c r="AN179" s="155" t="n"/>
      <c r="AO179" s="59" t="n"/>
      <c r="AP179" s="59" t="n"/>
      <c r="AQ179" s="59" t="n"/>
      <c r="AR179" s="155" t="n"/>
    </row>
    <row r="180">
      <c r="A180" s="50" t="inlineStr">
        <is>
          <t>5056658705083</t>
        </is>
      </c>
      <c r="B180" s="51" t="inlineStr">
        <is>
          <t>79216</t>
        </is>
      </c>
      <c r="C180" s="156" t="inlineStr">
        <is>
          <t>REFLO</t>
        </is>
      </c>
      <c r="D180" s="156" t="inlineStr">
        <is>
          <t>RM02202054</t>
        </is>
      </c>
      <c r="E180" s="156" t="inlineStr">
        <is>
          <t>RM02202054-32</t>
        </is>
      </c>
      <c r="F180" s="156" t="inlineStr">
        <is>
          <t>32</t>
        </is>
      </c>
      <c r="G180" s="156" t="inlineStr">
        <is>
          <t>32W</t>
        </is>
      </c>
      <c r="H180" s="156" t="inlineStr">
        <is>
          <t>REFLO</t>
        </is>
      </c>
      <c r="I180" s="156" t="inlineStr">
        <is>
          <t>Short REFLO Icarian Sand</t>
        </is>
      </c>
      <c r="J180" s="156" t="inlineStr">
        <is>
          <t>Ropa</t>
        </is>
      </c>
      <c r="K180" s="156" t="inlineStr">
        <is>
          <t>Shorts</t>
        </is>
      </c>
      <c r="L180" s="156" t="inlineStr">
        <is>
          <t>Hombre</t>
        </is>
      </c>
      <c r="M180" s="156" t="inlineStr">
        <is>
          <t>REFLO</t>
        </is>
      </c>
      <c r="N180" s="156" t="n"/>
      <c r="O180" s="156" t="n"/>
      <c r="P180" s="156" t="inlineStr">
        <is>
          <t>Beige</t>
        </is>
      </c>
      <c r="Q180" s="156" t="n"/>
      <c r="R180" s="156" t="n"/>
      <c r="S180" s="156" t="inlineStr">
        <is>
          <t>Poliéster reciclado</t>
        </is>
      </c>
      <c r="T180" s="156" t="inlineStr">
        <is>
          <t>Short de golf REFLO modelo Icarian en color Sand, confeccionado con materiales reciclados. Estilo RM02202054.</t>
        </is>
      </c>
      <c r="U180" s="156" t="n"/>
      <c r="V180" s="156" t="inlineStr">
        <is>
          <t>PZS</t>
        </is>
      </c>
      <c r="W180" s="51" t="inlineStr">
        <is>
          <t>53101502</t>
        </is>
      </c>
      <c r="X180" s="156" t="inlineStr">
        <is>
          <t>https://i.ibb.co/nbyHFxS/RM02202054.jpg</t>
        </is>
      </c>
      <c r="Y180" s="54" t="n">
        <v>31.85</v>
      </c>
      <c r="Z180" s="54" t="n">
        <v>2349</v>
      </c>
      <c r="AA180" s="55">
        <f>IF(AND(A180="", B180="", E180=""), "", IF(AB180="", "Válido", IF((LEN(AB180)-LEN(SUBSTITUTE(AB180,"; ","")))/2+1&gt;(LEN(AB180)-LEN(SUBSTITUTE(AB180,"[Aviso]","")))/7, "Con Incidencias", "Válido")))</f>
        <v/>
      </c>
      <c r="AB180" s="56">
        <f>IF(AND(A180="", B180="", E180=""), "", TEXTJOIN("; ", TRUE, IF(OR(TRIM(A180&amp;"")="", ISNUMBER(SEARCH("FALTA", A180))), "UPC faltante/inválido", ""), IF(AND(A180&lt;&gt;"", IFERROR(_xlfn.XMATCH(A180,$A$2:$A$653,0,1)&lt;&gt;_xlfn.XMATCH(A180,$A$2:$A$653,0,-1),FALSE)), "Código de barras duplicado", ""), IF(AND(E180&lt;&gt;"", COUNTIF($E$2:$E$653, E180)&gt;1), "SKU duplicado", ""), IF(OR(J180="", J180=""), "[Aviso] División no capturada ()", IF(ISNA(MATCH(J180, Criterios!$A$123:$A$126, 0)), "División no válida", "")), IF(OR(K180="", K180=""), "[Aviso] Categoría no capturada ()", IF(ISNA(MATCH(K180, Criterios!$A$81:$A$120, 0)), "Categoría no válida", IF(AND(J180&lt;&gt;"", J180&lt;&gt;"", J180&lt;&gt;VLOOKUP(K180, Criterios!$A$81:$B$120, 2, FALSE)), "División no coincide con Categoría", ""))), IF(OR(L180="", L180=""), "[Aviso] Género no capturado ()", IF(ISNA(MATCH(L180, Criterios!$B$123:$B$127, 0)), "Género no válido", "")), IF(OR(N180="", N180=""), "[Aviso] Temporada no capturada ()", IF(ISNA(MATCH(N180, Criterios!$C$123:$C$128, 0)), "Temporada no válida", "")), IF(OR(O180="", O180=""), "[Aviso] Ciclo de vida no capturado ()", IF(ISNA(MATCH(O180, Criterios!$D$123:$D$124, 0)), "Ciclo de vida no válido", ""))))</f>
        <v/>
      </c>
      <c r="AC180" s="56" t="n"/>
      <c r="AD180" s="51" t="n">
        <v>33</v>
      </c>
      <c r="AE180" s="156" t="inlineStr">
        <is>
          <t>REFLO ALMACEN (22)</t>
        </is>
      </c>
      <c r="AF180" s="51" t="n">
        <v>35</v>
      </c>
      <c r="AG180" s="156" t="inlineStr">
        <is>
          <t>Nuevo – NetSuite con existencia</t>
        </is>
      </c>
      <c r="AH180" s="156" t="inlineStr">
        <is>
          <t>Composición: poliéster reciclado (validar % en etiqueta); Físico total NetSuite 33 ≠ suma por ubicación 20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0" s="156" t="inlineStr">
        <is>
          <t>Sí</t>
        </is>
      </c>
      <c r="AJ180" s="156" t="inlineStr">
        <is>
          <t>CONSIGNA REFLO (-2)</t>
        </is>
      </c>
      <c r="AK180" s="155" t="inlineStr">
        <is>
          <t>G1522ProductosTodosloscamposSandboxResults894.xlsx: fila 49309 [X,Y]; G1522_Extraccion_Articulos_NetSuite_2026-09-30.xlsx: fila 37549 [Z]</t>
        </is>
      </c>
      <c r="AL180" s="58" t="n">
        <v>31.85</v>
      </c>
      <c r="AM180" s="58" t="n"/>
      <c r="AN180" s="155" t="n"/>
      <c r="AO180" s="59" t="n"/>
      <c r="AP180" s="59" t="n"/>
      <c r="AQ180" s="59" t="n"/>
      <c r="AR180" s="155" t="n"/>
    </row>
    <row r="181">
      <c r="A181" s="50" t="inlineStr">
        <is>
          <t>5056658705090</t>
        </is>
      </c>
      <c r="B181" s="51" t="inlineStr">
        <is>
          <t>79217</t>
        </is>
      </c>
      <c r="C181" s="156" t="inlineStr">
        <is>
          <t>REFLO</t>
        </is>
      </c>
      <c r="D181" s="156" t="inlineStr">
        <is>
          <t>RM02202054</t>
        </is>
      </c>
      <c r="E181" s="156" t="inlineStr">
        <is>
          <t>RM02202054-34</t>
        </is>
      </c>
      <c r="F181" s="156" t="inlineStr">
        <is>
          <t>34</t>
        </is>
      </c>
      <c r="G181" s="156" t="inlineStr">
        <is>
          <t>34W</t>
        </is>
      </c>
      <c r="H181" s="156" t="inlineStr">
        <is>
          <t>REFLO</t>
        </is>
      </c>
      <c r="I181" s="156" t="inlineStr">
        <is>
          <t>Short REFLO Icarian Sand</t>
        </is>
      </c>
      <c r="J181" s="156" t="inlineStr">
        <is>
          <t>Ropa</t>
        </is>
      </c>
      <c r="K181" s="156" t="inlineStr">
        <is>
          <t>Shorts</t>
        </is>
      </c>
      <c r="L181" s="156" t="inlineStr">
        <is>
          <t>Hombre</t>
        </is>
      </c>
      <c r="M181" s="156" t="inlineStr">
        <is>
          <t>REFLO</t>
        </is>
      </c>
      <c r="N181" s="156" t="n"/>
      <c r="O181" s="156" t="n"/>
      <c r="P181" s="156" t="inlineStr">
        <is>
          <t>Beige</t>
        </is>
      </c>
      <c r="Q181" s="156" t="n"/>
      <c r="R181" s="156" t="n"/>
      <c r="S181" s="156" t="inlineStr">
        <is>
          <t>Poliéster reciclado</t>
        </is>
      </c>
      <c r="T181" s="156" t="inlineStr">
        <is>
          <t>Short de golf REFLO modelo Icarian en color Sand, confeccionado con materiales reciclados. Estilo RM02202054.</t>
        </is>
      </c>
      <c r="U181" s="156" t="n"/>
      <c r="V181" s="156" t="inlineStr">
        <is>
          <t>PZS</t>
        </is>
      </c>
      <c r="W181" s="51" t="inlineStr">
        <is>
          <t>53101502</t>
        </is>
      </c>
      <c r="X181" s="156" t="inlineStr">
        <is>
          <t>https://i.ibb.co/nbyHFxS/RM02202054.jpg</t>
        </is>
      </c>
      <c r="Y181" s="54" t="n">
        <v>31.85</v>
      </c>
      <c r="Z181" s="54" t="n">
        <v>2349</v>
      </c>
      <c r="AA181" s="55">
        <f>IF(AND(A181="", B181="", E181=""), "", IF(AB181="", "Válido", IF((LEN(AB181)-LEN(SUBSTITUTE(AB181,"; ","")))/2+1&gt;(LEN(AB181)-LEN(SUBSTITUTE(AB181,"[Aviso]","")))/7, "Con Incidencias", "Válido")))</f>
        <v/>
      </c>
      <c r="AB181" s="56">
        <f>IF(AND(A181="", B181="", E181=""), "", TEXTJOIN("; ", TRUE, IF(OR(TRIM(A181&amp;"")="", ISNUMBER(SEARCH("FALTA", A181))), "UPC faltante/inválido", ""), IF(AND(A181&lt;&gt;"", IFERROR(_xlfn.XMATCH(A181,$A$2:$A$653,0,1)&lt;&gt;_xlfn.XMATCH(A181,$A$2:$A$653,0,-1),FALSE)), "Código de barras duplicado", ""), IF(AND(E181&lt;&gt;"", COUNTIF($E$2:$E$653, E181)&gt;1), "SKU duplicado", ""), IF(OR(J181="", J181=""), "[Aviso] División no capturada ()", IF(ISNA(MATCH(J181, Criterios!$A$123:$A$126, 0)), "División no válida", "")), IF(OR(K181="", K181=""), "[Aviso] Categoría no capturada ()", IF(ISNA(MATCH(K181, Criterios!$A$81:$A$120, 0)), "Categoría no válida", IF(AND(J181&lt;&gt;"", J181&lt;&gt;"", J181&lt;&gt;VLOOKUP(K181, Criterios!$A$81:$B$120, 2, FALSE)), "División no coincide con Categoría", ""))), IF(OR(L181="", L181=""), "[Aviso] Género no capturado ()", IF(ISNA(MATCH(L181, Criterios!$B$123:$B$127, 0)), "Género no válido", "")), IF(OR(N181="", N181=""), "[Aviso] Temporada no capturada ()", IF(ISNA(MATCH(N181, Criterios!$C$123:$C$128, 0)), "Temporada no válida", "")), IF(OR(O181="", O181=""), "[Aviso] Ciclo de vida no capturado ()", IF(ISNA(MATCH(O181, Criterios!$D$123:$D$124, 0)), "Ciclo de vida no válido", ""))))</f>
        <v/>
      </c>
      <c r="AC181" s="56" t="n"/>
      <c r="AD181" s="51" t="n">
        <v>62</v>
      </c>
      <c r="AE181" s="156" t="inlineStr">
        <is>
          <t>REFLO ALMACEN (35); MUESTRAS REFLO (1)</t>
        </is>
      </c>
      <c r="AF181" s="51" t="n">
        <v>63</v>
      </c>
      <c r="AG181" s="156" t="inlineStr">
        <is>
          <t>Nuevo – NetSuite con existencia</t>
        </is>
      </c>
      <c r="AH181" s="156" t="inlineStr">
        <is>
          <t>Composición: poliéster reciclado (validar % en etiqueta); Físico total NetSuite 62 ≠ suma por ubicación 34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1" s="156" t="inlineStr">
        <is>
          <t>Sí</t>
        </is>
      </c>
      <c r="AJ181" s="156" t="inlineStr">
        <is>
          <t>CONSIGNA REFLO (-2)</t>
        </is>
      </c>
      <c r="AK181" s="155" t="inlineStr">
        <is>
          <t>G1522ProductosTodosloscamposSandboxResults894.xlsx: fila 49310 [X,Y]; G1522_Extraccion_Articulos_NetSuite_2026-09-30.xlsx: fila 37550 [Z]</t>
        </is>
      </c>
      <c r="AL181" s="58" t="n">
        <v>31.85</v>
      </c>
      <c r="AM181" s="58" t="n"/>
      <c r="AN181" s="155" t="n"/>
      <c r="AO181" s="59" t="n"/>
      <c r="AP181" s="59" t="n"/>
      <c r="AQ181" s="59" t="n"/>
      <c r="AR181" s="155" t="n"/>
    </row>
    <row r="182">
      <c r="A182" s="50" t="inlineStr">
        <is>
          <t>5056658705106</t>
        </is>
      </c>
      <c r="B182" s="51" t="inlineStr">
        <is>
          <t>79218</t>
        </is>
      </c>
      <c r="C182" s="156" t="inlineStr">
        <is>
          <t>REFLO</t>
        </is>
      </c>
      <c r="D182" s="156" t="inlineStr">
        <is>
          <t>RM02202054</t>
        </is>
      </c>
      <c r="E182" s="156" t="inlineStr">
        <is>
          <t>RM02202054-36</t>
        </is>
      </c>
      <c r="F182" s="156" t="inlineStr">
        <is>
          <t>36</t>
        </is>
      </c>
      <c r="G182" s="156" t="inlineStr">
        <is>
          <t>36W</t>
        </is>
      </c>
      <c r="H182" s="156" t="inlineStr">
        <is>
          <t>REFLO</t>
        </is>
      </c>
      <c r="I182" s="156" t="inlineStr">
        <is>
          <t>Short REFLO Icarian Sand</t>
        </is>
      </c>
      <c r="J182" s="156" t="inlineStr">
        <is>
          <t>Ropa</t>
        </is>
      </c>
      <c r="K182" s="156" t="inlineStr">
        <is>
          <t>Shorts</t>
        </is>
      </c>
      <c r="L182" s="156" t="inlineStr">
        <is>
          <t>Hombre</t>
        </is>
      </c>
      <c r="M182" s="156" t="inlineStr">
        <is>
          <t>REFLO</t>
        </is>
      </c>
      <c r="N182" s="156" t="n"/>
      <c r="O182" s="156" t="n"/>
      <c r="P182" s="156" t="inlineStr">
        <is>
          <t>Beige</t>
        </is>
      </c>
      <c r="Q182" s="156" t="n"/>
      <c r="R182" s="156" t="n"/>
      <c r="S182" s="156" t="inlineStr">
        <is>
          <t>Poliéster reciclado</t>
        </is>
      </c>
      <c r="T182" s="156" t="inlineStr">
        <is>
          <t>Short de golf REFLO modelo Icarian en color Sand, confeccionado con materiales reciclados. Estilo RM02202054.</t>
        </is>
      </c>
      <c r="U182" s="156" t="n"/>
      <c r="V182" s="156" t="inlineStr">
        <is>
          <t>PZS</t>
        </is>
      </c>
      <c r="W182" s="51" t="inlineStr">
        <is>
          <t>53101502</t>
        </is>
      </c>
      <c r="X182" s="156" t="inlineStr">
        <is>
          <t>https://i.ibb.co/nbyHFxS/RM02202054.jpg</t>
        </is>
      </c>
      <c r="Y182" s="54" t="n">
        <v>31.85</v>
      </c>
      <c r="Z182" s="54" t="n">
        <v>2349</v>
      </c>
      <c r="AA182" s="55">
        <f>IF(AND(A182="", B182="", E182=""), "", IF(AB182="", "Válido", IF((LEN(AB182)-LEN(SUBSTITUTE(AB182,"; ","")))/2+1&gt;(LEN(AB182)-LEN(SUBSTITUTE(AB182,"[Aviso]","")))/7, "Con Incidencias", "Válido")))</f>
        <v/>
      </c>
      <c r="AB182" s="56">
        <f>IF(AND(A182="", B182="", E182=""), "", TEXTJOIN("; ", TRUE, IF(OR(TRIM(A182&amp;"")="", ISNUMBER(SEARCH("FALTA", A182))), "UPC faltante/inválido", ""), IF(AND(A182&lt;&gt;"", IFERROR(_xlfn.XMATCH(A182,$A$2:$A$653,0,1)&lt;&gt;_xlfn.XMATCH(A182,$A$2:$A$653,0,-1),FALSE)), "Código de barras duplicado", ""), IF(AND(E182&lt;&gt;"", COUNTIF($E$2:$E$653, E182)&gt;1), "SKU duplicado", ""), IF(OR(J182="", J182=""), "[Aviso] División no capturada ()", IF(ISNA(MATCH(J182, Criterios!$A$123:$A$126, 0)), "División no válida", "")), IF(OR(K182="", K182=""), "[Aviso] Categoría no capturada ()", IF(ISNA(MATCH(K182, Criterios!$A$81:$A$120, 0)), "Categoría no válida", IF(AND(J182&lt;&gt;"", J182&lt;&gt;"", J182&lt;&gt;VLOOKUP(K182, Criterios!$A$81:$B$120, 2, FALSE)), "División no coincide con Categoría", ""))), IF(OR(L182="", L182=""), "[Aviso] Género no capturado ()", IF(ISNA(MATCH(L182, Criterios!$B$123:$B$127, 0)), "Género no válido", "")), IF(OR(N182="", N182=""), "[Aviso] Temporada no capturada ()", IF(ISNA(MATCH(N182, Criterios!$C$123:$C$128, 0)), "Temporada no válida", "")), IF(OR(O182="", O182=""), "[Aviso] Ciclo de vida no capturado ()", IF(ISNA(MATCH(O182, Criterios!$D$123:$D$124, 0)), "Ciclo de vida no válido", ""))))</f>
        <v/>
      </c>
      <c r="AC182" s="56" t="n"/>
      <c r="AD182" s="51" t="n">
        <v>64</v>
      </c>
      <c r="AE182" s="156" t="inlineStr">
        <is>
          <t>REFLO ALMACEN (35)</t>
        </is>
      </c>
      <c r="AF182" s="51" t="n">
        <v>65</v>
      </c>
      <c r="AG182" s="156" t="inlineStr">
        <is>
          <t>Nuevo – NetSuite con existencia</t>
        </is>
      </c>
      <c r="AH182" s="156" t="inlineStr">
        <is>
          <t>Composición: poliéster reciclado (validar % en etiqueta); Físico total NetSuite 64 ≠ suma por ubicación 34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2" s="156" t="inlineStr">
        <is>
          <t>Sí</t>
        </is>
      </c>
      <c r="AJ182" s="156" t="inlineStr">
        <is>
          <t>CONSIGNA REFLO (-1)</t>
        </is>
      </c>
      <c r="AK182" s="155" t="inlineStr">
        <is>
          <t>G1522ProductosTodosloscamposSandboxResults894.xlsx: fila 49311 [X,Y]; G1522_Extraccion_Articulos_NetSuite_2026-09-30.xlsx: fila 37551 [Z]</t>
        </is>
      </c>
      <c r="AL182" s="58" t="n">
        <v>31.85</v>
      </c>
      <c r="AM182" s="58" t="n"/>
      <c r="AN182" s="155" t="n"/>
      <c r="AO182" s="59" t="n"/>
      <c r="AP182" s="59" t="n"/>
      <c r="AQ182" s="59" t="n"/>
      <c r="AR182" s="155" t="n"/>
    </row>
    <row r="183">
      <c r="A183" s="50" t="inlineStr">
        <is>
          <t>5056658705113</t>
        </is>
      </c>
      <c r="B183" s="51" t="inlineStr">
        <is>
          <t>79219</t>
        </is>
      </c>
      <c r="C183" s="156" t="inlineStr">
        <is>
          <t>REFLO</t>
        </is>
      </c>
      <c r="D183" s="156" t="inlineStr">
        <is>
          <t>RM02202054</t>
        </is>
      </c>
      <c r="E183" s="156" t="inlineStr">
        <is>
          <t>RM02202054-38</t>
        </is>
      </c>
      <c r="F183" s="156" t="inlineStr">
        <is>
          <t>38</t>
        </is>
      </c>
      <c r="G183" s="156" t="inlineStr">
        <is>
          <t>38W</t>
        </is>
      </c>
      <c r="H183" s="156" t="inlineStr">
        <is>
          <t>REFLO</t>
        </is>
      </c>
      <c r="I183" s="156" t="inlineStr">
        <is>
          <t>Short REFLO Icarian Sand</t>
        </is>
      </c>
      <c r="J183" s="156" t="inlineStr">
        <is>
          <t>Ropa</t>
        </is>
      </c>
      <c r="K183" s="156" t="inlineStr">
        <is>
          <t>Shorts</t>
        </is>
      </c>
      <c r="L183" s="156" t="inlineStr">
        <is>
          <t>Hombre</t>
        </is>
      </c>
      <c r="M183" s="156" t="inlineStr">
        <is>
          <t>REFLO</t>
        </is>
      </c>
      <c r="N183" s="156" t="n"/>
      <c r="O183" s="156" t="n"/>
      <c r="P183" s="156" t="inlineStr">
        <is>
          <t>Beige</t>
        </is>
      </c>
      <c r="Q183" s="156" t="n"/>
      <c r="R183" s="156" t="n"/>
      <c r="S183" s="156" t="inlineStr">
        <is>
          <t>Poliéster reciclado</t>
        </is>
      </c>
      <c r="T183" s="156" t="inlineStr">
        <is>
          <t>Short de golf REFLO modelo Icarian en color Sand, confeccionado con materiales reciclados. Estilo RM02202054.</t>
        </is>
      </c>
      <c r="U183" s="156" t="n"/>
      <c r="V183" s="156" t="inlineStr">
        <is>
          <t>PZS</t>
        </is>
      </c>
      <c r="W183" s="51" t="inlineStr">
        <is>
          <t>53101502</t>
        </is>
      </c>
      <c r="X183" s="156" t="inlineStr">
        <is>
          <t>https://i.ibb.co/nbyHFxS/RM02202054.jpg</t>
        </is>
      </c>
      <c r="Y183" s="54" t="n">
        <v>31.85</v>
      </c>
      <c r="Z183" s="54" t="n">
        <v>2349</v>
      </c>
      <c r="AA183" s="55">
        <f>IF(AND(A183="", B183="", E183=""), "", IF(AB183="", "Válido", IF((LEN(AB183)-LEN(SUBSTITUTE(AB183,"; ","")))/2+1&gt;(LEN(AB183)-LEN(SUBSTITUTE(AB183,"[Aviso]","")))/7, "Con Incidencias", "Válido")))</f>
        <v/>
      </c>
      <c r="AB183" s="56">
        <f>IF(AND(A183="", B183="", E183=""), "", TEXTJOIN("; ", TRUE, IF(OR(TRIM(A183&amp;"")="", ISNUMBER(SEARCH("FALTA", A183))), "UPC faltante/inválido", ""), IF(AND(A183&lt;&gt;"", IFERROR(_xlfn.XMATCH(A183,$A$2:$A$653,0,1)&lt;&gt;_xlfn.XMATCH(A183,$A$2:$A$653,0,-1),FALSE)), "Código de barras duplicado", ""), IF(AND(E183&lt;&gt;"", COUNTIF($E$2:$E$653, E183)&gt;1), "SKU duplicado", ""), IF(OR(J183="", J183=""), "[Aviso] División no capturada ()", IF(ISNA(MATCH(J183, Criterios!$A$123:$A$126, 0)), "División no válida", "")), IF(OR(K183="", K183=""), "[Aviso] Categoría no capturada ()", IF(ISNA(MATCH(K183, Criterios!$A$81:$A$120, 0)), "Categoría no válida", IF(AND(J183&lt;&gt;"", J183&lt;&gt;"", J183&lt;&gt;VLOOKUP(K183, Criterios!$A$81:$B$120, 2, FALSE)), "División no coincide con Categoría", ""))), IF(OR(L183="", L183=""), "[Aviso] Género no capturado ()", IF(ISNA(MATCH(L183, Criterios!$B$123:$B$127, 0)), "Género no válido", "")), IF(OR(N183="", N183=""), "[Aviso] Temporada no capturada ()", IF(ISNA(MATCH(N183, Criterios!$C$123:$C$128, 0)), "Temporada no válida", "")), IF(OR(O183="", O183=""), "[Aviso] Ciclo de vida no capturado ()", IF(ISNA(MATCH(O183, Criterios!$D$123:$D$124, 0)), "Ciclo de vida no válido", ""))))</f>
        <v/>
      </c>
      <c r="AC183" s="56" t="n"/>
      <c r="AD183" s="51" t="n">
        <v>5</v>
      </c>
      <c r="AE183" s="156" t="inlineStr">
        <is>
          <t>REFLO ALMACEN (4)</t>
        </is>
      </c>
      <c r="AF183" s="51" t="n">
        <v>5</v>
      </c>
      <c r="AG183" s="156" t="inlineStr">
        <is>
          <t>Nuevo – NetSuite con existencia</t>
        </is>
      </c>
      <c r="AH183" s="156" t="inlineStr">
        <is>
          <t>Composición: poliéster reciclado (validar % en etiqueta); Físico total NetSuite 5 ≠ suma por ubicación 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3" s="156" t="inlineStr">
        <is>
          <t>No</t>
        </is>
      </c>
      <c r="AJ183" s="156" t="n"/>
      <c r="AK183" s="155" t="inlineStr">
        <is>
          <t>G1522ProductosTodosloscamposSandboxResults894.xlsx: fila 49312 [X,Y]; G1522_Extraccion_Articulos_NetSuite_2026-09-30.xlsx: fila 37552 [Z]</t>
        </is>
      </c>
      <c r="AL183" s="58" t="n">
        <v>31.85</v>
      </c>
      <c r="AM183" s="58" t="n"/>
      <c r="AN183" s="155" t="n"/>
      <c r="AO183" s="59" t="n"/>
      <c r="AP183" s="59" t="n"/>
      <c r="AQ183" s="59" t="n"/>
      <c r="AR183" s="155" t="n"/>
    </row>
    <row r="184">
      <c r="A184" s="50" t="inlineStr">
        <is>
          <t>5056658705120</t>
        </is>
      </c>
      <c r="B184" s="51" t="inlineStr">
        <is>
          <t>84407</t>
        </is>
      </c>
      <c r="C184" s="156" t="inlineStr">
        <is>
          <t>REFLO</t>
        </is>
      </c>
      <c r="D184" s="156" t="inlineStr">
        <is>
          <t>RM02202054</t>
        </is>
      </c>
      <c r="E184" s="156" t="inlineStr">
        <is>
          <t>RM02202054-40</t>
        </is>
      </c>
      <c r="F184" s="156" t="inlineStr">
        <is>
          <t>40</t>
        </is>
      </c>
      <c r="G184" s="156" t="inlineStr">
        <is>
          <t>40W</t>
        </is>
      </c>
      <c r="H184" s="156" t="inlineStr">
        <is>
          <t>REFLO</t>
        </is>
      </c>
      <c r="I184" s="156" t="inlineStr">
        <is>
          <t>Short REFLO Icarian Sand</t>
        </is>
      </c>
      <c r="J184" s="156" t="inlineStr">
        <is>
          <t>Ropa</t>
        </is>
      </c>
      <c r="K184" s="156" t="inlineStr">
        <is>
          <t>Shorts</t>
        </is>
      </c>
      <c r="L184" s="156" t="inlineStr">
        <is>
          <t>Hombre</t>
        </is>
      </c>
      <c r="M184" s="156" t="inlineStr">
        <is>
          <t>REFLO</t>
        </is>
      </c>
      <c r="N184" s="156" t="n"/>
      <c r="O184" s="156" t="n"/>
      <c r="P184" s="156" t="inlineStr">
        <is>
          <t>Beige</t>
        </is>
      </c>
      <c r="Q184" s="156" t="n"/>
      <c r="R184" s="156" t="n"/>
      <c r="S184" s="156" t="inlineStr">
        <is>
          <t>Poliéster reciclado</t>
        </is>
      </c>
      <c r="T184" s="156" t="inlineStr">
        <is>
          <t>Short de golf REFLO modelo Icarian en color Sand, confeccionado con materiales reciclados. Estilo RM02202054.</t>
        </is>
      </c>
      <c r="U184" s="156" t="n"/>
      <c r="V184" s="156" t="inlineStr">
        <is>
          <t>PZS</t>
        </is>
      </c>
      <c r="W184" s="51" t="inlineStr">
        <is>
          <t>53101502</t>
        </is>
      </c>
      <c r="X184" s="156" t="inlineStr">
        <is>
          <t>https://i.ibb.co/nbyHFxS/RM02202054.jpg</t>
        </is>
      </c>
      <c r="Y184" s="54" t="n">
        <v>31.85</v>
      </c>
      <c r="Z184" s="54" t="n">
        <v>2349</v>
      </c>
      <c r="AA184" s="55">
        <f>IF(AND(A184="", B184="", E184=""), "", IF(AB184="", "Válido", IF((LEN(AB184)-LEN(SUBSTITUTE(AB184,"; ","")))/2+1&gt;(LEN(AB184)-LEN(SUBSTITUTE(AB184,"[Aviso]","")))/7, "Con Incidencias", "Válido")))</f>
        <v/>
      </c>
      <c r="AB184" s="56">
        <f>IF(AND(A184="", B184="", E184=""), "", TEXTJOIN("; ", TRUE, IF(OR(TRIM(A184&amp;"")="", ISNUMBER(SEARCH("FALTA", A184))), "UPC faltante/inválido", ""), IF(AND(A184&lt;&gt;"", IFERROR(_xlfn.XMATCH(A184,$A$2:$A$653,0,1)&lt;&gt;_xlfn.XMATCH(A184,$A$2:$A$653,0,-1),FALSE)), "Código de barras duplicado", ""), IF(AND(E184&lt;&gt;"", COUNTIF($E$2:$E$653, E184)&gt;1), "SKU duplicado", ""), IF(OR(J184="", J184=""), "[Aviso] División no capturada ()", IF(ISNA(MATCH(J184, Criterios!$A$123:$A$126, 0)), "División no válida", "")), IF(OR(K184="", K184=""), "[Aviso] Categoría no capturada ()", IF(ISNA(MATCH(K184, Criterios!$A$81:$A$120, 0)), "Categoría no válida", IF(AND(J184&lt;&gt;"", J184&lt;&gt;"", J184&lt;&gt;VLOOKUP(K184, Criterios!$A$81:$B$120, 2, FALSE)), "División no coincide con Categoría", ""))), IF(OR(L184="", L184=""), "[Aviso] Género no capturado ()", IF(ISNA(MATCH(L184, Criterios!$B$123:$B$127, 0)), "Género no válido", "")), IF(OR(N184="", N184=""), "[Aviso] Temporada no capturada ()", IF(ISNA(MATCH(N184, Criterios!$C$123:$C$128, 0)), "Temporada no válida", "")), IF(OR(O184="", O184=""), "[Aviso] Ciclo de vida no capturado ()", IF(ISNA(MATCH(O184, Criterios!$D$123:$D$124, 0)), "Ciclo de vida no válido", ""))))</f>
        <v/>
      </c>
      <c r="AC184" s="56" t="n"/>
      <c r="AD184" s="51" t="n">
        <v>13</v>
      </c>
      <c r="AE184" s="156" t="inlineStr">
        <is>
          <t>REFLO ALMACEN (7)</t>
        </is>
      </c>
      <c r="AF184" s="51" t="n">
        <v>13</v>
      </c>
      <c r="AG184" s="156" t="inlineStr">
        <is>
          <t>Nuevo – NetSuite con existencia</t>
        </is>
      </c>
      <c r="AH184" s="156" t="inlineStr">
        <is>
          <t>Composición: poliéster reciclado (validar % en etiqueta); Físico total NetSuite 13 ≠ suma por ubicación 7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4" s="156" t="inlineStr">
        <is>
          <t>No</t>
        </is>
      </c>
      <c r="AJ184" s="156" t="n"/>
      <c r="AK184" s="155" t="inlineStr">
        <is>
          <t>G1522ProductosTodosloscamposSandboxResults894.xlsx: fila 49313 [X,Y]; G1522_Extraccion_Articulos_NetSuite_2026-09-30.xlsx: fila 39576 [Z]</t>
        </is>
      </c>
      <c r="AL184" s="58" t="n">
        <v>31.85</v>
      </c>
      <c r="AM184" s="58" t="n"/>
      <c r="AN184" s="155" t="n"/>
      <c r="AO184" s="59" t="n"/>
      <c r="AP184" s="59" t="n"/>
      <c r="AQ184" s="59" t="n"/>
      <c r="AR184" s="155" t="n"/>
    </row>
    <row r="185">
      <c r="A185" s="50" t="inlineStr">
        <is>
          <t>5056658705281</t>
        </is>
      </c>
      <c r="B185" s="51" t="inlineStr">
        <is>
          <t>79220</t>
        </is>
      </c>
      <c r="C185" s="156" t="inlineStr">
        <is>
          <t>REFLO</t>
        </is>
      </c>
      <c r="D185" s="156" t="inlineStr">
        <is>
          <t>RM02202068</t>
        </is>
      </c>
      <c r="E185" s="156" t="inlineStr">
        <is>
          <t>RM02202068-30</t>
        </is>
      </c>
      <c r="F185" s="156" t="inlineStr">
        <is>
          <t>30</t>
        </is>
      </c>
      <c r="G185" s="156" t="inlineStr">
        <is>
          <t>30W</t>
        </is>
      </c>
      <c r="H185" s="156" t="inlineStr">
        <is>
          <t>REFLO</t>
        </is>
      </c>
      <c r="I185" s="156" t="inlineStr">
        <is>
          <t>Short REFLO Icarian Medieval Blue</t>
        </is>
      </c>
      <c r="J185" s="156" t="inlineStr">
        <is>
          <t>Ropa</t>
        </is>
      </c>
      <c r="K185" s="156" t="inlineStr">
        <is>
          <t>Shorts</t>
        </is>
      </c>
      <c r="L185" s="156" t="inlineStr">
        <is>
          <t>Hombre</t>
        </is>
      </c>
      <c r="M185" s="156" t="inlineStr">
        <is>
          <t>REFLO</t>
        </is>
      </c>
      <c r="N185" s="156" t="n"/>
      <c r="O185" s="156" t="n"/>
      <c r="P185" s="156" t="inlineStr">
        <is>
          <t>Azul</t>
        </is>
      </c>
      <c r="Q185" s="156" t="n"/>
      <c r="R185" s="156" t="n"/>
      <c r="S185" s="156" t="inlineStr">
        <is>
          <t>Poliéster reciclado</t>
        </is>
      </c>
      <c r="T185" s="156" t="inlineStr">
        <is>
          <t>Short de golf REFLO modelo Icarian en color Medieval Blue, confeccionado con materiales reciclados. Estilo RM02202068.</t>
        </is>
      </c>
      <c r="U185" s="156" t="n"/>
      <c r="V185" s="156" t="inlineStr">
        <is>
          <t>PZS</t>
        </is>
      </c>
      <c r="W185" s="51" t="inlineStr">
        <is>
          <t>53101502</t>
        </is>
      </c>
      <c r="X185" s="156" t="inlineStr">
        <is>
          <t>https://i.ibb.co/XFYJfKW/RM02202068.jpg</t>
        </is>
      </c>
      <c r="Y185" s="54" t="n">
        <v>31.85</v>
      </c>
      <c r="Z185" s="54" t="n">
        <v>2349</v>
      </c>
      <c r="AA185" s="55">
        <f>IF(AND(A185="", B185="", E185=""), "", IF(AB185="", "Válido", IF((LEN(AB185)-LEN(SUBSTITUTE(AB185,"; ","")))/2+1&gt;(LEN(AB185)-LEN(SUBSTITUTE(AB185,"[Aviso]","")))/7, "Con Incidencias", "Válido")))</f>
        <v/>
      </c>
      <c r="AB185" s="56">
        <f>IF(AND(A185="", B185="", E185=""), "", TEXTJOIN("; ", TRUE, IF(OR(TRIM(A185&amp;"")="", ISNUMBER(SEARCH("FALTA", A185))), "UPC faltante/inválido", ""), IF(AND(A185&lt;&gt;"", IFERROR(_xlfn.XMATCH(A185,$A$2:$A$653,0,1)&lt;&gt;_xlfn.XMATCH(A185,$A$2:$A$653,0,-1),FALSE)), "Código de barras duplicado", ""), IF(AND(E185&lt;&gt;"", COUNTIF($E$2:$E$653, E185)&gt;1), "SKU duplicado", ""), IF(OR(J185="", J185=""), "[Aviso] División no capturada ()", IF(ISNA(MATCH(J185, Criterios!$A$123:$A$126, 0)), "División no válida", "")), IF(OR(K185="", K185=""), "[Aviso] Categoría no capturada ()", IF(ISNA(MATCH(K185, Criterios!$A$81:$A$120, 0)), "Categoría no válida", IF(AND(J185&lt;&gt;"", J185&lt;&gt;"", J185&lt;&gt;VLOOKUP(K185, Criterios!$A$81:$B$120, 2, FALSE)), "División no coincide con Categoría", ""))), IF(OR(L185="", L185=""), "[Aviso] Género no capturado ()", IF(ISNA(MATCH(L185, Criterios!$B$123:$B$127, 0)), "Género no válido", "")), IF(OR(N185="", N185=""), "[Aviso] Temporada no capturada ()", IF(ISNA(MATCH(N185, Criterios!$C$123:$C$128, 0)), "Temporada no válida", "")), IF(OR(O185="", O185=""), "[Aviso] Ciclo de vida no capturado ()", IF(ISNA(MATCH(O185, Criterios!$D$123:$D$124, 0)), "Ciclo de vida no válido", ""))))</f>
        <v/>
      </c>
      <c r="AC185" s="56" t="n"/>
      <c r="AD185" s="51" t="n">
        <v>9</v>
      </c>
      <c r="AE185" s="156" t="inlineStr">
        <is>
          <t>REFLO ALMACEN (7)</t>
        </is>
      </c>
      <c r="AF185" s="51" t="n">
        <v>10</v>
      </c>
      <c r="AG185" s="156" t="inlineStr">
        <is>
          <t>Nuevo – NetSuite con existencia</t>
        </is>
      </c>
      <c r="AH185" s="156" t="inlineStr">
        <is>
          <t>Composición: poliéster reciclado (validar % en etiqueta); Físico total NetSuite 9 ≠ suma por ubicación 6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5" s="156" t="inlineStr">
        <is>
          <t>Sí</t>
        </is>
      </c>
      <c r="AJ185" s="156" t="inlineStr">
        <is>
          <t>CONSIGNA REFLO (-1)</t>
        </is>
      </c>
      <c r="AK185" s="155" t="inlineStr">
        <is>
          <t>G1522ProductosTodosloscamposSandboxResults894.xlsx: fila 49294 [X,Y]; G1522_Extraccion_Articulos_NetSuite_2026-09-30.xlsx: fila 37553 [Z]</t>
        </is>
      </c>
      <c r="AL185" s="58" t="n">
        <v>31.85</v>
      </c>
      <c r="AM185" s="58" t="n"/>
      <c r="AN185" s="155" t="n"/>
      <c r="AO185" s="59" t="n"/>
      <c r="AP185" s="59" t="n"/>
      <c r="AQ185" s="59" t="n"/>
      <c r="AR185" s="155" t="n"/>
    </row>
    <row r="186">
      <c r="A186" s="50" t="inlineStr">
        <is>
          <t>5056658705298</t>
        </is>
      </c>
      <c r="B186" s="51" t="inlineStr">
        <is>
          <t>79221</t>
        </is>
      </c>
      <c r="C186" s="156" t="inlineStr">
        <is>
          <t>REFLO</t>
        </is>
      </c>
      <c r="D186" s="156" t="inlineStr">
        <is>
          <t>RM02202068</t>
        </is>
      </c>
      <c r="E186" s="156" t="inlineStr">
        <is>
          <t>RM02202068-32</t>
        </is>
      </c>
      <c r="F186" s="156" t="inlineStr">
        <is>
          <t>32</t>
        </is>
      </c>
      <c r="G186" s="156" t="inlineStr">
        <is>
          <t>32W</t>
        </is>
      </c>
      <c r="H186" s="156" t="inlineStr">
        <is>
          <t>REFLO</t>
        </is>
      </c>
      <c r="I186" s="156" t="inlineStr">
        <is>
          <t>Short REFLO Icarian Medieval Blue</t>
        </is>
      </c>
      <c r="J186" s="156" t="inlineStr">
        <is>
          <t>Ropa</t>
        </is>
      </c>
      <c r="K186" s="156" t="inlineStr">
        <is>
          <t>Shorts</t>
        </is>
      </c>
      <c r="L186" s="156" t="inlineStr">
        <is>
          <t>Hombre</t>
        </is>
      </c>
      <c r="M186" s="156" t="inlineStr">
        <is>
          <t>REFLO</t>
        </is>
      </c>
      <c r="N186" s="156" t="n"/>
      <c r="O186" s="156" t="n"/>
      <c r="P186" s="156" t="inlineStr">
        <is>
          <t>Azul</t>
        </is>
      </c>
      <c r="Q186" s="156" t="n"/>
      <c r="R186" s="156" t="n"/>
      <c r="S186" s="156" t="inlineStr">
        <is>
          <t>Poliéster reciclado</t>
        </is>
      </c>
      <c r="T186" s="156" t="inlineStr">
        <is>
          <t>Short de golf REFLO modelo Icarian en color Medieval Blue, confeccionado con materiales reciclados. Estilo RM02202068.</t>
        </is>
      </c>
      <c r="U186" s="156" t="n"/>
      <c r="V186" s="156" t="inlineStr">
        <is>
          <t>PZS</t>
        </is>
      </c>
      <c r="W186" s="51" t="inlineStr">
        <is>
          <t>53101502</t>
        </is>
      </c>
      <c r="X186" s="156" t="inlineStr">
        <is>
          <t>https://i.ibb.co/XFYJfKW/RM02202068.jpg</t>
        </is>
      </c>
      <c r="Y186" s="54" t="n">
        <v>31.85</v>
      </c>
      <c r="Z186" s="54" t="n">
        <v>2349</v>
      </c>
      <c r="AA186" s="55">
        <f>IF(AND(A186="", B186="", E186=""), "", IF(AB186="", "Válido", IF((LEN(AB186)-LEN(SUBSTITUTE(AB186,"; ","")))/2+1&gt;(LEN(AB186)-LEN(SUBSTITUTE(AB186,"[Aviso]","")))/7, "Con Incidencias", "Válido")))</f>
        <v/>
      </c>
      <c r="AB186" s="56">
        <f>IF(AND(A186="", B186="", E186=""), "", TEXTJOIN("; ", TRUE, IF(OR(TRIM(A186&amp;"")="", ISNUMBER(SEARCH("FALTA", A186))), "UPC faltante/inválido", ""), IF(AND(A186&lt;&gt;"", IFERROR(_xlfn.XMATCH(A186,$A$2:$A$653,0,1)&lt;&gt;_xlfn.XMATCH(A186,$A$2:$A$653,0,-1),FALSE)), "Código de barras duplicado", ""), IF(AND(E186&lt;&gt;"", COUNTIF($E$2:$E$653, E186)&gt;1), "SKU duplicado", ""), IF(OR(J186="", J186=""), "[Aviso] División no capturada ()", IF(ISNA(MATCH(J186, Criterios!$A$123:$A$126, 0)), "División no válida", "")), IF(OR(K186="", K186=""), "[Aviso] Categoría no capturada ()", IF(ISNA(MATCH(K186, Criterios!$A$81:$A$120, 0)), "Categoría no válida", IF(AND(J186&lt;&gt;"", J186&lt;&gt;"", J186&lt;&gt;VLOOKUP(K186, Criterios!$A$81:$B$120, 2, FALSE)), "División no coincide con Categoría", ""))), IF(OR(L186="", L186=""), "[Aviso] Género no capturado ()", IF(ISNA(MATCH(L186, Criterios!$B$123:$B$127, 0)), "Género no válido", "")), IF(OR(N186="", N186=""), "[Aviso] Temporada no capturada ()", IF(ISNA(MATCH(N186, Criterios!$C$123:$C$128, 0)), "Temporada no válida", "")), IF(OR(O186="", O186=""), "[Aviso] Ciclo de vida no capturado ()", IF(ISNA(MATCH(O186, Criterios!$D$123:$D$124, 0)), "Ciclo de vida no válido", ""))))</f>
        <v/>
      </c>
      <c r="AC186" s="56" t="n"/>
      <c r="AD186" s="51" t="n">
        <v>10</v>
      </c>
      <c r="AE186" s="156" t="inlineStr">
        <is>
          <t>REFLO ALMACEN (8)</t>
        </is>
      </c>
      <c r="AF186" s="51" t="n">
        <v>10</v>
      </c>
      <c r="AG186" s="156" t="inlineStr">
        <is>
          <t>Nuevo – NetSuite con existencia</t>
        </is>
      </c>
      <c r="AH186" s="156" t="inlineStr">
        <is>
          <t>Composición: poliéster reciclado (validar % en etiqueta); Físico total NetSuite 10 ≠ suma por ubicación 8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6" s="156" t="inlineStr">
        <is>
          <t>No</t>
        </is>
      </c>
      <c r="AJ186" s="156" t="n"/>
      <c r="AK186" s="155" t="inlineStr">
        <is>
          <t>G1522ProductosTodosloscamposSandboxResults894.xlsx: fila 49295 [X,Y]; G1522_Extraccion_Articulos_NetSuite_2026-09-30.xlsx: fila 37554 [Z]</t>
        </is>
      </c>
      <c r="AL186" s="58" t="n">
        <v>31.85</v>
      </c>
      <c r="AM186" s="58" t="n"/>
      <c r="AN186" s="155" t="n"/>
      <c r="AO186" s="59" t="n"/>
      <c r="AP186" s="59" t="n"/>
      <c r="AQ186" s="59" t="n"/>
      <c r="AR186" s="155" t="n"/>
    </row>
    <row r="187">
      <c r="A187" s="50" t="inlineStr">
        <is>
          <t>5056658705304</t>
        </is>
      </c>
      <c r="B187" s="51" t="inlineStr">
        <is>
          <t>79222</t>
        </is>
      </c>
      <c r="C187" s="156" t="inlineStr">
        <is>
          <t>REFLO</t>
        </is>
      </c>
      <c r="D187" s="156" t="inlineStr">
        <is>
          <t>RM02202068</t>
        </is>
      </c>
      <c r="E187" s="156" t="inlineStr">
        <is>
          <t>RM02202068-34</t>
        </is>
      </c>
      <c r="F187" s="156" t="inlineStr">
        <is>
          <t>34</t>
        </is>
      </c>
      <c r="G187" s="156" t="inlineStr">
        <is>
          <t>34W</t>
        </is>
      </c>
      <c r="H187" s="156" t="inlineStr">
        <is>
          <t>REFLO</t>
        </is>
      </c>
      <c r="I187" s="156" t="inlineStr">
        <is>
          <t>Short REFLO Icarian Medieval Blue</t>
        </is>
      </c>
      <c r="J187" s="156" t="inlineStr">
        <is>
          <t>Ropa</t>
        </is>
      </c>
      <c r="K187" s="156" t="inlineStr">
        <is>
          <t>Shorts</t>
        </is>
      </c>
      <c r="L187" s="156" t="inlineStr">
        <is>
          <t>Hombre</t>
        </is>
      </c>
      <c r="M187" s="156" t="inlineStr">
        <is>
          <t>REFLO</t>
        </is>
      </c>
      <c r="N187" s="156" t="n"/>
      <c r="O187" s="156" t="n"/>
      <c r="P187" s="156" t="inlineStr">
        <is>
          <t>Azul</t>
        </is>
      </c>
      <c r="Q187" s="156" t="n"/>
      <c r="R187" s="156" t="n"/>
      <c r="S187" s="156" t="inlineStr">
        <is>
          <t>Poliéster reciclado</t>
        </is>
      </c>
      <c r="T187" s="156" t="inlineStr">
        <is>
          <t>Short de golf REFLO modelo Icarian en color Medieval Blue, confeccionado con materiales reciclados. Estilo RM02202068.</t>
        </is>
      </c>
      <c r="U187" s="156" t="n"/>
      <c r="V187" s="156" t="inlineStr">
        <is>
          <t>PZS</t>
        </is>
      </c>
      <c r="W187" s="51" t="inlineStr">
        <is>
          <t>53101502</t>
        </is>
      </c>
      <c r="X187" s="156" t="inlineStr">
        <is>
          <t>https://i.ibb.co/XFYJfKW/RM02202068.jpg</t>
        </is>
      </c>
      <c r="Y187" s="54" t="n">
        <v>31.85</v>
      </c>
      <c r="Z187" s="54" t="n">
        <v>2349</v>
      </c>
      <c r="AA187" s="55">
        <f>IF(AND(A187="", B187="", E187=""), "", IF(AB187="", "Válido", IF((LEN(AB187)-LEN(SUBSTITUTE(AB187,"; ","")))/2+1&gt;(LEN(AB187)-LEN(SUBSTITUTE(AB187,"[Aviso]","")))/7, "Con Incidencias", "Válido")))</f>
        <v/>
      </c>
      <c r="AB187" s="56">
        <f>IF(AND(A187="", B187="", E187=""), "", TEXTJOIN("; ", TRUE, IF(OR(TRIM(A187&amp;"")="", ISNUMBER(SEARCH("FALTA", A187))), "UPC faltante/inválido", ""), IF(AND(A187&lt;&gt;"", IFERROR(_xlfn.XMATCH(A187,$A$2:$A$653,0,1)&lt;&gt;_xlfn.XMATCH(A187,$A$2:$A$653,0,-1),FALSE)), "Código de barras duplicado", ""), IF(AND(E187&lt;&gt;"", COUNTIF($E$2:$E$653, E187)&gt;1), "SKU duplicado", ""), IF(OR(J187="", J187=""), "[Aviso] División no capturada ()", IF(ISNA(MATCH(J187, Criterios!$A$123:$A$126, 0)), "División no válida", "")), IF(OR(K187="", K187=""), "[Aviso] Categoría no capturada ()", IF(ISNA(MATCH(K187, Criterios!$A$81:$A$120, 0)), "Categoría no válida", IF(AND(J187&lt;&gt;"", J187&lt;&gt;"", J187&lt;&gt;VLOOKUP(K187, Criterios!$A$81:$B$120, 2, FALSE)), "División no coincide con Categoría", ""))), IF(OR(L187="", L187=""), "[Aviso] Género no capturado ()", IF(ISNA(MATCH(L187, Criterios!$B$123:$B$127, 0)), "Género no válido", "")), IF(OR(N187="", N187=""), "[Aviso] Temporada no capturada ()", IF(ISNA(MATCH(N187, Criterios!$C$123:$C$128, 0)), "Temporada no válida", "")), IF(OR(O187="", O187=""), "[Aviso] Ciclo de vida no capturado ()", IF(ISNA(MATCH(O187, Criterios!$D$123:$D$124, 0)), "Ciclo de vida no válido", ""))))</f>
        <v/>
      </c>
      <c r="AC187" s="56" t="n"/>
      <c r="AD187" s="51" t="n">
        <v>38</v>
      </c>
      <c r="AE187" s="156" t="inlineStr">
        <is>
          <t>REFLO ALMACEN (22); MUESTRAS REFLO (1)</t>
        </is>
      </c>
      <c r="AF187" s="51" t="n">
        <v>39</v>
      </c>
      <c r="AG187" s="156" t="inlineStr">
        <is>
          <t>Nuevo – NetSuite con existencia</t>
        </is>
      </c>
      <c r="AH187" s="156" t="inlineStr">
        <is>
          <t>Composición: poliéster reciclado (validar % en etiqueta); Físico total NetSuite 38 ≠ suma por ubicación 21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7" s="156" t="inlineStr">
        <is>
          <t>Sí</t>
        </is>
      </c>
      <c r="AJ187" s="156" t="inlineStr">
        <is>
          <t>CONSIGNA REFLO (-2)</t>
        </is>
      </c>
      <c r="AK187" s="155" t="inlineStr">
        <is>
          <t>G1522ProductosTodosloscamposSandboxResults894.xlsx: fila 49296 [X,Y]; G1522_Extraccion_Articulos_NetSuite_2026-09-30.xlsx: fila 37555 [Z]</t>
        </is>
      </c>
      <c r="AL187" s="58" t="n">
        <v>31.85</v>
      </c>
      <c r="AM187" s="58" t="n"/>
      <c r="AN187" s="155" t="n"/>
      <c r="AO187" s="59" t="n"/>
      <c r="AP187" s="59" t="n"/>
      <c r="AQ187" s="59" t="n"/>
      <c r="AR187" s="155" t="n"/>
    </row>
    <row r="188">
      <c r="A188" s="50" t="inlineStr">
        <is>
          <t>5056658705311</t>
        </is>
      </c>
      <c r="B188" s="51" t="inlineStr">
        <is>
          <t>79223</t>
        </is>
      </c>
      <c r="C188" s="156" t="inlineStr">
        <is>
          <t>REFLO</t>
        </is>
      </c>
      <c r="D188" s="156" t="inlineStr">
        <is>
          <t>RM02202068</t>
        </is>
      </c>
      <c r="E188" s="156" t="inlineStr">
        <is>
          <t>RM02202068-36</t>
        </is>
      </c>
      <c r="F188" s="156" t="inlineStr">
        <is>
          <t>36</t>
        </is>
      </c>
      <c r="G188" s="156" t="inlineStr">
        <is>
          <t>36W</t>
        </is>
      </c>
      <c r="H188" s="156" t="inlineStr">
        <is>
          <t>REFLO</t>
        </is>
      </c>
      <c r="I188" s="156" t="inlineStr">
        <is>
          <t>Short REFLO Icarian Medieval Blue</t>
        </is>
      </c>
      <c r="J188" s="156" t="inlineStr">
        <is>
          <t>Ropa</t>
        </is>
      </c>
      <c r="K188" s="156" t="inlineStr">
        <is>
          <t>Shorts</t>
        </is>
      </c>
      <c r="L188" s="156" t="inlineStr">
        <is>
          <t>Hombre</t>
        </is>
      </c>
      <c r="M188" s="156" t="inlineStr">
        <is>
          <t>REFLO</t>
        </is>
      </c>
      <c r="N188" s="156" t="n"/>
      <c r="O188" s="156" t="n"/>
      <c r="P188" s="156" t="inlineStr">
        <is>
          <t>Azul</t>
        </is>
      </c>
      <c r="Q188" s="156" t="n"/>
      <c r="R188" s="156" t="n"/>
      <c r="S188" s="156" t="inlineStr">
        <is>
          <t>Poliéster reciclado</t>
        </is>
      </c>
      <c r="T188" s="156" t="inlineStr">
        <is>
          <t>Short de golf REFLO modelo Icarian en color Medieval Blue, confeccionado con materiales reciclados. Estilo RM02202068.</t>
        </is>
      </c>
      <c r="U188" s="156" t="n"/>
      <c r="V188" s="156" t="inlineStr">
        <is>
          <t>PZS</t>
        </is>
      </c>
      <c r="W188" s="51" t="inlineStr">
        <is>
          <t>53101502</t>
        </is>
      </c>
      <c r="X188" s="156" t="inlineStr">
        <is>
          <t>https://i.ibb.co/XFYJfKW/RM02202068.jpg</t>
        </is>
      </c>
      <c r="Y188" s="54" t="n">
        <v>31.85</v>
      </c>
      <c r="Z188" s="54" t="n">
        <v>2349</v>
      </c>
      <c r="AA188" s="55">
        <f>IF(AND(A188="", B188="", E188=""), "", IF(AB188="", "Válido", IF((LEN(AB188)-LEN(SUBSTITUTE(AB188,"; ","")))/2+1&gt;(LEN(AB188)-LEN(SUBSTITUTE(AB188,"[Aviso]","")))/7, "Con Incidencias", "Válido")))</f>
        <v/>
      </c>
      <c r="AB188" s="56">
        <f>IF(AND(A188="", B188="", E188=""), "", TEXTJOIN("; ", TRUE, IF(OR(TRIM(A188&amp;"")="", ISNUMBER(SEARCH("FALTA", A188))), "UPC faltante/inválido", ""), IF(AND(A188&lt;&gt;"", IFERROR(_xlfn.XMATCH(A188,$A$2:$A$653,0,1)&lt;&gt;_xlfn.XMATCH(A188,$A$2:$A$653,0,-1),FALSE)), "Código de barras duplicado", ""), IF(AND(E188&lt;&gt;"", COUNTIF($E$2:$E$653, E188)&gt;1), "SKU duplicado", ""), IF(OR(J188="", J188=""), "[Aviso] División no capturada ()", IF(ISNA(MATCH(J188, Criterios!$A$123:$A$126, 0)), "División no válida", "")), IF(OR(K188="", K188=""), "[Aviso] Categoría no capturada ()", IF(ISNA(MATCH(K188, Criterios!$A$81:$A$120, 0)), "Categoría no válida", IF(AND(J188&lt;&gt;"", J188&lt;&gt;"", J188&lt;&gt;VLOOKUP(K188, Criterios!$A$81:$B$120, 2, FALSE)), "División no coincide con Categoría", ""))), IF(OR(L188="", L188=""), "[Aviso] Género no capturado ()", IF(ISNA(MATCH(L188, Criterios!$B$123:$B$127, 0)), "Género no válido", "")), IF(OR(N188="", N188=""), "[Aviso] Temporada no capturada ()", IF(ISNA(MATCH(N188, Criterios!$C$123:$C$128, 0)), "Temporada no válida", "")), IF(OR(O188="", O188=""), "[Aviso] Ciclo de vida no capturado ()", IF(ISNA(MATCH(O188, Criterios!$D$123:$D$124, 0)), "Ciclo de vida no válido", ""))))</f>
        <v/>
      </c>
      <c r="AC188" s="56" t="n"/>
      <c r="AD188" s="51" t="n">
        <v>29</v>
      </c>
      <c r="AE188" s="156" t="inlineStr">
        <is>
          <t>REFLO ALMACEN (16)</t>
        </is>
      </c>
      <c r="AF188" s="51" t="n">
        <v>29</v>
      </c>
      <c r="AG188" s="156" t="inlineStr">
        <is>
          <t>Nuevo – NetSuite con existencia</t>
        </is>
      </c>
      <c r="AH188" s="156" t="inlineStr">
        <is>
          <t>Composición: poliéster reciclado (validar % en etiqueta); Físico total NetSuite 29 ≠ suma por ubicación 16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8" s="156" t="inlineStr">
        <is>
          <t>No</t>
        </is>
      </c>
      <c r="AJ188" s="156" t="n"/>
      <c r="AK188" s="155" t="inlineStr">
        <is>
          <t>G1522ProductosTodosloscamposSandboxResults894.xlsx: fila 49297 [X,Y]; G1522_Extraccion_Articulos_NetSuite_2026-09-30.xlsx: fila 37556 [Z]</t>
        </is>
      </c>
      <c r="AL188" s="58" t="n">
        <v>31.85</v>
      </c>
      <c r="AM188" s="58" t="n"/>
      <c r="AN188" s="155" t="n"/>
      <c r="AO188" s="59" t="n"/>
      <c r="AP188" s="59" t="n"/>
      <c r="AQ188" s="59" t="n"/>
      <c r="AR188" s="155" t="n"/>
    </row>
    <row r="189">
      <c r="A189" s="50" t="inlineStr">
        <is>
          <t>5056658705328</t>
        </is>
      </c>
      <c r="B189" s="51" t="inlineStr">
        <is>
          <t>84408</t>
        </is>
      </c>
      <c r="C189" s="156" t="inlineStr">
        <is>
          <t>REFLO</t>
        </is>
      </c>
      <c r="D189" s="156" t="inlineStr">
        <is>
          <t>RM02202068</t>
        </is>
      </c>
      <c r="E189" s="156" t="inlineStr">
        <is>
          <t>RM02202068-38</t>
        </is>
      </c>
      <c r="F189" s="156" t="inlineStr">
        <is>
          <t>38</t>
        </is>
      </c>
      <c r="G189" s="156" t="inlineStr">
        <is>
          <t>38W</t>
        </is>
      </c>
      <c r="H189" s="156" t="inlineStr">
        <is>
          <t>REFLO</t>
        </is>
      </c>
      <c r="I189" s="156" t="inlineStr">
        <is>
          <t>Short REFLO Icarian Medieval Blue</t>
        </is>
      </c>
      <c r="J189" s="156" t="inlineStr">
        <is>
          <t>Ropa</t>
        </is>
      </c>
      <c r="K189" s="156" t="inlineStr">
        <is>
          <t>Shorts</t>
        </is>
      </c>
      <c r="L189" s="156" t="inlineStr">
        <is>
          <t>Hombre</t>
        </is>
      </c>
      <c r="M189" s="156" t="inlineStr">
        <is>
          <t>REFLO</t>
        </is>
      </c>
      <c r="N189" s="156" t="n"/>
      <c r="O189" s="156" t="n"/>
      <c r="P189" s="156" t="inlineStr">
        <is>
          <t>Azul</t>
        </is>
      </c>
      <c r="Q189" s="156" t="n"/>
      <c r="R189" s="156" t="n"/>
      <c r="S189" s="156" t="inlineStr">
        <is>
          <t>Poliéster reciclado</t>
        </is>
      </c>
      <c r="T189" s="156" t="inlineStr">
        <is>
          <t>Short de golf REFLO modelo Icarian en color Medieval Blue, confeccionado con materiales reciclados. Estilo RM02202068.</t>
        </is>
      </c>
      <c r="U189" s="156" t="n"/>
      <c r="V189" s="156" t="inlineStr">
        <is>
          <t>PZS</t>
        </is>
      </c>
      <c r="W189" s="51" t="inlineStr">
        <is>
          <t>53101502</t>
        </is>
      </c>
      <c r="X189" s="156" t="inlineStr">
        <is>
          <t>https://i.ibb.co/XFYJfKW/RM02202068.jpg</t>
        </is>
      </c>
      <c r="Y189" s="54" t="n">
        <v>31.85</v>
      </c>
      <c r="Z189" s="54" t="n">
        <v>2349</v>
      </c>
      <c r="AA189" s="55">
        <f>IF(AND(A189="", B189="", E189=""), "", IF(AB189="", "Válido", IF((LEN(AB189)-LEN(SUBSTITUTE(AB189,"; ","")))/2+1&gt;(LEN(AB189)-LEN(SUBSTITUTE(AB189,"[Aviso]","")))/7, "Con Incidencias", "Válido")))</f>
        <v/>
      </c>
      <c r="AB189" s="56">
        <f>IF(AND(A189="", B189="", E189=""), "", TEXTJOIN("; ", TRUE, IF(OR(TRIM(A189&amp;"")="", ISNUMBER(SEARCH("FALTA", A189))), "UPC faltante/inválido", ""), IF(AND(A189&lt;&gt;"", IFERROR(_xlfn.XMATCH(A189,$A$2:$A$653,0,1)&lt;&gt;_xlfn.XMATCH(A189,$A$2:$A$653,0,-1),FALSE)), "Código de barras duplicado", ""), IF(AND(E189&lt;&gt;"", COUNTIF($E$2:$E$653, E189)&gt;1), "SKU duplicado", ""), IF(OR(J189="", J189=""), "[Aviso] División no capturada ()", IF(ISNA(MATCH(J189, Criterios!$A$123:$A$126, 0)), "División no válida", "")), IF(OR(K189="", K189=""), "[Aviso] Categoría no capturada ()", IF(ISNA(MATCH(K189, Criterios!$A$81:$A$120, 0)), "Categoría no válida", IF(AND(J189&lt;&gt;"", J189&lt;&gt;"", J189&lt;&gt;VLOOKUP(K189, Criterios!$A$81:$B$120, 2, FALSE)), "División no coincide con Categoría", ""))), IF(OR(L189="", L189=""), "[Aviso] Género no capturado ()", IF(ISNA(MATCH(L189, Criterios!$B$123:$B$127, 0)), "Género no válido", "")), IF(OR(N189="", N189=""), "[Aviso] Temporada no capturada ()", IF(ISNA(MATCH(N189, Criterios!$C$123:$C$128, 0)), "Temporada no válida", "")), IF(OR(O189="", O189=""), "[Aviso] Ciclo de vida no capturado ()", IF(ISNA(MATCH(O189, Criterios!$D$123:$D$124, 0)), "Ciclo de vida no válido", ""))))</f>
        <v/>
      </c>
      <c r="AC189" s="56" t="n"/>
      <c r="AD189" s="51" t="n">
        <v>6</v>
      </c>
      <c r="AE189" s="156" t="inlineStr">
        <is>
          <t>REFLO ALMACEN (4)</t>
        </is>
      </c>
      <c r="AF189" s="51" t="n">
        <v>6</v>
      </c>
      <c r="AG189" s="156" t="inlineStr">
        <is>
          <t>Nuevo – NetSuite con existencia</t>
        </is>
      </c>
      <c r="AH189" s="156" t="inlineStr">
        <is>
          <t>Composición: poliéster reciclado (validar % en etiqueta); Físico total NetSuite 6 ≠ suma por ubicación 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89" s="156" t="inlineStr">
        <is>
          <t>No</t>
        </is>
      </c>
      <c r="AJ189" s="156" t="n"/>
      <c r="AK189" s="155" t="inlineStr">
        <is>
          <t>G1522ProductosTodosloscamposSandboxResults894.xlsx: fila 49298 [X,Y]; G1522_Extraccion_Articulos_NetSuite_2026-09-30.xlsx: fila 39577 [Z]</t>
        </is>
      </c>
      <c r="AL189" s="58" t="n">
        <v>31.85</v>
      </c>
      <c r="AM189" s="58" t="n"/>
      <c r="AN189" s="155" t="n"/>
      <c r="AO189" s="59" t="n"/>
      <c r="AP189" s="59" t="n"/>
      <c r="AQ189" s="59" t="n"/>
      <c r="AR189" s="155" t="n"/>
    </row>
    <row r="190">
      <c r="A190" s="50" t="inlineStr">
        <is>
          <t>5056658705335</t>
        </is>
      </c>
      <c r="B190" s="51" t="inlineStr">
        <is>
          <t>84409</t>
        </is>
      </c>
      <c r="C190" s="156" t="inlineStr">
        <is>
          <t>REFLO</t>
        </is>
      </c>
      <c r="D190" s="156" t="inlineStr">
        <is>
          <t>RM02202068</t>
        </is>
      </c>
      <c r="E190" s="156" t="inlineStr">
        <is>
          <t>RM02202068-40</t>
        </is>
      </c>
      <c r="F190" s="156" t="inlineStr">
        <is>
          <t>40</t>
        </is>
      </c>
      <c r="G190" s="156" t="inlineStr">
        <is>
          <t>40W</t>
        </is>
      </c>
      <c r="H190" s="156" t="inlineStr">
        <is>
          <t>REFLO</t>
        </is>
      </c>
      <c r="I190" s="156" t="inlineStr">
        <is>
          <t>Short REFLO Icarian Medieval Blue</t>
        </is>
      </c>
      <c r="J190" s="156" t="inlineStr">
        <is>
          <t>Ropa</t>
        </is>
      </c>
      <c r="K190" s="156" t="inlineStr">
        <is>
          <t>Shorts</t>
        </is>
      </c>
      <c r="L190" s="156" t="inlineStr">
        <is>
          <t>Hombre</t>
        </is>
      </c>
      <c r="M190" s="156" t="inlineStr">
        <is>
          <t>REFLO</t>
        </is>
      </c>
      <c r="N190" s="156" t="n"/>
      <c r="O190" s="156" t="n"/>
      <c r="P190" s="156" t="inlineStr">
        <is>
          <t>Azul</t>
        </is>
      </c>
      <c r="Q190" s="156" t="n"/>
      <c r="R190" s="156" t="n"/>
      <c r="S190" s="156" t="inlineStr">
        <is>
          <t>Poliéster reciclado</t>
        </is>
      </c>
      <c r="T190" s="156" t="inlineStr">
        <is>
          <t>Short de golf REFLO modelo Icarian en color Medieval Blue, confeccionado con materiales reciclados. Estilo RM02202068.</t>
        </is>
      </c>
      <c r="U190" s="156" t="n"/>
      <c r="V190" s="156" t="inlineStr">
        <is>
          <t>PZS</t>
        </is>
      </c>
      <c r="W190" s="51" t="inlineStr">
        <is>
          <t>53101502</t>
        </is>
      </c>
      <c r="X190" s="156" t="inlineStr">
        <is>
          <t>https://i.ibb.co/XFYJfKW/RM02202068.jpg</t>
        </is>
      </c>
      <c r="Y190" s="54" t="n">
        <v>31.85</v>
      </c>
      <c r="Z190" s="54" t="n">
        <v>2349</v>
      </c>
      <c r="AA190" s="55">
        <f>IF(AND(A190="", B190="", E190=""), "", IF(AB190="", "Válido", IF((LEN(AB190)-LEN(SUBSTITUTE(AB190,"; ","")))/2+1&gt;(LEN(AB190)-LEN(SUBSTITUTE(AB190,"[Aviso]","")))/7, "Con Incidencias", "Válido")))</f>
        <v/>
      </c>
      <c r="AB190" s="56">
        <f>IF(AND(A190="", B190="", E190=""), "", TEXTJOIN("; ", TRUE, IF(OR(TRIM(A190&amp;"")="", ISNUMBER(SEARCH("FALTA", A190))), "UPC faltante/inválido", ""), IF(AND(A190&lt;&gt;"", IFERROR(_xlfn.XMATCH(A190,$A$2:$A$653,0,1)&lt;&gt;_xlfn.XMATCH(A190,$A$2:$A$653,0,-1),FALSE)), "Código de barras duplicado", ""), IF(AND(E190&lt;&gt;"", COUNTIF($E$2:$E$653, E190)&gt;1), "SKU duplicado", ""), IF(OR(J190="", J190=""), "[Aviso] División no capturada ()", IF(ISNA(MATCH(J190, Criterios!$A$123:$A$126, 0)), "División no válida", "")), IF(OR(K190="", K190=""), "[Aviso] Categoría no capturada ()", IF(ISNA(MATCH(K190, Criterios!$A$81:$A$120, 0)), "Categoría no válida", IF(AND(J190&lt;&gt;"", J190&lt;&gt;"", J190&lt;&gt;VLOOKUP(K190, Criterios!$A$81:$B$120, 2, FALSE)), "División no coincide con Categoría", ""))), IF(OR(L190="", L190=""), "[Aviso] Género no capturado ()", IF(ISNA(MATCH(L190, Criterios!$B$123:$B$127, 0)), "Género no válido", "")), IF(OR(N190="", N190=""), "[Aviso] Temporada no capturada ()", IF(ISNA(MATCH(N190, Criterios!$C$123:$C$128, 0)), "Temporada no válida", "")), IF(OR(O190="", O190=""), "[Aviso] Ciclo de vida no capturado ()", IF(ISNA(MATCH(O190, Criterios!$D$123:$D$124, 0)), "Ciclo de vida no válido", ""))))</f>
        <v/>
      </c>
      <c r="AC190" s="56" t="n"/>
      <c r="AD190" s="51" t="n">
        <v>8</v>
      </c>
      <c r="AE190" s="156" t="inlineStr">
        <is>
          <t>REFLO ALMACEN (4)</t>
        </is>
      </c>
      <c r="AF190" s="51" t="n">
        <v>8</v>
      </c>
      <c r="AG190" s="156" t="inlineStr">
        <is>
          <t>Nuevo – NetSuite con existencia</t>
        </is>
      </c>
      <c r="AH190" s="156" t="inlineStr">
        <is>
          <t>Composición: poliéster reciclado (validar % en etiqueta); Físico total NetSuite 8 ≠ suma por ubicación 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90" s="156" t="inlineStr">
        <is>
          <t>No</t>
        </is>
      </c>
      <c r="AJ190" s="156" t="n"/>
      <c r="AK190" s="155" t="inlineStr">
        <is>
          <t>G1522ProductosTodosloscamposSandboxResults894.xlsx: fila 49299 [X,Y]; G1522_Extraccion_Articulos_NetSuite_2026-09-30.xlsx: fila 39578 [Z]</t>
        </is>
      </c>
      <c r="AL190" s="58" t="n">
        <v>31.85</v>
      </c>
      <c r="AM190" s="58" t="n"/>
      <c r="AN190" s="155" t="n"/>
      <c r="AO190" s="59" t="n"/>
      <c r="AP190" s="59" t="n"/>
      <c r="AQ190" s="59" t="n"/>
      <c r="AR190" s="155" t="n"/>
    </row>
    <row r="191">
      <c r="A191" s="50" t="inlineStr">
        <is>
          <t>5056658712227</t>
        </is>
      </c>
      <c r="B191" s="51" t="inlineStr">
        <is>
          <t>91090</t>
        </is>
      </c>
      <c r="C191" s="156" t="inlineStr">
        <is>
          <t>REFLO</t>
        </is>
      </c>
      <c r="D191" s="156" t="inlineStr">
        <is>
          <t>RM0314046</t>
        </is>
      </c>
      <c r="E191" s="156" t="inlineStr">
        <is>
          <t>RM0314046-S</t>
        </is>
      </c>
      <c r="F191" s="156" t="inlineStr">
        <is>
          <t>S</t>
        </is>
      </c>
      <c r="G191" s="156" t="inlineStr">
        <is>
          <t>S</t>
        </is>
      </c>
      <c r="H191" s="156" t="inlineStr">
        <is>
          <t>REFLO</t>
        </is>
      </c>
      <c r="I191" s="156" t="inlineStr">
        <is>
          <t>Artículo REFLO ALDEN Warm Green</t>
        </is>
      </c>
      <c r="J191" s="156" t="n"/>
      <c r="K191" s="156" t="n"/>
      <c r="L191" s="156" t="inlineStr">
        <is>
          <t>Hombre</t>
        </is>
      </c>
      <c r="M191" s="156" t="inlineStr">
        <is>
          <t>REFLO</t>
        </is>
      </c>
      <c r="N191" s="156" t="n"/>
      <c r="O191" s="156" t="n"/>
      <c r="P191" s="156" t="inlineStr">
        <is>
          <t>Verde</t>
        </is>
      </c>
      <c r="Q191" s="156" t="n"/>
      <c r="R191" s="156" t="n"/>
      <c r="S191" s="156" t="inlineStr">
        <is>
          <t>Poliéster reciclado</t>
        </is>
      </c>
      <c r="T191" s="156" t="inlineStr">
        <is>
          <t>Artículo de golf REFLO modelo ALDEN en color Warm Green, confeccionado con materiales reciclados. Estilo RM0314046.</t>
        </is>
      </c>
      <c r="U191" s="156" t="n"/>
      <c r="V191" s="156" t="inlineStr">
        <is>
          <t>PZS</t>
        </is>
      </c>
      <c r="W191" s="51" t="inlineStr">
        <is>
          <t>53101502</t>
        </is>
      </c>
      <c r="X191" s="156" t="n"/>
      <c r="Y191" s="54" t="n">
        <v>34.45</v>
      </c>
      <c r="Z191" s="54" t="n">
        <v>2154.310345</v>
      </c>
      <c r="AA191" s="55">
        <f>IF(AND(A191="", B191="", E191=""), "", IF(AB191="", "Válido", IF((LEN(AB191)-LEN(SUBSTITUTE(AB191,"; ","")))/2+1&gt;(LEN(AB191)-LEN(SUBSTITUTE(AB191,"[Aviso]","")))/7, "Con Incidencias", "Válido")))</f>
        <v/>
      </c>
      <c r="AB191" s="56">
        <f>IF(AND(A191="", B191="", E191=""), "", TEXTJOIN("; ", TRUE, IF(OR(TRIM(A191&amp;"")="", ISNUMBER(SEARCH("FALTA", A191))), "UPC faltante/inválido", ""), IF(AND(A191&lt;&gt;"", IFERROR(_xlfn.XMATCH(A191,$A$2:$A$653,0,1)&lt;&gt;_xlfn.XMATCH(A191,$A$2:$A$653,0,-1),FALSE)), "Código de barras duplicado", ""), IF(AND(E191&lt;&gt;"", COUNTIF($E$2:$E$653, E191)&gt;1), "SKU duplicado", ""), IF(OR(J191="", J191=""), "[Aviso] División no capturada ()", IF(ISNA(MATCH(J191, Criterios!$A$123:$A$126, 0)), "División no válida", "")), IF(OR(K191="", K191=""), "[Aviso] Categoría no capturada ()", IF(ISNA(MATCH(K191, Criterios!$A$81:$A$120, 0)), "Categoría no válida", IF(AND(J191&lt;&gt;"", J191&lt;&gt;"", J191&lt;&gt;VLOOKUP(K191, Criterios!$A$81:$B$120, 2, FALSE)), "División no coincide con Categoría", ""))), IF(OR(L191="", L191=""), "[Aviso] Género no capturado ()", IF(ISNA(MATCH(L191, Criterios!$B$123:$B$127, 0)), "Género no válido", "")), IF(OR(N191="", N191=""), "[Aviso] Temporada no capturada ()", IF(ISNA(MATCH(N191, Criterios!$C$123:$C$128, 0)), "Temporada no válida", "")), IF(OR(O191="", O191=""), "[Aviso] Ciclo de vida no capturado ()", IF(ISNA(MATCH(O191, Criterios!$D$123:$D$124, 0)), "Ciclo de vida no válido", ""))))</f>
        <v/>
      </c>
      <c r="AC191" s="56" t="n"/>
      <c r="AD191" s="51" t="n">
        <v>0</v>
      </c>
      <c r="AE191" s="156" t="n"/>
      <c r="AF191" s="51" t="n">
        <v>0</v>
      </c>
      <c r="AG191" s="156" t="inlineStr">
        <is>
          <t>Nuevo – NetSuite sin existencia</t>
        </is>
      </c>
      <c r="AH191" s="156" t="inlineStr">
        <is>
          <t>Tipo REFLO «Tapered Jogger» sin categoría en Criterios; Composición: poliéster reciclado (validar % en etiqueta); Auditoría NetSuite 30/09/2026: llenado desde NetSuite [V,W,Y]</t>
        </is>
      </c>
      <c r="AI191" s="156" t="inlineStr">
        <is>
          <t>No</t>
        </is>
      </c>
      <c r="AJ191" s="156" t="n"/>
      <c r="AK191" s="155" t="inlineStr">
        <is>
          <t>G1522_Extraccion_Articulos_NetSuite_2026-09-30.xlsx: fila 43845 [V,W,Y]</t>
        </is>
      </c>
      <c r="AL191" s="58" t="n"/>
      <c r="AM191" s="58" t="n">
        <v>2154.310345</v>
      </c>
      <c r="AN191" s="155" t="n"/>
      <c r="AO191" s="59" t="n"/>
      <c r="AP191" s="59" t="n"/>
      <c r="AQ191" s="59" t="n"/>
      <c r="AR191" s="155" t="n"/>
    </row>
    <row r="192">
      <c r="A192" s="50" t="inlineStr">
        <is>
          <t>5056658711381</t>
        </is>
      </c>
      <c r="B192" s="51" t="inlineStr">
        <is>
          <t>91023</t>
        </is>
      </c>
      <c r="C192" s="156" t="inlineStr">
        <is>
          <t>REFLO</t>
        </is>
      </c>
      <c r="D192" s="156" t="inlineStr">
        <is>
          <t>RM0322044</t>
        </is>
      </c>
      <c r="E192" s="156" t="inlineStr">
        <is>
          <t>RM0322044-S</t>
        </is>
      </c>
      <c r="F192" s="156" t="inlineStr">
        <is>
          <t>S</t>
        </is>
      </c>
      <c r="G192" s="156" t="inlineStr">
        <is>
          <t>S</t>
        </is>
      </c>
      <c r="H192" s="156" t="inlineStr">
        <is>
          <t>REFLO</t>
        </is>
      </c>
      <c r="I192" s="156" t="inlineStr">
        <is>
          <t>Short REFLO TURKANA Rock Grey</t>
        </is>
      </c>
      <c r="J192" s="156" t="inlineStr">
        <is>
          <t>Ropa</t>
        </is>
      </c>
      <c r="K192" s="156" t="inlineStr">
        <is>
          <t>Shorts</t>
        </is>
      </c>
      <c r="L192" s="156" t="inlineStr">
        <is>
          <t>Hombre</t>
        </is>
      </c>
      <c r="M192" s="156" t="inlineStr">
        <is>
          <t>REFLO</t>
        </is>
      </c>
      <c r="N192" s="156" t="n"/>
      <c r="O192" s="156" t="n"/>
      <c r="P192" s="156" t="inlineStr">
        <is>
          <t>Gris</t>
        </is>
      </c>
      <c r="Q192" s="156" t="n"/>
      <c r="R192" s="156" t="n"/>
      <c r="S192" s="156" t="inlineStr">
        <is>
          <t>Poliéster reciclado</t>
        </is>
      </c>
      <c r="T192" s="156" t="inlineStr">
        <is>
          <t>Short de golf REFLO modelo TURKANA en color Rock Grey, confeccionado con materiales reciclados. Estilo RM0322044.</t>
        </is>
      </c>
      <c r="U192" s="156" t="n"/>
      <c r="V192" s="156" t="inlineStr">
        <is>
          <t>PZS</t>
        </is>
      </c>
      <c r="W192" s="51" t="inlineStr">
        <is>
          <t>53101502</t>
        </is>
      </c>
      <c r="X192" s="156" t="n"/>
      <c r="Y192" s="54" t="n">
        <v>19.5</v>
      </c>
      <c r="Z192" s="54" t="n">
        <v>1249.137931</v>
      </c>
      <c r="AA192" s="55">
        <f>IF(AND(A192="", B192="", E192=""), "", IF(AB192="", "Válido", IF((LEN(AB192)-LEN(SUBSTITUTE(AB192,"; ","")))/2+1&gt;(LEN(AB192)-LEN(SUBSTITUTE(AB192,"[Aviso]","")))/7, "Con Incidencias", "Válido")))</f>
        <v/>
      </c>
      <c r="AB192" s="56">
        <f>IF(AND(A192="", B192="", E192=""), "", TEXTJOIN("; ", TRUE, IF(OR(TRIM(A192&amp;"")="", ISNUMBER(SEARCH("FALTA", A192))), "UPC faltante/inválido", ""), IF(AND(A192&lt;&gt;"", IFERROR(_xlfn.XMATCH(A192,$A$2:$A$653,0,1)&lt;&gt;_xlfn.XMATCH(A192,$A$2:$A$653,0,-1),FALSE)), "Código de barras duplicado", ""), IF(AND(E192&lt;&gt;"", COUNTIF($E$2:$E$653, E192)&gt;1), "SKU duplicado", ""), IF(OR(J192="", J192=""), "[Aviso] División no capturada ()", IF(ISNA(MATCH(J192, Criterios!$A$123:$A$126, 0)), "División no válida", "")), IF(OR(K192="", K192=""), "[Aviso] Categoría no capturada ()", IF(ISNA(MATCH(K192, Criterios!$A$81:$A$120, 0)), "Categoría no válida", IF(AND(J192&lt;&gt;"", J192&lt;&gt;"", J192&lt;&gt;VLOOKUP(K192, Criterios!$A$81:$B$120, 2, FALSE)), "División no coincide con Categoría", ""))), IF(OR(L192="", L192=""), "[Aviso] Género no capturado ()", IF(ISNA(MATCH(L192, Criterios!$B$123:$B$127, 0)), "Género no válido", "")), IF(OR(N192="", N192=""), "[Aviso] Temporada no capturada ()", IF(ISNA(MATCH(N192, Criterios!$C$123:$C$128, 0)), "Temporada no válida", "")), IF(OR(O192="", O192=""), "[Aviso] Ciclo de vida no capturado ()", IF(ISNA(MATCH(O192, Criterios!$D$123:$D$124, 0)), "Ciclo de vida no válido", ""))))</f>
        <v/>
      </c>
      <c r="AC192" s="56" t="n"/>
      <c r="AD192" s="51" t="n">
        <v>0</v>
      </c>
      <c r="AE192" s="156" t="n"/>
      <c r="AF192" s="51" t="n">
        <v>0</v>
      </c>
      <c r="AG192" s="156" t="inlineStr">
        <is>
          <t>Nuevo – NetSuite sin existencia</t>
        </is>
      </c>
      <c r="AH192" s="156" t="inlineStr">
        <is>
          <t>Composición: poliéster reciclado (validar % en etiqueta); Auditoría NetSuite 30/09/2026: llenado desde NetSuite [Y] | Homologación G1522 06/10/2026: Validación G1522: [Aviso] Precio de compra posiblemente en USD</t>
        </is>
      </c>
      <c r="AI192" s="156" t="inlineStr">
        <is>
          <t>No</t>
        </is>
      </c>
      <c r="AJ192" s="156" t="n"/>
      <c r="AK192" s="155" t="inlineStr">
        <is>
          <t>G1522_Extraccion_Articulos_NetSuite_2026-09-30.xlsx: fila 43778 [Y]</t>
        </is>
      </c>
      <c r="AL192" s="58" t="n"/>
      <c r="AM192" s="58" t="n">
        <v>1249.137931</v>
      </c>
      <c r="AN192" s="155" t="n"/>
      <c r="AO192" s="59" t="n"/>
      <c r="AP192" s="59" t="n"/>
      <c r="AQ192" s="59" t="n"/>
      <c r="AR192" s="155" t="n"/>
    </row>
    <row r="193">
      <c r="A193" s="50" t="inlineStr">
        <is>
          <t>5056658711398</t>
        </is>
      </c>
      <c r="B193" s="51" t="inlineStr">
        <is>
          <t>91024</t>
        </is>
      </c>
      <c r="C193" s="156" t="inlineStr">
        <is>
          <t>REFLO</t>
        </is>
      </c>
      <c r="D193" s="156" t="inlineStr">
        <is>
          <t>RM0322044</t>
        </is>
      </c>
      <c r="E193" s="156" t="inlineStr">
        <is>
          <t>RM0322044-M</t>
        </is>
      </c>
      <c r="F193" s="156" t="inlineStr">
        <is>
          <t>M</t>
        </is>
      </c>
      <c r="G193" s="156" t="inlineStr">
        <is>
          <t>M</t>
        </is>
      </c>
      <c r="H193" s="156" t="inlineStr">
        <is>
          <t>REFLO</t>
        </is>
      </c>
      <c r="I193" s="156" t="inlineStr">
        <is>
          <t>Short REFLO TURKANA Rock Grey</t>
        </is>
      </c>
      <c r="J193" s="156" t="inlineStr">
        <is>
          <t>Ropa</t>
        </is>
      </c>
      <c r="K193" s="156" t="inlineStr">
        <is>
          <t>Shorts</t>
        </is>
      </c>
      <c r="L193" s="156" t="inlineStr">
        <is>
          <t>Hombre</t>
        </is>
      </c>
      <c r="M193" s="156" t="inlineStr">
        <is>
          <t>REFLO</t>
        </is>
      </c>
      <c r="N193" s="156" t="n"/>
      <c r="O193" s="156" t="n"/>
      <c r="P193" s="156" t="inlineStr">
        <is>
          <t>Gris</t>
        </is>
      </c>
      <c r="Q193" s="156" t="n"/>
      <c r="R193" s="156" t="n"/>
      <c r="S193" s="156" t="inlineStr">
        <is>
          <t>Poliéster reciclado</t>
        </is>
      </c>
      <c r="T193" s="156" t="inlineStr">
        <is>
          <t>Short de golf REFLO modelo TURKANA en color Rock Grey, confeccionado con materiales reciclados. Estilo RM0322044.</t>
        </is>
      </c>
      <c r="U193" s="156" t="n"/>
      <c r="V193" s="156" t="inlineStr">
        <is>
          <t>PZS</t>
        </is>
      </c>
      <c r="W193" s="51" t="inlineStr">
        <is>
          <t>53101502</t>
        </is>
      </c>
      <c r="X193" s="156" t="n"/>
      <c r="Y193" s="54" t="n">
        <v>19.5</v>
      </c>
      <c r="Z193" s="54" t="n">
        <v>1249.137931</v>
      </c>
      <c r="AA193" s="55">
        <f>IF(AND(A193="", B193="", E193=""), "", IF(AB193="", "Válido", IF((LEN(AB193)-LEN(SUBSTITUTE(AB193,"; ","")))/2+1&gt;(LEN(AB193)-LEN(SUBSTITUTE(AB193,"[Aviso]","")))/7, "Con Incidencias", "Válido")))</f>
        <v/>
      </c>
      <c r="AB193" s="56">
        <f>IF(AND(A193="", B193="", E193=""), "", TEXTJOIN("; ", TRUE, IF(OR(TRIM(A193&amp;"")="", ISNUMBER(SEARCH("FALTA", A193))), "UPC faltante/inválido", ""), IF(AND(A193&lt;&gt;"", IFERROR(_xlfn.XMATCH(A193,$A$2:$A$653,0,1)&lt;&gt;_xlfn.XMATCH(A193,$A$2:$A$653,0,-1),FALSE)), "Código de barras duplicado", ""), IF(AND(E193&lt;&gt;"", COUNTIF($E$2:$E$653, E193)&gt;1), "SKU duplicado", ""), IF(OR(J193="", J193=""), "[Aviso] División no capturada ()", IF(ISNA(MATCH(J193, Criterios!$A$123:$A$126, 0)), "División no válida", "")), IF(OR(K193="", K193=""), "[Aviso] Categoría no capturada ()", IF(ISNA(MATCH(K193, Criterios!$A$81:$A$120, 0)), "Categoría no válida", IF(AND(J193&lt;&gt;"", J193&lt;&gt;"", J193&lt;&gt;VLOOKUP(K193, Criterios!$A$81:$B$120, 2, FALSE)), "División no coincide con Categoría", ""))), IF(OR(L193="", L193=""), "[Aviso] Género no capturado ()", IF(ISNA(MATCH(L193, Criterios!$B$123:$B$127, 0)), "Género no válido", "")), IF(OR(N193="", N193=""), "[Aviso] Temporada no capturada ()", IF(ISNA(MATCH(N193, Criterios!$C$123:$C$128, 0)), "Temporada no válida", "")), IF(OR(O193="", O193=""), "[Aviso] Ciclo de vida no capturado ()", IF(ISNA(MATCH(O193, Criterios!$D$123:$D$124, 0)), "Ciclo de vida no válido", ""))))</f>
        <v/>
      </c>
      <c r="AC193" s="56" t="n"/>
      <c r="AD193" s="51" t="n">
        <v>0</v>
      </c>
      <c r="AE193" s="156" t="n"/>
      <c r="AF193" s="51" t="n">
        <v>0</v>
      </c>
      <c r="AG193" s="156" t="inlineStr">
        <is>
          <t>Nuevo – NetSuite sin existencia</t>
        </is>
      </c>
      <c r="AH193" s="156" t="inlineStr">
        <is>
          <t>Composición: poliéster reciclado (validar % en etiqueta); Auditoría NetSuite 30/09/2026: llenado desde NetSuite [Y] | Homologación G1522 06/10/2026: Validación G1522: [Aviso] Precio de compra posiblemente en USD</t>
        </is>
      </c>
      <c r="AI193" s="156" t="inlineStr">
        <is>
          <t>No</t>
        </is>
      </c>
      <c r="AJ193" s="156" t="n"/>
      <c r="AK193" s="155" t="inlineStr">
        <is>
          <t>G1522_Extraccion_Articulos_NetSuite_2026-09-30.xlsx: fila 43779 [Y]</t>
        </is>
      </c>
      <c r="AL193" s="58" t="n"/>
      <c r="AM193" s="58" t="n">
        <v>1249.137931</v>
      </c>
      <c r="AN193" s="155" t="n"/>
      <c r="AO193" s="59" t="n"/>
      <c r="AP193" s="59" t="n"/>
      <c r="AQ193" s="59" t="n"/>
      <c r="AR193" s="155" t="n"/>
    </row>
    <row r="194">
      <c r="A194" s="50" t="inlineStr">
        <is>
          <t>5056658711404</t>
        </is>
      </c>
      <c r="B194" s="51" t="inlineStr">
        <is>
          <t>91025</t>
        </is>
      </c>
      <c r="C194" s="156" t="inlineStr">
        <is>
          <t>REFLO</t>
        </is>
      </c>
      <c r="D194" s="156" t="inlineStr">
        <is>
          <t>RM0322044</t>
        </is>
      </c>
      <c r="E194" s="156" t="inlineStr">
        <is>
          <t>RM0322044-L</t>
        </is>
      </c>
      <c r="F194" s="156" t="inlineStr">
        <is>
          <t>L</t>
        </is>
      </c>
      <c r="G194" s="156" t="inlineStr">
        <is>
          <t>L</t>
        </is>
      </c>
      <c r="H194" s="156" t="inlineStr">
        <is>
          <t>REFLO</t>
        </is>
      </c>
      <c r="I194" s="156" t="inlineStr">
        <is>
          <t>Short REFLO TURKANA Rock Grey</t>
        </is>
      </c>
      <c r="J194" s="156" t="inlineStr">
        <is>
          <t>Ropa</t>
        </is>
      </c>
      <c r="K194" s="156" t="inlineStr">
        <is>
          <t>Shorts</t>
        </is>
      </c>
      <c r="L194" s="156" t="inlineStr">
        <is>
          <t>Hombre</t>
        </is>
      </c>
      <c r="M194" s="156" t="inlineStr">
        <is>
          <t>REFLO</t>
        </is>
      </c>
      <c r="N194" s="156" t="n"/>
      <c r="O194" s="156" t="n"/>
      <c r="P194" s="156" t="inlineStr">
        <is>
          <t>Gris</t>
        </is>
      </c>
      <c r="Q194" s="156" t="n"/>
      <c r="R194" s="156" t="n"/>
      <c r="S194" s="156" t="inlineStr">
        <is>
          <t>Poliéster reciclado</t>
        </is>
      </c>
      <c r="T194" s="156" t="inlineStr">
        <is>
          <t>Short de golf REFLO modelo TURKANA en color Rock Grey, confeccionado con materiales reciclados. Estilo RM0322044.</t>
        </is>
      </c>
      <c r="U194" s="156" t="n"/>
      <c r="V194" s="156" t="inlineStr">
        <is>
          <t>PZS</t>
        </is>
      </c>
      <c r="W194" s="51" t="inlineStr">
        <is>
          <t>53101502</t>
        </is>
      </c>
      <c r="X194" s="156" t="n"/>
      <c r="Y194" s="54" t="n">
        <v>19.5</v>
      </c>
      <c r="Z194" s="54" t="n">
        <v>1249.137931</v>
      </c>
      <c r="AA194" s="55">
        <f>IF(AND(A194="", B194="", E194=""), "", IF(AB194="", "Válido", IF((LEN(AB194)-LEN(SUBSTITUTE(AB194,"; ","")))/2+1&gt;(LEN(AB194)-LEN(SUBSTITUTE(AB194,"[Aviso]","")))/7, "Con Incidencias", "Válido")))</f>
        <v/>
      </c>
      <c r="AB194" s="56">
        <f>IF(AND(A194="", B194="", E194=""), "", TEXTJOIN("; ", TRUE, IF(OR(TRIM(A194&amp;"")="", ISNUMBER(SEARCH("FALTA", A194))), "UPC faltante/inválido", ""), IF(AND(A194&lt;&gt;"", IFERROR(_xlfn.XMATCH(A194,$A$2:$A$653,0,1)&lt;&gt;_xlfn.XMATCH(A194,$A$2:$A$653,0,-1),FALSE)), "Código de barras duplicado", ""), IF(AND(E194&lt;&gt;"", COUNTIF($E$2:$E$653, E194)&gt;1), "SKU duplicado", ""), IF(OR(J194="", J194=""), "[Aviso] División no capturada ()", IF(ISNA(MATCH(J194, Criterios!$A$123:$A$126, 0)), "División no válida", "")), IF(OR(K194="", K194=""), "[Aviso] Categoría no capturada ()", IF(ISNA(MATCH(K194, Criterios!$A$81:$A$120, 0)), "Categoría no válida", IF(AND(J194&lt;&gt;"", J194&lt;&gt;"", J194&lt;&gt;VLOOKUP(K194, Criterios!$A$81:$B$120, 2, FALSE)), "División no coincide con Categoría", ""))), IF(OR(L194="", L194=""), "[Aviso] Género no capturado ()", IF(ISNA(MATCH(L194, Criterios!$B$123:$B$127, 0)), "Género no válido", "")), IF(OR(N194="", N194=""), "[Aviso] Temporada no capturada ()", IF(ISNA(MATCH(N194, Criterios!$C$123:$C$128, 0)), "Temporada no válida", "")), IF(OR(O194="", O194=""), "[Aviso] Ciclo de vida no capturado ()", IF(ISNA(MATCH(O194, Criterios!$D$123:$D$124, 0)), "Ciclo de vida no válido", ""))))</f>
        <v/>
      </c>
      <c r="AC194" s="56" t="n"/>
      <c r="AD194" s="51" t="n">
        <v>0</v>
      </c>
      <c r="AE194" s="156" t="n"/>
      <c r="AF194" s="51" t="n">
        <v>0</v>
      </c>
      <c r="AG194" s="156" t="inlineStr">
        <is>
          <t>Nuevo – NetSuite sin existencia</t>
        </is>
      </c>
      <c r="AH194" s="156" t="inlineStr">
        <is>
          <t>Composición: poliéster reciclado (validar % en etiqueta); Auditoría NetSuite 30/09/2026: llenado desde NetSuite [Y] | Homologación G1522 06/10/2026: Validación G1522: [Aviso] Precio de compra posiblemente en USD</t>
        </is>
      </c>
      <c r="AI194" s="156" t="inlineStr">
        <is>
          <t>No</t>
        </is>
      </c>
      <c r="AJ194" s="156" t="n"/>
      <c r="AK194" s="155" t="inlineStr">
        <is>
          <t>G1522_Extraccion_Articulos_NetSuite_2026-09-30.xlsx: fila 43780 [Y]</t>
        </is>
      </c>
      <c r="AL194" s="58" t="n"/>
      <c r="AM194" s="58" t="n">
        <v>1249.137931</v>
      </c>
      <c r="AN194" s="155" t="n"/>
      <c r="AO194" s="59" t="n"/>
      <c r="AP194" s="59" t="n"/>
      <c r="AQ194" s="59" t="n"/>
      <c r="AR194" s="155" t="n"/>
    </row>
    <row r="195">
      <c r="A195" s="50" t="inlineStr">
        <is>
          <t>5056658711411</t>
        </is>
      </c>
      <c r="B195" s="51" t="inlineStr">
        <is>
          <t>91026</t>
        </is>
      </c>
      <c r="C195" s="156" t="inlineStr">
        <is>
          <t>REFLO</t>
        </is>
      </c>
      <c r="D195" s="156" t="inlineStr">
        <is>
          <t>RM0322044</t>
        </is>
      </c>
      <c r="E195" s="156" t="inlineStr">
        <is>
          <t>RM0322044-XL</t>
        </is>
      </c>
      <c r="F195" s="156" t="inlineStr">
        <is>
          <t>XL</t>
        </is>
      </c>
      <c r="G195" s="156" t="inlineStr">
        <is>
          <t>XL</t>
        </is>
      </c>
      <c r="H195" s="156" t="inlineStr">
        <is>
          <t>REFLO</t>
        </is>
      </c>
      <c r="I195" s="156" t="inlineStr">
        <is>
          <t>Short REFLO TURKANA Rock Grey</t>
        </is>
      </c>
      <c r="J195" s="156" t="inlineStr">
        <is>
          <t>Ropa</t>
        </is>
      </c>
      <c r="K195" s="156" t="inlineStr">
        <is>
          <t>Shorts</t>
        </is>
      </c>
      <c r="L195" s="156" t="inlineStr">
        <is>
          <t>Hombre</t>
        </is>
      </c>
      <c r="M195" s="156" t="inlineStr">
        <is>
          <t>REFLO</t>
        </is>
      </c>
      <c r="N195" s="156" t="n"/>
      <c r="O195" s="156" t="n"/>
      <c r="P195" s="156" t="inlineStr">
        <is>
          <t>Gris</t>
        </is>
      </c>
      <c r="Q195" s="156" t="n"/>
      <c r="R195" s="156" t="n"/>
      <c r="S195" s="156" t="inlineStr">
        <is>
          <t>Poliéster reciclado</t>
        </is>
      </c>
      <c r="T195" s="156" t="inlineStr">
        <is>
          <t>Short de golf REFLO modelo TURKANA en color Rock Grey, confeccionado con materiales reciclados. Estilo RM0322044.</t>
        </is>
      </c>
      <c r="U195" s="156" t="n"/>
      <c r="V195" s="156" t="inlineStr">
        <is>
          <t>PZS</t>
        </is>
      </c>
      <c r="W195" s="51" t="inlineStr">
        <is>
          <t>53101502</t>
        </is>
      </c>
      <c r="X195" s="156" t="n"/>
      <c r="Y195" s="54" t="n">
        <v>19.5</v>
      </c>
      <c r="Z195" s="54" t="n">
        <v>1249.137931</v>
      </c>
      <c r="AA195" s="55">
        <f>IF(AND(A195="", B195="", E195=""), "", IF(AB195="", "Válido", IF((LEN(AB195)-LEN(SUBSTITUTE(AB195,"; ","")))/2+1&gt;(LEN(AB195)-LEN(SUBSTITUTE(AB195,"[Aviso]","")))/7, "Con Incidencias", "Válido")))</f>
        <v/>
      </c>
      <c r="AB195" s="56">
        <f>IF(AND(A195="", B195="", E195=""), "", TEXTJOIN("; ", TRUE, IF(OR(TRIM(A195&amp;"")="", ISNUMBER(SEARCH("FALTA", A195))), "UPC faltante/inválido", ""), IF(AND(A195&lt;&gt;"", IFERROR(_xlfn.XMATCH(A195,$A$2:$A$653,0,1)&lt;&gt;_xlfn.XMATCH(A195,$A$2:$A$653,0,-1),FALSE)), "Código de barras duplicado", ""), IF(AND(E195&lt;&gt;"", COUNTIF($E$2:$E$653, E195)&gt;1), "SKU duplicado", ""), IF(OR(J195="", J195=""), "[Aviso] División no capturada ()", IF(ISNA(MATCH(J195, Criterios!$A$123:$A$126, 0)), "División no válida", "")), IF(OR(K195="", K195=""), "[Aviso] Categoría no capturada ()", IF(ISNA(MATCH(K195, Criterios!$A$81:$A$120, 0)), "Categoría no válida", IF(AND(J195&lt;&gt;"", J195&lt;&gt;"", J195&lt;&gt;VLOOKUP(K195, Criterios!$A$81:$B$120, 2, FALSE)), "División no coincide con Categoría", ""))), IF(OR(L195="", L195=""), "[Aviso] Género no capturado ()", IF(ISNA(MATCH(L195, Criterios!$B$123:$B$127, 0)), "Género no válido", "")), IF(OR(N195="", N195=""), "[Aviso] Temporada no capturada ()", IF(ISNA(MATCH(N195, Criterios!$C$123:$C$128, 0)), "Temporada no válida", "")), IF(OR(O195="", O195=""), "[Aviso] Ciclo de vida no capturado ()", IF(ISNA(MATCH(O195, Criterios!$D$123:$D$124, 0)), "Ciclo de vida no válido", ""))))</f>
        <v/>
      </c>
      <c r="AC195" s="56" t="n"/>
      <c r="AD195" s="51" t="n">
        <v>0</v>
      </c>
      <c r="AE195" s="156" t="n"/>
      <c r="AF195" s="51" t="n">
        <v>0</v>
      </c>
      <c r="AG195" s="156" t="inlineStr">
        <is>
          <t>Nuevo – NetSuite sin existencia</t>
        </is>
      </c>
      <c r="AH195" s="156" t="inlineStr">
        <is>
          <t>Composición: poliéster reciclado (validar % en etiqueta); Auditoría NetSuite 30/09/2026: llenado desde NetSuite [Y] | Homologación G1522 06/10/2026: Validación G1522: [Aviso] Precio de compra posiblemente en USD</t>
        </is>
      </c>
      <c r="AI195" s="156" t="inlineStr">
        <is>
          <t>No</t>
        </is>
      </c>
      <c r="AJ195" s="156" t="n"/>
      <c r="AK195" s="155" t="inlineStr">
        <is>
          <t>G1522_Extraccion_Articulos_NetSuite_2026-09-30.xlsx: fila 43781 [Y]</t>
        </is>
      </c>
      <c r="AL195" s="58" t="n"/>
      <c r="AM195" s="58" t="n">
        <v>1249.137931</v>
      </c>
      <c r="AN195" s="155" t="n"/>
      <c r="AO195" s="59" t="n"/>
      <c r="AP195" s="59" t="n"/>
      <c r="AQ195" s="59" t="n"/>
      <c r="AR195" s="155" t="n"/>
    </row>
    <row r="196">
      <c r="A196" s="50" t="inlineStr">
        <is>
          <t>5056658703324</t>
        </is>
      </c>
      <c r="B196" s="51" t="inlineStr">
        <is>
          <t>79297</t>
        </is>
      </c>
      <c r="C196" s="156" t="inlineStr">
        <is>
          <t>REFLO</t>
        </is>
      </c>
      <c r="D196" s="156" t="inlineStr">
        <is>
          <t>RM24407050</t>
        </is>
      </c>
      <c r="E196" s="156" t="inlineStr">
        <is>
          <t>RM24407050-M</t>
        </is>
      </c>
      <c r="F196" s="156" t="inlineStr">
        <is>
          <t>M</t>
        </is>
      </c>
      <c r="G196" s="156" t="inlineStr">
        <is>
          <t>M</t>
        </is>
      </c>
      <c r="H196" s="156" t="inlineStr">
        <is>
          <t>REFLO</t>
        </is>
      </c>
      <c r="I196" s="156" t="inlineStr">
        <is>
          <t>Playera tipo polo REFLO Como Blue Ocean</t>
        </is>
      </c>
      <c r="J196" s="156" t="inlineStr">
        <is>
          <t>Ropa</t>
        </is>
      </c>
      <c r="K196" s="156" t="inlineStr">
        <is>
          <t>Playeras</t>
        </is>
      </c>
      <c r="L196" s="156" t="inlineStr">
        <is>
          <t>Hombre</t>
        </is>
      </c>
      <c r="M196" s="156" t="inlineStr">
        <is>
          <t>REFLO</t>
        </is>
      </c>
      <c r="N196" s="156" t="n"/>
      <c r="O196" s="156" t="n"/>
      <c r="P196" s="156" t="inlineStr">
        <is>
          <t>Azul</t>
        </is>
      </c>
      <c r="Q196" s="156" t="n"/>
      <c r="R196" s="156" t="n"/>
      <c r="S196" s="156" t="inlineStr">
        <is>
          <t>Poliéster reciclado</t>
        </is>
      </c>
      <c r="T196" s="156" t="inlineStr">
        <is>
          <t>Playera tipo polo de golf REFLO modelo Como en color Blue Ocean, confeccionado con materiales reciclados. Estilo RM24407050.</t>
        </is>
      </c>
      <c r="U196" s="156" t="n"/>
      <c r="V196" s="156" t="inlineStr">
        <is>
          <t>PZS</t>
        </is>
      </c>
      <c r="W196" s="51" t="inlineStr">
        <is>
          <t>53101602</t>
        </is>
      </c>
      <c r="X196" s="156" t="inlineStr">
        <is>
          <t>https://i.ibb.co/9V1DCFR/RM24407050.jpg</t>
        </is>
      </c>
      <c r="Y196" s="54" t="n">
        <v>29.25</v>
      </c>
      <c r="Z196" s="54" t="n">
        <v>2149</v>
      </c>
      <c r="AA196" s="55">
        <f>IF(AND(A196="", B196="", E196=""), "", IF(AB196="", "Válido", IF((LEN(AB196)-LEN(SUBSTITUTE(AB196,"; ","")))/2+1&gt;(LEN(AB196)-LEN(SUBSTITUTE(AB196,"[Aviso]","")))/7, "Con Incidencias", "Válido")))</f>
        <v/>
      </c>
      <c r="AB196" s="56">
        <f>IF(AND(A196="", B196="", E196=""), "", TEXTJOIN("; ", TRUE, IF(OR(TRIM(A196&amp;"")="", ISNUMBER(SEARCH("FALTA", A196))), "UPC faltante/inválido", ""), IF(AND(A196&lt;&gt;"", IFERROR(_xlfn.XMATCH(A196,$A$2:$A$653,0,1)&lt;&gt;_xlfn.XMATCH(A196,$A$2:$A$653,0,-1),FALSE)), "Código de barras duplicado", ""), IF(AND(E196&lt;&gt;"", COUNTIF($E$2:$E$653, E196)&gt;1), "SKU duplicado", ""), IF(OR(J196="", J196=""), "[Aviso] División no capturada ()", IF(ISNA(MATCH(J196, Criterios!$A$123:$A$126, 0)), "División no válida", "")), IF(OR(K196="", K196=""), "[Aviso] Categoría no capturada ()", IF(ISNA(MATCH(K196, Criterios!$A$81:$A$120, 0)), "Categoría no válida", IF(AND(J196&lt;&gt;"", J196&lt;&gt;"", J196&lt;&gt;VLOOKUP(K196, Criterios!$A$81:$B$120, 2, FALSE)), "División no coincide con Categoría", ""))), IF(OR(L196="", L196=""), "[Aviso] Género no capturado ()", IF(ISNA(MATCH(L196, Criterios!$B$123:$B$127, 0)), "Género no válido", "")), IF(OR(N196="", N196=""), "[Aviso] Temporada no capturada ()", IF(ISNA(MATCH(N196, Criterios!$C$123:$C$128, 0)), "Temporada no válida", "")), IF(OR(O196="", O196=""), "[Aviso] Ciclo de vida no capturado ()", IF(ISNA(MATCH(O196, Criterios!$D$123:$D$124, 0)), "Ciclo de vida no válido", ""))))</f>
        <v/>
      </c>
      <c r="AC196" s="56" t="n"/>
      <c r="AD196" s="51" t="n">
        <v>2</v>
      </c>
      <c r="AE196" s="156" t="inlineStr">
        <is>
          <t>MUESTRAS REFLO (1); REFLO ALMACEN (2)</t>
        </is>
      </c>
      <c r="AF196" s="51" t="n">
        <v>2</v>
      </c>
      <c r="AG196" s="156" t="inlineStr">
        <is>
          <t>Nuevo – NetSuite con existencia</t>
        </is>
      </c>
      <c r="AH196" s="156" t="inlineStr">
        <is>
          <t>Composición: poliéster reciclado (validar % en etiqueta)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96" s="156" t="inlineStr">
        <is>
          <t>Sí</t>
        </is>
      </c>
      <c r="AJ196" s="156" t="inlineStr">
        <is>
          <t>CONSIGNA REFLO (-1)</t>
        </is>
      </c>
      <c r="AK196" s="155" t="inlineStr">
        <is>
          <t>G1522ProductosTodosloscamposSandboxResults894.xlsx: fila 48434 [X,Y]; G1522_Extraccion_Articulos_NetSuite_2026-09-30.xlsx: fila 37630 [Z]</t>
        </is>
      </c>
      <c r="AL196" s="58" t="n">
        <v>29.25</v>
      </c>
      <c r="AM196" s="58" t="n"/>
      <c r="AN196" s="155" t="n"/>
      <c r="AO196" s="59" t="n"/>
      <c r="AP196" s="59" t="n"/>
      <c r="AQ196" s="59" t="n"/>
      <c r="AR196" s="155" t="n"/>
    </row>
    <row r="197">
      <c r="A197" s="50" t="inlineStr">
        <is>
          <t>5056658703331</t>
        </is>
      </c>
      <c r="B197" s="51" t="inlineStr">
        <is>
          <t>79298</t>
        </is>
      </c>
      <c r="C197" s="156" t="inlineStr">
        <is>
          <t>REFLO</t>
        </is>
      </c>
      <c r="D197" s="156" t="inlineStr">
        <is>
          <t>RM24407050</t>
        </is>
      </c>
      <c r="E197" s="156" t="inlineStr">
        <is>
          <t>RM24407050-L</t>
        </is>
      </c>
      <c r="F197" s="156" t="inlineStr">
        <is>
          <t>L</t>
        </is>
      </c>
      <c r="G197" s="156" t="inlineStr">
        <is>
          <t>L</t>
        </is>
      </c>
      <c r="H197" s="156" t="inlineStr">
        <is>
          <t>REFLO</t>
        </is>
      </c>
      <c r="I197" s="156" t="inlineStr">
        <is>
          <t>Playera tipo polo REFLO Como Blue Ocean</t>
        </is>
      </c>
      <c r="J197" s="156" t="inlineStr">
        <is>
          <t>Ropa</t>
        </is>
      </c>
      <c r="K197" s="156" t="inlineStr">
        <is>
          <t>Playeras</t>
        </is>
      </c>
      <c r="L197" s="156" t="inlineStr">
        <is>
          <t>Hombre</t>
        </is>
      </c>
      <c r="M197" s="156" t="inlineStr">
        <is>
          <t>REFLO</t>
        </is>
      </c>
      <c r="N197" s="156" t="n"/>
      <c r="O197" s="156" t="n"/>
      <c r="P197" s="156" t="inlineStr">
        <is>
          <t>Azul</t>
        </is>
      </c>
      <c r="Q197" s="156" t="n"/>
      <c r="R197" s="156" t="n"/>
      <c r="S197" s="156" t="inlineStr">
        <is>
          <t>Poliéster reciclado</t>
        </is>
      </c>
      <c r="T197" s="156" t="inlineStr">
        <is>
          <t>Playera tipo polo de golf REFLO modelo Como en color Blue Ocean, confeccionado con materiales reciclados. Estilo RM24407050.</t>
        </is>
      </c>
      <c r="U197" s="156" t="n"/>
      <c r="V197" s="156" t="inlineStr">
        <is>
          <t>PZS</t>
        </is>
      </c>
      <c r="W197" s="51" t="inlineStr">
        <is>
          <t>53101602</t>
        </is>
      </c>
      <c r="X197" s="156" t="inlineStr">
        <is>
          <t>https://i.ibb.co/9V1DCFR/RM24407050.jpg</t>
        </is>
      </c>
      <c r="Y197" s="54" t="n">
        <v>29.25</v>
      </c>
      <c r="Z197" s="54" t="n">
        <v>2149</v>
      </c>
      <c r="AA197" s="55">
        <f>IF(AND(A197="", B197="", E197=""), "", IF(AB197="", "Válido", IF((LEN(AB197)-LEN(SUBSTITUTE(AB197,"; ","")))/2+1&gt;(LEN(AB197)-LEN(SUBSTITUTE(AB197,"[Aviso]","")))/7, "Con Incidencias", "Válido")))</f>
        <v/>
      </c>
      <c r="AB197" s="56">
        <f>IF(AND(A197="", B197="", E197=""), "", TEXTJOIN("; ", TRUE, IF(OR(TRIM(A197&amp;"")="", ISNUMBER(SEARCH("FALTA", A197))), "UPC faltante/inválido", ""), IF(AND(A197&lt;&gt;"", IFERROR(_xlfn.XMATCH(A197,$A$2:$A$653,0,1)&lt;&gt;_xlfn.XMATCH(A197,$A$2:$A$653,0,-1),FALSE)), "Código de barras duplicado", ""), IF(AND(E197&lt;&gt;"", COUNTIF($E$2:$E$653, E197)&gt;1), "SKU duplicado", ""), IF(OR(J197="", J197=""), "[Aviso] División no capturada ()", IF(ISNA(MATCH(J197, Criterios!$A$123:$A$126, 0)), "División no válida", "")), IF(OR(K197="", K197=""), "[Aviso] Categoría no capturada ()", IF(ISNA(MATCH(K197, Criterios!$A$81:$A$120, 0)), "Categoría no válida", IF(AND(J197&lt;&gt;"", J197&lt;&gt;"", J197&lt;&gt;VLOOKUP(K197, Criterios!$A$81:$B$120, 2, FALSE)), "División no coincide con Categoría", ""))), IF(OR(L197="", L197=""), "[Aviso] Género no capturado ()", IF(ISNA(MATCH(L197, Criterios!$B$123:$B$127, 0)), "Género no válido", "")), IF(OR(N197="", N197=""), "[Aviso] Temporada no capturada ()", IF(ISNA(MATCH(N197, Criterios!$C$123:$C$128, 0)), "Temporada no válida", "")), IF(OR(O197="", O197=""), "[Aviso] Ciclo de vida no capturado ()", IF(ISNA(MATCH(O197, Criterios!$D$123:$D$124, 0)), "Ciclo de vida no válido", ""))))</f>
        <v/>
      </c>
      <c r="AC197" s="56" t="n"/>
      <c r="AD197" s="51" t="n">
        <v>12</v>
      </c>
      <c r="AE197" s="156" t="inlineStr">
        <is>
          <t>MUESTRAS REFLO (1); REFLO ALMACEN (7)</t>
        </is>
      </c>
      <c r="AF197" s="51" t="n">
        <v>11</v>
      </c>
      <c r="AG197" s="156" t="inlineStr">
        <is>
          <t>Nuevo – NetSuite con existencia</t>
        </is>
      </c>
      <c r="AH197" s="156" t="inlineStr">
        <is>
          <t>Composición: poliéster reciclado (validar % en etiqueta); Físico total NetSuite 12 ≠ suma por ubicación 8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97" s="156" t="inlineStr">
        <is>
          <t>No</t>
        </is>
      </c>
      <c r="AJ197" s="156" t="n"/>
      <c r="AK197" s="155" t="inlineStr">
        <is>
          <t>G1522ProductosTodosloscamposSandboxResults894.xlsx: fila 48435 [X,Y]; G1522_Extraccion_Articulos_NetSuite_2026-09-30.xlsx: fila 37631 [Z]</t>
        </is>
      </c>
      <c r="AL197" s="58" t="n">
        <v>29.25</v>
      </c>
      <c r="AM197" s="58" t="n"/>
      <c r="AN197" s="155" t="n"/>
      <c r="AO197" s="59" t="n"/>
      <c r="AP197" s="59" t="n"/>
      <c r="AQ197" s="59" t="n"/>
      <c r="AR197" s="155" t="n"/>
    </row>
    <row r="198">
      <c r="A198" s="50" t="inlineStr">
        <is>
          <t>5056658703348</t>
        </is>
      </c>
      <c r="B198" s="51" t="inlineStr">
        <is>
          <t>79299</t>
        </is>
      </c>
      <c r="C198" s="156" t="inlineStr">
        <is>
          <t>REFLO</t>
        </is>
      </c>
      <c r="D198" s="156" t="inlineStr">
        <is>
          <t>RM24407050</t>
        </is>
      </c>
      <c r="E198" s="156" t="inlineStr">
        <is>
          <t>RM24407050-XL</t>
        </is>
      </c>
      <c r="F198" s="156" t="inlineStr">
        <is>
          <t>XL</t>
        </is>
      </c>
      <c r="G198" s="156" t="inlineStr">
        <is>
          <t>XL</t>
        </is>
      </c>
      <c r="H198" s="156" t="inlineStr">
        <is>
          <t>REFLO</t>
        </is>
      </c>
      <c r="I198" s="156" t="inlineStr">
        <is>
          <t>Playera tipo polo REFLO Como Blue Ocean</t>
        </is>
      </c>
      <c r="J198" s="156" t="inlineStr">
        <is>
          <t>Ropa</t>
        </is>
      </c>
      <c r="K198" s="156" t="inlineStr">
        <is>
          <t>Playeras</t>
        </is>
      </c>
      <c r="L198" s="156" t="inlineStr">
        <is>
          <t>Hombre</t>
        </is>
      </c>
      <c r="M198" s="156" t="inlineStr">
        <is>
          <t>REFLO</t>
        </is>
      </c>
      <c r="N198" s="156" t="n"/>
      <c r="O198" s="156" t="n"/>
      <c r="P198" s="156" t="inlineStr">
        <is>
          <t>Azul</t>
        </is>
      </c>
      <c r="Q198" s="156" t="n"/>
      <c r="R198" s="156" t="n"/>
      <c r="S198" s="156" t="inlineStr">
        <is>
          <t>Poliéster reciclado</t>
        </is>
      </c>
      <c r="T198" s="156" t="inlineStr">
        <is>
          <t>Playera tipo polo de golf REFLO modelo Como en color Blue Ocean, confeccionado con materiales reciclados. Estilo RM24407050.</t>
        </is>
      </c>
      <c r="U198" s="156" t="n"/>
      <c r="V198" s="156" t="inlineStr">
        <is>
          <t>PZS</t>
        </is>
      </c>
      <c r="W198" s="51" t="inlineStr">
        <is>
          <t>53101602</t>
        </is>
      </c>
      <c r="X198" s="156" t="inlineStr">
        <is>
          <t>https://i.ibb.co/9V1DCFR/RM24407050.jpg</t>
        </is>
      </c>
      <c r="Y198" s="54" t="n">
        <v>29.25</v>
      </c>
      <c r="Z198" s="54" t="n">
        <v>2149</v>
      </c>
      <c r="AA198" s="55">
        <f>IF(AND(A198="", B198="", E198=""), "", IF(AB198="", "Válido", IF((LEN(AB198)-LEN(SUBSTITUTE(AB198,"; ","")))/2+1&gt;(LEN(AB198)-LEN(SUBSTITUTE(AB198,"[Aviso]","")))/7, "Con Incidencias", "Válido")))</f>
        <v/>
      </c>
      <c r="AB198" s="56">
        <f>IF(AND(A198="", B198="", E198=""), "", TEXTJOIN("; ", TRUE, IF(OR(TRIM(A198&amp;"")="", ISNUMBER(SEARCH("FALTA", A198))), "UPC faltante/inválido", ""), IF(AND(A198&lt;&gt;"", IFERROR(_xlfn.XMATCH(A198,$A$2:$A$653,0,1)&lt;&gt;_xlfn.XMATCH(A198,$A$2:$A$653,0,-1),FALSE)), "Código de barras duplicado", ""), IF(AND(E198&lt;&gt;"", COUNTIF($E$2:$E$653, E198)&gt;1), "SKU duplicado", ""), IF(OR(J198="", J198=""), "[Aviso] División no capturada ()", IF(ISNA(MATCH(J198, Criterios!$A$123:$A$126, 0)), "División no válida", "")), IF(OR(K198="", K198=""), "[Aviso] Categoría no capturada ()", IF(ISNA(MATCH(K198, Criterios!$A$81:$A$120, 0)), "Categoría no válida", IF(AND(J198&lt;&gt;"", J198&lt;&gt;"", J198&lt;&gt;VLOOKUP(K198, Criterios!$A$81:$B$120, 2, FALSE)), "División no coincide con Categoría", ""))), IF(OR(L198="", L198=""), "[Aviso] Género no capturado ()", IF(ISNA(MATCH(L198, Criterios!$B$123:$B$127, 0)), "Género no válido", "")), IF(OR(N198="", N198=""), "[Aviso] Temporada no capturada ()", IF(ISNA(MATCH(N198, Criterios!$C$123:$C$128, 0)), "Temporada no válida", "")), IF(OR(O198="", O198=""), "[Aviso] Ciclo de vida no capturado ()", IF(ISNA(MATCH(O198, Criterios!$D$123:$D$124, 0)), "Ciclo de vida no válido", ""))))</f>
        <v/>
      </c>
      <c r="AC198" s="56" t="n"/>
      <c r="AD198" s="51" t="n">
        <v>14</v>
      </c>
      <c r="AE198" s="156" t="inlineStr">
        <is>
          <t>REFLO ALMACEN (8)</t>
        </is>
      </c>
      <c r="AF198" s="51" t="n">
        <v>14</v>
      </c>
      <c r="AG198" s="156" t="inlineStr">
        <is>
          <t>Nuevo – NetSuite con existencia</t>
        </is>
      </c>
      <c r="AH198" s="156" t="inlineStr">
        <is>
          <t>Composición: poliéster reciclado (validar % en etiqueta); Físico total NetSuite 14 ≠ suma por ubicación 8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98" s="156" t="inlineStr">
        <is>
          <t>No</t>
        </is>
      </c>
      <c r="AJ198" s="156" t="n"/>
      <c r="AK198" s="155" t="inlineStr">
        <is>
          <t>G1522ProductosTodosloscamposSandboxResults894.xlsx: fila 48436 [X,Y]; G1522_Extraccion_Articulos_NetSuite_2026-09-30.xlsx: fila 37632 [Z]</t>
        </is>
      </c>
      <c r="AL198" s="58" t="n">
        <v>29.25</v>
      </c>
      <c r="AM198" s="58" t="n"/>
      <c r="AN198" s="155" t="n"/>
      <c r="AO198" s="59" t="n"/>
      <c r="AP198" s="59" t="n"/>
      <c r="AQ198" s="59" t="n"/>
      <c r="AR198" s="155" t="n"/>
    </row>
    <row r="199">
      <c r="A199" s="50" t="inlineStr">
        <is>
          <t>5056658703355</t>
        </is>
      </c>
      <c r="B199" s="51" t="inlineStr">
        <is>
          <t>79300</t>
        </is>
      </c>
      <c r="C199" s="156" t="inlineStr">
        <is>
          <t>REFLO</t>
        </is>
      </c>
      <c r="D199" s="156" t="inlineStr">
        <is>
          <t>RM24407050</t>
        </is>
      </c>
      <c r="E199" s="156" t="inlineStr">
        <is>
          <t>RM24407050-2XL</t>
        </is>
      </c>
      <c r="F199" s="156" t="inlineStr">
        <is>
          <t>XXL</t>
        </is>
      </c>
      <c r="G199" s="156" t="inlineStr">
        <is>
          <t>XXL</t>
        </is>
      </c>
      <c r="H199" s="156" t="inlineStr">
        <is>
          <t>REFLO</t>
        </is>
      </c>
      <c r="I199" s="156" t="inlineStr">
        <is>
          <t>Playera tipo polo REFLO Como Blue Ocean</t>
        </is>
      </c>
      <c r="J199" s="156" t="inlineStr">
        <is>
          <t>Ropa</t>
        </is>
      </c>
      <c r="K199" s="156" t="inlineStr">
        <is>
          <t>Playeras</t>
        </is>
      </c>
      <c r="L199" s="156" t="inlineStr">
        <is>
          <t>Hombre</t>
        </is>
      </c>
      <c r="M199" s="156" t="inlineStr">
        <is>
          <t>REFLO</t>
        </is>
      </c>
      <c r="N199" s="156" t="n"/>
      <c r="O199" s="156" t="n"/>
      <c r="P199" s="156" t="inlineStr">
        <is>
          <t>Azul</t>
        </is>
      </c>
      <c r="Q199" s="156" t="n"/>
      <c r="R199" s="156" t="n"/>
      <c r="S199" s="156" t="inlineStr">
        <is>
          <t>Poliéster reciclado</t>
        </is>
      </c>
      <c r="T199" s="156" t="inlineStr">
        <is>
          <t>Playera tipo polo de golf REFLO modelo Como en color Blue Ocean, confeccionado con materiales reciclados. Estilo RM24407050.</t>
        </is>
      </c>
      <c r="U199" s="156" t="n"/>
      <c r="V199" s="156" t="inlineStr">
        <is>
          <t>PZS</t>
        </is>
      </c>
      <c r="W199" s="51" t="inlineStr">
        <is>
          <t>53101602</t>
        </is>
      </c>
      <c r="X199" s="156" t="inlineStr">
        <is>
          <t>https://i.ibb.co/9V1DCFR/RM24407050.jpg</t>
        </is>
      </c>
      <c r="Y199" s="54" t="n">
        <v>29.25</v>
      </c>
      <c r="Z199" s="54" t="n">
        <v>2149</v>
      </c>
      <c r="AA199" s="55">
        <f>IF(AND(A199="", B199="", E199=""), "", IF(AB199="", "Válido", IF((LEN(AB199)-LEN(SUBSTITUTE(AB199,"; ","")))/2+1&gt;(LEN(AB199)-LEN(SUBSTITUTE(AB199,"[Aviso]","")))/7, "Con Incidencias", "Válido")))</f>
        <v/>
      </c>
      <c r="AB199" s="56">
        <f>IF(AND(A199="", B199="", E199=""), "", TEXTJOIN("; ", TRUE, IF(OR(TRIM(A199&amp;"")="", ISNUMBER(SEARCH("FALTA", A199))), "UPC faltante/inválido", ""), IF(AND(A199&lt;&gt;"", IFERROR(_xlfn.XMATCH(A199,$A$2:$A$653,0,1)&lt;&gt;_xlfn.XMATCH(A199,$A$2:$A$653,0,-1),FALSE)), "Código de barras duplicado", ""), IF(AND(E199&lt;&gt;"", COUNTIF($E$2:$E$653, E199)&gt;1), "SKU duplicado", ""), IF(OR(J199="", J199=""), "[Aviso] División no capturada ()", IF(ISNA(MATCH(J199, Criterios!$A$123:$A$126, 0)), "División no válida", "")), IF(OR(K199="", K199=""), "[Aviso] Categoría no capturada ()", IF(ISNA(MATCH(K199, Criterios!$A$81:$A$120, 0)), "Categoría no válida", IF(AND(J199&lt;&gt;"", J199&lt;&gt;"", J199&lt;&gt;VLOOKUP(K199, Criterios!$A$81:$B$120, 2, FALSE)), "División no coincide con Categoría", ""))), IF(OR(L199="", L199=""), "[Aviso] Género no capturado ()", IF(ISNA(MATCH(L199, Criterios!$B$123:$B$127, 0)), "Género no válido", "")), IF(OR(N199="", N199=""), "[Aviso] Temporada no capturada ()", IF(ISNA(MATCH(N199, Criterios!$C$123:$C$128, 0)), "Temporada no válida", "")), IF(OR(O199="", O199=""), "[Aviso] Ciclo de vida no capturado ()", IF(ISNA(MATCH(O199, Criterios!$D$123:$D$124, 0)), "Ciclo de vida no válido", ""))))</f>
        <v/>
      </c>
      <c r="AC199" s="56" t="n"/>
      <c r="AD199" s="51" t="n">
        <v>4</v>
      </c>
      <c r="AE199" s="156" t="inlineStr">
        <is>
          <t>REFLO ALMACEN (2)</t>
        </is>
      </c>
      <c r="AF199" s="51" t="n">
        <v>4</v>
      </c>
      <c r="AG199" s="156" t="inlineStr">
        <is>
          <t>Nuevo – NetSuite con existencia</t>
        </is>
      </c>
      <c r="AH199" s="156" t="inlineStr">
        <is>
          <t>Composición: poliéster reciclado (validar % en etiqueta); Físico total NetSuite 4 ≠ suma por ubicación 2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199" s="156" t="inlineStr">
        <is>
          <t>No</t>
        </is>
      </c>
      <c r="AJ199" s="156" t="n"/>
      <c r="AK199" s="155" t="inlineStr">
        <is>
          <t>G1522ProductosTodosloscamposSandboxResults894.xlsx: fila 48437 [X,Y]; G1522_Extraccion_Articulos_NetSuite_2026-09-30.xlsx: fila 37633 [Z]</t>
        </is>
      </c>
      <c r="AL199" s="58" t="n">
        <v>29.25</v>
      </c>
      <c r="AM199" s="58" t="n"/>
      <c r="AN199" s="155" t="n"/>
      <c r="AO199" s="59" t="n"/>
      <c r="AP199" s="59" t="n"/>
      <c r="AQ199" s="59" t="n"/>
      <c r="AR199" s="155" t="n"/>
    </row>
    <row r="200">
      <c r="A200" s="50" t="inlineStr">
        <is>
          <t>5056658703386</t>
        </is>
      </c>
      <c r="B200" s="51" t="inlineStr">
        <is>
          <t>79301</t>
        </is>
      </c>
      <c r="C200" s="156" t="inlineStr">
        <is>
          <t>REFLO</t>
        </is>
      </c>
      <c r="D200" s="156" t="inlineStr">
        <is>
          <t>RM24408051</t>
        </is>
      </c>
      <c r="E200" s="156" t="inlineStr">
        <is>
          <t>RM24408051-M</t>
        </is>
      </c>
      <c r="F200" s="156" t="inlineStr">
        <is>
          <t>M</t>
        </is>
      </c>
      <c r="G200" s="156" t="inlineStr">
        <is>
          <t>M</t>
        </is>
      </c>
      <c r="H200" s="156" t="inlineStr">
        <is>
          <t>REFLO</t>
        </is>
      </c>
      <c r="I200" s="156" t="inlineStr">
        <is>
          <t>Playera tipo polo REFLO Onega Peach</t>
        </is>
      </c>
      <c r="J200" s="156" t="inlineStr">
        <is>
          <t>Ropa</t>
        </is>
      </c>
      <c r="K200" s="156" t="inlineStr">
        <is>
          <t>Playeras</t>
        </is>
      </c>
      <c r="L200" s="156" t="inlineStr">
        <is>
          <t>Hombre</t>
        </is>
      </c>
      <c r="M200" s="156" t="inlineStr">
        <is>
          <t>REFLO</t>
        </is>
      </c>
      <c r="N200" s="156" t="n"/>
      <c r="O200" s="156" t="n"/>
      <c r="P200" s="156" t="inlineStr">
        <is>
          <t>Naranja</t>
        </is>
      </c>
      <c r="Q200" s="156" t="n"/>
      <c r="R200" s="156" t="n"/>
      <c r="S200" s="156" t="inlineStr">
        <is>
          <t>Poliéster reciclado</t>
        </is>
      </c>
      <c r="T200" s="156" t="inlineStr">
        <is>
          <t>Playera tipo polo de golf REFLO modelo Onega en color Peach, confeccionado con materiales reciclados. Estilo RM24408051.</t>
        </is>
      </c>
      <c r="U200" s="156" t="n"/>
      <c r="V200" s="156" t="inlineStr">
        <is>
          <t>PZS</t>
        </is>
      </c>
      <c r="W200" s="51" t="inlineStr">
        <is>
          <t>53101602</t>
        </is>
      </c>
      <c r="X200" s="156" t="inlineStr">
        <is>
          <t>https://i.ibb.co/rsbGRJf/RM24408051.jpg</t>
        </is>
      </c>
      <c r="Y200" s="54" t="n">
        <v>29.25</v>
      </c>
      <c r="Z200" s="54" t="n">
        <v>2149</v>
      </c>
      <c r="AA200" s="55">
        <f>IF(AND(A200="", B200="", E200=""), "", IF(AB200="", "Válido", IF((LEN(AB200)-LEN(SUBSTITUTE(AB200,"; ","")))/2+1&gt;(LEN(AB200)-LEN(SUBSTITUTE(AB200,"[Aviso]","")))/7, "Con Incidencias", "Válido")))</f>
        <v/>
      </c>
      <c r="AB200" s="56">
        <f>IF(AND(A200="", B200="", E200=""), "", TEXTJOIN("; ", TRUE, IF(OR(TRIM(A200&amp;"")="", ISNUMBER(SEARCH("FALTA", A200))), "UPC faltante/inválido", ""), IF(AND(A200&lt;&gt;"", IFERROR(_xlfn.XMATCH(A200,$A$2:$A$653,0,1)&lt;&gt;_xlfn.XMATCH(A200,$A$2:$A$653,0,-1),FALSE)), "Código de barras duplicado", ""), IF(AND(E200&lt;&gt;"", COUNTIF($E$2:$E$653, E200)&gt;1), "SKU duplicado", ""), IF(OR(J200="", J200=""), "[Aviso] División no capturada ()", IF(ISNA(MATCH(J200, Criterios!$A$123:$A$126, 0)), "División no válida", "")), IF(OR(K200="", K200=""), "[Aviso] Categoría no capturada ()", IF(ISNA(MATCH(K200, Criterios!$A$81:$A$120, 0)), "Categoría no válida", IF(AND(J200&lt;&gt;"", J200&lt;&gt;"", J200&lt;&gt;VLOOKUP(K200, Criterios!$A$81:$B$120, 2, FALSE)), "División no coincide con Categoría", ""))), IF(OR(L200="", L200=""), "[Aviso] Género no capturado ()", IF(ISNA(MATCH(L200, Criterios!$B$123:$B$127, 0)), "Género no válido", "")), IF(OR(N200="", N200=""), "[Aviso] Temporada no capturada ()", IF(ISNA(MATCH(N200, Criterios!$C$123:$C$128, 0)), "Temporada no válida", "")), IF(OR(O200="", O200=""), "[Aviso] Ciclo de vida no capturado ()", IF(ISNA(MATCH(O200, Criterios!$D$123:$D$124, 0)), "Ciclo de vida no válido", ""))))</f>
        <v/>
      </c>
      <c r="AC200" s="56" t="n"/>
      <c r="AD200" s="51" t="n">
        <v>3</v>
      </c>
      <c r="AE200" s="156" t="inlineStr">
        <is>
          <t>MUESTRAS REFLO (1); REFLO ALMACEN (1)</t>
        </is>
      </c>
      <c r="AF200" s="51" t="n">
        <v>2</v>
      </c>
      <c r="AG200" s="156" t="inlineStr">
        <is>
          <t>Nuevo – NetSuite con existencia</t>
        </is>
      </c>
      <c r="AH200" s="156" t="inlineStr">
        <is>
          <t>Composición: poliéster reciclado (validar % en etiqueta); Físico total NetSuite 3 ≠ suma por ubicación 2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200" s="156" t="inlineStr">
        <is>
          <t>No</t>
        </is>
      </c>
      <c r="AJ200" s="156" t="n"/>
      <c r="AK200" s="155" t="inlineStr">
        <is>
          <t>G1522ProductosTodosloscamposSandboxResults894.xlsx: fila 57887 [X,Y]; G1522_Extraccion_Articulos_NetSuite_2026-09-30.xlsx: fila 37634 [Z]</t>
        </is>
      </c>
      <c r="AL200" s="58" t="n">
        <v>29.25</v>
      </c>
      <c r="AM200" s="58" t="n"/>
      <c r="AN200" s="155" t="n"/>
      <c r="AO200" s="59" t="n"/>
      <c r="AP200" s="59" t="n"/>
      <c r="AQ200" s="59" t="n"/>
      <c r="AR200" s="155" t="n"/>
    </row>
    <row r="201">
      <c r="A201" s="50" t="inlineStr">
        <is>
          <t>5056658703393</t>
        </is>
      </c>
      <c r="B201" s="51" t="inlineStr">
        <is>
          <t>79302</t>
        </is>
      </c>
      <c r="C201" s="156" t="inlineStr">
        <is>
          <t>REFLO</t>
        </is>
      </c>
      <c r="D201" s="156" t="inlineStr">
        <is>
          <t>RM24408051</t>
        </is>
      </c>
      <c r="E201" s="156" t="inlineStr">
        <is>
          <t>RM24408051-L</t>
        </is>
      </c>
      <c r="F201" s="156" t="inlineStr">
        <is>
          <t>L</t>
        </is>
      </c>
      <c r="G201" s="156" t="inlineStr">
        <is>
          <t>L</t>
        </is>
      </c>
      <c r="H201" s="156" t="inlineStr">
        <is>
          <t>REFLO</t>
        </is>
      </c>
      <c r="I201" s="156" t="inlineStr">
        <is>
          <t>Playera tipo polo REFLO Onega Peach</t>
        </is>
      </c>
      <c r="J201" s="156" t="inlineStr">
        <is>
          <t>Ropa</t>
        </is>
      </c>
      <c r="K201" s="156" t="inlineStr">
        <is>
          <t>Playeras</t>
        </is>
      </c>
      <c r="L201" s="156" t="inlineStr">
        <is>
          <t>Hombre</t>
        </is>
      </c>
      <c r="M201" s="156" t="inlineStr">
        <is>
          <t>REFLO</t>
        </is>
      </c>
      <c r="N201" s="156" t="n"/>
      <c r="O201" s="156" t="n"/>
      <c r="P201" s="156" t="inlineStr">
        <is>
          <t>Naranja</t>
        </is>
      </c>
      <c r="Q201" s="156" t="n"/>
      <c r="R201" s="156" t="n"/>
      <c r="S201" s="156" t="inlineStr">
        <is>
          <t>Poliéster reciclado</t>
        </is>
      </c>
      <c r="T201" s="156" t="inlineStr">
        <is>
          <t>Playera tipo polo de golf REFLO modelo Onega en color Peach, confeccionado con materiales reciclados. Estilo RM24408051.</t>
        </is>
      </c>
      <c r="U201" s="156" t="n"/>
      <c r="V201" s="156" t="inlineStr">
        <is>
          <t>PZS</t>
        </is>
      </c>
      <c r="W201" s="51" t="inlineStr">
        <is>
          <t>53101602</t>
        </is>
      </c>
      <c r="X201" s="156" t="inlineStr">
        <is>
          <t>https://i.ibb.co/rsbGRJf/RM24408051.jpg</t>
        </is>
      </c>
      <c r="Y201" s="54" t="n">
        <v>29.25</v>
      </c>
      <c r="Z201" s="54" t="n">
        <v>2149</v>
      </c>
      <c r="AA201" s="55">
        <f>IF(AND(A201="", B201="", E201=""), "", IF(AB201="", "Válido", IF((LEN(AB201)-LEN(SUBSTITUTE(AB201,"; ","")))/2+1&gt;(LEN(AB201)-LEN(SUBSTITUTE(AB201,"[Aviso]","")))/7, "Con Incidencias", "Válido")))</f>
        <v/>
      </c>
      <c r="AB201" s="56">
        <f>IF(AND(A201="", B201="", E201=""), "", TEXTJOIN("; ", TRUE, IF(OR(TRIM(A201&amp;"")="", ISNUMBER(SEARCH("FALTA", A201))), "UPC faltante/inválido", ""), IF(AND(A201&lt;&gt;"", IFERROR(_xlfn.XMATCH(A201,$A$2:$A$653,0,1)&lt;&gt;_xlfn.XMATCH(A201,$A$2:$A$653,0,-1),FALSE)), "Código de barras duplicado", ""), IF(AND(E201&lt;&gt;"", COUNTIF($E$2:$E$653, E201)&gt;1), "SKU duplicado", ""), IF(OR(J201="", J201=""), "[Aviso] División no capturada ()", IF(ISNA(MATCH(J201, Criterios!$A$123:$A$126, 0)), "División no válida", "")), IF(OR(K201="", K201=""), "[Aviso] Categoría no capturada ()", IF(ISNA(MATCH(K201, Criterios!$A$81:$A$120, 0)), "Categoría no válida", IF(AND(J201&lt;&gt;"", J201&lt;&gt;"", J201&lt;&gt;VLOOKUP(K201, Criterios!$A$81:$B$120, 2, FALSE)), "División no coincide con Categoría", ""))), IF(OR(L201="", L201=""), "[Aviso] Género no capturado ()", IF(ISNA(MATCH(L201, Criterios!$B$123:$B$127, 0)), "Género no válido", "")), IF(OR(N201="", N201=""), "[Aviso] Temporada no capturada ()", IF(ISNA(MATCH(N201, Criterios!$C$123:$C$128, 0)), "Temporada no válida", "")), IF(OR(O201="", O201=""), "[Aviso] Ciclo de vida no capturado ()", IF(ISNA(MATCH(O201, Criterios!$D$123:$D$124, 0)), "Ciclo de vida no válido", ""))))</f>
        <v/>
      </c>
      <c r="AC201" s="56" t="n"/>
      <c r="AD201" s="51" t="n">
        <v>5</v>
      </c>
      <c r="AE201" s="156" t="inlineStr">
        <is>
          <t>CONSIGNA REFLO (1); REFLO ALMACEN (2); MUESTRAS REFLO (1)</t>
        </is>
      </c>
      <c r="AF201" s="51" t="n">
        <v>4</v>
      </c>
      <c r="AG201" s="156" t="inlineStr">
        <is>
          <t>Nuevo – NetSuite con existencia</t>
        </is>
      </c>
      <c r="AH201" s="156" t="inlineStr">
        <is>
          <t>Composición: poliéster reciclado (validar % en etiqueta); Físico total NetSuite 5 ≠ suma por ubicación 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201" s="156" t="inlineStr">
        <is>
          <t>No</t>
        </is>
      </c>
      <c r="AJ201" s="156" t="n"/>
      <c r="AK201" s="155" t="inlineStr">
        <is>
          <t>G1522ProductosTodosloscamposSandboxResults894.xlsx: fila 57888 [X,Y]; G1522_Extraccion_Articulos_NetSuite_2026-09-30.xlsx: fila 37635 [Z]</t>
        </is>
      </c>
      <c r="AL201" s="58" t="n">
        <v>29.25</v>
      </c>
      <c r="AM201" s="58" t="n"/>
      <c r="AN201" s="155" t="n"/>
      <c r="AO201" s="59" t="n"/>
      <c r="AP201" s="59" t="n"/>
      <c r="AQ201" s="59" t="n"/>
      <c r="AR201" s="155" t="n"/>
    </row>
    <row r="202">
      <c r="A202" s="50" t="inlineStr">
        <is>
          <t>5056658703409</t>
        </is>
      </c>
      <c r="B202" s="51" t="inlineStr">
        <is>
          <t>79304</t>
        </is>
      </c>
      <c r="C202" s="156" t="inlineStr">
        <is>
          <t>REFLO</t>
        </is>
      </c>
      <c r="D202" s="156" t="inlineStr">
        <is>
          <t>RM24408051</t>
        </is>
      </c>
      <c r="E202" s="156" t="inlineStr">
        <is>
          <t>RM24408051-XL</t>
        </is>
      </c>
      <c r="F202" s="156" t="inlineStr">
        <is>
          <t>XL</t>
        </is>
      </c>
      <c r="G202" s="156" t="inlineStr">
        <is>
          <t>XL</t>
        </is>
      </c>
      <c r="H202" s="156" t="inlineStr">
        <is>
          <t>REFLO</t>
        </is>
      </c>
      <c r="I202" s="156" t="inlineStr">
        <is>
          <t>Playera tipo polo REFLO Onega Peach</t>
        </is>
      </c>
      <c r="J202" s="156" t="inlineStr">
        <is>
          <t>Ropa</t>
        </is>
      </c>
      <c r="K202" s="156" t="inlineStr">
        <is>
          <t>Playeras</t>
        </is>
      </c>
      <c r="L202" s="156" t="inlineStr">
        <is>
          <t>Hombre</t>
        </is>
      </c>
      <c r="M202" s="156" t="inlineStr">
        <is>
          <t>REFLO</t>
        </is>
      </c>
      <c r="N202" s="156" t="n"/>
      <c r="O202" s="156" t="n"/>
      <c r="P202" s="156" t="inlineStr">
        <is>
          <t>Naranja</t>
        </is>
      </c>
      <c r="Q202" s="156" t="n"/>
      <c r="R202" s="156" t="n"/>
      <c r="S202" s="156" t="inlineStr">
        <is>
          <t>Poliéster reciclado</t>
        </is>
      </c>
      <c r="T202" s="156" t="inlineStr">
        <is>
          <t>Playera tipo polo de golf REFLO modelo Onega en color Peach, confeccionado con materiales reciclados. Estilo RM24408051.</t>
        </is>
      </c>
      <c r="U202" s="156" t="n"/>
      <c r="V202" s="156" t="inlineStr">
        <is>
          <t>PZS</t>
        </is>
      </c>
      <c r="W202" s="51" t="inlineStr">
        <is>
          <t>53101602</t>
        </is>
      </c>
      <c r="X202" s="156" t="inlineStr">
        <is>
          <t>https://i.ibb.co/rsbGRJf/RM24408051.jpg</t>
        </is>
      </c>
      <c r="Y202" s="54" t="n">
        <v>29.25</v>
      </c>
      <c r="Z202" s="54" t="n">
        <v>2149</v>
      </c>
      <c r="AA202" s="55">
        <f>IF(AND(A202="", B202="", E202=""), "", IF(AB202="", "Válido", IF((LEN(AB202)-LEN(SUBSTITUTE(AB202,"; ","")))/2+1&gt;(LEN(AB202)-LEN(SUBSTITUTE(AB202,"[Aviso]","")))/7, "Con Incidencias", "Válido")))</f>
        <v/>
      </c>
      <c r="AB202" s="56">
        <f>IF(AND(A202="", B202="", E202=""), "", TEXTJOIN("; ", TRUE, IF(OR(TRIM(A202&amp;"")="", ISNUMBER(SEARCH("FALTA", A202))), "UPC faltante/inválido", ""), IF(AND(A202&lt;&gt;"", IFERROR(_xlfn.XMATCH(A202,$A$2:$A$653,0,1)&lt;&gt;_xlfn.XMATCH(A202,$A$2:$A$653,0,-1),FALSE)), "Código de barras duplicado", ""), IF(AND(E202&lt;&gt;"", COUNTIF($E$2:$E$653, E202)&gt;1), "SKU duplicado", ""), IF(OR(J202="", J202=""), "[Aviso] División no capturada ()", IF(ISNA(MATCH(J202, Criterios!$A$123:$A$126, 0)), "División no válida", "")), IF(OR(K202="", K202=""), "[Aviso] Categoría no capturada ()", IF(ISNA(MATCH(K202, Criterios!$A$81:$A$120, 0)), "Categoría no válida", IF(AND(J202&lt;&gt;"", J202&lt;&gt;"", J202&lt;&gt;VLOOKUP(K202, Criterios!$A$81:$B$120, 2, FALSE)), "División no coincide con Categoría", ""))), IF(OR(L202="", L202=""), "[Aviso] Género no capturado ()", IF(ISNA(MATCH(L202, Criterios!$B$123:$B$127, 0)), "Género no válido", "")), IF(OR(N202="", N202=""), "[Aviso] Temporada no capturada ()", IF(ISNA(MATCH(N202, Criterios!$C$123:$C$128, 0)), "Temporada no válida", "")), IF(OR(O202="", O202=""), "[Aviso] Ciclo de vida no capturado ()", IF(ISNA(MATCH(O202, Criterios!$D$123:$D$124, 0)), "Ciclo de vida no válido", ""))))</f>
        <v/>
      </c>
      <c r="AC202" s="56" t="n"/>
      <c r="AD202" s="51" t="n">
        <v>7</v>
      </c>
      <c r="AE202" s="156" t="inlineStr">
        <is>
          <t>REFLO ALMACEN (4)</t>
        </is>
      </c>
      <c r="AF202" s="51" t="n">
        <v>7</v>
      </c>
      <c r="AG202" s="156" t="inlineStr">
        <is>
          <t>Nuevo – NetSuite con existencia</t>
        </is>
      </c>
      <c r="AH202" s="156" t="inlineStr">
        <is>
          <t>Composición: poliéster reciclado (validar % en etiqueta); Físico total NetSuite 7 ≠ suma por ubicación 4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202" s="156" t="inlineStr">
        <is>
          <t>No</t>
        </is>
      </c>
      <c r="AJ202" s="156" t="n"/>
      <c r="AK202" s="155" t="inlineStr">
        <is>
          <t>G1522ProductosTodosloscamposSandboxResults894.xlsx: fila 57889 [X,Y]; G1522_Extraccion_Articulos_NetSuite_2026-09-30.xlsx: fila 37636 [Z]</t>
        </is>
      </c>
      <c r="AL202" s="58" t="n">
        <v>29.25</v>
      </c>
      <c r="AM202" s="58" t="n"/>
      <c r="AN202" s="155" t="n"/>
      <c r="AO202" s="59" t="n"/>
      <c r="AP202" s="59" t="n"/>
      <c r="AQ202" s="59" t="n"/>
      <c r="AR202" s="155" t="n"/>
    </row>
    <row r="203">
      <c r="A203" s="50" t="inlineStr">
        <is>
          <t>5056658703416</t>
        </is>
      </c>
      <c r="B203" s="51" t="inlineStr">
        <is>
          <t>79305</t>
        </is>
      </c>
      <c r="C203" s="156" t="inlineStr">
        <is>
          <t>REFLO</t>
        </is>
      </c>
      <c r="D203" s="156" t="inlineStr">
        <is>
          <t>RM24408051</t>
        </is>
      </c>
      <c r="E203" s="156" t="inlineStr">
        <is>
          <t>RM24408051-2XL</t>
        </is>
      </c>
      <c r="F203" s="156" t="inlineStr">
        <is>
          <t>XXL</t>
        </is>
      </c>
      <c r="G203" s="156" t="inlineStr">
        <is>
          <t>XXL</t>
        </is>
      </c>
      <c r="H203" s="156" t="inlineStr">
        <is>
          <t>REFLO</t>
        </is>
      </c>
      <c r="I203" s="156" t="inlineStr">
        <is>
          <t>Playera tipo polo REFLO Onega Peach</t>
        </is>
      </c>
      <c r="J203" s="156" t="inlineStr">
        <is>
          <t>Ropa</t>
        </is>
      </c>
      <c r="K203" s="156" t="inlineStr">
        <is>
          <t>Playeras</t>
        </is>
      </c>
      <c r="L203" s="156" t="inlineStr">
        <is>
          <t>Hombre</t>
        </is>
      </c>
      <c r="M203" s="156" t="inlineStr">
        <is>
          <t>REFLO</t>
        </is>
      </c>
      <c r="N203" s="156" t="n"/>
      <c r="O203" s="156" t="n"/>
      <c r="P203" s="156" t="inlineStr">
        <is>
          <t>Naranja</t>
        </is>
      </c>
      <c r="Q203" s="156" t="n"/>
      <c r="R203" s="156" t="n"/>
      <c r="S203" s="156" t="inlineStr">
        <is>
          <t>Poliéster reciclado</t>
        </is>
      </c>
      <c r="T203" s="156" t="inlineStr">
        <is>
          <t>Playera tipo polo de golf REFLO modelo Onega en color Peach, confeccionado con materiales reciclados. Estilo RM24408051.</t>
        </is>
      </c>
      <c r="U203" s="156" t="n"/>
      <c r="V203" s="156" t="inlineStr">
        <is>
          <t>PZS</t>
        </is>
      </c>
      <c r="W203" s="51" t="inlineStr">
        <is>
          <t>53101602</t>
        </is>
      </c>
      <c r="X203" s="156" t="inlineStr">
        <is>
          <t>https://i.ibb.co/rsbGRJf/RM24408051.jpg</t>
        </is>
      </c>
      <c r="Y203" s="54" t="n">
        <v>29.25</v>
      </c>
      <c r="Z203" s="54" t="n">
        <v>2149</v>
      </c>
      <c r="AA203" s="55">
        <f>IF(AND(A203="", B203="", E203=""), "", IF(AB203="", "Válido", IF((LEN(AB203)-LEN(SUBSTITUTE(AB203,"; ","")))/2+1&gt;(LEN(AB203)-LEN(SUBSTITUTE(AB203,"[Aviso]","")))/7, "Con Incidencias", "Válido")))</f>
        <v/>
      </c>
      <c r="AB203" s="56">
        <f>IF(AND(A203="", B203="", E203=""), "", TEXTJOIN("; ", TRUE, IF(OR(TRIM(A203&amp;"")="", ISNUMBER(SEARCH("FALTA", A203))), "UPC faltante/inválido", ""), IF(AND(A203&lt;&gt;"", IFERROR(_xlfn.XMATCH(A203,$A$2:$A$653,0,1)&lt;&gt;_xlfn.XMATCH(A203,$A$2:$A$653,0,-1),FALSE)), "Código de barras duplicado", ""), IF(AND(E203&lt;&gt;"", COUNTIF($E$2:$E$653, E203)&gt;1), "SKU duplicado", ""), IF(OR(J203="", J203=""), "[Aviso] División no capturada ()", IF(ISNA(MATCH(J203, Criterios!$A$123:$A$126, 0)), "División no válida", "")), IF(OR(K203="", K203=""), "[Aviso] Categoría no capturada ()", IF(ISNA(MATCH(K203, Criterios!$A$81:$A$120, 0)), "Categoría no válida", IF(AND(J203&lt;&gt;"", J203&lt;&gt;"", J203&lt;&gt;VLOOKUP(K203, Criterios!$A$81:$B$120, 2, FALSE)), "División no coincide con Categoría", ""))), IF(OR(L203="", L203=""), "[Aviso] Género no capturado ()", IF(ISNA(MATCH(L203, Criterios!$B$123:$B$127, 0)), "Género no válido", "")), IF(OR(N203="", N203=""), "[Aviso] Temporada no capturada ()", IF(ISNA(MATCH(N203, Criterios!$C$123:$C$128, 0)), "Temporada no válida", "")), IF(OR(O203="", O203=""), "[Aviso] Ciclo de vida no capturado ()", IF(ISNA(MATCH(O203, Criterios!$D$123:$D$124, 0)), "Ciclo de vida no válido", ""))))</f>
        <v/>
      </c>
      <c r="AC203" s="56" t="n"/>
      <c r="AD203" s="51" t="n">
        <v>3</v>
      </c>
      <c r="AE203" s="156" t="inlineStr">
        <is>
          <t>REFLO ALMACEN (2)</t>
        </is>
      </c>
      <c r="AF203" s="51" t="n">
        <v>3</v>
      </c>
      <c r="AG203" s="156" t="inlineStr">
        <is>
          <t>Nuevo – NetSuite con existencia</t>
        </is>
      </c>
      <c r="AH203" s="156" t="inlineStr">
        <is>
          <t>Composición: poliéster reciclado (validar % en etiqueta); Físico total NetSuite 3 ≠ suma por ubicación 2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203" s="156" t="inlineStr">
        <is>
          <t>No</t>
        </is>
      </c>
      <c r="AJ203" s="156" t="n"/>
      <c r="AK203" s="155" t="inlineStr">
        <is>
          <t>G1522ProductosTodosloscamposSandboxResults894.xlsx: fila 57890 [X,Y]; G1522_Extraccion_Articulos_NetSuite_2026-09-30.xlsx: fila 37637 [Z]</t>
        </is>
      </c>
      <c r="AL203" s="58" t="n">
        <v>29.25</v>
      </c>
      <c r="AM203" s="58" t="n"/>
      <c r="AN203" s="155" t="n"/>
      <c r="AO203" s="59" t="n"/>
      <c r="AP203" s="59" t="n"/>
      <c r="AQ203" s="59" t="n"/>
      <c r="AR203" s="155" t="n"/>
    </row>
    <row r="204">
      <c r="A204" s="50" t="inlineStr">
        <is>
          <t>5056658703379</t>
        </is>
      </c>
      <c r="B204" s="51" t="inlineStr">
        <is>
          <t>84431</t>
        </is>
      </c>
      <c r="C204" s="156" t="inlineStr">
        <is>
          <t>REFLO</t>
        </is>
      </c>
      <c r="D204" s="156" t="inlineStr">
        <is>
          <t>RM24408051</t>
        </is>
      </c>
      <c r="E204" s="156" t="inlineStr">
        <is>
          <t>RM24408051-S</t>
        </is>
      </c>
      <c r="F204" s="156" t="inlineStr">
        <is>
          <t>S</t>
        </is>
      </c>
      <c r="G204" s="156" t="inlineStr">
        <is>
          <t>S</t>
        </is>
      </c>
      <c r="H204" s="156" t="inlineStr">
        <is>
          <t>REFLO</t>
        </is>
      </c>
      <c r="I204" s="156" t="inlineStr">
        <is>
          <t>Playera tipo polo REFLO Onega Peach</t>
        </is>
      </c>
      <c r="J204" s="156" t="inlineStr">
        <is>
          <t>Ropa</t>
        </is>
      </c>
      <c r="K204" s="156" t="inlineStr">
        <is>
          <t>Playeras</t>
        </is>
      </c>
      <c r="L204" s="156" t="inlineStr">
        <is>
          <t>Hombre</t>
        </is>
      </c>
      <c r="M204" s="156" t="inlineStr">
        <is>
          <t>REFLO</t>
        </is>
      </c>
      <c r="N204" s="156" t="n"/>
      <c r="O204" s="156" t="n"/>
      <c r="P204" s="156" t="inlineStr">
        <is>
          <t>Naranja</t>
        </is>
      </c>
      <c r="Q204" s="156" t="n"/>
      <c r="R204" s="156" t="n"/>
      <c r="S204" s="156" t="inlineStr">
        <is>
          <t>Poliéster reciclado</t>
        </is>
      </c>
      <c r="T204" s="156" t="inlineStr">
        <is>
          <t>Playera tipo polo de golf REFLO modelo Onega en color Peach, confeccionado con materiales reciclados. Estilo RM24408051.</t>
        </is>
      </c>
      <c r="U204" s="156" t="n"/>
      <c r="V204" s="156" t="inlineStr">
        <is>
          <t>PZS</t>
        </is>
      </c>
      <c r="W204" s="51" t="inlineStr">
        <is>
          <t>53101602</t>
        </is>
      </c>
      <c r="X204" s="156" t="inlineStr">
        <is>
          <t>https://i.ibb.co/rsbGRJf/RM24408051.jpg</t>
        </is>
      </c>
      <c r="Y204" s="54" t="n">
        <v>29.25</v>
      </c>
      <c r="Z204" s="54" t="n">
        <v>2149</v>
      </c>
      <c r="AA204" s="55">
        <f>IF(AND(A204="", B204="", E204=""), "", IF(AB204="", "Válido", IF((LEN(AB204)-LEN(SUBSTITUTE(AB204,"; ","")))/2+1&gt;(LEN(AB204)-LEN(SUBSTITUTE(AB204,"[Aviso]","")))/7, "Con Incidencias", "Válido")))</f>
        <v/>
      </c>
      <c r="AB204" s="56">
        <f>IF(AND(A204="", B204="", E204=""), "", TEXTJOIN("; ", TRUE, IF(OR(TRIM(A204&amp;"")="", ISNUMBER(SEARCH("FALTA", A204))), "UPC faltante/inválido", ""), IF(AND(A204&lt;&gt;"", IFERROR(_xlfn.XMATCH(A204,$A$2:$A$653,0,1)&lt;&gt;_xlfn.XMATCH(A204,$A$2:$A$653,0,-1),FALSE)), "Código de barras duplicado", ""), IF(AND(E204&lt;&gt;"", COUNTIF($E$2:$E$653, E204)&gt;1), "SKU duplicado", ""), IF(OR(J204="", J204=""), "[Aviso] División no capturada ()", IF(ISNA(MATCH(J204, Criterios!$A$123:$A$126, 0)), "División no válida", "")), IF(OR(K204="", K204=""), "[Aviso] Categoría no capturada ()", IF(ISNA(MATCH(K204, Criterios!$A$81:$A$120, 0)), "Categoría no válida", IF(AND(J204&lt;&gt;"", J204&lt;&gt;"", J204&lt;&gt;VLOOKUP(K204, Criterios!$A$81:$B$120, 2, FALSE)), "División no coincide con Categoría", ""))), IF(OR(L204="", L204=""), "[Aviso] Género no capturado ()", IF(ISNA(MATCH(L204, Criterios!$B$123:$B$127, 0)), "Género no válido", "")), IF(OR(N204="", N204=""), "[Aviso] Temporada no capturada ()", IF(ISNA(MATCH(N204, Criterios!$C$123:$C$128, 0)), "Temporada no válida", "")), IF(OR(O204="", O204=""), "[Aviso] Ciclo de vida no capturado ()", IF(ISNA(MATCH(O204, Criterios!$D$123:$D$124, 0)), "Ciclo de vida no válido", ""))))</f>
        <v/>
      </c>
      <c r="AC204" s="56" t="n"/>
      <c r="AD204" s="51" t="n">
        <v>4</v>
      </c>
      <c r="AE204" s="156" t="inlineStr">
        <is>
          <t>REFLO ALMACEN (1); CONSIGNA REFLO (1)</t>
        </is>
      </c>
      <c r="AF204" s="51" t="n">
        <v>4</v>
      </c>
      <c r="AG204" s="156" t="inlineStr">
        <is>
          <t>Nuevo – NetSuite con existencia</t>
        </is>
      </c>
      <c r="AH204" s="156" t="inlineStr">
        <is>
          <t>Composición: poliéster reciclado (validar % en etiqueta); Físico total NetSuite 4 ≠ suma por ubicación 2 | Revisión 29/09/2026: Marca REFLO fuera de lista Criterios; Campos sin respaldo: N, O, Q, U; Auditoría NetSuite 30/09/2026: llenado desde NetSuite [Z] | Homologación G1522 06/10/2026: Validador Shopify: WB: precio con IVA no termina en 9</t>
        </is>
      </c>
      <c r="AI204" s="156" t="inlineStr">
        <is>
          <t>No</t>
        </is>
      </c>
      <c r="AJ204" s="156" t="n"/>
      <c r="AK204" s="155" t="inlineStr">
        <is>
          <t>G1522ProductosTodosloscamposSandboxResults894.xlsx: fila 57886 [X,Y]; G1522_Extraccion_Articulos_NetSuite_2026-09-30.xlsx: fila 39600 [Z]</t>
        </is>
      </c>
      <c r="AL204" s="58" t="n">
        <v>29.25</v>
      </c>
      <c r="AM204" s="58" t="n"/>
      <c r="AN204" s="155" t="n"/>
      <c r="AO204" s="59" t="n"/>
      <c r="AP204" s="59" t="n"/>
      <c r="AQ204" s="59" t="n"/>
      <c r="AR204" s="155" t="n"/>
    </row>
    <row r="205">
      <c r="A205" s="50" t="inlineStr">
        <is>
          <t>5056658714627</t>
        </is>
      </c>
      <c r="B205" s="51" t="inlineStr">
        <is>
          <t>84482</t>
        </is>
      </c>
      <c r="C205" s="156" t="inlineStr">
        <is>
          <t>REFLO</t>
        </is>
      </c>
      <c r="D205" s="156" t="inlineStr">
        <is>
          <t>RU02001010</t>
        </is>
      </c>
      <c r="E205" s="156" t="inlineStr">
        <is>
          <t>RU02001010-L</t>
        </is>
      </c>
      <c r="F205" s="156" t="inlineStr">
        <is>
          <t>L</t>
        </is>
      </c>
      <c r="G205" s="156" t="inlineStr">
        <is>
          <t>L</t>
        </is>
      </c>
      <c r="H205" s="156" t="inlineStr">
        <is>
          <t>REFLO</t>
        </is>
      </c>
      <c r="I205" s="156" t="inlineStr">
        <is>
          <t>Cinturón REFLO Tana Black</t>
        </is>
      </c>
      <c r="J205" s="156" t="inlineStr">
        <is>
          <t>Accesorios</t>
        </is>
      </c>
      <c r="K205" s="156" t="inlineStr">
        <is>
          <t>Cinturones</t>
        </is>
      </c>
      <c r="L205" s="156" t="inlineStr">
        <is>
          <t>Unisex</t>
        </is>
      </c>
      <c r="M205" s="156" t="inlineStr">
        <is>
          <t>REFLO</t>
        </is>
      </c>
      <c r="N205" s="156" t="n"/>
      <c r="O205" s="156" t="n"/>
      <c r="P205" s="156" t="inlineStr">
        <is>
          <t>Negro</t>
        </is>
      </c>
      <c r="Q205" s="156" t="n"/>
      <c r="R205" s="156" t="n"/>
      <c r="S205" s="156" t="inlineStr">
        <is>
          <t>Poliéster reciclado</t>
        </is>
      </c>
      <c r="T205" s="156" t="inlineStr">
        <is>
          <t>Cinturón de golf REFLO modelo Tana en color Black, confeccionado con materiales reciclados. Estilo RU02001010.</t>
        </is>
      </c>
      <c r="U205" s="156" t="n"/>
      <c r="V205" s="156" t="inlineStr">
        <is>
          <t>PZS</t>
        </is>
      </c>
      <c r="W205" s="51" t="inlineStr">
        <is>
          <t>53102501</t>
        </is>
      </c>
      <c r="X205" s="156" t="inlineStr">
        <is>
          <t>https://i.ibb.co/pjVDvjQ/RU02001010.jpg</t>
        </is>
      </c>
      <c r="Y205" s="54" t="n">
        <v>17.55</v>
      </c>
      <c r="Z205" s="54" t="n">
        <v>1299</v>
      </c>
      <c r="AA205" s="55">
        <f>IF(AND(A205="", B205="", E205=""), "", IF(AB205="", "Válido", IF((LEN(AB205)-LEN(SUBSTITUTE(AB205,"; ","")))/2+1&gt;(LEN(AB205)-LEN(SUBSTITUTE(AB205,"[Aviso]","")))/7, "Con Incidencias", "Válido")))</f>
        <v/>
      </c>
      <c r="AB205" s="56">
        <f>IF(AND(A205="", B205="", E205=""), "", TEXTJOIN("; ", TRUE, IF(OR(TRIM(A205&amp;"")="", ISNUMBER(SEARCH("FALTA", A205))), "UPC faltante/inválido", ""), IF(AND(A205&lt;&gt;"", IFERROR(_xlfn.XMATCH(A205,$A$2:$A$653,0,1)&lt;&gt;_xlfn.XMATCH(A205,$A$2:$A$653,0,-1),FALSE)), "Código de barras duplicado", ""), IF(AND(E205&lt;&gt;"", COUNTIF($E$2:$E$653, E205)&gt;1), "SKU duplicado", ""), IF(OR(J205="", J205=""), "[Aviso] División no capturada ()", IF(ISNA(MATCH(J205, Criterios!$A$123:$A$126, 0)), "División no válida", "")), IF(OR(K205="", K205=""), "[Aviso] Categoría no capturada ()", IF(ISNA(MATCH(K205, Criterios!$A$81:$A$120, 0)), "Categoría no válida", IF(AND(J205&lt;&gt;"", J205&lt;&gt;"", J205&lt;&gt;VLOOKUP(K205, Criterios!$A$81:$B$120, 2, FALSE)), "División no coincide con Categoría", ""))), IF(OR(L205="", L205=""), "[Aviso] Género no capturado ()", IF(ISNA(MATCH(L205, Criterios!$B$123:$B$127, 0)), "Género no válido", "")), IF(OR(N205="", N205=""), "[Aviso] Temporada no capturada ()", IF(ISNA(MATCH(N205, Criterios!$C$123:$C$128, 0)), "Temporada no válida", "")), IF(OR(O205="", O205=""), "[Aviso] Ciclo de vida no capturado ()", IF(ISNA(MATCH(O205, Criterios!$D$123:$D$124, 0)), "Ciclo de vida no válido", ""))))</f>
        <v/>
      </c>
      <c r="AC205" s="56" t="n"/>
      <c r="AD205" s="51" t="n">
        <v>2</v>
      </c>
      <c r="AE205" s="156" t="inlineStr">
        <is>
          <t>REFLO ALMACEN (1)</t>
        </is>
      </c>
      <c r="AF205" s="51" t="n">
        <v>2</v>
      </c>
      <c r="AG205" s="156" t="inlineStr">
        <is>
          <t>Nuevo – NetSuite con existencia</t>
        </is>
      </c>
      <c r="AH205" s="156" t="inlineStr">
        <is>
          <t>Composición: poliéster reciclado (validar % en etiqueta); Físico total NetSuite 2 ≠ suma por ubicación 1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5" s="156" t="inlineStr">
        <is>
          <t>No</t>
        </is>
      </c>
      <c r="AJ205" s="156" t="n"/>
      <c r="AK205" s="155" t="inlineStr">
        <is>
          <t>G1522ProductosTodosloscamposSandboxResults894.xlsx: fila 58960 [X,Y]; G1522_Extraccion_Articulos_NetSuite_2026-09-30.xlsx: fila 39608 [Z]</t>
        </is>
      </c>
      <c r="AL205" s="58" t="n">
        <v>17.55</v>
      </c>
      <c r="AM205" s="58" t="n"/>
      <c r="AN205" s="155" t="n"/>
      <c r="AO205" s="59" t="n"/>
      <c r="AP205" s="59" t="n"/>
      <c r="AQ205" s="59" t="n"/>
      <c r="AR205" s="155" t="n"/>
    </row>
    <row r="206">
      <c r="A206" s="50" t="inlineStr">
        <is>
          <t>5056658714634</t>
        </is>
      </c>
      <c r="B206" s="51" t="inlineStr">
        <is>
          <t>84483</t>
        </is>
      </c>
      <c r="C206" s="156" t="inlineStr">
        <is>
          <t>REFLO</t>
        </is>
      </c>
      <c r="D206" s="156" t="inlineStr">
        <is>
          <t>RU02001031</t>
        </is>
      </c>
      <c r="E206" s="156" t="inlineStr">
        <is>
          <t>RU02001031-L</t>
        </is>
      </c>
      <c r="F206" s="156" t="inlineStr">
        <is>
          <t>L</t>
        </is>
      </c>
      <c r="G206" s="156" t="inlineStr">
        <is>
          <t>L</t>
        </is>
      </c>
      <c r="H206" s="156" t="inlineStr">
        <is>
          <t>REFLO</t>
        </is>
      </c>
      <c r="I206" s="156" t="inlineStr">
        <is>
          <t>Cinturón REFLO Tana Medieval Blue</t>
        </is>
      </c>
      <c r="J206" s="156" t="inlineStr">
        <is>
          <t>Accesorios</t>
        </is>
      </c>
      <c r="K206" s="156" t="inlineStr">
        <is>
          <t>Cinturones</t>
        </is>
      </c>
      <c r="L206" s="156" t="inlineStr">
        <is>
          <t>Unisex</t>
        </is>
      </c>
      <c r="M206" s="156" t="inlineStr">
        <is>
          <t>REFLO</t>
        </is>
      </c>
      <c r="N206" s="156" t="n"/>
      <c r="O206" s="156" t="n"/>
      <c r="P206" s="156" t="inlineStr">
        <is>
          <t>Azul</t>
        </is>
      </c>
      <c r="Q206" s="156" t="n"/>
      <c r="R206" s="156" t="n"/>
      <c r="S206" s="156" t="inlineStr">
        <is>
          <t>Poliéster reciclado</t>
        </is>
      </c>
      <c r="T206" s="156" t="inlineStr">
        <is>
          <t>Cinturón de golf REFLO modelo Tana en color Medieval Blue, confeccionado con materiales reciclados. Estilo RU02001031.</t>
        </is>
      </c>
      <c r="U206" s="156" t="n"/>
      <c r="V206" s="156" t="inlineStr">
        <is>
          <t>PZS</t>
        </is>
      </c>
      <c r="W206" s="51" t="inlineStr">
        <is>
          <t>53102501</t>
        </is>
      </c>
      <c r="X206" s="156" t="inlineStr">
        <is>
          <t>https://i.ibb.co/vZjTb24/RU02001031.jpg</t>
        </is>
      </c>
      <c r="Y206" s="54" t="n">
        <v>17.55</v>
      </c>
      <c r="Z206" s="54" t="n">
        <v>1299</v>
      </c>
      <c r="AA206" s="55">
        <f>IF(AND(A206="", B206="", E206=""), "", IF(AB206="", "Válido", IF((LEN(AB206)-LEN(SUBSTITUTE(AB206,"; ","")))/2+1&gt;(LEN(AB206)-LEN(SUBSTITUTE(AB206,"[Aviso]","")))/7, "Con Incidencias", "Válido")))</f>
        <v/>
      </c>
      <c r="AB206" s="56">
        <f>IF(AND(A206="", B206="", E206=""), "", TEXTJOIN("; ", TRUE, IF(OR(TRIM(A206&amp;"")="", ISNUMBER(SEARCH("FALTA", A206))), "UPC faltante/inválido", ""), IF(AND(A206&lt;&gt;"", IFERROR(_xlfn.XMATCH(A206,$A$2:$A$653,0,1)&lt;&gt;_xlfn.XMATCH(A206,$A$2:$A$653,0,-1),FALSE)), "Código de barras duplicado", ""), IF(AND(E206&lt;&gt;"", COUNTIF($E$2:$E$653, E206)&gt;1), "SKU duplicado", ""), IF(OR(J206="", J206=""), "[Aviso] División no capturada ()", IF(ISNA(MATCH(J206, Criterios!$A$123:$A$126, 0)), "División no válida", "")), IF(OR(K206="", K206=""), "[Aviso] Categoría no capturada ()", IF(ISNA(MATCH(K206, Criterios!$A$81:$A$120, 0)), "Categoría no válida", IF(AND(J206&lt;&gt;"", J206&lt;&gt;"", J206&lt;&gt;VLOOKUP(K206, Criterios!$A$81:$B$120, 2, FALSE)), "División no coincide con Categoría", ""))), IF(OR(L206="", L206=""), "[Aviso] Género no capturado ()", IF(ISNA(MATCH(L206, Criterios!$B$123:$B$127, 0)), "Género no válido", "")), IF(OR(N206="", N206=""), "[Aviso] Temporada no capturada ()", IF(ISNA(MATCH(N206, Criterios!$C$123:$C$128, 0)), "Temporada no válida", "")), IF(OR(O206="", O206=""), "[Aviso] Ciclo de vida no capturado ()", IF(ISNA(MATCH(O206, Criterios!$D$123:$D$124, 0)), "Ciclo de vida no válido", ""))))</f>
        <v/>
      </c>
      <c r="AC206" s="56" t="n"/>
      <c r="AD206" s="51" t="n">
        <v>2</v>
      </c>
      <c r="AE206" s="156" t="inlineStr">
        <is>
          <t>REFLO ALMACEN (1)</t>
        </is>
      </c>
      <c r="AF206" s="51" t="n">
        <v>2</v>
      </c>
      <c r="AG206" s="156" t="inlineStr">
        <is>
          <t>Nuevo – NetSuite con existencia</t>
        </is>
      </c>
      <c r="AH206" s="156" t="inlineStr">
        <is>
          <t>Composición: poliéster reciclado (validar % en etiqueta); Físico total NetSuite 2 ≠ suma por ubicación 1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6" s="156" t="inlineStr">
        <is>
          <t>No</t>
        </is>
      </c>
      <c r="AJ206" s="156" t="n"/>
      <c r="AK206" s="155" t="inlineStr">
        <is>
          <t>G1522ProductosTodosloscamposSandboxResults894.xlsx: fila 58962 [X,Y]; G1522_Extraccion_Articulos_NetSuite_2026-09-30.xlsx: fila 39609 [Z]</t>
        </is>
      </c>
      <c r="AL206" s="58" t="n">
        <v>17.55</v>
      </c>
      <c r="AM206" s="58" t="n"/>
      <c r="AN206" s="155" t="n"/>
      <c r="AO206" s="59" t="n"/>
      <c r="AP206" s="59" t="n"/>
      <c r="AQ206" s="59" t="n"/>
      <c r="AR206" s="155" t="n"/>
    </row>
    <row r="207">
      <c r="A207" s="50" t="inlineStr">
        <is>
          <t>5056658704574</t>
        </is>
      </c>
      <c r="B207" s="51" t="inlineStr">
        <is>
          <t>84410</t>
        </is>
      </c>
      <c r="C207" s="156" t="inlineStr">
        <is>
          <t>REFLO</t>
        </is>
      </c>
      <c r="D207" s="156" t="inlineStr">
        <is>
          <t>RU20801032</t>
        </is>
      </c>
      <c r="E207" s="156" t="inlineStr">
        <is>
          <t>RU20801032-OS</t>
        </is>
      </c>
      <c r="F207" s="156" t="inlineStr">
        <is>
          <t>Talla única</t>
        </is>
      </c>
      <c r="G207" s="156" t="inlineStr">
        <is>
          <t>One Size</t>
        </is>
      </c>
      <c r="H207" s="156" t="inlineStr">
        <is>
          <t>REFLO</t>
        </is>
      </c>
      <c r="I207" s="156" t="inlineStr">
        <is>
          <t>Gorra REFLO Alamo Navy</t>
        </is>
      </c>
      <c r="J207" s="156" t="inlineStr">
        <is>
          <t>Accesorios</t>
        </is>
      </c>
      <c r="K207" s="156" t="inlineStr">
        <is>
          <t>Gorras</t>
        </is>
      </c>
      <c r="L207" s="156" t="inlineStr">
        <is>
          <t>Unisex</t>
        </is>
      </c>
      <c r="M207" s="156" t="inlineStr">
        <is>
          <t>REFLO</t>
        </is>
      </c>
      <c r="N207" s="156" t="n"/>
      <c r="O207" s="156" t="n"/>
      <c r="P207" s="156" t="inlineStr">
        <is>
          <t>Azul</t>
        </is>
      </c>
      <c r="Q207" s="156" t="n"/>
      <c r="R207" s="156" t="n"/>
      <c r="S207" s="156" t="inlineStr">
        <is>
          <t>Poliéster reciclado</t>
        </is>
      </c>
      <c r="T207" s="156" t="inlineStr">
        <is>
          <t>Gorra de golf REFLO modelo Alamo en color Navy, confeccionado con materiales reciclados. Estilo RU20801032.</t>
        </is>
      </c>
      <c r="U207" s="156" t="n"/>
      <c r="V207" s="156" t="inlineStr">
        <is>
          <t>PZS</t>
        </is>
      </c>
      <c r="W207" s="51" t="inlineStr">
        <is>
          <t>53102516</t>
        </is>
      </c>
      <c r="X207" s="156" t="inlineStr">
        <is>
          <t>https://cdn.shopify.com/s/files/1/0589/6500/0397/files/Sebu-Navy-1-zen.jpg?v=1779281025</t>
        </is>
      </c>
      <c r="Y207" s="54" t="n">
        <v>11.05</v>
      </c>
      <c r="Z207" s="54" t="n">
        <v>688.7931033999999</v>
      </c>
      <c r="AA207" s="55">
        <f>IF(AND(A207="", B207="", E207=""), "", IF(AB207="", "Válido", IF((LEN(AB207)-LEN(SUBSTITUTE(AB207,"; ","")))/2+1&gt;(LEN(AB207)-LEN(SUBSTITUTE(AB207,"[Aviso]","")))/7, "Con Incidencias", "Válido")))</f>
        <v/>
      </c>
      <c r="AB207" s="56">
        <f>IF(AND(A207="", B207="", E207=""), "", TEXTJOIN("; ", TRUE, IF(OR(TRIM(A207&amp;"")="", ISNUMBER(SEARCH("FALTA", A207))), "UPC faltante/inválido", ""), IF(AND(A207&lt;&gt;"", IFERROR(_xlfn.XMATCH(A207,$A$2:$A$653,0,1)&lt;&gt;_xlfn.XMATCH(A207,$A$2:$A$653,0,-1),FALSE)), "Código de barras duplicado", ""), IF(AND(E207&lt;&gt;"", COUNTIF($E$2:$E$653, E207)&gt;1), "SKU duplicado", ""), IF(OR(J207="", J207=""), "[Aviso] División no capturada ()", IF(ISNA(MATCH(J207, Criterios!$A$123:$A$126, 0)), "División no válida", "")), IF(OR(K207="", K207=""), "[Aviso] Categoría no capturada ()", IF(ISNA(MATCH(K207, Criterios!$A$81:$A$120, 0)), "Categoría no válida", IF(AND(J207&lt;&gt;"", J207&lt;&gt;"", J207&lt;&gt;VLOOKUP(K207, Criterios!$A$81:$B$120, 2, FALSE)), "División no coincide con Categoría", ""))), IF(OR(L207="", L207=""), "[Aviso] Género no capturado ()", IF(ISNA(MATCH(L207, Criterios!$B$123:$B$127, 0)), "Género no válido", "")), IF(OR(N207="", N207=""), "[Aviso] Temporada no capturada ()", IF(ISNA(MATCH(N207, Criterios!$C$123:$C$128, 0)), "Temporada no válida", "")), IF(OR(O207="", O207=""), "[Aviso] Ciclo de vida no capturado ()", IF(ISNA(MATCH(O207, Criterios!$D$123:$D$124, 0)), "Ciclo de vida no válido", ""))))</f>
        <v/>
      </c>
      <c r="AC207" s="56" t="n"/>
      <c r="AD207" s="51" t="n">
        <v>100</v>
      </c>
      <c r="AE207" s="156" t="inlineStr">
        <is>
          <t>REFLO ALMACEN (47); CONSIGNA REFLO (3)</t>
        </is>
      </c>
      <c r="AF207" s="51" t="n">
        <v>100</v>
      </c>
      <c r="AG207" s="156" t="inlineStr">
        <is>
          <t>Nuevo – NetSuite con existencia</t>
        </is>
      </c>
      <c r="AH207" s="156" t="inlineStr">
        <is>
          <t>Composición: poliéster reciclado (validar % en etiqueta); Físico total NetSuite 100 ≠ suma por ubicación 50 | Revisión 29/09/2026: Marca REFLO fuera de lista Criterios; Campos sin respaldo: N, O, U, X; Auditoría NetSuite 30/09/2026: llenado desde NetSuite [Y] | Homologación G1522 06/10/2026: Enlace de imagen: «» → «https://cdn.shopify.com/s/files/1/0589/6500/0397/files/Sebu-Navy-1-zen.jpg?v=1779281025» (Completado por investigación en línea) · Validación G1522: [Aviso] Precio de compra posiblemente en USD</t>
        </is>
      </c>
      <c r="AI207" s="156" t="inlineStr">
        <is>
          <t>No</t>
        </is>
      </c>
      <c r="AJ207" s="156" t="n"/>
      <c r="AK207" s="155" t="inlineStr">
        <is>
          <t>G1522ProductosTodosloscamposSandboxResults894.xlsx: fila 43920 [Y]; G1522_Extraccion_Articulos_NetSuite_2026-09-30.xlsx: fila 39579 [Y] | Investigación en línea 06/10/2026: https://reflo.com/products/sebu-cap</t>
        </is>
      </c>
      <c r="AL207" s="58" t="n"/>
      <c r="AM207" s="58" t="n">
        <v>688.7931033999999</v>
      </c>
      <c r="AN207" s="155" t="n"/>
      <c r="AO207" s="59" t="n"/>
      <c r="AP207" s="59" t="n"/>
      <c r="AQ207" s="59" t="n"/>
      <c r="AR207" s="155" t="n"/>
    </row>
    <row r="208">
      <c r="A208" s="50" t="inlineStr">
        <is>
          <t>5056658704635</t>
        </is>
      </c>
      <c r="B208" s="51" t="inlineStr">
        <is>
          <t>84411</t>
        </is>
      </c>
      <c r="C208" s="156" t="inlineStr">
        <is>
          <t>REFLO</t>
        </is>
      </c>
      <c r="D208" s="156" t="inlineStr">
        <is>
          <t>RU20802032</t>
        </is>
      </c>
      <c r="E208" s="156" t="inlineStr">
        <is>
          <t>RU20802032-OS</t>
        </is>
      </c>
      <c r="F208" s="156" t="inlineStr">
        <is>
          <t>Talla única</t>
        </is>
      </c>
      <c r="G208" s="156" t="inlineStr">
        <is>
          <t>One Size</t>
        </is>
      </c>
      <c r="H208" s="156" t="inlineStr">
        <is>
          <t>REFLO</t>
        </is>
      </c>
      <c r="I208" s="156" t="inlineStr">
        <is>
          <t>Gorra REFLO Barren Navy</t>
        </is>
      </c>
      <c r="J208" s="156" t="inlineStr">
        <is>
          <t>Accesorios</t>
        </is>
      </c>
      <c r="K208" s="156" t="inlineStr">
        <is>
          <t>Gorras</t>
        </is>
      </c>
      <c r="L208" s="156" t="inlineStr">
        <is>
          <t>Unisex</t>
        </is>
      </c>
      <c r="M208" s="156" t="inlineStr">
        <is>
          <t>REFLO</t>
        </is>
      </c>
      <c r="N208" s="156" t="n"/>
      <c r="O208" s="156" t="n"/>
      <c r="P208" s="156" t="inlineStr">
        <is>
          <t>Azul</t>
        </is>
      </c>
      <c r="Q208" s="156" t="n"/>
      <c r="R208" s="156" t="n"/>
      <c r="S208" s="156" t="inlineStr">
        <is>
          <t>Poliéster reciclado</t>
        </is>
      </c>
      <c r="T208" s="156" t="inlineStr">
        <is>
          <t>Gorra de golf REFLO modelo Barren en color Navy, confeccionado con materiales reciclados. Estilo RU20802032.</t>
        </is>
      </c>
      <c r="U208" s="156" t="n"/>
      <c r="V208" s="156" t="inlineStr">
        <is>
          <t>PZS</t>
        </is>
      </c>
      <c r="W208" s="51" t="inlineStr">
        <is>
          <t>53102516</t>
        </is>
      </c>
      <c r="X208" s="156" t="n"/>
      <c r="Y208" s="54" t="n">
        <v>11.05</v>
      </c>
      <c r="Z208" s="54" t="n">
        <v>688.7931033999999</v>
      </c>
      <c r="AA208" s="55">
        <f>IF(AND(A208="", B208="", E208=""), "", IF(AB208="", "Válido", IF((LEN(AB208)-LEN(SUBSTITUTE(AB208,"; ","")))/2+1&gt;(LEN(AB208)-LEN(SUBSTITUTE(AB208,"[Aviso]","")))/7, "Con Incidencias", "Válido")))</f>
        <v/>
      </c>
      <c r="AB208" s="56">
        <f>IF(AND(A208="", B208="", E208=""), "", TEXTJOIN("; ", TRUE, IF(OR(TRIM(A208&amp;"")="", ISNUMBER(SEARCH("FALTA", A208))), "UPC faltante/inválido", ""), IF(AND(A208&lt;&gt;"", IFERROR(_xlfn.XMATCH(A208,$A$2:$A$653,0,1)&lt;&gt;_xlfn.XMATCH(A208,$A$2:$A$653,0,-1),FALSE)), "Código de barras duplicado", ""), IF(AND(E208&lt;&gt;"", COUNTIF($E$2:$E$653, E208)&gt;1), "SKU duplicado", ""), IF(OR(J208="", J208=""), "[Aviso] División no capturada ()", IF(ISNA(MATCH(J208, Criterios!$A$123:$A$126, 0)), "División no válida", "")), IF(OR(K208="", K208=""), "[Aviso] Categoría no capturada ()", IF(ISNA(MATCH(K208, Criterios!$A$81:$A$120, 0)), "Categoría no válida", IF(AND(J208&lt;&gt;"", J208&lt;&gt;"", J208&lt;&gt;VLOOKUP(K208, Criterios!$A$81:$B$120, 2, FALSE)), "División no coincide con Categoría", ""))), IF(OR(L208="", L208=""), "[Aviso] Género no capturado ()", IF(ISNA(MATCH(L208, Criterios!$B$123:$B$127, 0)), "Género no válido", "")), IF(OR(N208="", N208=""), "[Aviso] Temporada no capturada ()", IF(ISNA(MATCH(N208, Criterios!$C$123:$C$128, 0)), "Temporada no válida", "")), IF(OR(O208="", O208=""), "[Aviso] Ciclo de vida no capturado ()", IF(ISNA(MATCH(O208, Criterios!$D$123:$D$124, 0)), "Ciclo de vida no válido", ""))))</f>
        <v/>
      </c>
      <c r="AC208" s="56" t="n"/>
      <c r="AD208" s="51" t="n">
        <v>100</v>
      </c>
      <c r="AE208" s="156" t="inlineStr">
        <is>
          <t>CONSIGNA REFLO (3); REFLO ALMACEN (47)</t>
        </is>
      </c>
      <c r="AF208" s="51" t="n">
        <v>100</v>
      </c>
      <c r="AG208" s="156" t="inlineStr">
        <is>
          <t>Nuevo – NetSuite con existencia</t>
        </is>
      </c>
      <c r="AH208" s="156" t="inlineStr">
        <is>
          <t>Composición: poliéster reciclado (validar % en etiqueta); Físico total NetSuite 100 ≠ suma por ubicación 50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08" s="156" t="inlineStr">
        <is>
          <t>No</t>
        </is>
      </c>
      <c r="AJ208" s="156" t="n"/>
      <c r="AK208" s="155" t="inlineStr">
        <is>
          <t>G1522ProductosTodosloscamposSandboxResults894.xlsx: fila 45050 [Y]; G1522_Extraccion_Articulos_NetSuite_2026-09-30.xlsx: fila 39580 [Y]</t>
        </is>
      </c>
      <c r="AL208" s="58" t="n"/>
      <c r="AM208" s="58" t="n">
        <v>688.7931033999999</v>
      </c>
      <c r="AN208" s="155" t="n"/>
      <c r="AO208" s="59" t="n"/>
      <c r="AP208" s="59" t="n"/>
      <c r="AQ208" s="59" t="n"/>
      <c r="AR208" s="155" t="n"/>
    </row>
    <row r="209">
      <c r="A209" s="50" t="inlineStr">
        <is>
          <t>5056658704659</t>
        </is>
      </c>
      <c r="B209" s="51" t="inlineStr">
        <is>
          <t>84412</t>
        </is>
      </c>
      <c r="C209" s="156" t="inlineStr">
        <is>
          <t>REFLO</t>
        </is>
      </c>
      <c r="D209" s="156" t="inlineStr">
        <is>
          <t>RU20804010</t>
        </is>
      </c>
      <c r="E209" s="156" t="inlineStr">
        <is>
          <t>RU20804010-OS</t>
        </is>
      </c>
      <c r="F209" s="156" t="inlineStr">
        <is>
          <t>Talla única</t>
        </is>
      </c>
      <c r="G209" s="156" t="inlineStr">
        <is>
          <t>One Size</t>
        </is>
      </c>
      <c r="H209" s="156" t="inlineStr">
        <is>
          <t>REFLO</t>
        </is>
      </c>
      <c r="I209" s="156" t="inlineStr">
        <is>
          <t>Gorra REFLO Alcovy Black</t>
        </is>
      </c>
      <c r="J209" s="156" t="inlineStr">
        <is>
          <t>Accesorios</t>
        </is>
      </c>
      <c r="K209" s="156" t="inlineStr">
        <is>
          <t>Gorras</t>
        </is>
      </c>
      <c r="L209" s="156" t="inlineStr">
        <is>
          <t>Unisex</t>
        </is>
      </c>
      <c r="M209" s="156" t="inlineStr">
        <is>
          <t>REFLO</t>
        </is>
      </c>
      <c r="N209" s="156" t="n"/>
      <c r="O209" s="156" t="n"/>
      <c r="P209" s="156" t="inlineStr">
        <is>
          <t>Negro</t>
        </is>
      </c>
      <c r="Q209" s="156" t="n"/>
      <c r="R209" s="156" t="n"/>
      <c r="S209" s="156" t="inlineStr">
        <is>
          <t>Poliéster reciclado</t>
        </is>
      </c>
      <c r="T209" s="156" t="inlineStr">
        <is>
          <t>Gorra de golf REFLO modelo Alcovy en color Black, confeccionado con materiales reciclados. Estilo RU20804010.</t>
        </is>
      </c>
      <c r="U209" s="156" t="n"/>
      <c r="V209" s="156" t="inlineStr">
        <is>
          <t>PZS</t>
        </is>
      </c>
      <c r="W209" s="51" t="inlineStr">
        <is>
          <t>53102516</t>
        </is>
      </c>
      <c r="X209" s="156" t="inlineStr">
        <is>
          <t>https://cdn.shopify.com/s/files/1/0589/6500/0397/files/Sebu-Black-1-zen.jpg?v=1779281025</t>
        </is>
      </c>
      <c r="Y209" s="54" t="n">
        <v>11.05</v>
      </c>
      <c r="Z209" s="54" t="n">
        <v>688.7931033999999</v>
      </c>
      <c r="AA209" s="55">
        <f>IF(AND(A209="", B209="", E209=""), "", IF(AB209="", "Válido", IF((LEN(AB209)-LEN(SUBSTITUTE(AB209,"; ","")))/2+1&gt;(LEN(AB209)-LEN(SUBSTITUTE(AB209,"[Aviso]","")))/7, "Con Incidencias", "Válido")))</f>
        <v/>
      </c>
      <c r="AB209" s="56">
        <f>IF(AND(A209="", B209="", E209=""), "", TEXTJOIN("; ", TRUE, IF(OR(TRIM(A209&amp;"")="", ISNUMBER(SEARCH("FALTA", A209))), "UPC faltante/inválido", ""), IF(AND(A209&lt;&gt;"", IFERROR(_xlfn.XMATCH(A209,$A$2:$A$653,0,1)&lt;&gt;_xlfn.XMATCH(A209,$A$2:$A$653,0,-1),FALSE)), "Código de barras duplicado", ""), IF(AND(E209&lt;&gt;"", COUNTIF($E$2:$E$653, E209)&gt;1), "SKU duplicado", ""), IF(OR(J209="", J209=""), "[Aviso] División no capturada ()", IF(ISNA(MATCH(J209, Criterios!$A$123:$A$126, 0)), "División no válida", "")), IF(OR(K209="", K209=""), "[Aviso] Categoría no capturada ()", IF(ISNA(MATCH(K209, Criterios!$A$81:$A$120, 0)), "Categoría no válida", IF(AND(J209&lt;&gt;"", J209&lt;&gt;"", J209&lt;&gt;VLOOKUP(K209, Criterios!$A$81:$B$120, 2, FALSE)), "División no coincide con Categoría", ""))), IF(OR(L209="", L209=""), "[Aviso] Género no capturado ()", IF(ISNA(MATCH(L209, Criterios!$B$123:$B$127, 0)), "Género no válido", "")), IF(OR(N209="", N209=""), "[Aviso] Temporada no capturada ()", IF(ISNA(MATCH(N209, Criterios!$C$123:$C$128, 0)), "Temporada no válida", "")), IF(OR(O209="", O209=""), "[Aviso] Ciclo de vida no capturado ()", IF(ISNA(MATCH(O209, Criterios!$D$123:$D$124, 0)), "Ciclo de vida no válido", ""))))</f>
        <v/>
      </c>
      <c r="AC209" s="56" t="n"/>
      <c r="AD209" s="51" t="n">
        <v>100</v>
      </c>
      <c r="AE209" s="156" t="inlineStr">
        <is>
          <t>CONSIGNA REFLO (3); REFLO ALMACEN (47)</t>
        </is>
      </c>
      <c r="AF209" s="51" t="n">
        <v>100</v>
      </c>
      <c r="AG209" s="156" t="inlineStr">
        <is>
          <t>Nuevo – NetSuite con existencia</t>
        </is>
      </c>
      <c r="AH209" s="156" t="inlineStr">
        <is>
          <t>Composición: poliéster reciclado (validar % en etiqueta); Físico total NetSuite 100 ≠ suma por ubicación 50 | Revisión 29/09/2026: Marca REFLO fuera de lista Criterios; Campos sin respaldo: N, O, U, X; Auditoría NetSuite 30/09/2026: llenado desde NetSuite [Y] | Homologación G1522 06/10/2026: Enlace de imagen: «» → «https://cdn.shopify.com/s/files/1/0589/6500/0397/files/Sebu-Black-1-zen.jpg?v=1779281025» (Completado por investigación en línea) · Validación G1522: [Aviso] Precio de compra posiblemente en USD</t>
        </is>
      </c>
      <c r="AI209" s="156" t="inlineStr">
        <is>
          <t>No</t>
        </is>
      </c>
      <c r="AJ209" s="156" t="n"/>
      <c r="AK209" s="155" t="inlineStr">
        <is>
          <t>G1522ProductosTodosloscamposSandboxResults894.xlsx: fila 43923 [Y]; G1522_Extraccion_Articulos_NetSuite_2026-09-30.xlsx: fila 39581 [Y] | Investigación en línea 06/10/2026: https://reflo.com/products/sebu-cap</t>
        </is>
      </c>
      <c r="AL209" s="58" t="n"/>
      <c r="AM209" s="58" t="n">
        <v>688.7931033999999</v>
      </c>
      <c r="AN209" s="155" t="n"/>
      <c r="AO209" s="59" t="n"/>
      <c r="AP209" s="59" t="n"/>
      <c r="AQ209" s="59" t="n"/>
      <c r="AR209" s="155" t="n"/>
    </row>
    <row r="210">
      <c r="A210" s="50" t="inlineStr">
        <is>
          <t>5056658704666</t>
        </is>
      </c>
      <c r="B210" s="51" t="inlineStr">
        <is>
          <t>79174</t>
        </is>
      </c>
      <c r="C210" s="156" t="inlineStr">
        <is>
          <t>REFLO</t>
        </is>
      </c>
      <c r="D210" s="156" t="inlineStr">
        <is>
          <t>RU20805010</t>
        </is>
      </c>
      <c r="E210" s="156" t="inlineStr">
        <is>
          <t>RU20805010-OS</t>
        </is>
      </c>
      <c r="F210" s="156" t="inlineStr">
        <is>
          <t>Talla única</t>
        </is>
      </c>
      <c r="G210" s="156" t="inlineStr">
        <is>
          <t>One Size</t>
        </is>
      </c>
      <c r="H210" s="156" t="inlineStr">
        <is>
          <t>REFLO</t>
        </is>
      </c>
      <c r="I210" s="156" t="inlineStr">
        <is>
          <t>Gorra REFLO Cahaba Black</t>
        </is>
      </c>
      <c r="J210" s="156" t="inlineStr">
        <is>
          <t>Accesorios</t>
        </is>
      </c>
      <c r="K210" s="156" t="inlineStr">
        <is>
          <t>Gorras</t>
        </is>
      </c>
      <c r="L210" s="156" t="inlineStr">
        <is>
          <t>Unisex</t>
        </is>
      </c>
      <c r="M210" s="156" t="inlineStr">
        <is>
          <t>REFLO</t>
        </is>
      </c>
      <c r="N210" s="156" t="n"/>
      <c r="O210" s="156" t="n"/>
      <c r="P210" s="156" t="inlineStr">
        <is>
          <t>Negro</t>
        </is>
      </c>
      <c r="Q210" s="156" t="n"/>
      <c r="R210" s="156" t="n"/>
      <c r="S210" s="156" t="inlineStr">
        <is>
          <t>Poliéster reciclado</t>
        </is>
      </c>
      <c r="T210" s="156" t="inlineStr">
        <is>
          <t>Gorra de golf REFLO modelo Cahaba en color Black, confeccionado con materiales reciclados. Estilo RU20805010.</t>
        </is>
      </c>
      <c r="U210" s="156" t="n"/>
      <c r="V210" s="156" t="inlineStr">
        <is>
          <t>PZS</t>
        </is>
      </c>
      <c r="W210" s="51" t="inlineStr">
        <is>
          <t>53102516</t>
        </is>
      </c>
      <c r="X210" s="156" t="inlineStr">
        <is>
          <t>https://i.ibb.co/z7vQNcz/RU20805010.jpg</t>
        </is>
      </c>
      <c r="Y210" s="54" t="n">
        <v>11.05</v>
      </c>
      <c r="Z210" s="54" t="n">
        <v>799</v>
      </c>
      <c r="AA210" s="55">
        <f>IF(AND(A210="", B210="", E210=""), "", IF(AB210="", "Válido", IF((LEN(AB210)-LEN(SUBSTITUTE(AB210,"; ","")))/2+1&gt;(LEN(AB210)-LEN(SUBSTITUTE(AB210,"[Aviso]","")))/7, "Con Incidencias", "Válido")))</f>
        <v/>
      </c>
      <c r="AB210" s="56">
        <f>IF(AND(A210="", B210="", E210=""), "", TEXTJOIN("; ", TRUE, IF(OR(TRIM(A210&amp;"")="", ISNUMBER(SEARCH("FALTA", A210))), "UPC faltante/inválido", ""), IF(AND(A210&lt;&gt;"", IFERROR(_xlfn.XMATCH(A210,$A$2:$A$653,0,1)&lt;&gt;_xlfn.XMATCH(A210,$A$2:$A$653,0,-1),FALSE)), "Código de barras duplicado", ""), IF(AND(E210&lt;&gt;"", COUNTIF($E$2:$E$653, E210)&gt;1), "SKU duplicado", ""), IF(OR(J210="", J210=""), "[Aviso] División no capturada ()", IF(ISNA(MATCH(J210, Criterios!$A$123:$A$126, 0)), "División no válida", "")), IF(OR(K210="", K210=""), "[Aviso] Categoría no capturada ()", IF(ISNA(MATCH(K210, Criterios!$A$81:$A$120, 0)), "Categoría no válida", IF(AND(J210&lt;&gt;"", J210&lt;&gt;"", J210&lt;&gt;VLOOKUP(K210, Criterios!$A$81:$B$120, 2, FALSE)), "División no coincide con Categoría", ""))), IF(OR(L210="", L210=""), "[Aviso] Género no capturado ()", IF(ISNA(MATCH(L210, Criterios!$B$123:$B$127, 0)), "Género no válido", "")), IF(OR(N210="", N210=""), "[Aviso] Temporada no capturada ()", IF(ISNA(MATCH(N210, Criterios!$C$123:$C$128, 0)), "Temporada no válida", "")), IF(OR(O210="", O210=""), "[Aviso] Ciclo de vida no capturado ()", IF(ISNA(MATCH(O210, Criterios!$D$123:$D$124, 0)), "Ciclo de vida no válido", ""))))</f>
        <v/>
      </c>
      <c r="AC210" s="56" t="n"/>
      <c r="AD210" s="51" t="n">
        <v>134</v>
      </c>
      <c r="AE210" s="156" t="inlineStr">
        <is>
          <t>REFLO ALMACEN (67); CONSIGNA REFLO (1); MUESTRAS REFLO (2)</t>
        </is>
      </c>
      <c r="AF210" s="51" t="n">
        <v>132</v>
      </c>
      <c r="AG210" s="156" t="inlineStr">
        <is>
          <t>Nuevo – NetSuite con existencia</t>
        </is>
      </c>
      <c r="AH210" s="156" t="inlineStr">
        <is>
          <t>Composición: poliéster reciclado (validar % en etiqueta); Físico total NetSuite 134 ≠ suma por ubicación 70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0" s="156" t="inlineStr">
        <is>
          <t>No</t>
        </is>
      </c>
      <c r="AJ210" s="156" t="n"/>
      <c r="AK210" s="155" t="inlineStr">
        <is>
          <t>G1522ProductosTodosloscamposSandboxResults894.xlsx: fila 45570 [X,Y]; G1522_Extraccion_Articulos_NetSuite_2026-09-30.xlsx: fila 37507 [Z]</t>
        </is>
      </c>
      <c r="AL210" s="58" t="n">
        <v>11.05</v>
      </c>
      <c r="AM210" s="58" t="n"/>
      <c r="AN210" s="155" t="n"/>
      <c r="AO210" s="59" t="n"/>
      <c r="AP210" s="59" t="n"/>
      <c r="AQ210" s="59" t="n"/>
      <c r="AR210" s="155" t="n"/>
    </row>
    <row r="211">
      <c r="A211" s="50" t="inlineStr">
        <is>
          <t>5056658704680</t>
        </is>
      </c>
      <c r="B211" s="51" t="inlineStr">
        <is>
          <t>79175</t>
        </is>
      </c>
      <c r="C211" s="156" t="inlineStr">
        <is>
          <t>REFLO</t>
        </is>
      </c>
      <c r="D211" s="156" t="inlineStr">
        <is>
          <t>RU20807003</t>
        </is>
      </c>
      <c r="E211" s="156" t="inlineStr">
        <is>
          <t>RU20807003-OS</t>
        </is>
      </c>
      <c r="F211" s="156" t="inlineStr">
        <is>
          <t>Talla única</t>
        </is>
      </c>
      <c r="G211" s="156" t="inlineStr">
        <is>
          <t>One Size</t>
        </is>
      </c>
      <c r="H211" s="156" t="inlineStr">
        <is>
          <t>REFLO</t>
        </is>
      </c>
      <c r="I211" s="156" t="inlineStr">
        <is>
          <t>Gorra REFLO Brazos Black&amp;Grey</t>
        </is>
      </c>
      <c r="J211" s="156" t="inlineStr">
        <is>
          <t>Accesorios</t>
        </is>
      </c>
      <c r="K211" s="156" t="inlineStr">
        <is>
          <t>Gorras</t>
        </is>
      </c>
      <c r="L211" s="156" t="inlineStr">
        <is>
          <t>Unisex</t>
        </is>
      </c>
      <c r="M211" s="156" t="inlineStr">
        <is>
          <t>REFLO</t>
        </is>
      </c>
      <c r="N211" s="156" t="n"/>
      <c r="O211" s="156" t="n"/>
      <c r="P211" s="156" t="inlineStr">
        <is>
          <t>Gris</t>
        </is>
      </c>
      <c r="Q211" s="156" t="n"/>
      <c r="R211" s="156" t="n"/>
      <c r="S211" s="156" t="inlineStr">
        <is>
          <t>Poliéster reciclado</t>
        </is>
      </c>
      <c r="T211" s="156" t="inlineStr">
        <is>
          <t>Gorra de golf REFLO modelo Brazos en color Black&amp;Grey, confeccionado con materiales reciclados. Estilo RU20807003.</t>
        </is>
      </c>
      <c r="U211" s="156" t="n"/>
      <c r="V211" s="156" t="inlineStr">
        <is>
          <t>PZS</t>
        </is>
      </c>
      <c r="W211" s="51" t="inlineStr">
        <is>
          <t>53102516</t>
        </is>
      </c>
      <c r="X211" s="156" t="inlineStr">
        <is>
          <t>https://i.ibb.co/vXGRRYG/RU20807003.jpg</t>
        </is>
      </c>
      <c r="Y211" s="54" t="n">
        <v>11.05</v>
      </c>
      <c r="Z211" s="54" t="n">
        <v>799</v>
      </c>
      <c r="AA211" s="55">
        <f>IF(AND(A211="", B211="", E211=""), "", IF(AB211="", "Válido", IF((LEN(AB211)-LEN(SUBSTITUTE(AB211,"; ","")))/2+1&gt;(LEN(AB211)-LEN(SUBSTITUTE(AB211,"[Aviso]","")))/7, "Con Incidencias", "Válido")))</f>
        <v/>
      </c>
      <c r="AB211" s="56">
        <f>IF(AND(A211="", B211="", E211=""), "", TEXTJOIN("; ", TRUE, IF(OR(TRIM(A211&amp;"")="", ISNUMBER(SEARCH("FALTA", A211))), "UPC faltante/inválido", ""), IF(AND(A211&lt;&gt;"", IFERROR(_xlfn.XMATCH(A211,$A$2:$A$653,0,1)&lt;&gt;_xlfn.XMATCH(A211,$A$2:$A$653,0,-1),FALSE)), "Código de barras duplicado", ""), IF(AND(E211&lt;&gt;"", COUNTIF($E$2:$E$653, E211)&gt;1), "SKU duplicado", ""), IF(OR(J211="", J211=""), "[Aviso] División no capturada ()", IF(ISNA(MATCH(J211, Criterios!$A$123:$A$126, 0)), "División no válida", "")), IF(OR(K211="", K211=""), "[Aviso] Categoría no capturada ()", IF(ISNA(MATCH(K211, Criterios!$A$81:$A$120, 0)), "Categoría no válida", IF(AND(J211&lt;&gt;"", J211&lt;&gt;"", J211&lt;&gt;VLOOKUP(K211, Criterios!$A$81:$B$120, 2, FALSE)), "División no coincide con Categoría", ""))), IF(OR(L211="", L211=""), "[Aviso] Género no capturado ()", IF(ISNA(MATCH(L211, Criterios!$B$123:$B$127, 0)), "Género no válido", "")), IF(OR(N211="", N211=""), "[Aviso] Temporada no capturada ()", IF(ISNA(MATCH(N211, Criterios!$C$123:$C$128, 0)), "Temporada no válida", "")), IF(OR(O211="", O211=""), "[Aviso] Ciclo de vida no capturado ()", IF(ISNA(MATCH(O211, Criterios!$D$123:$D$124, 0)), "Ciclo de vida no válido", ""))))</f>
        <v/>
      </c>
      <c r="AC211" s="56" t="n"/>
      <c r="AD211" s="51" t="n">
        <v>144</v>
      </c>
      <c r="AE211" s="156" t="inlineStr">
        <is>
          <t>REFLO ALMACEN (72); MUESTRAS REFLO (1)</t>
        </is>
      </c>
      <c r="AF211" s="51" t="n">
        <v>143</v>
      </c>
      <c r="AG211" s="156" t="inlineStr">
        <is>
          <t>Nuevo – NetSuite con existencia</t>
        </is>
      </c>
      <c r="AH211" s="156" t="inlineStr">
        <is>
          <t>Composición: poliéster reciclado (validar % en etiqueta); Físico total NetSuite 144 ≠ suma por ubicación 73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1" s="156" t="inlineStr">
        <is>
          <t>No</t>
        </is>
      </c>
      <c r="AJ211" s="156" t="n"/>
      <c r="AK211" s="155" t="inlineStr">
        <is>
          <t>G1522ProductosTodosloscamposSandboxResults894.xlsx: fila 45532 [X,Y]; G1522_Extraccion_Articulos_NetSuite_2026-09-30.xlsx: fila 37508 [Z]</t>
        </is>
      </c>
      <c r="AL211" s="58" t="n">
        <v>11.05</v>
      </c>
      <c r="AM211" s="58" t="n"/>
      <c r="AN211" s="155" t="n"/>
      <c r="AO211" s="59" t="n"/>
      <c r="AP211" s="59" t="n"/>
      <c r="AQ211" s="59" t="n"/>
      <c r="AR211" s="155" t="n"/>
    </row>
    <row r="212">
      <c r="A212" s="50" t="inlineStr">
        <is>
          <t>5056658704697</t>
        </is>
      </c>
      <c r="B212" s="51" t="inlineStr">
        <is>
          <t>84413</t>
        </is>
      </c>
      <c r="C212" s="156" t="inlineStr">
        <is>
          <t>REFLO</t>
        </is>
      </c>
      <c r="D212" s="156" t="inlineStr">
        <is>
          <t>RU20808003</t>
        </is>
      </c>
      <c r="E212" s="156" t="inlineStr">
        <is>
          <t>RU20808003-OS</t>
        </is>
      </c>
      <c r="F212" s="156" t="inlineStr">
        <is>
          <t>Talla única</t>
        </is>
      </c>
      <c r="G212" s="156" t="inlineStr">
        <is>
          <t>One Size</t>
        </is>
      </c>
      <c r="H212" s="156" t="inlineStr">
        <is>
          <t>REFLO</t>
        </is>
      </c>
      <c r="I212" s="156" t="inlineStr">
        <is>
          <t>Gorra REFLO Cedar Black&amp;Grey</t>
        </is>
      </c>
      <c r="J212" s="156" t="inlineStr">
        <is>
          <t>Accesorios</t>
        </is>
      </c>
      <c r="K212" s="156" t="inlineStr">
        <is>
          <t>Gorras</t>
        </is>
      </c>
      <c r="L212" s="156" t="inlineStr">
        <is>
          <t>Unisex</t>
        </is>
      </c>
      <c r="M212" s="156" t="inlineStr">
        <is>
          <t>REFLO</t>
        </is>
      </c>
      <c r="N212" s="156" t="n"/>
      <c r="O212" s="156" t="n"/>
      <c r="P212" s="156" t="inlineStr">
        <is>
          <t>Gris</t>
        </is>
      </c>
      <c r="Q212" s="156" t="n"/>
      <c r="R212" s="156" t="n"/>
      <c r="S212" s="156" t="inlineStr">
        <is>
          <t>Poliéster reciclado</t>
        </is>
      </c>
      <c r="T212" s="156" t="inlineStr">
        <is>
          <t>Gorra de golf REFLO modelo Cedar en color Black&amp;Grey, confeccionado con materiales reciclados. Estilo RU20808003.</t>
        </is>
      </c>
      <c r="U212" s="156" t="n"/>
      <c r="V212" s="156" t="inlineStr">
        <is>
          <t>PZS</t>
        </is>
      </c>
      <c r="W212" s="51" t="inlineStr">
        <is>
          <t>53102516</t>
        </is>
      </c>
      <c r="X212" s="156" t="n"/>
      <c r="Y212" s="54" t="n">
        <v>11.05</v>
      </c>
      <c r="Z212" s="54" t="n">
        <v>688.7931033999999</v>
      </c>
      <c r="AA212" s="55">
        <f>IF(AND(A212="", B212="", E212=""), "", IF(AB212="", "Válido", IF((LEN(AB212)-LEN(SUBSTITUTE(AB212,"; ","")))/2+1&gt;(LEN(AB212)-LEN(SUBSTITUTE(AB212,"[Aviso]","")))/7, "Con Incidencias", "Válido")))</f>
        <v/>
      </c>
      <c r="AB212" s="56">
        <f>IF(AND(A212="", B212="", E212=""), "", TEXTJOIN("; ", TRUE, IF(OR(TRIM(A212&amp;"")="", ISNUMBER(SEARCH("FALTA", A212))), "UPC faltante/inválido", ""), IF(AND(A212&lt;&gt;"", IFERROR(_xlfn.XMATCH(A212,$A$2:$A$653,0,1)&lt;&gt;_xlfn.XMATCH(A212,$A$2:$A$653,0,-1),FALSE)), "Código de barras duplicado", ""), IF(AND(E212&lt;&gt;"", COUNTIF($E$2:$E$653, E212)&gt;1), "SKU duplicado", ""), IF(OR(J212="", J212=""), "[Aviso] División no capturada ()", IF(ISNA(MATCH(J212, Criterios!$A$123:$A$126, 0)), "División no válida", "")), IF(OR(K212="", K212=""), "[Aviso] Categoría no capturada ()", IF(ISNA(MATCH(K212, Criterios!$A$81:$A$120, 0)), "Categoría no válida", IF(AND(J212&lt;&gt;"", J212&lt;&gt;"", J212&lt;&gt;VLOOKUP(K212, Criterios!$A$81:$B$120, 2, FALSE)), "División no coincide con Categoría", ""))), IF(OR(L212="", L212=""), "[Aviso] Género no capturado ()", IF(ISNA(MATCH(L212, Criterios!$B$123:$B$127, 0)), "Género no válido", "")), IF(OR(N212="", N212=""), "[Aviso] Temporada no capturada ()", IF(ISNA(MATCH(N212, Criterios!$C$123:$C$128, 0)), "Temporada no válida", "")), IF(OR(O212="", O212=""), "[Aviso] Ciclo de vida no capturado ()", IF(ISNA(MATCH(O212, Criterios!$D$123:$D$124, 0)), "Ciclo de vida no válido", ""))))</f>
        <v/>
      </c>
      <c r="AC212" s="56" t="n"/>
      <c r="AD212" s="51" t="n">
        <v>100</v>
      </c>
      <c r="AE212" s="156" t="inlineStr">
        <is>
          <t>CONSIGNA REFLO (3); REFLO ALMACEN (47)</t>
        </is>
      </c>
      <c r="AF212" s="51" t="n">
        <v>100</v>
      </c>
      <c r="AG212" s="156" t="inlineStr">
        <is>
          <t>Nuevo – NetSuite con existencia</t>
        </is>
      </c>
      <c r="AH212" s="156" t="inlineStr">
        <is>
          <t>Composición: poliéster reciclado (validar % en etiqueta); Físico total NetSuite 100 ≠ suma por ubicación 50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12" s="156" t="inlineStr">
        <is>
          <t>No</t>
        </is>
      </c>
      <c r="AJ212" s="156" t="n"/>
      <c r="AK212" s="155" t="inlineStr">
        <is>
          <t>G1522ProductosTodosloscamposSandboxResults894.xlsx: fila 46251 [Y]; G1522_Extraccion_Articulos_NetSuite_2026-09-30.xlsx: fila 39582 [Y]</t>
        </is>
      </c>
      <c r="AL212" s="58" t="n"/>
      <c r="AM212" s="58" t="n">
        <v>688.7931033999999</v>
      </c>
      <c r="AN212" s="155" t="n"/>
      <c r="AO212" s="59" t="n"/>
      <c r="AP212" s="59" t="n"/>
      <c r="AQ212" s="59" t="n"/>
      <c r="AR212" s="155" t="n"/>
    </row>
    <row r="213">
      <c r="A213" s="50" t="inlineStr">
        <is>
          <t>5056658707926</t>
        </is>
      </c>
      <c r="B213" s="51" t="inlineStr">
        <is>
          <t>84414</t>
        </is>
      </c>
      <c r="C213" s="156" t="inlineStr">
        <is>
          <t>REFLO</t>
        </is>
      </c>
      <c r="D213" s="156" t="inlineStr">
        <is>
          <t>RU20810032</t>
        </is>
      </c>
      <c r="E213" s="156" t="inlineStr">
        <is>
          <t>RU20810032-OS</t>
        </is>
      </c>
      <c r="F213" s="156" t="inlineStr">
        <is>
          <t>Talla única</t>
        </is>
      </c>
      <c r="G213" s="156" t="inlineStr">
        <is>
          <t>One Size</t>
        </is>
      </c>
      <c r="H213" s="156" t="inlineStr">
        <is>
          <t>REFLO</t>
        </is>
      </c>
      <c r="I213" s="156" t="inlineStr">
        <is>
          <t>Gorra REFLO Bering Navy</t>
        </is>
      </c>
      <c r="J213" s="156" t="inlineStr">
        <is>
          <t>Accesorios</t>
        </is>
      </c>
      <c r="K213" s="156" t="inlineStr">
        <is>
          <t>Gorras</t>
        </is>
      </c>
      <c r="L213" s="156" t="inlineStr">
        <is>
          <t>Unisex</t>
        </is>
      </c>
      <c r="M213" s="156" t="inlineStr">
        <is>
          <t>REFLO</t>
        </is>
      </c>
      <c r="N213" s="156" t="n"/>
      <c r="O213" s="156" t="n"/>
      <c r="P213" s="156" t="inlineStr">
        <is>
          <t>Azul</t>
        </is>
      </c>
      <c r="Q213" s="156" t="n"/>
      <c r="R213" s="156" t="n"/>
      <c r="S213" s="156" t="inlineStr">
        <is>
          <t>Poliéster reciclado</t>
        </is>
      </c>
      <c r="T213" s="156" t="inlineStr">
        <is>
          <t>Gorra de golf REFLO modelo Bering en color Navy, confeccionado con materiales reciclados. Estilo RU20810032.</t>
        </is>
      </c>
      <c r="U213" s="156" t="n"/>
      <c r="V213" s="156" t="inlineStr">
        <is>
          <t>PZS</t>
        </is>
      </c>
      <c r="W213" s="51" t="inlineStr">
        <is>
          <t>53102516</t>
        </is>
      </c>
      <c r="X213" s="156" t="n"/>
      <c r="Y213" s="54" t="n">
        <v>11.05</v>
      </c>
      <c r="Z213" s="54" t="n">
        <v>688.7931033999999</v>
      </c>
      <c r="AA213" s="55">
        <f>IF(AND(A213="", B213="", E213=""), "", IF(AB213="", "Válido", IF((LEN(AB213)-LEN(SUBSTITUTE(AB213,"; ","")))/2+1&gt;(LEN(AB213)-LEN(SUBSTITUTE(AB213,"[Aviso]","")))/7, "Con Incidencias", "Válido")))</f>
        <v/>
      </c>
      <c r="AB213" s="56">
        <f>IF(AND(A213="", B213="", E213=""), "", TEXTJOIN("; ", TRUE, IF(OR(TRIM(A213&amp;"")="", ISNUMBER(SEARCH("FALTA", A213))), "UPC faltante/inválido", ""), IF(AND(A213&lt;&gt;"", IFERROR(_xlfn.XMATCH(A213,$A$2:$A$653,0,1)&lt;&gt;_xlfn.XMATCH(A213,$A$2:$A$653,0,-1),FALSE)), "Código de barras duplicado", ""), IF(AND(E213&lt;&gt;"", COUNTIF($E$2:$E$653, E213)&gt;1), "SKU duplicado", ""), IF(OR(J213="", J213=""), "[Aviso] División no capturada ()", IF(ISNA(MATCH(J213, Criterios!$A$123:$A$126, 0)), "División no válida", "")), IF(OR(K213="", K213=""), "[Aviso] Categoría no capturada ()", IF(ISNA(MATCH(K213, Criterios!$A$81:$A$120, 0)), "Categoría no válida", IF(AND(J213&lt;&gt;"", J213&lt;&gt;"", J213&lt;&gt;VLOOKUP(K213, Criterios!$A$81:$B$120, 2, FALSE)), "División no coincide con Categoría", ""))), IF(OR(L213="", L213=""), "[Aviso] Género no capturado ()", IF(ISNA(MATCH(L213, Criterios!$B$123:$B$127, 0)), "Género no válido", "")), IF(OR(N213="", N213=""), "[Aviso] Temporada no capturada ()", IF(ISNA(MATCH(N213, Criterios!$C$123:$C$128, 0)), "Temporada no válida", "")), IF(OR(O213="", O213=""), "[Aviso] Ciclo de vida no capturado ()", IF(ISNA(MATCH(O213, Criterios!$D$123:$D$124, 0)), "Ciclo de vida no válido", ""))))</f>
        <v/>
      </c>
      <c r="AC213" s="56" t="n"/>
      <c r="AD213" s="51" t="n">
        <v>98</v>
      </c>
      <c r="AE213" s="156" t="inlineStr">
        <is>
          <t>CONSIGNA REFLO (2); REFLO ALMACEN (47)</t>
        </is>
      </c>
      <c r="AF213" s="51" t="n">
        <v>98</v>
      </c>
      <c r="AG213" s="156" t="inlineStr">
        <is>
          <t>Nuevo – NetSuite con existencia</t>
        </is>
      </c>
      <c r="AH213" s="156" t="inlineStr">
        <is>
          <t>Composición: poliéster reciclado (validar % en etiqueta); Físico total NetSuite 98 ≠ suma por ubicación 49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13" s="156" t="inlineStr">
        <is>
          <t>No</t>
        </is>
      </c>
      <c r="AJ213" s="156" t="n"/>
      <c r="AK213" s="155" t="inlineStr">
        <is>
          <t>G1522ProductosTodosloscamposSandboxResults894.xlsx: fila 45334 [Y]; G1522_Extraccion_Articulos_NetSuite_2026-09-30.xlsx: fila 39583 [Y]</t>
        </is>
      </c>
      <c r="AL213" s="58" t="n"/>
      <c r="AM213" s="58" t="n">
        <v>688.7931033999999</v>
      </c>
      <c r="AN213" s="155" t="n"/>
      <c r="AO213" s="59" t="n"/>
      <c r="AP213" s="59" t="n"/>
      <c r="AQ213" s="59" t="n"/>
      <c r="AR213" s="155" t="n"/>
    </row>
    <row r="214">
      <c r="A214" s="50" t="inlineStr">
        <is>
          <t>5056658707933</t>
        </is>
      </c>
      <c r="B214" s="51" t="inlineStr">
        <is>
          <t>79176</t>
        </is>
      </c>
      <c r="C214" s="156" t="inlineStr">
        <is>
          <t>REFLO</t>
        </is>
      </c>
      <c r="D214" s="156" t="inlineStr">
        <is>
          <t>RU20811032</t>
        </is>
      </c>
      <c r="E214" s="156" t="inlineStr">
        <is>
          <t>RU20811032-OS</t>
        </is>
      </c>
      <c r="F214" s="156" t="inlineStr">
        <is>
          <t>Talla única</t>
        </is>
      </c>
      <c r="G214" s="156" t="inlineStr">
        <is>
          <t>One Size</t>
        </is>
      </c>
      <c r="H214" s="156" t="inlineStr">
        <is>
          <t>REFLO</t>
        </is>
      </c>
      <c r="I214" s="156" t="inlineStr">
        <is>
          <t>Gorra REFLO Aegan Navy</t>
        </is>
      </c>
      <c r="J214" s="156" t="inlineStr">
        <is>
          <t>Accesorios</t>
        </is>
      </c>
      <c r="K214" s="156" t="inlineStr">
        <is>
          <t>Gorras</t>
        </is>
      </c>
      <c r="L214" s="156" t="inlineStr">
        <is>
          <t>Unisex</t>
        </is>
      </c>
      <c r="M214" s="156" t="inlineStr">
        <is>
          <t>REFLO</t>
        </is>
      </c>
      <c r="N214" s="156" t="n"/>
      <c r="O214" s="156" t="n"/>
      <c r="P214" s="156" t="inlineStr">
        <is>
          <t>Azul</t>
        </is>
      </c>
      <c r="Q214" s="156" t="n"/>
      <c r="R214" s="156" t="n"/>
      <c r="S214" s="156" t="inlineStr">
        <is>
          <t>Poliéster reciclado</t>
        </is>
      </c>
      <c r="T214" s="156" t="inlineStr">
        <is>
          <t>Gorra de golf REFLO modelo Aegan en color Navy, confeccionado con materiales reciclados. Estilo RU20811032.</t>
        </is>
      </c>
      <c r="U214" s="156" t="n"/>
      <c r="V214" s="156" t="inlineStr">
        <is>
          <t>PZS</t>
        </is>
      </c>
      <c r="W214" s="51" t="inlineStr">
        <is>
          <t>53102516</t>
        </is>
      </c>
      <c r="X214" s="156" t="inlineStr">
        <is>
          <t>https://i.ibb.co/jG7PdPr/RU20811032.jpg</t>
        </is>
      </c>
      <c r="Y214" s="54" t="n">
        <v>11.05</v>
      </c>
      <c r="Z214" s="54" t="n">
        <v>799</v>
      </c>
      <c r="AA214" s="55">
        <f>IF(AND(A214="", B214="", E214=""), "", IF(AB214="", "Válido", IF((LEN(AB214)-LEN(SUBSTITUTE(AB214,"; ","")))/2+1&gt;(LEN(AB214)-LEN(SUBSTITUTE(AB214,"[Aviso]","")))/7, "Con Incidencias", "Válido")))</f>
        <v/>
      </c>
      <c r="AB214" s="56">
        <f>IF(AND(A214="", B214="", E214=""), "", TEXTJOIN("; ", TRUE, IF(OR(TRIM(A214&amp;"")="", ISNUMBER(SEARCH("FALTA", A214))), "UPC faltante/inválido", ""), IF(AND(A214&lt;&gt;"", IFERROR(_xlfn.XMATCH(A214,$A$2:$A$653,0,1)&lt;&gt;_xlfn.XMATCH(A214,$A$2:$A$653,0,-1),FALSE)), "Código de barras duplicado", ""), IF(AND(E214&lt;&gt;"", COUNTIF($E$2:$E$653, E214)&gt;1), "SKU duplicado", ""), IF(OR(J214="", J214=""), "[Aviso] División no capturada ()", IF(ISNA(MATCH(J214, Criterios!$A$123:$A$126, 0)), "División no válida", "")), IF(OR(K214="", K214=""), "[Aviso] Categoría no capturada ()", IF(ISNA(MATCH(K214, Criterios!$A$81:$A$120, 0)), "Categoría no válida", IF(AND(J214&lt;&gt;"", J214&lt;&gt;"", J214&lt;&gt;VLOOKUP(K214, Criterios!$A$81:$B$120, 2, FALSE)), "División no coincide con Categoría", ""))), IF(OR(L214="", L214=""), "[Aviso] Género no capturado ()", IF(ISNA(MATCH(L214, Criterios!$B$123:$B$127, 0)), "Género no válido", "")), IF(OR(N214="", N214=""), "[Aviso] Temporada no capturada ()", IF(ISNA(MATCH(N214, Criterios!$C$123:$C$128, 0)), "Temporada no válida", "")), IF(OR(O214="", O214=""), "[Aviso] Ciclo de vida no capturado ()", IF(ISNA(MATCH(O214, Criterios!$D$123:$D$124, 0)), "Ciclo de vida no válido", ""))))</f>
        <v/>
      </c>
      <c r="AC214" s="56" t="n"/>
      <c r="AD214" s="51" t="n">
        <v>134</v>
      </c>
      <c r="AE214" s="156" t="inlineStr">
        <is>
          <t>MUESTRAS REFLO (2); REFLO ALMACEN (66)</t>
        </is>
      </c>
      <c r="AF214" s="51" t="n">
        <v>132</v>
      </c>
      <c r="AG214" s="156" t="inlineStr">
        <is>
          <t>Nuevo – NetSuite con existencia</t>
        </is>
      </c>
      <c r="AH214" s="156" t="inlineStr">
        <is>
          <t>Composición: poliéster reciclado (validar % en etiqueta); Físico total NetSuite 134 ≠ suma por ubicación 68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4" s="156" t="inlineStr">
        <is>
          <t>No</t>
        </is>
      </c>
      <c r="AJ214" s="156" t="n"/>
      <c r="AK214" s="155" t="inlineStr">
        <is>
          <t>G1522ProductosTodosloscamposSandboxResults894.xlsx: fila 43917 [X,Y]; G1522_Extraccion_Articulos_NetSuite_2026-09-30.xlsx: fila 37509 [Z]</t>
        </is>
      </c>
      <c r="AL214" s="58" t="n">
        <v>11.05</v>
      </c>
      <c r="AM214" s="58" t="n"/>
      <c r="AN214" s="155" t="n"/>
      <c r="AO214" s="59" t="n"/>
      <c r="AP214" s="59" t="n"/>
      <c r="AQ214" s="59" t="n"/>
      <c r="AR214" s="155" t="n"/>
    </row>
    <row r="215">
      <c r="A215" s="50" t="inlineStr">
        <is>
          <t>5056658707957</t>
        </is>
      </c>
      <c r="B215" s="51" t="inlineStr">
        <is>
          <t>79177</t>
        </is>
      </c>
      <c r="C215" s="156" t="inlineStr">
        <is>
          <t>REFLO</t>
        </is>
      </c>
      <c r="D215" s="156" t="inlineStr">
        <is>
          <t>RU20813010</t>
        </is>
      </c>
      <c r="E215" s="156" t="inlineStr">
        <is>
          <t>RU20813010-OS</t>
        </is>
      </c>
      <c r="F215" s="156" t="inlineStr">
        <is>
          <t>Talla única</t>
        </is>
      </c>
      <c r="G215" s="156" t="inlineStr">
        <is>
          <t>One Size</t>
        </is>
      </c>
      <c r="H215" s="156" t="inlineStr">
        <is>
          <t>REFLO</t>
        </is>
      </c>
      <c r="I215" s="156" t="inlineStr">
        <is>
          <t>Gorra REFLO Tigris Black</t>
        </is>
      </c>
      <c r="J215" s="156" t="inlineStr">
        <is>
          <t>Accesorios</t>
        </is>
      </c>
      <c r="K215" s="156" t="inlineStr">
        <is>
          <t>Gorras</t>
        </is>
      </c>
      <c r="L215" s="156" t="inlineStr">
        <is>
          <t>Unisex</t>
        </is>
      </c>
      <c r="M215" s="156" t="inlineStr">
        <is>
          <t>REFLO</t>
        </is>
      </c>
      <c r="N215" s="156" t="n"/>
      <c r="O215" s="156" t="n"/>
      <c r="P215" s="156" t="inlineStr">
        <is>
          <t>Negro</t>
        </is>
      </c>
      <c r="Q215" s="156" t="n"/>
      <c r="R215" s="156" t="n"/>
      <c r="S215" s="156" t="inlineStr">
        <is>
          <t>Poliéster reciclado</t>
        </is>
      </c>
      <c r="T215" s="156" t="inlineStr">
        <is>
          <t>Gorra de golf REFLO modelo Tigris en color Black, confeccionado con materiales reciclados. Estilo RU20813010.</t>
        </is>
      </c>
      <c r="U215" s="156" t="n"/>
      <c r="V215" s="156" t="inlineStr">
        <is>
          <t>PZS</t>
        </is>
      </c>
      <c r="W215" s="51" t="inlineStr">
        <is>
          <t>53102516</t>
        </is>
      </c>
      <c r="X215" s="156" t="inlineStr">
        <is>
          <t>https://i.ibb.co/x3Y5V9K/RU20813010.jpg</t>
        </is>
      </c>
      <c r="Y215" s="54" t="n">
        <v>11.05</v>
      </c>
      <c r="Z215" s="54" t="n">
        <v>799</v>
      </c>
      <c r="AA215" s="55">
        <f>IF(AND(A215="", B215="", E215=""), "", IF(AB215="", "Válido", IF((LEN(AB215)-LEN(SUBSTITUTE(AB215,"; ","")))/2+1&gt;(LEN(AB215)-LEN(SUBSTITUTE(AB215,"[Aviso]","")))/7, "Con Incidencias", "Válido")))</f>
        <v/>
      </c>
      <c r="AB215" s="56">
        <f>IF(AND(A215="", B215="", E215=""), "", TEXTJOIN("; ", TRUE, IF(OR(TRIM(A215&amp;"")="", ISNUMBER(SEARCH("FALTA", A215))), "UPC faltante/inválido", ""), IF(AND(A215&lt;&gt;"", IFERROR(_xlfn.XMATCH(A215,$A$2:$A$653,0,1)&lt;&gt;_xlfn.XMATCH(A215,$A$2:$A$653,0,-1),FALSE)), "Código de barras duplicado", ""), IF(AND(E215&lt;&gt;"", COUNTIF($E$2:$E$653, E215)&gt;1), "SKU duplicado", ""), IF(OR(J215="", J215=""), "[Aviso] División no capturada ()", IF(ISNA(MATCH(J215, Criterios!$A$123:$A$126, 0)), "División no válida", "")), IF(OR(K215="", K215=""), "[Aviso] Categoría no capturada ()", IF(ISNA(MATCH(K215, Criterios!$A$81:$A$120, 0)), "Categoría no válida", IF(AND(J215&lt;&gt;"", J215&lt;&gt;"", J215&lt;&gt;VLOOKUP(K215, Criterios!$A$81:$B$120, 2, FALSE)), "División no coincide con Categoría", ""))), IF(OR(L215="", L215=""), "[Aviso] Género no capturado ()", IF(ISNA(MATCH(L215, Criterios!$B$123:$B$127, 0)), "Género no válido", "")), IF(OR(N215="", N215=""), "[Aviso] Temporada no capturada ()", IF(ISNA(MATCH(N215, Criterios!$C$123:$C$128, 0)), "Temporada no válida", "")), IF(OR(O215="", O215=""), "[Aviso] Ciclo de vida no capturado ()", IF(ISNA(MATCH(O215, Criterios!$D$123:$D$124, 0)), "Ciclo de vida no válido", ""))))</f>
        <v/>
      </c>
      <c r="AC215" s="56" t="n"/>
      <c r="AD215" s="51" t="n">
        <v>141</v>
      </c>
      <c r="AE215" s="156" t="inlineStr">
        <is>
          <t>REFLO ALMACEN (71); MUESTRAS REFLO (1)</t>
        </is>
      </c>
      <c r="AF215" s="51" t="n">
        <v>140</v>
      </c>
      <c r="AG215" s="156" t="inlineStr">
        <is>
          <t>Nuevo – NetSuite con existencia</t>
        </is>
      </c>
      <c r="AH215" s="156" t="inlineStr">
        <is>
          <t>Composición: poliéster reciclado (validar % en etiqueta); Físico total NetSuite 141 ≠ suma por ubicación 72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5" s="156" t="inlineStr">
        <is>
          <t>No</t>
        </is>
      </c>
      <c r="AJ215" s="156" t="n"/>
      <c r="AK215" s="155" t="inlineStr">
        <is>
          <t>G1522ProductosTodosloscamposSandboxResults894.xlsx: fila 59033 [X,Y]; G1522_Extraccion_Articulos_NetSuite_2026-09-30.xlsx: fila 37510 [Z]</t>
        </is>
      </c>
      <c r="AL215" s="58" t="n">
        <v>11.05</v>
      </c>
      <c r="AM215" s="58" t="n"/>
      <c r="AN215" s="155" t="n"/>
      <c r="AO215" s="59" t="n"/>
      <c r="AP215" s="59" t="n"/>
      <c r="AQ215" s="59" t="n"/>
      <c r="AR215" s="155" t="n"/>
    </row>
    <row r="216">
      <c r="A216" s="50" t="inlineStr">
        <is>
          <t>5056658707964</t>
        </is>
      </c>
      <c r="B216" s="51" t="inlineStr">
        <is>
          <t>84415</t>
        </is>
      </c>
      <c r="C216" s="156" t="inlineStr">
        <is>
          <t>REFLO</t>
        </is>
      </c>
      <c r="D216" s="156" t="inlineStr">
        <is>
          <t>RU20814010</t>
        </is>
      </c>
      <c r="E216" s="156" t="inlineStr">
        <is>
          <t>RU20814010-OS</t>
        </is>
      </c>
      <c r="F216" s="156" t="inlineStr">
        <is>
          <t>Talla única</t>
        </is>
      </c>
      <c r="G216" s="156" t="inlineStr">
        <is>
          <t>One Size</t>
        </is>
      </c>
      <c r="H216" s="156" t="inlineStr">
        <is>
          <t>REFLO</t>
        </is>
      </c>
      <c r="I216" s="156" t="inlineStr">
        <is>
          <t>Gorra REFLO Amur Black</t>
        </is>
      </c>
      <c r="J216" s="156" t="inlineStr">
        <is>
          <t>Accesorios</t>
        </is>
      </c>
      <c r="K216" s="156" t="inlineStr">
        <is>
          <t>Gorras</t>
        </is>
      </c>
      <c r="L216" s="156" t="inlineStr">
        <is>
          <t>Unisex</t>
        </is>
      </c>
      <c r="M216" s="156" t="inlineStr">
        <is>
          <t>REFLO</t>
        </is>
      </c>
      <c r="N216" s="156" t="n"/>
      <c r="O216" s="156" t="n"/>
      <c r="P216" s="156" t="inlineStr">
        <is>
          <t>Negro</t>
        </is>
      </c>
      <c r="Q216" s="156" t="n"/>
      <c r="R216" s="156" t="n"/>
      <c r="S216" s="156" t="inlineStr">
        <is>
          <t>Poliéster reciclado</t>
        </is>
      </c>
      <c r="T216" s="156" t="inlineStr">
        <is>
          <t>Gorra de golf REFLO modelo Amur en color Black, confeccionado con materiales reciclados. Estilo RU20814010.</t>
        </is>
      </c>
      <c r="U216" s="156" t="n"/>
      <c r="V216" s="156" t="inlineStr">
        <is>
          <t>PZS</t>
        </is>
      </c>
      <c r="W216" s="51" t="inlineStr">
        <is>
          <t>53102516</t>
        </is>
      </c>
      <c r="X216" s="156" t="n"/>
      <c r="Y216" s="54" t="n">
        <v>11.05</v>
      </c>
      <c r="Z216" s="54" t="n">
        <v>688.7931033999999</v>
      </c>
      <c r="AA216" s="55">
        <f>IF(AND(A216="", B216="", E216=""), "", IF(AB216="", "Válido", IF((LEN(AB216)-LEN(SUBSTITUTE(AB216,"; ","")))/2+1&gt;(LEN(AB216)-LEN(SUBSTITUTE(AB216,"[Aviso]","")))/7, "Con Incidencias", "Válido")))</f>
        <v/>
      </c>
      <c r="AB216" s="56">
        <f>IF(AND(A216="", B216="", E216=""), "", TEXTJOIN("; ", TRUE, IF(OR(TRIM(A216&amp;"")="", ISNUMBER(SEARCH("FALTA", A216))), "UPC faltante/inválido", ""), IF(AND(A216&lt;&gt;"", IFERROR(_xlfn.XMATCH(A216,$A$2:$A$653,0,1)&lt;&gt;_xlfn.XMATCH(A216,$A$2:$A$653,0,-1),FALSE)), "Código de barras duplicado", ""), IF(AND(E216&lt;&gt;"", COUNTIF($E$2:$E$653, E216)&gt;1), "SKU duplicado", ""), IF(OR(J216="", J216=""), "[Aviso] División no capturada ()", IF(ISNA(MATCH(J216, Criterios!$A$123:$A$126, 0)), "División no válida", "")), IF(OR(K216="", K216=""), "[Aviso] Categoría no capturada ()", IF(ISNA(MATCH(K216, Criterios!$A$81:$A$120, 0)), "Categoría no válida", IF(AND(J216&lt;&gt;"", J216&lt;&gt;"", J216&lt;&gt;VLOOKUP(K216, Criterios!$A$81:$B$120, 2, FALSE)), "División no coincide con Categoría", ""))), IF(OR(L216="", L216=""), "[Aviso] Género no capturado ()", IF(ISNA(MATCH(L216, Criterios!$B$123:$B$127, 0)), "Género no válido", "")), IF(OR(N216="", N216=""), "[Aviso] Temporada no capturada ()", IF(ISNA(MATCH(N216, Criterios!$C$123:$C$128, 0)), "Temporada no válida", "")), IF(OR(O216="", O216=""), "[Aviso] Ciclo de vida no capturado ()", IF(ISNA(MATCH(O216, Criterios!$D$123:$D$124, 0)), "Ciclo de vida no válido", ""))))</f>
        <v/>
      </c>
      <c r="AC216" s="56" t="n"/>
      <c r="AD216" s="51" t="n">
        <v>96</v>
      </c>
      <c r="AE216" s="156" t="inlineStr">
        <is>
          <t>CONSIGNA REFLO (1); REFLO ALMACEN (47)</t>
        </is>
      </c>
      <c r="AF216" s="51" t="n">
        <v>96</v>
      </c>
      <c r="AG216" s="156" t="inlineStr">
        <is>
          <t>Nuevo – NetSuite con existencia</t>
        </is>
      </c>
      <c r="AH216" s="156" t="inlineStr">
        <is>
          <t>Composición: poliéster reciclado (validar % en etiqueta); Físico total NetSuite 96 ≠ suma por ubicación 48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16" s="156" t="inlineStr">
        <is>
          <t>No</t>
        </is>
      </c>
      <c r="AJ216" s="156" t="n"/>
      <c r="AK216" s="155" t="inlineStr">
        <is>
          <t>G1522ProductosTodosloscamposSandboxResults894.xlsx: fila 43936 [Y]; G1522_Extraccion_Articulos_NetSuite_2026-09-30.xlsx: fila 39584 [Y]</t>
        </is>
      </c>
      <c r="AL216" s="58" t="n"/>
      <c r="AM216" s="58" t="n">
        <v>688.7931033999999</v>
      </c>
      <c r="AN216" s="155" t="n"/>
      <c r="AO216" s="59" t="n"/>
      <c r="AP216" s="59" t="n"/>
      <c r="AQ216" s="59" t="n"/>
      <c r="AR216" s="155" t="n"/>
    </row>
    <row r="217">
      <c r="A217" s="50" t="inlineStr">
        <is>
          <t>5056658707988</t>
        </is>
      </c>
      <c r="B217" s="51" t="inlineStr">
        <is>
          <t>79178</t>
        </is>
      </c>
      <c r="C217" s="156" t="inlineStr">
        <is>
          <t>REFLO</t>
        </is>
      </c>
      <c r="D217" s="156" t="inlineStr">
        <is>
          <t>RU20816003</t>
        </is>
      </c>
      <c r="E217" s="156" t="inlineStr">
        <is>
          <t>RU20816003-OS</t>
        </is>
      </c>
      <c r="F217" s="156" t="inlineStr">
        <is>
          <t>Talla única</t>
        </is>
      </c>
      <c r="G217" s="156" t="inlineStr">
        <is>
          <t>One Size</t>
        </is>
      </c>
      <c r="H217" s="156" t="inlineStr">
        <is>
          <t>REFLO</t>
        </is>
      </c>
      <c r="I217" s="156" t="inlineStr">
        <is>
          <t>Gorra REFLO Bann Black&amp;Grey</t>
        </is>
      </c>
      <c r="J217" s="156" t="inlineStr">
        <is>
          <t>Accesorios</t>
        </is>
      </c>
      <c r="K217" s="156" t="inlineStr">
        <is>
          <t>Gorras</t>
        </is>
      </c>
      <c r="L217" s="156" t="inlineStr">
        <is>
          <t>Unisex</t>
        </is>
      </c>
      <c r="M217" s="156" t="inlineStr">
        <is>
          <t>REFLO</t>
        </is>
      </c>
      <c r="N217" s="156" t="n"/>
      <c r="O217" s="156" t="n"/>
      <c r="P217" s="156" t="inlineStr">
        <is>
          <t>Gris</t>
        </is>
      </c>
      <c r="Q217" s="156" t="n"/>
      <c r="R217" s="156" t="n"/>
      <c r="S217" s="156" t="inlineStr">
        <is>
          <t>Poliéster reciclado</t>
        </is>
      </c>
      <c r="T217" s="156" t="inlineStr">
        <is>
          <t>Gorra de golf REFLO modelo Bann en color Black&amp;Grey, confeccionado con materiales reciclados. Estilo RU20816003.</t>
        </is>
      </c>
      <c r="U217" s="156" t="n"/>
      <c r="V217" s="156" t="inlineStr">
        <is>
          <t>PZS</t>
        </is>
      </c>
      <c r="W217" s="51" t="inlineStr">
        <is>
          <t>53102516</t>
        </is>
      </c>
      <c r="X217" s="156" t="inlineStr">
        <is>
          <t>https://i.ibb.co/DW3P5pk/RU20816003.jpg</t>
        </is>
      </c>
      <c r="Y217" s="54" t="n">
        <v>11.05</v>
      </c>
      <c r="Z217" s="54" t="n">
        <v>799</v>
      </c>
      <c r="AA217" s="55">
        <f>IF(AND(A217="", B217="", E217=""), "", IF(AB217="", "Válido", IF((LEN(AB217)-LEN(SUBSTITUTE(AB217,"; ","")))/2+1&gt;(LEN(AB217)-LEN(SUBSTITUTE(AB217,"[Aviso]","")))/7, "Con Incidencias", "Válido")))</f>
        <v/>
      </c>
      <c r="AB217" s="56">
        <f>IF(AND(A217="", B217="", E217=""), "", TEXTJOIN("; ", TRUE, IF(OR(TRIM(A217&amp;"")="", ISNUMBER(SEARCH("FALTA", A217))), "UPC faltante/inválido", ""), IF(AND(A217&lt;&gt;"", IFERROR(_xlfn.XMATCH(A217,$A$2:$A$653,0,1)&lt;&gt;_xlfn.XMATCH(A217,$A$2:$A$653,0,-1),FALSE)), "Código de barras duplicado", ""), IF(AND(E217&lt;&gt;"", COUNTIF($E$2:$E$653, E217)&gt;1), "SKU duplicado", ""), IF(OR(J217="", J217=""), "[Aviso] División no capturada ()", IF(ISNA(MATCH(J217, Criterios!$A$123:$A$126, 0)), "División no válida", "")), IF(OR(K217="", K217=""), "[Aviso] Categoría no capturada ()", IF(ISNA(MATCH(K217, Criterios!$A$81:$A$120, 0)), "Categoría no válida", IF(AND(J217&lt;&gt;"", J217&lt;&gt;"", J217&lt;&gt;VLOOKUP(K217, Criterios!$A$81:$B$120, 2, FALSE)), "División no coincide con Categoría", ""))), IF(OR(L217="", L217=""), "[Aviso] Género no capturado ()", IF(ISNA(MATCH(L217, Criterios!$B$123:$B$127, 0)), "Género no válido", "")), IF(OR(N217="", N217=""), "[Aviso] Temporada no capturada ()", IF(ISNA(MATCH(N217, Criterios!$C$123:$C$128, 0)), "Temporada no válida", "")), IF(OR(O217="", O217=""), "[Aviso] Ciclo de vida no capturado ()", IF(ISNA(MATCH(O217, Criterios!$D$123:$D$124, 0)), "Ciclo de vida no válido", ""))))</f>
        <v/>
      </c>
      <c r="AC217" s="56" t="n"/>
      <c r="AD217" s="51" t="n">
        <v>140</v>
      </c>
      <c r="AE217" s="156" t="inlineStr">
        <is>
          <t>MUESTRAS REFLO (1); REFLO ALMACEN (70)</t>
        </is>
      </c>
      <c r="AF217" s="51" t="n">
        <v>139</v>
      </c>
      <c r="AG217" s="156" t="inlineStr">
        <is>
          <t>Nuevo – NetSuite con existencia</t>
        </is>
      </c>
      <c r="AH217" s="156" t="inlineStr">
        <is>
          <t>Composición: poliéster reciclado (validar % en etiqueta); Físico total NetSuite 140 ≠ suma por ubicación 71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7" s="156" t="inlineStr">
        <is>
          <t>No</t>
        </is>
      </c>
      <c r="AJ217" s="156" t="n"/>
      <c r="AK217" s="155" t="inlineStr">
        <is>
          <t>G1522ProductosTodosloscamposSandboxResults894.xlsx: fila 45042 [X,Y]; G1522_Extraccion_Articulos_NetSuite_2026-09-30.xlsx: fila 37511 [Z]</t>
        </is>
      </c>
      <c r="AL217" s="58" t="n">
        <v>11.05</v>
      </c>
      <c r="AM217" s="58" t="n"/>
      <c r="AN217" s="155" t="n"/>
      <c r="AO217" s="59" t="n"/>
      <c r="AP217" s="59" t="n"/>
      <c r="AQ217" s="59" t="n"/>
      <c r="AR217" s="155" t="n"/>
    </row>
    <row r="218">
      <c r="A218" s="50" t="inlineStr">
        <is>
          <t>5056658707995</t>
        </is>
      </c>
      <c r="B218" s="51" t="inlineStr">
        <is>
          <t>84416</t>
        </is>
      </c>
      <c r="C218" s="156" t="inlineStr">
        <is>
          <t>REFLO</t>
        </is>
      </c>
      <c r="D218" s="156" t="inlineStr">
        <is>
          <t>RU20817003</t>
        </is>
      </c>
      <c r="E218" s="156" t="inlineStr">
        <is>
          <t>RU20817003-OS</t>
        </is>
      </c>
      <c r="F218" s="156" t="inlineStr">
        <is>
          <t>Talla única</t>
        </is>
      </c>
      <c r="G218" s="156" t="inlineStr">
        <is>
          <t>One Size</t>
        </is>
      </c>
      <c r="H218" s="156" t="inlineStr">
        <is>
          <t>REFLO</t>
        </is>
      </c>
      <c r="I218" s="156" t="inlineStr">
        <is>
          <t>Gorra REFLO Corrib Black&amp;Grey</t>
        </is>
      </c>
      <c r="J218" s="156" t="inlineStr">
        <is>
          <t>Accesorios</t>
        </is>
      </c>
      <c r="K218" s="156" t="inlineStr">
        <is>
          <t>Gorras</t>
        </is>
      </c>
      <c r="L218" s="156" t="inlineStr">
        <is>
          <t>Unisex</t>
        </is>
      </c>
      <c r="M218" s="156" t="inlineStr">
        <is>
          <t>REFLO</t>
        </is>
      </c>
      <c r="N218" s="156" t="n"/>
      <c r="O218" s="156" t="n"/>
      <c r="P218" s="156" t="inlineStr">
        <is>
          <t>Gris</t>
        </is>
      </c>
      <c r="Q218" s="156" t="n"/>
      <c r="R218" s="156" t="n"/>
      <c r="S218" s="156" t="inlineStr">
        <is>
          <t>Poliéster reciclado</t>
        </is>
      </c>
      <c r="T218" s="156" t="inlineStr">
        <is>
          <t>Gorra de golf REFLO modelo Corrib en color Black&amp;Grey, confeccionado con materiales reciclados. Estilo RU20817003.</t>
        </is>
      </c>
      <c r="U218" s="156" t="n"/>
      <c r="V218" s="156" t="inlineStr">
        <is>
          <t>PZS</t>
        </is>
      </c>
      <c r="W218" s="51" t="inlineStr">
        <is>
          <t>53102516</t>
        </is>
      </c>
      <c r="X218" s="156" t="n"/>
      <c r="Y218" s="54" t="n">
        <v>11.05</v>
      </c>
      <c r="Z218" s="54" t="n">
        <v>688.7931033999999</v>
      </c>
      <c r="AA218" s="55">
        <f>IF(AND(A218="", B218="", E218=""), "", IF(AB218="", "Válido", IF((LEN(AB218)-LEN(SUBSTITUTE(AB218,"; ","")))/2+1&gt;(LEN(AB218)-LEN(SUBSTITUTE(AB218,"[Aviso]","")))/7, "Con Incidencias", "Válido")))</f>
        <v/>
      </c>
      <c r="AB218" s="56">
        <f>IF(AND(A218="", B218="", E218=""), "", TEXTJOIN("; ", TRUE, IF(OR(TRIM(A218&amp;"")="", ISNUMBER(SEARCH("FALTA", A218))), "UPC faltante/inválido", ""), IF(AND(A218&lt;&gt;"", IFERROR(_xlfn.XMATCH(A218,$A$2:$A$653,0,1)&lt;&gt;_xlfn.XMATCH(A218,$A$2:$A$653,0,-1),FALSE)), "Código de barras duplicado", ""), IF(AND(E218&lt;&gt;"", COUNTIF($E$2:$E$653, E218)&gt;1), "SKU duplicado", ""), IF(OR(J218="", J218=""), "[Aviso] División no capturada ()", IF(ISNA(MATCH(J218, Criterios!$A$123:$A$126, 0)), "División no válida", "")), IF(OR(K218="", K218=""), "[Aviso] Categoría no capturada ()", IF(ISNA(MATCH(K218, Criterios!$A$81:$A$120, 0)), "Categoría no válida", IF(AND(J218&lt;&gt;"", J218&lt;&gt;"", J218&lt;&gt;VLOOKUP(K218, Criterios!$A$81:$B$120, 2, FALSE)), "División no coincide con Categoría", ""))), IF(OR(L218="", L218=""), "[Aviso] Género no capturado ()", IF(ISNA(MATCH(L218, Criterios!$B$123:$B$127, 0)), "Género no válido", "")), IF(OR(N218="", N218=""), "[Aviso] Temporada no capturada ()", IF(ISNA(MATCH(N218, Criterios!$C$123:$C$128, 0)), "Temporada no válida", "")), IF(OR(O218="", O218=""), "[Aviso] Ciclo de vida no capturado ()", IF(ISNA(MATCH(O218, Criterios!$D$123:$D$124, 0)), "Ciclo de vida no válido", ""))))</f>
        <v/>
      </c>
      <c r="AC218" s="56" t="n"/>
      <c r="AD218" s="51" t="n">
        <v>100</v>
      </c>
      <c r="AE218" s="156" t="inlineStr">
        <is>
          <t>REFLO ALMACEN (47); CONSIGNA REFLO (3)</t>
        </is>
      </c>
      <c r="AF218" s="51" t="n">
        <v>100</v>
      </c>
      <c r="AG218" s="156" t="inlineStr">
        <is>
          <t>Nuevo – NetSuite con existencia</t>
        </is>
      </c>
      <c r="AH218" s="156" t="inlineStr">
        <is>
          <t>Composición: poliéster reciclado (validar % en etiqueta); Físico total NetSuite 100 ≠ suma por ubicación 50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18" s="156" t="inlineStr">
        <is>
          <t>No</t>
        </is>
      </c>
      <c r="AJ218" s="156" t="n"/>
      <c r="AK218" s="155" t="inlineStr">
        <is>
          <t>G1522ProductosTodosloscamposSandboxResults894.xlsx: fila 48453 [Y]; G1522_Extraccion_Articulos_NetSuite_2026-09-30.xlsx: fila 39585 [Y]</t>
        </is>
      </c>
      <c r="AL218" s="58" t="n"/>
      <c r="AM218" s="58" t="n">
        <v>688.7931033999999</v>
      </c>
      <c r="AN218" s="155" t="n"/>
      <c r="AO218" s="59" t="n"/>
      <c r="AP218" s="59" t="n"/>
      <c r="AQ218" s="59" t="n"/>
      <c r="AR218" s="155" t="n"/>
    </row>
    <row r="219">
      <c r="A219" s="50" t="inlineStr">
        <is>
          <t>5056658708015</t>
        </is>
      </c>
      <c r="B219" s="51" t="inlineStr">
        <is>
          <t>79179</t>
        </is>
      </c>
      <c r="C219" s="156" t="inlineStr">
        <is>
          <t>REFLO</t>
        </is>
      </c>
      <c r="D219" s="156" t="inlineStr">
        <is>
          <t>RU20819030</t>
        </is>
      </c>
      <c r="E219" s="156" t="inlineStr">
        <is>
          <t>RU20819030-OS</t>
        </is>
      </c>
      <c r="F219" s="156" t="inlineStr">
        <is>
          <t>Talla única</t>
        </is>
      </c>
      <c r="G219" s="156" t="inlineStr">
        <is>
          <t>One Size</t>
        </is>
      </c>
      <c r="H219" s="156" t="inlineStr">
        <is>
          <t>REFLO</t>
        </is>
      </c>
      <c r="I219" s="156" t="inlineStr">
        <is>
          <t>Gorra REFLO Maputo Grey</t>
        </is>
      </c>
      <c r="J219" s="156" t="inlineStr">
        <is>
          <t>Accesorios</t>
        </is>
      </c>
      <c r="K219" s="156" t="inlineStr">
        <is>
          <t>Gorras</t>
        </is>
      </c>
      <c r="L219" s="156" t="inlineStr">
        <is>
          <t>Unisex</t>
        </is>
      </c>
      <c r="M219" s="156" t="inlineStr">
        <is>
          <t>REFLO</t>
        </is>
      </c>
      <c r="N219" s="156" t="n"/>
      <c r="O219" s="156" t="n"/>
      <c r="P219" s="156" t="inlineStr">
        <is>
          <t>Gris</t>
        </is>
      </c>
      <c r="Q219" s="156" t="n"/>
      <c r="R219" s="156" t="n"/>
      <c r="S219" s="156" t="inlineStr">
        <is>
          <t>Poliéster reciclado</t>
        </is>
      </c>
      <c r="T219" s="156" t="inlineStr">
        <is>
          <t>Gorra de golf REFLO modelo Maputo en color Grey, confeccionado con materiales reciclados. Estilo RU20819030.</t>
        </is>
      </c>
      <c r="U219" s="156" t="n"/>
      <c r="V219" s="156" t="inlineStr">
        <is>
          <t>PZS</t>
        </is>
      </c>
      <c r="W219" s="51" t="inlineStr">
        <is>
          <t>53102516</t>
        </is>
      </c>
      <c r="X219" s="156" t="inlineStr">
        <is>
          <t>https://i.ibb.co/wyDrnxq/RU20819030.jpg</t>
        </is>
      </c>
      <c r="Y219" s="54" t="n">
        <v>11.05</v>
      </c>
      <c r="Z219" s="54" t="n">
        <v>799</v>
      </c>
      <c r="AA219" s="55">
        <f>IF(AND(A219="", B219="", E219=""), "", IF(AB219="", "Válido", IF((LEN(AB219)-LEN(SUBSTITUTE(AB219,"; ","")))/2+1&gt;(LEN(AB219)-LEN(SUBSTITUTE(AB219,"[Aviso]","")))/7, "Con Incidencias", "Válido")))</f>
        <v/>
      </c>
      <c r="AB219" s="56">
        <f>IF(AND(A219="", B219="", E219=""), "", TEXTJOIN("; ", TRUE, IF(OR(TRIM(A219&amp;"")="", ISNUMBER(SEARCH("FALTA", A219))), "UPC faltante/inválido", ""), IF(AND(A219&lt;&gt;"", IFERROR(_xlfn.XMATCH(A219,$A$2:$A$653,0,1)&lt;&gt;_xlfn.XMATCH(A219,$A$2:$A$653,0,-1),FALSE)), "Código de barras duplicado", ""), IF(AND(E219&lt;&gt;"", COUNTIF($E$2:$E$653, E219)&gt;1), "SKU duplicado", ""), IF(OR(J219="", J219=""), "[Aviso] División no capturada ()", IF(ISNA(MATCH(J219, Criterios!$A$123:$A$126, 0)), "División no válida", "")), IF(OR(K219="", K219=""), "[Aviso] Categoría no capturada ()", IF(ISNA(MATCH(K219, Criterios!$A$81:$A$120, 0)), "Categoría no válida", IF(AND(J219&lt;&gt;"", J219&lt;&gt;"", J219&lt;&gt;VLOOKUP(K219, Criterios!$A$81:$B$120, 2, FALSE)), "División no coincide con Categoría", ""))), IF(OR(L219="", L219=""), "[Aviso] Género no capturado ()", IF(ISNA(MATCH(L219, Criterios!$B$123:$B$127, 0)), "Género no válido", "")), IF(OR(N219="", N219=""), "[Aviso] Temporada no capturada ()", IF(ISNA(MATCH(N219, Criterios!$C$123:$C$128, 0)), "Temporada no válida", "")), IF(OR(O219="", O219=""), "[Aviso] Ciclo de vida no capturado ()", IF(ISNA(MATCH(O219, Criterios!$D$123:$D$124, 0)), "Ciclo de vida no válido", ""))))</f>
        <v/>
      </c>
      <c r="AC219" s="56" t="n"/>
      <c r="AD219" s="51" t="n">
        <v>148</v>
      </c>
      <c r="AE219" s="156" t="inlineStr">
        <is>
          <t>MUESTRAS REFLO (2); REFLO ALMACEN (73)</t>
        </is>
      </c>
      <c r="AF219" s="51" t="n">
        <v>146</v>
      </c>
      <c r="AG219" s="156" t="inlineStr">
        <is>
          <t>Nuevo – NetSuite con existencia</t>
        </is>
      </c>
      <c r="AH219" s="156" t="inlineStr">
        <is>
          <t>Composición: poliéster reciclado (validar % en etiqueta); Físico total NetSuite 148 ≠ suma por ubicación 75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9" s="156" t="inlineStr">
        <is>
          <t>No</t>
        </is>
      </c>
      <c r="AJ219" s="156" t="n"/>
      <c r="AK219" s="155" t="inlineStr">
        <is>
          <t>G1522ProductosTodosloscamposSandboxResults894.xlsx: fila 57754 [X,Y]; G1522_Extraccion_Articulos_NetSuite_2026-09-30.xlsx: fila 37512 [Z]</t>
        </is>
      </c>
      <c r="AL219" s="58" t="n">
        <v>11.05</v>
      </c>
      <c r="AM219" s="58" t="n"/>
      <c r="AN219" s="155" t="n"/>
      <c r="AO219" s="59" t="n"/>
      <c r="AP219" s="59" t="n"/>
      <c r="AQ219" s="59" t="n"/>
      <c r="AR219" s="155" t="n"/>
    </row>
    <row r="220">
      <c r="A220" s="50" t="inlineStr">
        <is>
          <t>5056658708022</t>
        </is>
      </c>
      <c r="B220" s="51" t="inlineStr">
        <is>
          <t>84417</t>
        </is>
      </c>
      <c r="C220" s="156" t="inlineStr">
        <is>
          <t>REFLO</t>
        </is>
      </c>
      <c r="D220" s="156" t="inlineStr">
        <is>
          <t>RU20820030</t>
        </is>
      </c>
      <c r="E220" s="156" t="inlineStr">
        <is>
          <t>RU20820030-OS</t>
        </is>
      </c>
      <c r="F220" s="156" t="inlineStr">
        <is>
          <t>Talla única</t>
        </is>
      </c>
      <c r="G220" s="156" t="inlineStr">
        <is>
          <t>One Size</t>
        </is>
      </c>
      <c r="H220" s="156" t="inlineStr">
        <is>
          <t>REFLO</t>
        </is>
      </c>
      <c r="I220" s="156" t="inlineStr">
        <is>
          <t>Gorra REFLO Tugela Grey</t>
        </is>
      </c>
      <c r="J220" s="156" t="inlineStr">
        <is>
          <t>Accesorios</t>
        </is>
      </c>
      <c r="K220" s="156" t="inlineStr">
        <is>
          <t>Gorras</t>
        </is>
      </c>
      <c r="L220" s="156" t="inlineStr">
        <is>
          <t>Unisex</t>
        </is>
      </c>
      <c r="M220" s="156" t="inlineStr">
        <is>
          <t>REFLO</t>
        </is>
      </c>
      <c r="N220" s="156" t="n"/>
      <c r="O220" s="156" t="n"/>
      <c r="P220" s="156" t="inlineStr">
        <is>
          <t>Gris</t>
        </is>
      </c>
      <c r="Q220" s="156" t="n"/>
      <c r="R220" s="156" t="n"/>
      <c r="S220" s="156" t="inlineStr">
        <is>
          <t>Poliéster reciclado</t>
        </is>
      </c>
      <c r="T220" s="156" t="inlineStr">
        <is>
          <t>Gorra de golf REFLO modelo Tugela en color Grey, confeccionado con materiales reciclados. Estilo RU20820030.</t>
        </is>
      </c>
      <c r="U220" s="156" t="n"/>
      <c r="V220" s="156" t="inlineStr">
        <is>
          <t>PZS</t>
        </is>
      </c>
      <c r="W220" s="51" t="inlineStr">
        <is>
          <t>53102516</t>
        </is>
      </c>
      <c r="X220" s="156" t="n"/>
      <c r="Y220" s="54" t="n">
        <v>11.05</v>
      </c>
      <c r="Z220" s="54" t="n">
        <v>688.7931033999999</v>
      </c>
      <c r="AA220" s="55">
        <f>IF(AND(A220="", B220="", E220=""), "", IF(AB220="", "Válido", IF((LEN(AB220)-LEN(SUBSTITUTE(AB220,"; ","")))/2+1&gt;(LEN(AB220)-LEN(SUBSTITUTE(AB220,"[Aviso]","")))/7, "Con Incidencias", "Válido")))</f>
        <v/>
      </c>
      <c r="AB220" s="56">
        <f>IF(AND(A220="", B220="", E220=""), "", TEXTJOIN("; ", TRUE, IF(OR(TRIM(A220&amp;"")="", ISNUMBER(SEARCH("FALTA", A220))), "UPC faltante/inválido", ""), IF(AND(A220&lt;&gt;"", IFERROR(_xlfn.XMATCH(A220,$A$2:$A$653,0,1)&lt;&gt;_xlfn.XMATCH(A220,$A$2:$A$653,0,-1),FALSE)), "Código de barras duplicado", ""), IF(AND(E220&lt;&gt;"", COUNTIF($E$2:$E$653, E220)&gt;1), "SKU duplicado", ""), IF(OR(J220="", J220=""), "[Aviso] División no capturada ()", IF(ISNA(MATCH(J220, Criterios!$A$123:$A$126, 0)), "División no válida", "")), IF(OR(K220="", K220=""), "[Aviso] Categoría no capturada ()", IF(ISNA(MATCH(K220, Criterios!$A$81:$A$120, 0)), "Categoría no válida", IF(AND(J220&lt;&gt;"", J220&lt;&gt;"", J220&lt;&gt;VLOOKUP(K220, Criterios!$A$81:$B$120, 2, FALSE)), "División no coincide con Categoría", ""))), IF(OR(L220="", L220=""), "[Aviso] Género no capturado ()", IF(ISNA(MATCH(L220, Criterios!$B$123:$B$127, 0)), "Género no válido", "")), IF(OR(N220="", N220=""), "[Aviso] Temporada no capturada ()", IF(ISNA(MATCH(N220, Criterios!$C$123:$C$128, 0)), "Temporada no válida", "")), IF(OR(O220="", O220=""), "[Aviso] Ciclo de vida no capturado ()", IF(ISNA(MATCH(O220, Criterios!$D$123:$D$124, 0)), "Ciclo de vida no válido", ""))))</f>
        <v/>
      </c>
      <c r="AC220" s="56" t="n"/>
      <c r="AD220" s="51" t="n">
        <v>100</v>
      </c>
      <c r="AE220" s="156" t="inlineStr">
        <is>
          <t>REFLO ALMACEN (47); CONSIGNA REFLO (3)</t>
        </is>
      </c>
      <c r="AF220" s="51" t="n">
        <v>100</v>
      </c>
      <c r="AG220" s="156" t="inlineStr">
        <is>
          <t>Nuevo – NetSuite con existencia</t>
        </is>
      </c>
      <c r="AH220" s="156" t="inlineStr">
        <is>
          <t>Composición: poliéster reciclado (validar % en etiqueta); Físico total NetSuite 100 ≠ suma por ubicación 50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20" s="156" t="inlineStr">
        <is>
          <t>No</t>
        </is>
      </c>
      <c r="AJ220" s="156" t="n"/>
      <c r="AK220" s="155" t="inlineStr">
        <is>
          <t>G1522ProductosTodosloscamposSandboxResults894.xlsx: fila 59076 [Y]; G1522_Extraccion_Articulos_NetSuite_2026-09-30.xlsx: fila 39586 [Y]</t>
        </is>
      </c>
      <c r="AL220" s="58" t="n"/>
      <c r="AM220" s="58" t="n">
        <v>688.7931033999999</v>
      </c>
      <c r="AN220" s="155" t="n"/>
      <c r="AO220" s="59" t="n"/>
      <c r="AP220" s="59" t="n"/>
      <c r="AQ220" s="59" t="n"/>
      <c r="AR220" s="155" t="n"/>
    </row>
    <row r="221">
      <c r="A221" s="50" t="inlineStr">
        <is>
          <t>5056658708039</t>
        </is>
      </c>
      <c r="B221" s="51" t="inlineStr">
        <is>
          <t>84418</t>
        </is>
      </c>
      <c r="C221" s="156" t="inlineStr">
        <is>
          <t>REFLO</t>
        </is>
      </c>
      <c r="D221" s="156" t="inlineStr">
        <is>
          <t>RU20821030</t>
        </is>
      </c>
      <c r="E221" s="156" t="inlineStr">
        <is>
          <t>RU20821030-OS</t>
        </is>
      </c>
      <c r="F221" s="156" t="inlineStr">
        <is>
          <t>Talla única</t>
        </is>
      </c>
      <c r="G221" s="156" t="inlineStr">
        <is>
          <t>One Size</t>
        </is>
      </c>
      <c r="H221" s="156" t="inlineStr">
        <is>
          <t>REFLO</t>
        </is>
      </c>
      <c r="I221" s="156" t="inlineStr">
        <is>
          <t>Gorra REFLO Towy Grey</t>
        </is>
      </c>
      <c r="J221" s="156" t="inlineStr">
        <is>
          <t>Accesorios</t>
        </is>
      </c>
      <c r="K221" s="156" t="inlineStr">
        <is>
          <t>Gorras</t>
        </is>
      </c>
      <c r="L221" s="156" t="inlineStr">
        <is>
          <t>Unisex</t>
        </is>
      </c>
      <c r="M221" s="156" t="inlineStr">
        <is>
          <t>REFLO</t>
        </is>
      </c>
      <c r="N221" s="156" t="n"/>
      <c r="O221" s="156" t="n"/>
      <c r="P221" s="156" t="inlineStr">
        <is>
          <t>Gris</t>
        </is>
      </c>
      <c r="Q221" s="156" t="n"/>
      <c r="R221" s="156" t="n"/>
      <c r="S221" s="156" t="inlineStr">
        <is>
          <t>Poliéster reciclado</t>
        </is>
      </c>
      <c r="T221" s="156" t="inlineStr">
        <is>
          <t>Gorra de golf REFLO modelo Towy en color Grey, confeccionado con materiales reciclados. Estilo RU20821030.</t>
        </is>
      </c>
      <c r="U221" s="156" t="n"/>
      <c r="V221" s="156" t="inlineStr">
        <is>
          <t>PZS</t>
        </is>
      </c>
      <c r="W221" s="51" t="inlineStr">
        <is>
          <t>53102516</t>
        </is>
      </c>
      <c r="X221" s="156" t="n"/>
      <c r="Y221" s="54" t="n">
        <v>11.05</v>
      </c>
      <c r="Z221" s="54" t="n">
        <v>688.7931033999999</v>
      </c>
      <c r="AA221" s="55">
        <f>IF(AND(A221="", B221="", E221=""), "", IF(AB221="", "Válido", IF((LEN(AB221)-LEN(SUBSTITUTE(AB221,"; ","")))/2+1&gt;(LEN(AB221)-LEN(SUBSTITUTE(AB221,"[Aviso]","")))/7, "Con Incidencias", "Válido")))</f>
        <v/>
      </c>
      <c r="AB221" s="56">
        <f>IF(AND(A221="", B221="", E221=""), "", TEXTJOIN("; ", TRUE, IF(OR(TRIM(A221&amp;"")="", ISNUMBER(SEARCH("FALTA", A221))), "UPC faltante/inválido", ""), IF(AND(A221&lt;&gt;"", IFERROR(_xlfn.XMATCH(A221,$A$2:$A$653,0,1)&lt;&gt;_xlfn.XMATCH(A221,$A$2:$A$653,0,-1),FALSE)), "Código de barras duplicado", ""), IF(AND(E221&lt;&gt;"", COUNTIF($E$2:$E$653, E221)&gt;1), "SKU duplicado", ""), IF(OR(J221="", J221=""), "[Aviso] División no capturada ()", IF(ISNA(MATCH(J221, Criterios!$A$123:$A$126, 0)), "División no válida", "")), IF(OR(K221="", K221=""), "[Aviso] Categoría no capturada ()", IF(ISNA(MATCH(K221, Criterios!$A$81:$A$120, 0)), "Categoría no válida", IF(AND(J221&lt;&gt;"", J221&lt;&gt;"", J221&lt;&gt;VLOOKUP(K221, Criterios!$A$81:$B$120, 2, FALSE)), "División no coincide con Categoría", ""))), IF(OR(L221="", L221=""), "[Aviso] Género no capturado ()", IF(ISNA(MATCH(L221, Criterios!$B$123:$B$127, 0)), "Género no válido", "")), IF(OR(N221="", N221=""), "[Aviso] Temporada no capturada ()", IF(ISNA(MATCH(N221, Criterios!$C$123:$C$128, 0)), "Temporada no válida", "")), IF(OR(O221="", O221=""), "[Aviso] Ciclo de vida no capturado ()", IF(ISNA(MATCH(O221, Criterios!$D$123:$D$124, 0)), "Ciclo de vida no válido", ""))))</f>
        <v/>
      </c>
      <c r="AC221" s="56" t="n"/>
      <c r="AD221" s="51" t="n">
        <v>100</v>
      </c>
      <c r="AE221" s="156" t="inlineStr">
        <is>
          <t>REFLO ALMACEN (47); CONSIGNA REFLO (3)</t>
        </is>
      </c>
      <c r="AF221" s="51" t="n">
        <v>100</v>
      </c>
      <c r="AG221" s="156" t="inlineStr">
        <is>
          <t>Nuevo – NetSuite con existencia</t>
        </is>
      </c>
      <c r="AH221" s="156" t="inlineStr">
        <is>
          <t>Composición: poliéster reciclado (validar % en etiqueta); Físico total NetSuite 100 ≠ suma por ubicación 50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21" s="156" t="inlineStr">
        <is>
          <t>No</t>
        </is>
      </c>
      <c r="AJ221" s="156" t="n"/>
      <c r="AK221" s="155" t="inlineStr">
        <is>
          <t>G1522ProductosTodosloscamposSandboxResults894.xlsx: fila 59063 [Y]; G1522_Extraccion_Articulos_NetSuite_2026-09-30.xlsx: fila 39587 [Y]</t>
        </is>
      </c>
      <c r="AL221" s="58" t="n"/>
      <c r="AM221" s="58" t="n">
        <v>688.7931033999999</v>
      </c>
      <c r="AN221" s="155" t="n"/>
      <c r="AO221" s="59" t="n"/>
      <c r="AP221" s="59" t="n"/>
      <c r="AQ221" s="59" t="n"/>
      <c r="AR221" s="155" t="n"/>
    </row>
    <row r="222">
      <c r="A222" s="50" t="inlineStr">
        <is>
          <t>5056658708046</t>
        </is>
      </c>
      <c r="B222" s="51" t="inlineStr">
        <is>
          <t>79180</t>
        </is>
      </c>
      <c r="C222" s="156" t="inlineStr">
        <is>
          <t>REFLO</t>
        </is>
      </c>
      <c r="D222" s="156" t="inlineStr">
        <is>
          <t>RU20822030</t>
        </is>
      </c>
      <c r="E222" s="156" t="inlineStr">
        <is>
          <t>RU20822030-OS</t>
        </is>
      </c>
      <c r="F222" s="156" t="inlineStr">
        <is>
          <t>Talla única</t>
        </is>
      </c>
      <c r="G222" s="156" t="inlineStr">
        <is>
          <t>One Size</t>
        </is>
      </c>
      <c r="H222" s="156" t="inlineStr">
        <is>
          <t>REFLO</t>
        </is>
      </c>
      <c r="I222" s="156" t="inlineStr">
        <is>
          <t>Gorra REFLO Adda Grey</t>
        </is>
      </c>
      <c r="J222" s="156" t="inlineStr">
        <is>
          <t>Accesorios</t>
        </is>
      </c>
      <c r="K222" s="156" t="inlineStr">
        <is>
          <t>Gorras</t>
        </is>
      </c>
      <c r="L222" s="156" t="inlineStr">
        <is>
          <t>Unisex</t>
        </is>
      </c>
      <c r="M222" s="156" t="inlineStr">
        <is>
          <t>REFLO</t>
        </is>
      </c>
      <c r="N222" s="156" t="n"/>
      <c r="O222" s="156" t="n"/>
      <c r="P222" s="156" t="inlineStr">
        <is>
          <t>Gris</t>
        </is>
      </c>
      <c r="Q222" s="156" t="n"/>
      <c r="R222" s="156" t="n"/>
      <c r="S222" s="156" t="inlineStr">
        <is>
          <t>Poliéster reciclado</t>
        </is>
      </c>
      <c r="T222" s="156" t="inlineStr">
        <is>
          <t>Gorra de golf REFLO modelo Adda en color Grey, confeccionado con materiales reciclados. Estilo RU20822030.</t>
        </is>
      </c>
      <c r="U222" s="156" t="n"/>
      <c r="V222" s="156" t="inlineStr">
        <is>
          <t>PZS</t>
        </is>
      </c>
      <c r="W222" s="51" t="inlineStr">
        <is>
          <t>53102516</t>
        </is>
      </c>
      <c r="X222" s="156" t="inlineStr">
        <is>
          <t>https://i.ibb.co/X3PTp67/RU20822030.jpg</t>
        </is>
      </c>
      <c r="Y222" s="54" t="n">
        <v>11.05</v>
      </c>
      <c r="Z222" s="54" t="n">
        <v>799</v>
      </c>
      <c r="AA222" s="55">
        <f>IF(AND(A222="", B222="", E222=""), "", IF(AB222="", "Válido", IF((LEN(AB222)-LEN(SUBSTITUTE(AB222,"; ","")))/2+1&gt;(LEN(AB222)-LEN(SUBSTITUTE(AB222,"[Aviso]","")))/7, "Con Incidencias", "Válido")))</f>
        <v/>
      </c>
      <c r="AB222" s="56">
        <f>IF(AND(A222="", B222="", E222=""), "", TEXTJOIN("; ", TRUE, IF(OR(TRIM(A222&amp;"")="", ISNUMBER(SEARCH("FALTA", A222))), "UPC faltante/inválido", ""), IF(AND(A222&lt;&gt;"", IFERROR(_xlfn.XMATCH(A222,$A$2:$A$653,0,1)&lt;&gt;_xlfn.XMATCH(A222,$A$2:$A$653,0,-1),FALSE)), "Código de barras duplicado", ""), IF(AND(E222&lt;&gt;"", COUNTIF($E$2:$E$653, E222)&gt;1), "SKU duplicado", ""), IF(OR(J222="", J222=""), "[Aviso] División no capturada ()", IF(ISNA(MATCH(J222, Criterios!$A$123:$A$126, 0)), "División no válida", "")), IF(OR(K222="", K222=""), "[Aviso] Categoría no capturada ()", IF(ISNA(MATCH(K222, Criterios!$A$81:$A$120, 0)), "Categoría no válida", IF(AND(J222&lt;&gt;"", J222&lt;&gt;"", J222&lt;&gt;VLOOKUP(K222, Criterios!$A$81:$B$120, 2, FALSE)), "División no coincide con Categoría", ""))), IF(OR(L222="", L222=""), "[Aviso] Género no capturado ()", IF(ISNA(MATCH(L222, Criterios!$B$123:$B$127, 0)), "Género no válido", "")), IF(OR(N222="", N222=""), "[Aviso] Temporada no capturada ()", IF(ISNA(MATCH(N222, Criterios!$C$123:$C$128, 0)), "Temporada no válida", "")), IF(OR(O222="", O222=""), "[Aviso] Ciclo de vida no capturado ()", IF(ISNA(MATCH(O222, Criterios!$D$123:$D$124, 0)), "Ciclo de vida no válido", ""))))</f>
        <v/>
      </c>
      <c r="AC222" s="56" t="n"/>
      <c r="AD222" s="51" t="n">
        <v>145</v>
      </c>
      <c r="AE222" s="156" t="inlineStr">
        <is>
          <t>REFLO ALMACEN (72); MUESTRAS REFLO (1)</t>
        </is>
      </c>
      <c r="AF222" s="51" t="n">
        <v>144</v>
      </c>
      <c r="AG222" s="156" t="inlineStr">
        <is>
          <t>Nuevo – NetSuite con existencia</t>
        </is>
      </c>
      <c r="AH222" s="156" t="inlineStr">
        <is>
          <t>Composición: poliéster reciclado (validar % en etiqueta); Físico total NetSuite 145 ≠ suma por ubicación 73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22" s="156" t="inlineStr">
        <is>
          <t>No</t>
        </is>
      </c>
      <c r="AJ222" s="156" t="n"/>
      <c r="AK222" s="155" t="inlineStr">
        <is>
          <t>G1522ProductosTodosloscamposSandboxResults894.xlsx: fila 43893 [X,Y]; G1522_Extraccion_Articulos_NetSuite_2026-09-30.xlsx: fila 37513 [Z]</t>
        </is>
      </c>
      <c r="AL222" s="58" t="n">
        <v>11.05</v>
      </c>
      <c r="AM222" s="58" t="n"/>
      <c r="AN222" s="155" t="n"/>
      <c r="AO222" s="59" t="n"/>
      <c r="AP222" s="59" t="n"/>
      <c r="AQ222" s="59" t="n"/>
      <c r="AR222" s="155" t="n"/>
    </row>
    <row r="223">
      <c r="A223" s="50" t="inlineStr">
        <is>
          <t>5060923780026</t>
        </is>
      </c>
      <c r="B223" s="51" t="inlineStr">
        <is>
          <t>79111</t>
        </is>
      </c>
      <c r="C223" s="156" t="inlineStr">
        <is>
          <t>REFLO</t>
        </is>
      </c>
      <c r="D223" s="156" t="inlineStr">
        <is>
          <t>SARGBLA</t>
        </is>
      </c>
      <c r="E223" s="156" t="inlineStr">
        <is>
          <t>SARGBLA-M</t>
        </is>
      </c>
      <c r="F223" s="156" t="inlineStr">
        <is>
          <t>M</t>
        </is>
      </c>
      <c r="G223" s="156" t="inlineStr">
        <is>
          <t>M</t>
        </is>
      </c>
      <c r="H223" s="156" t="inlineStr">
        <is>
          <t>REFLO</t>
        </is>
      </c>
      <c r="I223" s="156" t="inlineStr">
        <is>
          <t>Chaleco REFLO Sargasso Black</t>
        </is>
      </c>
      <c r="J223" s="156" t="inlineStr">
        <is>
          <t>Ropa</t>
        </is>
      </c>
      <c r="K223" s="156" t="inlineStr">
        <is>
          <t>Chalecos</t>
        </is>
      </c>
      <c r="L223" s="156" t="n"/>
      <c r="M223" s="156" t="inlineStr">
        <is>
          <t>REFLO</t>
        </is>
      </c>
      <c r="N223" s="156" t="n"/>
      <c r="O223" s="156" t="n"/>
      <c r="P223" s="156" t="inlineStr">
        <is>
          <t>Negro</t>
        </is>
      </c>
      <c r="Q223" s="156" t="n"/>
      <c r="R223" s="156" t="n"/>
      <c r="S223" s="156" t="inlineStr">
        <is>
          <t>Poliéster reciclado</t>
        </is>
      </c>
      <c r="T223" s="156" t="inlineStr">
        <is>
          <t>Chaleco de golf REFLO modelo Sargasso en color Black, confeccionado con materiales reciclados. Estilo SARGBLA.</t>
        </is>
      </c>
      <c r="U223" s="156" t="n"/>
      <c r="V223" s="156" t="inlineStr">
        <is>
          <t>PZS</t>
        </is>
      </c>
      <c r="W223" s="51" t="inlineStr">
        <is>
          <t>53101800</t>
        </is>
      </c>
      <c r="X223" s="156" t="inlineStr">
        <is>
          <t>https://i.ibb.co/47CLzdF/SARGBLA.jpg</t>
        </is>
      </c>
      <c r="Y223" s="54" t="n">
        <v>14.3</v>
      </c>
      <c r="Z223" s="54" t="n">
        <v>1049</v>
      </c>
      <c r="AA223" s="55">
        <f>IF(AND(A223="", B223="", E223=""), "", IF(AB223="", "Válido", IF((LEN(AB223)-LEN(SUBSTITUTE(AB223,"; ","")))/2+1&gt;(LEN(AB223)-LEN(SUBSTITUTE(AB223,"[Aviso]","")))/7, "Con Incidencias", "Válido")))</f>
        <v/>
      </c>
      <c r="AB223" s="56">
        <f>IF(AND(A223="", B223="", E223=""), "", TEXTJOIN("; ", TRUE, IF(OR(TRIM(A223&amp;"")="", ISNUMBER(SEARCH("FALTA", A223))), "UPC faltante/inválido", ""), IF(AND(A223&lt;&gt;"", IFERROR(_xlfn.XMATCH(A223,$A$2:$A$653,0,1)&lt;&gt;_xlfn.XMATCH(A223,$A$2:$A$653,0,-1),FALSE)), "Código de barras duplicado", ""), IF(AND(E223&lt;&gt;"", COUNTIF($E$2:$E$653, E223)&gt;1), "SKU duplicado", ""), IF(OR(J223="", J223=""), "[Aviso] División no capturada ()", IF(ISNA(MATCH(J223, Criterios!$A$123:$A$126, 0)), "División no válida", "")), IF(OR(K223="", K223=""), "[Aviso] Categoría no capturada ()", IF(ISNA(MATCH(K223, Criterios!$A$81:$A$120, 0)), "Categoría no válida", IF(AND(J223&lt;&gt;"", J223&lt;&gt;"", J223&lt;&gt;VLOOKUP(K223, Criterios!$A$81:$B$120, 2, FALSE)), "División no coincide con Categoría", ""))), IF(OR(L223="", L223=""), "[Aviso] Género no capturado ()", IF(ISNA(MATCH(L223, Criterios!$B$123:$B$127, 0)), "Género no válido", "")), IF(OR(N223="", N223=""), "[Aviso] Temporada no capturada ()", IF(ISNA(MATCH(N223, Criterios!$C$123:$C$128, 0)), "Temporada no válida", "")), IF(OR(O223="", O223=""), "[Aviso] Ciclo de vida no capturado ()", IF(ISNA(MATCH(O223, Criterios!$D$123:$D$124, 0)), "Ciclo de vida no válido", ""))))</f>
        <v/>
      </c>
      <c r="AC223" s="56" t="n"/>
      <c r="AD223" s="51" t="n">
        <v>4</v>
      </c>
      <c r="AE223" s="156" t="inlineStr">
        <is>
          <t>REFLO ALMACEN (3); CONSIGNA REFLO (1)</t>
        </is>
      </c>
      <c r="AF223" s="51" t="n">
        <v>4</v>
      </c>
      <c r="AG223" s="156" t="inlineStr">
        <is>
          <t>Nuevo – NetSuite con existencia</t>
        </is>
      </c>
      <c r="AH223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23" s="156" t="inlineStr">
        <is>
          <t>No</t>
        </is>
      </c>
      <c r="AJ223" s="156" t="n"/>
      <c r="AK223" s="155" t="inlineStr">
        <is>
          <t>G1522ProductosTodosloscamposSandboxResults894.xlsx: fila 58667 [X,Y]; G1522_Extraccion_Articulos_NetSuite_2026-09-30.xlsx: fila 37495 [Z]</t>
        </is>
      </c>
      <c r="AL223" s="58" t="n">
        <v>14.3</v>
      </c>
      <c r="AM223" s="58" t="n"/>
      <c r="AN223" s="155" t="n"/>
      <c r="AO223" s="59" t="n"/>
      <c r="AP223" s="59" t="n"/>
      <c r="AQ223" s="59" t="n"/>
      <c r="AR223" s="155" t="n"/>
    </row>
    <row r="224">
      <c r="A224" s="50" t="inlineStr">
        <is>
          <t>5060923780033</t>
        </is>
      </c>
      <c r="B224" s="51" t="inlineStr">
        <is>
          <t>79112</t>
        </is>
      </c>
      <c r="C224" s="156" t="inlineStr">
        <is>
          <t>REFLO</t>
        </is>
      </c>
      <c r="D224" s="156" t="inlineStr">
        <is>
          <t>SARGBLA</t>
        </is>
      </c>
      <c r="E224" s="156" t="inlineStr">
        <is>
          <t>SARGBLA-L</t>
        </is>
      </c>
      <c r="F224" s="156" t="inlineStr">
        <is>
          <t>L</t>
        </is>
      </c>
      <c r="G224" s="156" t="inlineStr">
        <is>
          <t>L</t>
        </is>
      </c>
      <c r="H224" s="156" t="inlineStr">
        <is>
          <t>REFLO</t>
        </is>
      </c>
      <c r="I224" s="156" t="inlineStr">
        <is>
          <t>Chaleco REFLO Sargasso Black</t>
        </is>
      </c>
      <c r="J224" s="156" t="inlineStr">
        <is>
          <t>Ropa</t>
        </is>
      </c>
      <c r="K224" s="156" t="inlineStr">
        <is>
          <t>Chalecos</t>
        </is>
      </c>
      <c r="L224" s="156" t="n"/>
      <c r="M224" s="156" t="inlineStr">
        <is>
          <t>REFLO</t>
        </is>
      </c>
      <c r="N224" s="156" t="n"/>
      <c r="O224" s="156" t="n"/>
      <c r="P224" s="156" t="inlineStr">
        <is>
          <t>Negro</t>
        </is>
      </c>
      <c r="Q224" s="156" t="n"/>
      <c r="R224" s="156" t="n"/>
      <c r="S224" s="156" t="inlineStr">
        <is>
          <t>Poliéster reciclado</t>
        </is>
      </c>
      <c r="T224" s="156" t="inlineStr">
        <is>
          <t>Chaleco de golf REFLO modelo Sargasso en color Black, confeccionado con materiales reciclados. Estilo SARGBLA.</t>
        </is>
      </c>
      <c r="U224" s="156" t="n"/>
      <c r="V224" s="156" t="inlineStr">
        <is>
          <t>PZS</t>
        </is>
      </c>
      <c r="W224" s="51" t="inlineStr">
        <is>
          <t>53101800</t>
        </is>
      </c>
      <c r="X224" s="156" t="inlineStr">
        <is>
          <t>https://i.ibb.co/47CLzdF/SARGBLA.jpg</t>
        </is>
      </c>
      <c r="Y224" s="54" t="n">
        <v>14.3</v>
      </c>
      <c r="Z224" s="54" t="n">
        <v>1049</v>
      </c>
      <c r="AA224" s="55">
        <f>IF(AND(A224="", B224="", E224=""), "", IF(AB224="", "Válido", IF((LEN(AB224)-LEN(SUBSTITUTE(AB224,"; ","")))/2+1&gt;(LEN(AB224)-LEN(SUBSTITUTE(AB224,"[Aviso]","")))/7, "Con Incidencias", "Válido")))</f>
        <v/>
      </c>
      <c r="AB224" s="56">
        <f>IF(AND(A224="", B224="", E224=""), "", TEXTJOIN("; ", TRUE, IF(OR(TRIM(A224&amp;"")="", ISNUMBER(SEARCH("FALTA", A224))), "UPC faltante/inválido", ""), IF(AND(A224&lt;&gt;"", IFERROR(_xlfn.XMATCH(A224,$A$2:$A$653,0,1)&lt;&gt;_xlfn.XMATCH(A224,$A$2:$A$653,0,-1),FALSE)), "Código de barras duplicado", ""), IF(AND(E224&lt;&gt;"", COUNTIF($E$2:$E$653, E224)&gt;1), "SKU duplicado", ""), IF(OR(J224="", J224=""), "[Aviso] División no capturada ()", IF(ISNA(MATCH(J224, Criterios!$A$123:$A$126, 0)), "División no válida", "")), IF(OR(K224="", K224=""), "[Aviso] Categoría no capturada ()", IF(ISNA(MATCH(K224, Criterios!$A$81:$A$120, 0)), "Categoría no válida", IF(AND(J224&lt;&gt;"", J224&lt;&gt;"", J224&lt;&gt;VLOOKUP(K224, Criterios!$A$81:$B$120, 2, FALSE)), "División no coincide con Categoría", ""))), IF(OR(L224="", L224=""), "[Aviso] Género no capturado ()", IF(ISNA(MATCH(L224, Criterios!$B$123:$B$127, 0)), "Género no válido", "")), IF(OR(N224="", N224=""), "[Aviso] Temporada no capturada ()", IF(ISNA(MATCH(N224, Criterios!$C$123:$C$128, 0)), "Temporada no válida", "")), IF(OR(O224="", O224=""), "[Aviso] Ciclo de vida no capturado ()", IF(ISNA(MATCH(O224, Criterios!$D$123:$D$124, 0)), "Ciclo de vida no válido", ""))))</f>
        <v/>
      </c>
      <c r="AC224" s="56" t="n"/>
      <c r="AD224" s="51" t="n">
        <v>5</v>
      </c>
      <c r="AE224" s="156" t="inlineStr">
        <is>
          <t>REFLO ALMACEN (3); MUESTRAS REFLO (1)</t>
        </is>
      </c>
      <c r="AF224" s="51" t="n">
        <v>4</v>
      </c>
      <c r="AG224" s="156" t="inlineStr">
        <is>
          <t>Nuevo – NetSuite con existencia</t>
        </is>
      </c>
      <c r="AH224" s="156" t="inlineStr">
        <is>
          <t>Género no indicado en NetSuite; Composición: poliéster reciclado (validar % en etiqueta); Físico total NetSuite 5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24" s="156" t="inlineStr">
        <is>
          <t>No</t>
        </is>
      </c>
      <c r="AJ224" s="156" t="n"/>
      <c r="AK224" s="155" t="inlineStr">
        <is>
          <t>G1522ProductosTodosloscamposSandboxResults894.xlsx: fila 58668 [X,Y]; G1522_Extraccion_Articulos_NetSuite_2026-09-30.xlsx: fila 37496 [Z]</t>
        </is>
      </c>
      <c r="AL224" s="58" t="n">
        <v>14.3</v>
      </c>
      <c r="AM224" s="58" t="n"/>
      <c r="AN224" s="155" t="n"/>
      <c r="AO224" s="59" t="n"/>
      <c r="AP224" s="59" t="n"/>
      <c r="AQ224" s="59" t="n"/>
      <c r="AR224" s="155" t="n"/>
    </row>
    <row r="225">
      <c r="A225" s="50" t="inlineStr">
        <is>
          <t>5060923780040</t>
        </is>
      </c>
      <c r="B225" s="51" t="inlineStr">
        <is>
          <t>79113</t>
        </is>
      </c>
      <c r="C225" s="156" t="inlineStr">
        <is>
          <t>REFLO</t>
        </is>
      </c>
      <c r="D225" s="156" t="inlineStr">
        <is>
          <t>SARGBLA</t>
        </is>
      </c>
      <c r="E225" s="156" t="inlineStr">
        <is>
          <t>SARGBLA-XL</t>
        </is>
      </c>
      <c r="F225" s="156" t="inlineStr">
        <is>
          <t>XL</t>
        </is>
      </c>
      <c r="G225" s="156" t="inlineStr">
        <is>
          <t>XL</t>
        </is>
      </c>
      <c r="H225" s="156" t="inlineStr">
        <is>
          <t>REFLO</t>
        </is>
      </c>
      <c r="I225" s="156" t="inlineStr">
        <is>
          <t>Chaleco REFLO Sargasso Black</t>
        </is>
      </c>
      <c r="J225" s="156" t="inlineStr">
        <is>
          <t>Ropa</t>
        </is>
      </c>
      <c r="K225" s="156" t="inlineStr">
        <is>
          <t>Chalecos</t>
        </is>
      </c>
      <c r="L225" s="156" t="n"/>
      <c r="M225" s="156" t="inlineStr">
        <is>
          <t>REFLO</t>
        </is>
      </c>
      <c r="N225" s="156" t="n"/>
      <c r="O225" s="156" t="n"/>
      <c r="P225" s="156" t="inlineStr">
        <is>
          <t>Negro</t>
        </is>
      </c>
      <c r="Q225" s="156" t="n"/>
      <c r="R225" s="156" t="n"/>
      <c r="S225" s="156" t="inlineStr">
        <is>
          <t>Poliéster reciclado</t>
        </is>
      </c>
      <c r="T225" s="156" t="inlineStr">
        <is>
          <t>Chaleco de golf REFLO modelo Sargasso en color Black, confeccionado con materiales reciclados. Estilo SARGBLA.</t>
        </is>
      </c>
      <c r="U225" s="156" t="n"/>
      <c r="V225" s="156" t="inlineStr">
        <is>
          <t>PZS</t>
        </is>
      </c>
      <c r="W225" s="51" t="inlineStr">
        <is>
          <t>53101800</t>
        </is>
      </c>
      <c r="X225" s="156" t="inlineStr">
        <is>
          <t>https://i.ibb.co/47CLzdF/SARGBLA.jpg</t>
        </is>
      </c>
      <c r="Y225" s="54" t="n">
        <v>14.3</v>
      </c>
      <c r="Z225" s="54" t="n">
        <v>1049</v>
      </c>
      <c r="AA225" s="55">
        <f>IF(AND(A225="", B225="", E225=""), "", IF(AB225="", "Válido", IF((LEN(AB225)-LEN(SUBSTITUTE(AB225,"; ","")))/2+1&gt;(LEN(AB225)-LEN(SUBSTITUTE(AB225,"[Aviso]","")))/7, "Con Incidencias", "Válido")))</f>
        <v/>
      </c>
      <c r="AB225" s="56">
        <f>IF(AND(A225="", B225="", E225=""), "", TEXTJOIN("; ", TRUE, IF(OR(TRIM(A225&amp;"")="", ISNUMBER(SEARCH("FALTA", A225))), "UPC faltante/inválido", ""), IF(AND(A225&lt;&gt;"", IFERROR(_xlfn.XMATCH(A225,$A$2:$A$653,0,1)&lt;&gt;_xlfn.XMATCH(A225,$A$2:$A$653,0,-1),FALSE)), "Código de barras duplicado", ""), IF(AND(E225&lt;&gt;"", COUNTIF($E$2:$E$653, E225)&gt;1), "SKU duplicado", ""), IF(OR(J225="", J225=""), "[Aviso] División no capturada ()", IF(ISNA(MATCH(J225, Criterios!$A$123:$A$126, 0)), "División no válida", "")), IF(OR(K225="", K225=""), "[Aviso] Categoría no capturada ()", IF(ISNA(MATCH(K225, Criterios!$A$81:$A$120, 0)), "Categoría no válida", IF(AND(J225&lt;&gt;"", J225&lt;&gt;"", J225&lt;&gt;VLOOKUP(K225, Criterios!$A$81:$B$120, 2, FALSE)), "División no coincide con Categoría", ""))), IF(OR(L225="", L225=""), "[Aviso] Género no capturado ()", IF(ISNA(MATCH(L225, Criterios!$B$123:$B$127, 0)), "Género no válido", "")), IF(OR(N225="", N225=""), "[Aviso] Temporada no capturada ()", IF(ISNA(MATCH(N225, Criterios!$C$123:$C$128, 0)), "Temporada no válida", "")), IF(OR(O225="", O225=""), "[Aviso] Ciclo de vida no capturado ()", IF(ISNA(MATCH(O225, Criterios!$D$123:$D$124, 0)), "Ciclo de vida no válido", ""))))</f>
        <v/>
      </c>
      <c r="AC225" s="56" t="n"/>
      <c r="AD225" s="51" t="n">
        <v>8</v>
      </c>
      <c r="AE225" s="156" t="inlineStr">
        <is>
          <t>REFLO ALMACEN (4)</t>
        </is>
      </c>
      <c r="AF225" s="51" t="n">
        <v>8</v>
      </c>
      <c r="AG225" s="156" t="inlineStr">
        <is>
          <t>Nuevo – NetSuite con existencia</t>
        </is>
      </c>
      <c r="AH225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25" s="156" t="inlineStr">
        <is>
          <t>No</t>
        </is>
      </c>
      <c r="AJ225" s="156" t="n"/>
      <c r="AK225" s="155" t="inlineStr">
        <is>
          <t>G1522ProductosTodosloscamposSandboxResults894.xlsx: fila 58669 [X,Y]; G1522_Extraccion_Articulos_NetSuite_2026-09-30.xlsx: fila 37497 [Z]</t>
        </is>
      </c>
      <c r="AL225" s="58" t="n">
        <v>14.3</v>
      </c>
      <c r="AM225" s="58" t="n"/>
      <c r="AN225" s="155" t="n"/>
      <c r="AO225" s="59" t="n"/>
      <c r="AP225" s="59" t="n"/>
      <c r="AQ225" s="59" t="n"/>
      <c r="AR225" s="155" t="n"/>
    </row>
    <row r="226">
      <c r="A226" s="50" t="inlineStr">
        <is>
          <t>5060923780057</t>
        </is>
      </c>
      <c r="B226" s="51" t="inlineStr">
        <is>
          <t>79114</t>
        </is>
      </c>
      <c r="C226" s="156" t="inlineStr">
        <is>
          <t>REFLO</t>
        </is>
      </c>
      <c r="D226" s="156" t="inlineStr">
        <is>
          <t>SARGBLA</t>
        </is>
      </c>
      <c r="E226" s="156" t="inlineStr">
        <is>
          <t>SARGBLA-XXL</t>
        </is>
      </c>
      <c r="F226" s="156" t="inlineStr">
        <is>
          <t>XXL</t>
        </is>
      </c>
      <c r="G226" s="156" t="inlineStr">
        <is>
          <t>XXL</t>
        </is>
      </c>
      <c r="H226" s="156" t="inlineStr">
        <is>
          <t>REFLO</t>
        </is>
      </c>
      <c r="I226" s="156" t="inlineStr">
        <is>
          <t>Chaleco REFLO Sargasso Black</t>
        </is>
      </c>
      <c r="J226" s="156" t="inlineStr">
        <is>
          <t>Ropa</t>
        </is>
      </c>
      <c r="K226" s="156" t="inlineStr">
        <is>
          <t>Chalecos</t>
        </is>
      </c>
      <c r="L226" s="156" t="n"/>
      <c r="M226" s="156" t="inlineStr">
        <is>
          <t>REFLO</t>
        </is>
      </c>
      <c r="N226" s="156" t="n"/>
      <c r="O226" s="156" t="n"/>
      <c r="P226" s="156" t="inlineStr">
        <is>
          <t>Negro</t>
        </is>
      </c>
      <c r="Q226" s="156" t="n"/>
      <c r="R226" s="156" t="n"/>
      <c r="S226" s="156" t="inlineStr">
        <is>
          <t>Poliéster reciclado</t>
        </is>
      </c>
      <c r="T226" s="156" t="inlineStr">
        <is>
          <t>Chaleco de golf REFLO modelo Sargasso en color Black, confeccionado con materiales reciclados. Estilo SARGBLA.</t>
        </is>
      </c>
      <c r="U226" s="156" t="n"/>
      <c r="V226" s="156" t="inlineStr">
        <is>
          <t>PZS</t>
        </is>
      </c>
      <c r="W226" s="51" t="inlineStr">
        <is>
          <t>53101800</t>
        </is>
      </c>
      <c r="X226" s="156" t="inlineStr">
        <is>
          <t>https://i.ibb.co/47CLzdF/SARGBLA.jpg</t>
        </is>
      </c>
      <c r="Y226" s="54" t="n">
        <v>14.3</v>
      </c>
      <c r="Z226" s="54" t="n">
        <v>1049</v>
      </c>
      <c r="AA226" s="55">
        <f>IF(AND(A226="", B226="", E226=""), "", IF(AB226="", "Válido", IF((LEN(AB226)-LEN(SUBSTITUTE(AB226,"; ","")))/2+1&gt;(LEN(AB226)-LEN(SUBSTITUTE(AB226,"[Aviso]","")))/7, "Con Incidencias", "Válido")))</f>
        <v/>
      </c>
      <c r="AB226" s="56">
        <f>IF(AND(A226="", B226="", E226=""), "", TEXTJOIN("; ", TRUE, IF(OR(TRIM(A226&amp;"")="", ISNUMBER(SEARCH("FALTA", A226))), "UPC faltante/inválido", ""), IF(AND(A226&lt;&gt;"", IFERROR(_xlfn.XMATCH(A226,$A$2:$A$653,0,1)&lt;&gt;_xlfn.XMATCH(A226,$A$2:$A$653,0,-1),FALSE)), "Código de barras duplicado", ""), IF(AND(E226&lt;&gt;"", COUNTIF($E$2:$E$653, E226)&gt;1), "SKU duplicado", ""), IF(OR(J226="", J226=""), "[Aviso] División no capturada ()", IF(ISNA(MATCH(J226, Criterios!$A$123:$A$126, 0)), "División no válida", "")), IF(OR(K226="", K226=""), "[Aviso] Categoría no capturada ()", IF(ISNA(MATCH(K226, Criterios!$A$81:$A$120, 0)), "Categoría no válida", IF(AND(J226&lt;&gt;"", J226&lt;&gt;"", J226&lt;&gt;VLOOKUP(K226, Criterios!$A$81:$B$120, 2, FALSE)), "División no coincide con Categoría", ""))), IF(OR(L226="", L226=""), "[Aviso] Género no capturado ()", IF(ISNA(MATCH(L226, Criterios!$B$123:$B$127, 0)), "Género no válido", "")), IF(OR(N226="", N226=""), "[Aviso] Temporada no capturada ()", IF(ISNA(MATCH(N226, Criterios!$C$123:$C$128, 0)), "Temporada no válida", "")), IF(OR(O226="", O226=""), "[Aviso] Ciclo de vida no capturado ()", IF(ISNA(MATCH(O226, Criterios!$D$123:$D$124, 0)), "Ciclo de vida no válido", ""))))</f>
        <v/>
      </c>
      <c r="AC226" s="56" t="n"/>
      <c r="AD226" s="51" t="n">
        <v>2</v>
      </c>
      <c r="AE226" s="156" t="inlineStr">
        <is>
          <t>REFLO ALMACEN (1)</t>
        </is>
      </c>
      <c r="AF226" s="51" t="n">
        <v>2</v>
      </c>
      <c r="AG226" s="156" t="inlineStr">
        <is>
          <t>Nuevo – NetSuite con existencia</t>
        </is>
      </c>
      <c r="AH226" s="156" t="inlineStr">
        <is>
          <t>Género no indicado en NetSuite; Composición: poliéster reciclado (validar % en etiqueta); Físico total NetSuite 2 ≠ suma por ubicación 1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26" s="156" t="inlineStr">
        <is>
          <t>No</t>
        </is>
      </c>
      <c r="AJ226" s="156" t="n"/>
      <c r="AK226" s="155" t="inlineStr">
        <is>
          <t>G1522ProductosTodosloscamposSandboxResults894.xlsx: fila 58670 [X,Y]; G1522_Extraccion_Articulos_NetSuite_2026-09-30.xlsx: fila 37498 [Z]</t>
        </is>
      </c>
      <c r="AL226" s="58" t="n">
        <v>14.3</v>
      </c>
      <c r="AM226" s="58" t="n"/>
      <c r="AN226" s="155" t="n"/>
      <c r="AO226" s="59" t="n"/>
      <c r="AP226" s="59" t="n"/>
      <c r="AQ226" s="59" t="n"/>
      <c r="AR226" s="155" t="n"/>
    </row>
    <row r="227">
      <c r="A227" s="50" t="inlineStr">
        <is>
          <t>5060923780019</t>
        </is>
      </c>
      <c r="B227" s="51" t="inlineStr">
        <is>
          <t>84432</t>
        </is>
      </c>
      <c r="C227" s="156" t="inlineStr">
        <is>
          <t>REFLO</t>
        </is>
      </c>
      <c r="D227" s="156" t="inlineStr">
        <is>
          <t>SARGBLA</t>
        </is>
      </c>
      <c r="E227" s="156" t="inlineStr">
        <is>
          <t>SARGBLA-S</t>
        </is>
      </c>
      <c r="F227" s="156" t="inlineStr">
        <is>
          <t>S</t>
        </is>
      </c>
      <c r="G227" s="156" t="inlineStr">
        <is>
          <t>S</t>
        </is>
      </c>
      <c r="H227" s="156" t="inlineStr">
        <is>
          <t>REFLO</t>
        </is>
      </c>
      <c r="I227" s="156" t="inlineStr">
        <is>
          <t>Chaleco REFLO Sargasso Black</t>
        </is>
      </c>
      <c r="J227" s="156" t="inlineStr">
        <is>
          <t>Ropa</t>
        </is>
      </c>
      <c r="K227" s="156" t="inlineStr">
        <is>
          <t>Chalecos</t>
        </is>
      </c>
      <c r="L227" s="156" t="n"/>
      <c r="M227" s="156" t="inlineStr">
        <is>
          <t>REFLO</t>
        </is>
      </c>
      <c r="N227" s="156" t="n"/>
      <c r="O227" s="156" t="n"/>
      <c r="P227" s="156" t="inlineStr">
        <is>
          <t>Negro</t>
        </is>
      </c>
      <c r="Q227" s="156" t="n"/>
      <c r="R227" s="156" t="n"/>
      <c r="S227" s="156" t="inlineStr">
        <is>
          <t>Poliéster reciclado</t>
        </is>
      </c>
      <c r="T227" s="156" t="inlineStr">
        <is>
          <t>Chaleco de golf REFLO modelo Sargasso en color Black, confeccionado con materiales reciclados. Estilo SARGBLA.</t>
        </is>
      </c>
      <c r="U227" s="156" t="n"/>
      <c r="V227" s="156" t="inlineStr">
        <is>
          <t>PZS</t>
        </is>
      </c>
      <c r="W227" s="51" t="inlineStr">
        <is>
          <t>53101800</t>
        </is>
      </c>
      <c r="X227" s="156" t="inlineStr">
        <is>
          <t>https://i.ibb.co/47CLzdF/SARGBLA.jpg</t>
        </is>
      </c>
      <c r="Y227" s="54" t="n">
        <v>14.3</v>
      </c>
      <c r="Z227" s="54" t="n">
        <v>1049</v>
      </c>
      <c r="AA227" s="55">
        <f>IF(AND(A227="", B227="", E227=""), "", IF(AB227="", "Válido", IF((LEN(AB227)-LEN(SUBSTITUTE(AB227,"; ","")))/2+1&gt;(LEN(AB227)-LEN(SUBSTITUTE(AB227,"[Aviso]","")))/7, "Con Incidencias", "Válido")))</f>
        <v/>
      </c>
      <c r="AB227" s="56">
        <f>IF(AND(A227="", B227="", E227=""), "", TEXTJOIN("; ", TRUE, IF(OR(TRIM(A227&amp;"")="", ISNUMBER(SEARCH("FALTA", A227))), "UPC faltante/inválido", ""), IF(AND(A227&lt;&gt;"", IFERROR(_xlfn.XMATCH(A227,$A$2:$A$653,0,1)&lt;&gt;_xlfn.XMATCH(A227,$A$2:$A$653,0,-1),FALSE)), "Código de barras duplicado", ""), IF(AND(E227&lt;&gt;"", COUNTIF($E$2:$E$653, E227)&gt;1), "SKU duplicado", ""), IF(OR(J227="", J227=""), "[Aviso] División no capturada ()", IF(ISNA(MATCH(J227, Criterios!$A$123:$A$126, 0)), "División no válida", "")), IF(OR(K227="", K227=""), "[Aviso] Categoría no capturada ()", IF(ISNA(MATCH(K227, Criterios!$A$81:$A$120, 0)), "Categoría no válida", IF(AND(J227&lt;&gt;"", J227&lt;&gt;"", J227&lt;&gt;VLOOKUP(K227, Criterios!$A$81:$B$120, 2, FALSE)), "División no coincide con Categoría", ""))), IF(OR(L227="", L227=""), "[Aviso] Género no capturado ()", IF(ISNA(MATCH(L227, Criterios!$B$123:$B$127, 0)), "Género no válido", "")), IF(OR(N227="", N227=""), "[Aviso] Temporada no capturada ()", IF(ISNA(MATCH(N227, Criterios!$C$123:$C$128, 0)), "Temporada no válida", "")), IF(OR(O227="", O227=""), "[Aviso] Ciclo de vida no capturado ()", IF(ISNA(MATCH(O227, Criterios!$D$123:$D$124, 0)), "Ciclo de vida no válido", ""))))</f>
        <v/>
      </c>
      <c r="AC227" s="56" t="n"/>
      <c r="AD227" s="51" t="n">
        <v>6</v>
      </c>
      <c r="AE227" s="156" t="inlineStr">
        <is>
          <t>REFLO ALMACEN (2); CONSIGNA REFLO (1)</t>
        </is>
      </c>
      <c r="AF227" s="51" t="n">
        <v>6</v>
      </c>
      <c r="AG227" s="156" t="inlineStr">
        <is>
          <t>Nuevo – NetSuite con existencia</t>
        </is>
      </c>
      <c r="AH227" s="156" t="inlineStr">
        <is>
          <t>Género no indicado en NetSuite; Composición: poliéster reciclado (validar % en etiqueta); Físico total NetSuite 6 ≠ suma por ubicación 3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27" s="156" t="inlineStr">
        <is>
          <t>No</t>
        </is>
      </c>
      <c r="AJ227" s="156" t="n"/>
      <c r="AK227" s="155" t="inlineStr">
        <is>
          <t>G1522ProductosTodosloscamposSandboxResults894.xlsx: fila 58666 [X,Y]; G1522_Extraccion_Articulos_NetSuite_2026-09-30.xlsx: fila 39601 [Z]</t>
        </is>
      </c>
      <c r="AL227" s="58" t="n">
        <v>14.3</v>
      </c>
      <c r="AM227" s="58" t="n"/>
      <c r="AN227" s="155" t="n"/>
      <c r="AO227" s="59" t="n"/>
      <c r="AP227" s="59" t="n"/>
      <c r="AQ227" s="59" t="n"/>
      <c r="AR227" s="155" t="n"/>
    </row>
    <row r="228">
      <c r="A228" s="50" t="inlineStr">
        <is>
          <t>5060923782235</t>
        </is>
      </c>
      <c r="B228" s="51" t="inlineStr">
        <is>
          <t>79115</t>
        </is>
      </c>
      <c r="C228" s="156" t="inlineStr">
        <is>
          <t>REFLO</t>
        </is>
      </c>
      <c r="D228" s="156" t="inlineStr">
        <is>
          <t>SARGCLO</t>
        </is>
      </c>
      <c r="E228" s="156" t="inlineStr">
        <is>
          <t>SARGCLO-M</t>
        </is>
      </c>
      <c r="F228" s="156" t="inlineStr">
        <is>
          <t>M</t>
        </is>
      </c>
      <c r="G228" s="156" t="inlineStr">
        <is>
          <t>M</t>
        </is>
      </c>
      <c r="H228" s="156" t="inlineStr">
        <is>
          <t>REFLO</t>
        </is>
      </c>
      <c r="I228" s="156" t="inlineStr">
        <is>
          <t>Chaleco REFLO Sargasso Cloud</t>
        </is>
      </c>
      <c r="J228" s="156" t="inlineStr">
        <is>
          <t>Ropa</t>
        </is>
      </c>
      <c r="K228" s="156" t="inlineStr">
        <is>
          <t>Chalecos</t>
        </is>
      </c>
      <c r="L228" s="156" t="n"/>
      <c r="M228" s="156" t="inlineStr">
        <is>
          <t>REFLO</t>
        </is>
      </c>
      <c r="N228" s="156" t="n"/>
      <c r="O228" s="156" t="n"/>
      <c r="P228" s="156" t="n"/>
      <c r="Q228" s="156" t="n"/>
      <c r="R228" s="156" t="n"/>
      <c r="S228" s="156" t="inlineStr">
        <is>
          <t>Poliéster reciclado</t>
        </is>
      </c>
      <c r="T228" s="156" t="inlineStr">
        <is>
          <t>Chaleco de golf REFLO modelo Sargasso en color Cloud, confeccionado con materiales reciclados. Estilo SARGCLO.</t>
        </is>
      </c>
      <c r="U228" s="156" t="n"/>
      <c r="V228" s="156" t="inlineStr">
        <is>
          <t>PZS</t>
        </is>
      </c>
      <c r="W228" s="51" t="inlineStr">
        <is>
          <t>53101800</t>
        </is>
      </c>
      <c r="X228" s="156" t="inlineStr">
        <is>
          <t>https://i.ibb.co/bX9Q0cF/SARGCLO.jpg</t>
        </is>
      </c>
      <c r="Y228" s="54" t="n">
        <v>14.3</v>
      </c>
      <c r="Z228" s="54" t="n">
        <v>1049</v>
      </c>
      <c r="AA228" s="55">
        <f>IF(AND(A228="", B228="", E228=""), "", IF(AB228="", "Válido", IF((LEN(AB228)-LEN(SUBSTITUTE(AB228,"; ","")))/2+1&gt;(LEN(AB228)-LEN(SUBSTITUTE(AB228,"[Aviso]","")))/7, "Con Incidencias", "Válido")))</f>
        <v/>
      </c>
      <c r="AB228" s="56">
        <f>IF(AND(A228="", B228="", E228=""), "", TEXTJOIN("; ", TRUE, IF(OR(TRIM(A228&amp;"")="", ISNUMBER(SEARCH("FALTA", A228))), "UPC faltante/inválido", ""), IF(AND(A228&lt;&gt;"", IFERROR(_xlfn.XMATCH(A228,$A$2:$A$653,0,1)&lt;&gt;_xlfn.XMATCH(A228,$A$2:$A$653,0,-1),FALSE)), "Código de barras duplicado", ""), IF(AND(E228&lt;&gt;"", COUNTIF($E$2:$E$653, E228)&gt;1), "SKU duplicado", ""), IF(OR(J228="", J228=""), "[Aviso] División no capturada ()", IF(ISNA(MATCH(J228, Criterios!$A$123:$A$126, 0)), "División no válida", "")), IF(OR(K228="", K228=""), "[Aviso] Categoría no capturada ()", IF(ISNA(MATCH(K228, Criterios!$A$81:$A$120, 0)), "Categoría no válida", IF(AND(J228&lt;&gt;"", J228&lt;&gt;"", J228&lt;&gt;VLOOKUP(K228, Criterios!$A$81:$B$120, 2, FALSE)), "División no coincide con Categoría", ""))), IF(OR(L228="", L228=""), "[Aviso] Género no capturado ()", IF(ISNA(MATCH(L228, Criterios!$B$123:$B$127, 0)), "Género no válido", "")), IF(OR(N228="", N228=""), "[Aviso] Temporada no capturada ()", IF(ISNA(MATCH(N228, Criterios!$C$123:$C$128, 0)), "Temporada no válida", "")), IF(OR(O228="", O228=""), "[Aviso] Ciclo de vida no capturado ()", IF(ISNA(MATCH(O228, Criterios!$D$123:$D$124, 0)), "Ciclo de vida no válido", ""))))</f>
        <v/>
      </c>
      <c r="AC228" s="56" t="n"/>
      <c r="AD228" s="51" t="n">
        <v>6</v>
      </c>
      <c r="AE228" s="156" t="inlineStr">
        <is>
          <t>REFLO ALMACEN (2); CONSIGNA REFLO (2)</t>
        </is>
      </c>
      <c r="AF228" s="51" t="n">
        <v>6</v>
      </c>
      <c r="AG228" s="156" t="inlineStr">
        <is>
          <t>Nuevo – NetSuite con existencia</t>
        </is>
      </c>
      <c r="AH228" s="156" t="inlineStr">
        <is>
          <t>Género no indicado en NetSuite; Composición: poliéster reciclado (validar % en etiqueta); Color por validar; Físico total NetSuite 6 ≠ suma por ubicación 4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228" s="156" t="inlineStr">
        <is>
          <t>No</t>
        </is>
      </c>
      <c r="AJ228" s="156" t="n"/>
      <c r="AK228" s="155" t="inlineStr">
        <is>
          <t>G1522ProductosTodosloscamposSandboxResults894.xlsx: fila 58673 [X,Y]; G1522_Extraccion_Articulos_NetSuite_2026-09-30.xlsx: fila 37499 [Z]</t>
        </is>
      </c>
      <c r="AL228" s="58" t="n">
        <v>14.3</v>
      </c>
      <c r="AM228" s="58" t="n"/>
      <c r="AN228" s="155" t="n"/>
      <c r="AO228" s="59" t="n"/>
      <c r="AP228" s="59" t="n"/>
      <c r="AQ228" s="59" t="n"/>
      <c r="AR228" s="155" t="n"/>
    </row>
    <row r="229">
      <c r="A229" s="50" t="inlineStr">
        <is>
          <t>5060923782242</t>
        </is>
      </c>
      <c r="B229" s="51" t="inlineStr">
        <is>
          <t>79116</t>
        </is>
      </c>
      <c r="C229" s="156" t="inlineStr">
        <is>
          <t>REFLO</t>
        </is>
      </c>
      <c r="D229" s="156" t="inlineStr">
        <is>
          <t>SARGCLO</t>
        </is>
      </c>
      <c r="E229" s="156" t="inlineStr">
        <is>
          <t>SARGCLO-L</t>
        </is>
      </c>
      <c r="F229" s="156" t="inlineStr">
        <is>
          <t>L</t>
        </is>
      </c>
      <c r="G229" s="156" t="inlineStr">
        <is>
          <t>L</t>
        </is>
      </c>
      <c r="H229" s="156" t="inlineStr">
        <is>
          <t>REFLO</t>
        </is>
      </c>
      <c r="I229" s="156" t="inlineStr">
        <is>
          <t>Chaleco REFLO Sargasso Cloud</t>
        </is>
      </c>
      <c r="J229" s="156" t="inlineStr">
        <is>
          <t>Ropa</t>
        </is>
      </c>
      <c r="K229" s="156" t="inlineStr">
        <is>
          <t>Chalecos</t>
        </is>
      </c>
      <c r="L229" s="156" t="n"/>
      <c r="M229" s="156" t="inlineStr">
        <is>
          <t>REFLO</t>
        </is>
      </c>
      <c r="N229" s="156" t="n"/>
      <c r="O229" s="156" t="n"/>
      <c r="P229" s="156" t="n"/>
      <c r="Q229" s="156" t="n"/>
      <c r="R229" s="156" t="n"/>
      <c r="S229" s="156" t="inlineStr">
        <is>
          <t>Poliéster reciclado</t>
        </is>
      </c>
      <c r="T229" s="156" t="inlineStr">
        <is>
          <t>Chaleco de golf REFLO modelo Sargasso en color Cloud, confeccionado con materiales reciclados. Estilo SARGCLO.</t>
        </is>
      </c>
      <c r="U229" s="156" t="n"/>
      <c r="V229" s="156" t="inlineStr">
        <is>
          <t>PZS</t>
        </is>
      </c>
      <c r="W229" s="51" t="inlineStr">
        <is>
          <t>53101800</t>
        </is>
      </c>
      <c r="X229" s="156" t="inlineStr">
        <is>
          <t>https://i.ibb.co/bX9Q0cF/SARGCLO.jpg</t>
        </is>
      </c>
      <c r="Y229" s="54" t="n">
        <v>14.3</v>
      </c>
      <c r="Z229" s="54" t="n">
        <v>1049</v>
      </c>
      <c r="AA229" s="55">
        <f>IF(AND(A229="", B229="", E229=""), "", IF(AB229="", "Válido", IF((LEN(AB229)-LEN(SUBSTITUTE(AB229,"; ","")))/2+1&gt;(LEN(AB229)-LEN(SUBSTITUTE(AB229,"[Aviso]","")))/7, "Con Incidencias", "Válido")))</f>
        <v/>
      </c>
      <c r="AB229" s="56">
        <f>IF(AND(A229="", B229="", E229=""), "", TEXTJOIN("; ", TRUE, IF(OR(TRIM(A229&amp;"")="", ISNUMBER(SEARCH("FALTA", A229))), "UPC faltante/inválido", ""), IF(AND(A229&lt;&gt;"", IFERROR(_xlfn.XMATCH(A229,$A$2:$A$653,0,1)&lt;&gt;_xlfn.XMATCH(A229,$A$2:$A$653,0,-1),FALSE)), "Código de barras duplicado", ""), IF(AND(E229&lt;&gt;"", COUNTIF($E$2:$E$653, E229)&gt;1), "SKU duplicado", ""), IF(OR(J229="", J229=""), "[Aviso] División no capturada ()", IF(ISNA(MATCH(J229, Criterios!$A$123:$A$126, 0)), "División no válida", "")), IF(OR(K229="", K229=""), "[Aviso] Categoría no capturada ()", IF(ISNA(MATCH(K229, Criterios!$A$81:$A$120, 0)), "Categoría no válida", IF(AND(J229&lt;&gt;"", J229&lt;&gt;"", J229&lt;&gt;VLOOKUP(K229, Criterios!$A$81:$B$120, 2, FALSE)), "División no coincide con Categoría", ""))), IF(OR(L229="", L229=""), "[Aviso] Género no capturado ()", IF(ISNA(MATCH(L229, Criterios!$B$123:$B$127, 0)), "Género no válido", "")), IF(OR(N229="", N229=""), "[Aviso] Temporada no capturada ()", IF(ISNA(MATCH(N229, Criterios!$C$123:$C$128, 0)), "Temporada no válida", "")), IF(OR(O229="", O229=""), "[Aviso] Ciclo de vida no capturado ()", IF(ISNA(MATCH(O229, Criterios!$D$123:$D$124, 0)), "Ciclo de vida no válido", ""))))</f>
        <v/>
      </c>
      <c r="AC229" s="56" t="n"/>
      <c r="AD229" s="51" t="n">
        <v>6</v>
      </c>
      <c r="AE229" s="156" t="inlineStr">
        <is>
          <t>REFLO ALMACEN (3); MUESTRAS REFLO (1)</t>
        </is>
      </c>
      <c r="AF229" s="51" t="n">
        <v>5</v>
      </c>
      <c r="AG229" s="156" t="inlineStr">
        <is>
          <t>Nuevo – NetSuite con existencia</t>
        </is>
      </c>
      <c r="AH229" s="156" t="inlineStr">
        <is>
          <t>Género no indicado en NetSuite; Composición: poliéster reciclado (validar % en etiqueta); Color por validar; Físico total NetSuite 6 ≠ suma por ubicación 4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229" s="156" t="inlineStr">
        <is>
          <t>No</t>
        </is>
      </c>
      <c r="AJ229" s="156" t="n"/>
      <c r="AK229" s="155" t="inlineStr">
        <is>
          <t>G1522ProductosTodosloscamposSandboxResults894.xlsx: fila 58674 [X,Y]; G1522_Extraccion_Articulos_NetSuite_2026-09-30.xlsx: fila 37500 [Z]</t>
        </is>
      </c>
      <c r="AL229" s="58" t="n">
        <v>14.3</v>
      </c>
      <c r="AM229" s="58" t="n"/>
      <c r="AN229" s="155" t="n"/>
      <c r="AO229" s="59" t="n"/>
      <c r="AP229" s="59" t="n"/>
      <c r="AQ229" s="59" t="n"/>
      <c r="AR229" s="155" t="n"/>
    </row>
    <row r="230">
      <c r="A230" s="50" t="inlineStr">
        <is>
          <t>5060923782259</t>
        </is>
      </c>
      <c r="B230" s="51" t="inlineStr">
        <is>
          <t>79117</t>
        </is>
      </c>
      <c r="C230" s="156" t="inlineStr">
        <is>
          <t>REFLO</t>
        </is>
      </c>
      <c r="D230" s="156" t="inlineStr">
        <is>
          <t>SARGCLO</t>
        </is>
      </c>
      <c r="E230" s="156" t="inlineStr">
        <is>
          <t>SARGCLO-XL</t>
        </is>
      </c>
      <c r="F230" s="156" t="inlineStr">
        <is>
          <t>XL</t>
        </is>
      </c>
      <c r="G230" s="156" t="inlineStr">
        <is>
          <t>XL</t>
        </is>
      </c>
      <c r="H230" s="156" t="inlineStr">
        <is>
          <t>REFLO</t>
        </is>
      </c>
      <c r="I230" s="156" t="inlineStr">
        <is>
          <t>Chaleco REFLO Sargasso Cloud</t>
        </is>
      </c>
      <c r="J230" s="156" t="inlineStr">
        <is>
          <t>Ropa</t>
        </is>
      </c>
      <c r="K230" s="156" t="inlineStr">
        <is>
          <t>Chalecos</t>
        </is>
      </c>
      <c r="L230" s="156" t="n"/>
      <c r="M230" s="156" t="inlineStr">
        <is>
          <t>REFLO</t>
        </is>
      </c>
      <c r="N230" s="156" t="n"/>
      <c r="O230" s="156" t="n"/>
      <c r="P230" s="156" t="n"/>
      <c r="Q230" s="156" t="n"/>
      <c r="R230" s="156" t="n"/>
      <c r="S230" s="156" t="inlineStr">
        <is>
          <t>Poliéster reciclado</t>
        </is>
      </c>
      <c r="T230" s="156" t="inlineStr">
        <is>
          <t>Chaleco de golf REFLO modelo Sargasso en color Cloud, confeccionado con materiales reciclados. Estilo SARGCLO.</t>
        </is>
      </c>
      <c r="U230" s="156" t="n"/>
      <c r="V230" s="156" t="inlineStr">
        <is>
          <t>PZS</t>
        </is>
      </c>
      <c r="W230" s="51" t="inlineStr">
        <is>
          <t>53101800</t>
        </is>
      </c>
      <c r="X230" s="156" t="inlineStr">
        <is>
          <t>https://i.ibb.co/bX9Q0cF/SARGCLO.jpg</t>
        </is>
      </c>
      <c r="Y230" s="54" t="n">
        <v>14.3</v>
      </c>
      <c r="Z230" s="54" t="n">
        <v>1049</v>
      </c>
      <c r="AA230" s="55">
        <f>IF(AND(A230="", B230="", E230=""), "", IF(AB230="", "Válido", IF((LEN(AB230)-LEN(SUBSTITUTE(AB230,"; ","")))/2+1&gt;(LEN(AB230)-LEN(SUBSTITUTE(AB230,"[Aviso]","")))/7, "Con Incidencias", "Válido")))</f>
        <v/>
      </c>
      <c r="AB230" s="56">
        <f>IF(AND(A230="", B230="", E230=""), "", TEXTJOIN("; ", TRUE, IF(OR(TRIM(A230&amp;"")="", ISNUMBER(SEARCH("FALTA", A230))), "UPC faltante/inválido", ""), IF(AND(A230&lt;&gt;"", IFERROR(_xlfn.XMATCH(A230,$A$2:$A$653,0,1)&lt;&gt;_xlfn.XMATCH(A230,$A$2:$A$653,0,-1),FALSE)), "Código de barras duplicado", ""), IF(AND(E230&lt;&gt;"", COUNTIF($E$2:$E$653, E230)&gt;1), "SKU duplicado", ""), IF(OR(J230="", J230=""), "[Aviso] División no capturada ()", IF(ISNA(MATCH(J230, Criterios!$A$123:$A$126, 0)), "División no válida", "")), IF(OR(K230="", K230=""), "[Aviso] Categoría no capturada ()", IF(ISNA(MATCH(K230, Criterios!$A$81:$A$120, 0)), "Categoría no válida", IF(AND(J230&lt;&gt;"", J230&lt;&gt;"", J230&lt;&gt;VLOOKUP(K230, Criterios!$A$81:$B$120, 2, FALSE)), "División no coincide con Categoría", ""))), IF(OR(L230="", L230=""), "[Aviso] Género no capturado ()", IF(ISNA(MATCH(L230, Criterios!$B$123:$B$127, 0)), "Género no válido", "")), IF(OR(N230="", N230=""), "[Aviso] Temporada no capturada ()", IF(ISNA(MATCH(N230, Criterios!$C$123:$C$128, 0)), "Temporada no válida", "")), IF(OR(O230="", O230=""), "[Aviso] Ciclo de vida no capturado ()", IF(ISNA(MATCH(O230, Criterios!$D$123:$D$124, 0)), "Ciclo de vida no válido", ""))))</f>
        <v/>
      </c>
      <c r="AC230" s="56" t="n"/>
      <c r="AD230" s="51" t="n">
        <v>8</v>
      </c>
      <c r="AE230" s="156" t="inlineStr">
        <is>
          <t>REFLO ALMACEN (4)</t>
        </is>
      </c>
      <c r="AF230" s="51" t="n">
        <v>8</v>
      </c>
      <c r="AG230" s="156" t="inlineStr">
        <is>
          <t>Nuevo – NetSuite con existencia</t>
        </is>
      </c>
      <c r="AH230" s="156" t="inlineStr">
        <is>
          <t>Género no indicado en NetSuite; Composición: poliéster reciclado (validar % en etiqueta); Color por validar; Físico total NetSuite 8 ≠ suma por ubicación 4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230" s="156" t="inlineStr">
        <is>
          <t>No</t>
        </is>
      </c>
      <c r="AJ230" s="156" t="n"/>
      <c r="AK230" s="155" t="inlineStr">
        <is>
          <t>G1522ProductosTodosloscamposSandboxResults894.xlsx: fila 58675 [X,Y]; G1522_Extraccion_Articulos_NetSuite_2026-09-30.xlsx: fila 37501 [Z]</t>
        </is>
      </c>
      <c r="AL230" s="58" t="n">
        <v>14.3</v>
      </c>
      <c r="AM230" s="58" t="n"/>
      <c r="AN230" s="155" t="n"/>
      <c r="AO230" s="59" t="n"/>
      <c r="AP230" s="59" t="n"/>
      <c r="AQ230" s="59" t="n"/>
      <c r="AR230" s="155" t="n"/>
    </row>
    <row r="231">
      <c r="A231" s="50" t="inlineStr">
        <is>
          <t>5060923782266</t>
        </is>
      </c>
      <c r="B231" s="51" t="inlineStr">
        <is>
          <t>79118</t>
        </is>
      </c>
      <c r="C231" s="156" t="inlineStr">
        <is>
          <t>REFLO</t>
        </is>
      </c>
      <c r="D231" s="156" t="inlineStr">
        <is>
          <t>SARGCLO</t>
        </is>
      </c>
      <c r="E231" s="156" t="inlineStr">
        <is>
          <t>SARGCLO-XXL</t>
        </is>
      </c>
      <c r="F231" s="156" t="inlineStr">
        <is>
          <t>XXL</t>
        </is>
      </c>
      <c r="G231" s="156" t="inlineStr">
        <is>
          <t>XXL</t>
        </is>
      </c>
      <c r="H231" s="156" t="inlineStr">
        <is>
          <t>REFLO</t>
        </is>
      </c>
      <c r="I231" s="156" t="inlineStr">
        <is>
          <t>Chaleco REFLO Sargasso Cloud</t>
        </is>
      </c>
      <c r="J231" s="156" t="inlineStr">
        <is>
          <t>Ropa</t>
        </is>
      </c>
      <c r="K231" s="156" t="inlineStr">
        <is>
          <t>Chalecos</t>
        </is>
      </c>
      <c r="L231" s="156" t="n"/>
      <c r="M231" s="156" t="inlineStr">
        <is>
          <t>REFLO</t>
        </is>
      </c>
      <c r="N231" s="156" t="n"/>
      <c r="O231" s="156" t="n"/>
      <c r="P231" s="156" t="n"/>
      <c r="Q231" s="156" t="n"/>
      <c r="R231" s="156" t="n"/>
      <c r="S231" s="156" t="inlineStr">
        <is>
          <t>Poliéster reciclado</t>
        </is>
      </c>
      <c r="T231" s="156" t="inlineStr">
        <is>
          <t>Chaleco de golf REFLO modelo Sargasso en color Cloud, confeccionado con materiales reciclados. Estilo SARGCLO.</t>
        </is>
      </c>
      <c r="U231" s="156" t="n"/>
      <c r="V231" s="156" t="inlineStr">
        <is>
          <t>PZS</t>
        </is>
      </c>
      <c r="W231" s="51" t="inlineStr">
        <is>
          <t>53101800</t>
        </is>
      </c>
      <c r="X231" s="156" t="inlineStr">
        <is>
          <t>https://i.ibb.co/bX9Q0cF/SARGCLO.jpg</t>
        </is>
      </c>
      <c r="Y231" s="54" t="n">
        <v>14.3</v>
      </c>
      <c r="Z231" s="54" t="n">
        <v>1049</v>
      </c>
      <c r="AA231" s="55">
        <f>IF(AND(A231="", B231="", E231=""), "", IF(AB231="", "Válido", IF((LEN(AB231)-LEN(SUBSTITUTE(AB231,"; ","")))/2+1&gt;(LEN(AB231)-LEN(SUBSTITUTE(AB231,"[Aviso]","")))/7, "Con Incidencias", "Válido")))</f>
        <v/>
      </c>
      <c r="AB231" s="56">
        <f>IF(AND(A231="", B231="", E231=""), "", TEXTJOIN("; ", TRUE, IF(OR(TRIM(A231&amp;"")="", ISNUMBER(SEARCH("FALTA", A231))), "UPC faltante/inválido", ""), IF(AND(A231&lt;&gt;"", IFERROR(_xlfn.XMATCH(A231,$A$2:$A$653,0,1)&lt;&gt;_xlfn.XMATCH(A231,$A$2:$A$653,0,-1),FALSE)), "Código de barras duplicado", ""), IF(AND(E231&lt;&gt;"", COUNTIF($E$2:$E$653, E231)&gt;1), "SKU duplicado", ""), IF(OR(J231="", J231=""), "[Aviso] División no capturada ()", IF(ISNA(MATCH(J231, Criterios!$A$123:$A$126, 0)), "División no válida", "")), IF(OR(K231="", K231=""), "[Aviso] Categoría no capturada ()", IF(ISNA(MATCH(K231, Criterios!$A$81:$A$120, 0)), "Categoría no válida", IF(AND(J231&lt;&gt;"", J231&lt;&gt;"", J231&lt;&gt;VLOOKUP(K231, Criterios!$A$81:$B$120, 2, FALSE)), "División no coincide con Categoría", ""))), IF(OR(L231="", L231=""), "[Aviso] Género no capturado ()", IF(ISNA(MATCH(L231, Criterios!$B$123:$B$127, 0)), "Género no válido", "")), IF(OR(N231="", N231=""), "[Aviso] Temporada no capturada ()", IF(ISNA(MATCH(N231, Criterios!$C$123:$C$128, 0)), "Temporada no válida", "")), IF(OR(O231="", O231=""), "[Aviso] Ciclo de vida no capturado ()", IF(ISNA(MATCH(O231, Criterios!$D$123:$D$124, 0)), "Ciclo de vida no válido", ""))))</f>
        <v/>
      </c>
      <c r="AC231" s="56" t="n"/>
      <c r="AD231" s="51" t="n">
        <v>4</v>
      </c>
      <c r="AE231" s="156" t="inlineStr">
        <is>
          <t>REFLO ALMACEN (2)</t>
        </is>
      </c>
      <c r="AF231" s="51" t="n">
        <v>4</v>
      </c>
      <c r="AG231" s="156" t="inlineStr">
        <is>
          <t>Nuevo – NetSuite con existencia</t>
        </is>
      </c>
      <c r="AH231" s="156" t="inlineStr">
        <is>
          <t>Género no indicado en NetSuite; Composición: poliéster reciclado (validar % en etiqueta); Color por validar; Físico total NetSuite 4 ≠ suma por ubicación 2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231" s="156" t="inlineStr">
        <is>
          <t>No</t>
        </is>
      </c>
      <c r="AJ231" s="156" t="n"/>
      <c r="AK231" s="155" t="inlineStr">
        <is>
          <t>G1522ProductosTodosloscamposSandboxResults894.xlsx: fila 58676 [X,Y]; G1522_Extraccion_Articulos_NetSuite_2026-09-30.xlsx: fila 37502 [Z]</t>
        </is>
      </c>
      <c r="AL231" s="58" t="n">
        <v>14.3</v>
      </c>
      <c r="AM231" s="58" t="n"/>
      <c r="AN231" s="155" t="n"/>
      <c r="AO231" s="59" t="n"/>
      <c r="AP231" s="59" t="n"/>
      <c r="AQ231" s="59" t="n"/>
      <c r="AR231" s="155" t="n"/>
    </row>
    <row r="232">
      <c r="A232" s="50" t="inlineStr">
        <is>
          <t>5060923782228</t>
        </is>
      </c>
      <c r="B232" s="51" t="inlineStr">
        <is>
          <t>84433</t>
        </is>
      </c>
      <c r="C232" s="156" t="inlineStr">
        <is>
          <t>REFLO</t>
        </is>
      </c>
      <c r="D232" s="156" t="inlineStr">
        <is>
          <t>SARGCLO</t>
        </is>
      </c>
      <c r="E232" s="156" t="inlineStr">
        <is>
          <t>SARGCLO-S</t>
        </is>
      </c>
      <c r="F232" s="156" t="inlineStr">
        <is>
          <t>S</t>
        </is>
      </c>
      <c r="G232" s="156" t="inlineStr">
        <is>
          <t>S</t>
        </is>
      </c>
      <c r="H232" s="156" t="inlineStr">
        <is>
          <t>REFLO</t>
        </is>
      </c>
      <c r="I232" s="156" t="inlineStr">
        <is>
          <t>Chaleco REFLO Sargasso Cloud</t>
        </is>
      </c>
      <c r="J232" s="156" t="inlineStr">
        <is>
          <t>Ropa</t>
        </is>
      </c>
      <c r="K232" s="156" t="inlineStr">
        <is>
          <t>Chalecos</t>
        </is>
      </c>
      <c r="L232" s="156" t="n"/>
      <c r="M232" s="156" t="inlineStr">
        <is>
          <t>REFLO</t>
        </is>
      </c>
      <c r="N232" s="156" t="n"/>
      <c r="O232" s="156" t="n"/>
      <c r="P232" s="156" t="n"/>
      <c r="Q232" s="156" t="n"/>
      <c r="R232" s="156" t="n"/>
      <c r="S232" s="156" t="inlineStr">
        <is>
          <t>Poliéster reciclado</t>
        </is>
      </c>
      <c r="T232" s="156" t="inlineStr">
        <is>
          <t>Chaleco de golf REFLO modelo Sargasso en color Cloud, confeccionado con materiales reciclados. Estilo SARGCLO.</t>
        </is>
      </c>
      <c r="U232" s="156" t="n"/>
      <c r="V232" s="156" t="inlineStr">
        <is>
          <t>PZS</t>
        </is>
      </c>
      <c r="W232" s="51" t="inlineStr">
        <is>
          <t>53101800</t>
        </is>
      </c>
      <c r="X232" s="156" t="inlineStr">
        <is>
          <t>https://i.ibb.co/bX9Q0cF/SARGCLO.jpg</t>
        </is>
      </c>
      <c r="Y232" s="54" t="n">
        <v>14.3</v>
      </c>
      <c r="Z232" s="54" t="n">
        <v>1049</v>
      </c>
      <c r="AA232" s="55">
        <f>IF(AND(A232="", B232="", E232=""), "", IF(AB232="", "Válido", IF((LEN(AB232)-LEN(SUBSTITUTE(AB232,"; ","")))/2+1&gt;(LEN(AB232)-LEN(SUBSTITUTE(AB232,"[Aviso]","")))/7, "Con Incidencias", "Válido")))</f>
        <v/>
      </c>
      <c r="AB232" s="56">
        <f>IF(AND(A232="", B232="", E232=""), "", TEXTJOIN("; ", TRUE, IF(OR(TRIM(A232&amp;"")="", ISNUMBER(SEARCH("FALTA", A232))), "UPC faltante/inválido", ""), IF(AND(A232&lt;&gt;"", IFERROR(_xlfn.XMATCH(A232,$A$2:$A$653,0,1)&lt;&gt;_xlfn.XMATCH(A232,$A$2:$A$653,0,-1),FALSE)), "Código de barras duplicado", ""), IF(AND(E232&lt;&gt;"", COUNTIF($E$2:$E$653, E232)&gt;1), "SKU duplicado", ""), IF(OR(J232="", J232=""), "[Aviso] División no capturada ()", IF(ISNA(MATCH(J232, Criterios!$A$123:$A$126, 0)), "División no válida", "")), IF(OR(K232="", K232=""), "[Aviso] Categoría no capturada ()", IF(ISNA(MATCH(K232, Criterios!$A$81:$A$120, 0)), "Categoría no válida", IF(AND(J232&lt;&gt;"", J232&lt;&gt;"", J232&lt;&gt;VLOOKUP(K232, Criterios!$A$81:$B$120, 2, FALSE)), "División no coincide con Categoría", ""))), IF(OR(L232="", L232=""), "[Aviso] Género no capturado ()", IF(ISNA(MATCH(L232, Criterios!$B$123:$B$127, 0)), "Género no válido", "")), IF(OR(N232="", N232=""), "[Aviso] Temporada no capturada ()", IF(ISNA(MATCH(N232, Criterios!$C$123:$C$128, 0)), "Temporada no válida", "")), IF(OR(O232="", O232=""), "[Aviso] Ciclo de vida no capturado ()", IF(ISNA(MATCH(O232, Criterios!$D$123:$D$124, 0)), "Ciclo de vida no válido", ""))))</f>
        <v/>
      </c>
      <c r="AC232" s="56" t="n"/>
      <c r="AD232" s="51" t="n">
        <v>8</v>
      </c>
      <c r="AE232" s="156" t="inlineStr">
        <is>
          <t>CONSIGNA REFLO (1); REFLO ALMACEN (3)</t>
        </is>
      </c>
      <c r="AF232" s="51" t="n">
        <v>8</v>
      </c>
      <c r="AG232" s="156" t="inlineStr">
        <is>
          <t>Nuevo – NetSuite con existencia</t>
        </is>
      </c>
      <c r="AH232" s="156" t="inlineStr">
        <is>
          <t>Género no indicado en NetSuite; Composición: poliéster reciclado (validar % en etiqueta); Color por validar; Físico total NetSuite 8 ≠ suma por ubicación 4 | Revisión 29/09/2026: Marca REFLO fuera de lista Criterios; Campos sin respaldo: L, N, O, P, Q, U; Auditoría NetSuite 30/09/2026: llenado desde NetSuite [Z] | Homologación G1522 06/10/2026: Validación G1522: [Aviso] Precio de compra posiblemente en USD · Validador Shopify: WB: precio con IVA no termina en 9</t>
        </is>
      </c>
      <c r="AI232" s="156" t="inlineStr">
        <is>
          <t>No</t>
        </is>
      </c>
      <c r="AJ232" s="156" t="n"/>
      <c r="AK232" s="155" t="inlineStr">
        <is>
          <t>G1522ProductosTodosloscamposSandboxResults894.xlsx: fila 58672 [X,Y]; G1522_Extraccion_Articulos_NetSuite_2026-09-30.xlsx: fila 39602 [Z]</t>
        </is>
      </c>
      <c r="AL232" s="58" t="n">
        <v>14.3</v>
      </c>
      <c r="AM232" s="58" t="n"/>
      <c r="AN232" s="155" t="n"/>
      <c r="AO232" s="59" t="n"/>
      <c r="AP232" s="59" t="n"/>
      <c r="AQ232" s="59" t="n"/>
      <c r="AR232" s="155" t="n"/>
    </row>
    <row r="233">
      <c r="A233" s="50" t="inlineStr">
        <is>
          <t>5060923780088</t>
        </is>
      </c>
      <c r="B233" s="51" t="inlineStr">
        <is>
          <t>79119</t>
        </is>
      </c>
      <c r="C233" s="156" t="inlineStr">
        <is>
          <t>REFLO</t>
        </is>
      </c>
      <c r="D233" s="156" t="inlineStr">
        <is>
          <t>SARGFRE</t>
        </is>
      </c>
      <c r="E233" s="156" t="inlineStr">
        <is>
          <t>SARGFRE-M</t>
        </is>
      </c>
      <c r="F233" s="156" t="inlineStr">
        <is>
          <t>M</t>
        </is>
      </c>
      <c r="G233" s="156" t="inlineStr">
        <is>
          <t>M</t>
        </is>
      </c>
      <c r="H233" s="156" t="inlineStr">
        <is>
          <t>REFLO</t>
        </is>
      </c>
      <c r="I233" s="156" t="inlineStr">
        <is>
          <t>Chaleco REFLO Sargasso French Navy</t>
        </is>
      </c>
      <c r="J233" s="156" t="inlineStr">
        <is>
          <t>Ropa</t>
        </is>
      </c>
      <c r="K233" s="156" t="inlineStr">
        <is>
          <t>Chalecos</t>
        </is>
      </c>
      <c r="L233" s="156" t="n"/>
      <c r="M233" s="156" t="inlineStr">
        <is>
          <t>REFLO</t>
        </is>
      </c>
      <c r="N233" s="156" t="n"/>
      <c r="O233" s="156" t="n"/>
      <c r="P233" s="156" t="inlineStr">
        <is>
          <t>Azul</t>
        </is>
      </c>
      <c r="Q233" s="156" t="n"/>
      <c r="R233" s="156" t="n"/>
      <c r="S233" s="156" t="inlineStr">
        <is>
          <t>Poliéster reciclado</t>
        </is>
      </c>
      <c r="T233" s="156" t="inlineStr">
        <is>
          <t>Chaleco de golf REFLO modelo Sargasso en color French Navy, confeccionado con materiales reciclados. Estilo SARGFRE.</t>
        </is>
      </c>
      <c r="U233" s="156" t="n"/>
      <c r="V233" s="156" t="inlineStr">
        <is>
          <t>PZS</t>
        </is>
      </c>
      <c r="W233" s="51" t="inlineStr">
        <is>
          <t>53101800</t>
        </is>
      </c>
      <c r="X233" s="156" t="inlineStr">
        <is>
          <t>https://i.ibb.co/dWXPrf3/SARGFRE.jpg</t>
        </is>
      </c>
      <c r="Y233" s="54" t="n">
        <v>14.3</v>
      </c>
      <c r="Z233" s="54" t="n">
        <v>1049</v>
      </c>
      <c r="AA233" s="55">
        <f>IF(AND(A233="", B233="", E233=""), "", IF(AB233="", "Válido", IF((LEN(AB233)-LEN(SUBSTITUTE(AB233,"; ","")))/2+1&gt;(LEN(AB233)-LEN(SUBSTITUTE(AB233,"[Aviso]","")))/7, "Con Incidencias", "Válido")))</f>
        <v/>
      </c>
      <c r="AB233" s="56">
        <f>IF(AND(A233="", B233="", E233=""), "", TEXTJOIN("; ", TRUE, IF(OR(TRIM(A233&amp;"")="", ISNUMBER(SEARCH("FALTA", A233))), "UPC faltante/inválido", ""), IF(AND(A233&lt;&gt;"", IFERROR(_xlfn.XMATCH(A233,$A$2:$A$653,0,1)&lt;&gt;_xlfn.XMATCH(A233,$A$2:$A$653,0,-1),FALSE)), "Código de barras duplicado", ""), IF(AND(E233&lt;&gt;"", COUNTIF($E$2:$E$653, E233)&gt;1), "SKU duplicado", ""), IF(OR(J233="", J233=""), "[Aviso] División no capturada ()", IF(ISNA(MATCH(J233, Criterios!$A$123:$A$126, 0)), "División no válida", "")), IF(OR(K233="", K233=""), "[Aviso] Categoría no capturada ()", IF(ISNA(MATCH(K233, Criterios!$A$81:$A$120, 0)), "Categoría no válida", IF(AND(J233&lt;&gt;"", J233&lt;&gt;"", J233&lt;&gt;VLOOKUP(K233, Criterios!$A$81:$B$120, 2, FALSE)), "División no coincide con Categoría", ""))), IF(OR(L233="", L233=""), "[Aviso] Género no capturado ()", IF(ISNA(MATCH(L233, Criterios!$B$123:$B$127, 0)), "Género no válido", "")), IF(OR(N233="", N233=""), "[Aviso] Temporada no capturada ()", IF(ISNA(MATCH(N233, Criterios!$C$123:$C$128, 0)), "Temporada no válida", "")), IF(OR(O233="", O233=""), "[Aviso] Ciclo de vida no capturado ()", IF(ISNA(MATCH(O233, Criterios!$D$123:$D$124, 0)), "Ciclo de vida no válido", ""))))</f>
        <v/>
      </c>
      <c r="AC233" s="56" t="n"/>
      <c r="AD233" s="51" t="n">
        <v>7</v>
      </c>
      <c r="AE233" s="156" t="inlineStr">
        <is>
          <t>REFLO ALMACEN (5)</t>
        </is>
      </c>
      <c r="AF233" s="51" t="n">
        <v>8</v>
      </c>
      <c r="AG233" s="156" t="inlineStr">
        <is>
          <t>Nuevo – NetSuite con existencia</t>
        </is>
      </c>
      <c r="AH233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33" s="156" t="inlineStr">
        <is>
          <t>Sí</t>
        </is>
      </c>
      <c r="AJ233" s="156" t="inlineStr">
        <is>
          <t>CONSIGNA REFLO (-1)</t>
        </is>
      </c>
      <c r="AK233" s="155" t="inlineStr">
        <is>
          <t>G1522ProductosTodosloscamposSandboxResults894.xlsx: fila 58679 [X,Y]; G1522_Extraccion_Articulos_NetSuite_2026-09-30.xlsx: fila 37503 [Z]</t>
        </is>
      </c>
      <c r="AL233" s="58" t="n">
        <v>14.3</v>
      </c>
      <c r="AM233" s="58" t="n"/>
      <c r="AN233" s="155" t="n"/>
      <c r="AO233" s="59" t="n"/>
      <c r="AP233" s="59" t="n"/>
      <c r="AQ233" s="59" t="n"/>
      <c r="AR233" s="155" t="n"/>
    </row>
    <row r="234">
      <c r="A234" s="50" t="inlineStr">
        <is>
          <t>5060923780095</t>
        </is>
      </c>
      <c r="B234" s="51" t="inlineStr">
        <is>
          <t>79120</t>
        </is>
      </c>
      <c r="C234" s="156" t="inlineStr">
        <is>
          <t>REFLO</t>
        </is>
      </c>
      <c r="D234" s="156" t="inlineStr">
        <is>
          <t>SARGFRE</t>
        </is>
      </c>
      <c r="E234" s="156" t="inlineStr">
        <is>
          <t>SARGFRE-L</t>
        </is>
      </c>
      <c r="F234" s="156" t="inlineStr">
        <is>
          <t>L</t>
        </is>
      </c>
      <c r="G234" s="156" t="inlineStr">
        <is>
          <t>L</t>
        </is>
      </c>
      <c r="H234" s="156" t="inlineStr">
        <is>
          <t>REFLO</t>
        </is>
      </c>
      <c r="I234" s="156" t="inlineStr">
        <is>
          <t>Chaleco REFLO Sargasso French Navy</t>
        </is>
      </c>
      <c r="J234" s="156" t="inlineStr">
        <is>
          <t>Ropa</t>
        </is>
      </c>
      <c r="K234" s="156" t="inlineStr">
        <is>
          <t>Chalecos</t>
        </is>
      </c>
      <c r="L234" s="156" t="n"/>
      <c r="M234" s="156" t="inlineStr">
        <is>
          <t>REFLO</t>
        </is>
      </c>
      <c r="N234" s="156" t="n"/>
      <c r="O234" s="156" t="n"/>
      <c r="P234" s="156" t="inlineStr">
        <is>
          <t>Azul</t>
        </is>
      </c>
      <c r="Q234" s="156" t="n"/>
      <c r="R234" s="156" t="n"/>
      <c r="S234" s="156" t="inlineStr">
        <is>
          <t>Poliéster reciclado</t>
        </is>
      </c>
      <c r="T234" s="156" t="inlineStr">
        <is>
          <t>Chaleco de golf REFLO modelo Sargasso en color French Navy, confeccionado con materiales reciclados. Estilo SARGFRE.</t>
        </is>
      </c>
      <c r="U234" s="156" t="n"/>
      <c r="V234" s="156" t="inlineStr">
        <is>
          <t>PZS</t>
        </is>
      </c>
      <c r="W234" s="51" t="inlineStr">
        <is>
          <t>53101800</t>
        </is>
      </c>
      <c r="X234" s="156" t="inlineStr">
        <is>
          <t>https://i.ibb.co/dWXPrf3/SARGFRE.jpg</t>
        </is>
      </c>
      <c r="Y234" s="54" t="n">
        <v>14.3</v>
      </c>
      <c r="Z234" s="54" t="n">
        <v>1049</v>
      </c>
      <c r="AA234" s="55">
        <f>IF(AND(A234="", B234="", E234=""), "", IF(AB234="", "Válido", IF((LEN(AB234)-LEN(SUBSTITUTE(AB234,"; ","")))/2+1&gt;(LEN(AB234)-LEN(SUBSTITUTE(AB234,"[Aviso]","")))/7, "Con Incidencias", "Válido")))</f>
        <v/>
      </c>
      <c r="AB234" s="56">
        <f>IF(AND(A234="", B234="", E234=""), "", TEXTJOIN("; ", TRUE, IF(OR(TRIM(A234&amp;"")="", ISNUMBER(SEARCH("FALTA", A234))), "UPC faltante/inválido", ""), IF(AND(A234&lt;&gt;"", IFERROR(_xlfn.XMATCH(A234,$A$2:$A$653,0,1)&lt;&gt;_xlfn.XMATCH(A234,$A$2:$A$653,0,-1),FALSE)), "Código de barras duplicado", ""), IF(AND(E234&lt;&gt;"", COUNTIF($E$2:$E$653, E234)&gt;1), "SKU duplicado", ""), IF(OR(J234="", J234=""), "[Aviso] División no capturada ()", IF(ISNA(MATCH(J234, Criterios!$A$123:$A$126, 0)), "División no válida", "")), IF(OR(K234="", K234=""), "[Aviso] Categoría no capturada ()", IF(ISNA(MATCH(K234, Criterios!$A$81:$A$120, 0)), "Categoría no válida", IF(AND(J234&lt;&gt;"", J234&lt;&gt;"", J234&lt;&gt;VLOOKUP(K234, Criterios!$A$81:$B$120, 2, FALSE)), "División no coincide con Categoría", ""))), IF(OR(L234="", L234=""), "[Aviso] Género no capturado ()", IF(ISNA(MATCH(L234, Criterios!$B$123:$B$127, 0)), "Género no válido", "")), IF(OR(N234="", N234=""), "[Aviso] Temporada no capturada ()", IF(ISNA(MATCH(N234, Criterios!$C$123:$C$128, 0)), "Temporada no válida", "")), IF(OR(O234="", O234=""), "[Aviso] Ciclo de vida no capturado ()", IF(ISNA(MATCH(O234, Criterios!$D$123:$D$124, 0)), "Ciclo de vida no válido", ""))))</f>
        <v/>
      </c>
      <c r="AC234" s="56" t="n"/>
      <c r="AD234" s="51" t="n">
        <v>6</v>
      </c>
      <c r="AE234" s="156" t="inlineStr">
        <is>
          <t>MUESTRAS REFLO (1); REFLO ALMACEN (4)</t>
        </is>
      </c>
      <c r="AF234" s="51" t="n">
        <v>6</v>
      </c>
      <c r="AG234" s="156" t="inlineStr">
        <is>
          <t>Nuevo – NetSuite con existencia</t>
        </is>
      </c>
      <c r="AH234" s="156" t="inlineStr">
        <is>
          <t>Género no indicado en NetSuite; Composición: poliéster reciclado (validar % en etiqueta); Físico total NetSuite 6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34" s="156" t="inlineStr">
        <is>
          <t>Sí</t>
        </is>
      </c>
      <c r="AJ234" s="156" t="inlineStr">
        <is>
          <t>CONSIGNA REFLO (-1)</t>
        </is>
      </c>
      <c r="AK234" s="155" t="inlineStr">
        <is>
          <t>G1522ProductosTodosloscamposSandboxResults894.xlsx: fila 58680 [X,Y]; G1522_Extraccion_Articulos_NetSuite_2026-09-30.xlsx: fila 37504 [Z]</t>
        </is>
      </c>
      <c r="AL234" s="58" t="n">
        <v>14.3</v>
      </c>
      <c r="AM234" s="58" t="n"/>
      <c r="AN234" s="155" t="n"/>
      <c r="AO234" s="59" t="n"/>
      <c r="AP234" s="59" t="n"/>
      <c r="AQ234" s="59" t="n"/>
      <c r="AR234" s="155" t="n"/>
    </row>
    <row r="235">
      <c r="A235" s="50" t="inlineStr">
        <is>
          <t>5060923780101</t>
        </is>
      </c>
      <c r="B235" s="51" t="inlineStr">
        <is>
          <t>79121</t>
        </is>
      </c>
      <c r="C235" s="156" t="inlineStr">
        <is>
          <t>REFLO</t>
        </is>
      </c>
      <c r="D235" s="156" t="inlineStr">
        <is>
          <t>SARGFRE</t>
        </is>
      </c>
      <c r="E235" s="156" t="inlineStr">
        <is>
          <t>SARGFRE-XL</t>
        </is>
      </c>
      <c r="F235" s="156" t="inlineStr">
        <is>
          <t>XL</t>
        </is>
      </c>
      <c r="G235" s="156" t="inlineStr">
        <is>
          <t>XL</t>
        </is>
      </c>
      <c r="H235" s="156" t="inlineStr">
        <is>
          <t>REFLO</t>
        </is>
      </c>
      <c r="I235" s="156" t="inlineStr">
        <is>
          <t>Chaleco REFLO Sargasso French Navy</t>
        </is>
      </c>
      <c r="J235" s="156" t="inlineStr">
        <is>
          <t>Ropa</t>
        </is>
      </c>
      <c r="K235" s="156" t="inlineStr">
        <is>
          <t>Chalecos</t>
        </is>
      </c>
      <c r="L235" s="156" t="n"/>
      <c r="M235" s="156" t="inlineStr">
        <is>
          <t>REFLO</t>
        </is>
      </c>
      <c r="N235" s="156" t="n"/>
      <c r="O235" s="156" t="n"/>
      <c r="P235" s="156" t="inlineStr">
        <is>
          <t>Azul</t>
        </is>
      </c>
      <c r="Q235" s="156" t="n"/>
      <c r="R235" s="156" t="n"/>
      <c r="S235" s="156" t="inlineStr">
        <is>
          <t>Poliéster reciclado</t>
        </is>
      </c>
      <c r="T235" s="156" t="inlineStr">
        <is>
          <t>Chaleco de golf REFLO modelo Sargasso en color French Navy, confeccionado con materiales reciclados. Estilo SARGFRE.</t>
        </is>
      </c>
      <c r="U235" s="156" t="n"/>
      <c r="V235" s="156" t="inlineStr">
        <is>
          <t>PZS</t>
        </is>
      </c>
      <c r="W235" s="51" t="inlineStr">
        <is>
          <t>53101800</t>
        </is>
      </c>
      <c r="X235" s="156" t="inlineStr">
        <is>
          <t>https://i.ibb.co/dWXPrf3/SARGFRE.jpg</t>
        </is>
      </c>
      <c r="Y235" s="54" t="n">
        <v>14.3</v>
      </c>
      <c r="Z235" s="54" t="n">
        <v>1049</v>
      </c>
      <c r="AA235" s="55">
        <f>IF(AND(A235="", B235="", E235=""), "", IF(AB235="", "Válido", IF((LEN(AB235)-LEN(SUBSTITUTE(AB235,"; ","")))/2+1&gt;(LEN(AB235)-LEN(SUBSTITUTE(AB235,"[Aviso]","")))/7, "Con Incidencias", "Válido")))</f>
        <v/>
      </c>
      <c r="AB235" s="56">
        <f>IF(AND(A235="", B235="", E235=""), "", TEXTJOIN("; ", TRUE, IF(OR(TRIM(A235&amp;"")="", ISNUMBER(SEARCH("FALTA", A235))), "UPC faltante/inválido", ""), IF(AND(A235&lt;&gt;"", IFERROR(_xlfn.XMATCH(A235,$A$2:$A$653,0,1)&lt;&gt;_xlfn.XMATCH(A235,$A$2:$A$653,0,-1),FALSE)), "Código de barras duplicado", ""), IF(AND(E235&lt;&gt;"", COUNTIF($E$2:$E$653, E235)&gt;1), "SKU duplicado", ""), IF(OR(J235="", J235=""), "[Aviso] División no capturada ()", IF(ISNA(MATCH(J235, Criterios!$A$123:$A$126, 0)), "División no válida", "")), IF(OR(K235="", K235=""), "[Aviso] Categoría no capturada ()", IF(ISNA(MATCH(K235, Criterios!$A$81:$A$120, 0)), "Categoría no válida", IF(AND(J235&lt;&gt;"", J235&lt;&gt;"", J235&lt;&gt;VLOOKUP(K235, Criterios!$A$81:$B$120, 2, FALSE)), "División no coincide con Categoría", ""))), IF(OR(L235="", L235=""), "[Aviso] Género no capturado ()", IF(ISNA(MATCH(L235, Criterios!$B$123:$B$127, 0)), "Género no válido", "")), IF(OR(N235="", N235=""), "[Aviso] Temporada no capturada ()", IF(ISNA(MATCH(N235, Criterios!$C$123:$C$128, 0)), "Temporada no válida", "")), IF(OR(O235="", O235=""), "[Aviso] Ciclo de vida no capturado ()", IF(ISNA(MATCH(O235, Criterios!$D$123:$D$124, 0)), "Ciclo de vida no válido", ""))))</f>
        <v/>
      </c>
      <c r="AC235" s="56" t="n"/>
      <c r="AD235" s="51" t="n">
        <v>8</v>
      </c>
      <c r="AE235" s="156" t="inlineStr">
        <is>
          <t>REFLO ALMACEN (5)</t>
        </is>
      </c>
      <c r="AF235" s="51" t="n">
        <v>9</v>
      </c>
      <c r="AG235" s="156" t="inlineStr">
        <is>
          <t>Nuevo – NetSuite con existencia</t>
        </is>
      </c>
      <c r="AH235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35" s="156" t="inlineStr">
        <is>
          <t>Sí</t>
        </is>
      </c>
      <c r="AJ235" s="156" t="inlineStr">
        <is>
          <t>CONSIGNA REFLO (-1)</t>
        </is>
      </c>
      <c r="AK235" s="155" t="inlineStr">
        <is>
          <t>G1522ProductosTodosloscamposSandboxResults894.xlsx: fila 58681 [X,Y]; G1522_Extraccion_Articulos_NetSuite_2026-09-30.xlsx: fila 37505 [Z]</t>
        </is>
      </c>
      <c r="AL235" s="58" t="n">
        <v>14.3</v>
      </c>
      <c r="AM235" s="58" t="n"/>
      <c r="AN235" s="155" t="n"/>
      <c r="AO235" s="59" t="n"/>
      <c r="AP235" s="59" t="n"/>
      <c r="AQ235" s="59" t="n"/>
      <c r="AR235" s="155" t="n"/>
    </row>
    <row r="236">
      <c r="A236" s="50" t="inlineStr">
        <is>
          <t>5060923780118</t>
        </is>
      </c>
      <c r="B236" s="51" t="inlineStr">
        <is>
          <t>79122</t>
        </is>
      </c>
      <c r="C236" s="156" t="inlineStr">
        <is>
          <t>REFLO</t>
        </is>
      </c>
      <c r="D236" s="156" t="inlineStr">
        <is>
          <t>SARGFRE</t>
        </is>
      </c>
      <c r="E236" s="156" t="inlineStr">
        <is>
          <t>SARGFRE-XXL</t>
        </is>
      </c>
      <c r="F236" s="156" t="inlineStr">
        <is>
          <t>XXL</t>
        </is>
      </c>
      <c r="G236" s="156" t="inlineStr">
        <is>
          <t>XXL</t>
        </is>
      </c>
      <c r="H236" s="156" t="inlineStr">
        <is>
          <t>REFLO</t>
        </is>
      </c>
      <c r="I236" s="156" t="inlineStr">
        <is>
          <t>Chaleco REFLO Sargasso French Navy</t>
        </is>
      </c>
      <c r="J236" s="156" t="inlineStr">
        <is>
          <t>Ropa</t>
        </is>
      </c>
      <c r="K236" s="156" t="inlineStr">
        <is>
          <t>Chalecos</t>
        </is>
      </c>
      <c r="L236" s="156" t="n"/>
      <c r="M236" s="156" t="inlineStr">
        <is>
          <t>REFLO</t>
        </is>
      </c>
      <c r="N236" s="156" t="n"/>
      <c r="O236" s="156" t="n"/>
      <c r="P236" s="156" t="inlineStr">
        <is>
          <t>Azul</t>
        </is>
      </c>
      <c r="Q236" s="156" t="n"/>
      <c r="R236" s="156" t="n"/>
      <c r="S236" s="156" t="inlineStr">
        <is>
          <t>Poliéster reciclado</t>
        </is>
      </c>
      <c r="T236" s="156" t="inlineStr">
        <is>
          <t>Chaleco de golf REFLO modelo Sargasso en color French Navy, confeccionado con materiales reciclados. Estilo SARGFRE.</t>
        </is>
      </c>
      <c r="U236" s="156" t="n"/>
      <c r="V236" s="156" t="inlineStr">
        <is>
          <t>PZS</t>
        </is>
      </c>
      <c r="W236" s="51" t="inlineStr">
        <is>
          <t>53101800</t>
        </is>
      </c>
      <c r="X236" s="156" t="inlineStr">
        <is>
          <t>https://i.ibb.co/dWXPrf3/SARGFRE.jpg</t>
        </is>
      </c>
      <c r="Y236" s="54" t="n">
        <v>14.3</v>
      </c>
      <c r="Z236" s="54" t="n">
        <v>1049</v>
      </c>
      <c r="AA236" s="55">
        <f>IF(AND(A236="", B236="", E236=""), "", IF(AB236="", "Válido", IF((LEN(AB236)-LEN(SUBSTITUTE(AB236,"; ","")))/2+1&gt;(LEN(AB236)-LEN(SUBSTITUTE(AB236,"[Aviso]","")))/7, "Con Incidencias", "Válido")))</f>
        <v/>
      </c>
      <c r="AB236" s="56">
        <f>IF(AND(A236="", B236="", E236=""), "", TEXTJOIN("; ", TRUE, IF(OR(TRIM(A236&amp;"")="", ISNUMBER(SEARCH("FALTA", A236))), "UPC faltante/inválido", ""), IF(AND(A236&lt;&gt;"", IFERROR(_xlfn.XMATCH(A236,$A$2:$A$653,0,1)&lt;&gt;_xlfn.XMATCH(A236,$A$2:$A$653,0,-1),FALSE)), "Código de barras duplicado", ""), IF(AND(E236&lt;&gt;"", COUNTIF($E$2:$E$653, E236)&gt;1), "SKU duplicado", ""), IF(OR(J236="", J236=""), "[Aviso] División no capturada ()", IF(ISNA(MATCH(J236, Criterios!$A$123:$A$126, 0)), "División no válida", "")), IF(OR(K236="", K236=""), "[Aviso] Categoría no capturada ()", IF(ISNA(MATCH(K236, Criterios!$A$81:$A$120, 0)), "Categoría no válida", IF(AND(J236&lt;&gt;"", J236&lt;&gt;"", J236&lt;&gt;VLOOKUP(K236, Criterios!$A$81:$B$120, 2, FALSE)), "División no coincide con Categoría", ""))), IF(OR(L236="", L236=""), "[Aviso] Género no capturado ()", IF(ISNA(MATCH(L236, Criterios!$B$123:$B$127, 0)), "Género no válido", "")), IF(OR(N236="", N236=""), "[Aviso] Temporada no capturada ()", IF(ISNA(MATCH(N236, Criterios!$C$123:$C$128, 0)), "Temporada no válida", "")), IF(OR(O236="", O236=""), "[Aviso] Ciclo de vida no capturado ()", IF(ISNA(MATCH(O236, Criterios!$D$123:$D$124, 0)), "Ciclo de vida no válido", ""))))</f>
        <v/>
      </c>
      <c r="AC236" s="56" t="n"/>
      <c r="AD236" s="51" t="n">
        <v>4</v>
      </c>
      <c r="AE236" s="156" t="inlineStr">
        <is>
          <t>REFLO ALMACEN (3)</t>
        </is>
      </c>
      <c r="AF236" s="51" t="n">
        <v>5</v>
      </c>
      <c r="AG236" s="156" t="inlineStr">
        <is>
          <t>Nuevo – NetSuite con existencia</t>
        </is>
      </c>
      <c r="AH236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36" s="156" t="inlineStr">
        <is>
          <t>Sí</t>
        </is>
      </c>
      <c r="AJ236" s="156" t="inlineStr">
        <is>
          <t>CONSIGNA REFLO (-1)</t>
        </is>
      </c>
      <c r="AK236" s="155" t="inlineStr">
        <is>
          <t>G1522ProductosTodosloscamposSandboxResults894.xlsx: fila 58682 [X,Y]; G1522_Extraccion_Articulos_NetSuite_2026-09-30.xlsx: fila 37506 [Z]</t>
        </is>
      </c>
      <c r="AL236" s="58" t="n">
        <v>14.3</v>
      </c>
      <c r="AM236" s="58" t="n"/>
      <c r="AN236" s="155" t="n"/>
      <c r="AO236" s="59" t="n"/>
      <c r="AP236" s="59" t="n"/>
      <c r="AQ236" s="59" t="n"/>
      <c r="AR236" s="155" t="n"/>
    </row>
    <row r="237">
      <c r="A237" s="50" t="inlineStr">
        <is>
          <t>5060923780071</t>
        </is>
      </c>
      <c r="B237" s="51" t="inlineStr">
        <is>
          <t>84434</t>
        </is>
      </c>
      <c r="C237" s="156" t="inlineStr">
        <is>
          <t>REFLO</t>
        </is>
      </c>
      <c r="D237" s="156" t="inlineStr">
        <is>
          <t>SARGFRE</t>
        </is>
      </c>
      <c r="E237" s="156" t="inlineStr">
        <is>
          <t>SARGFRE-S</t>
        </is>
      </c>
      <c r="F237" s="156" t="inlineStr">
        <is>
          <t>S</t>
        </is>
      </c>
      <c r="G237" s="156" t="inlineStr">
        <is>
          <t>S</t>
        </is>
      </c>
      <c r="H237" s="156" t="inlineStr">
        <is>
          <t>REFLO</t>
        </is>
      </c>
      <c r="I237" s="156" t="inlineStr">
        <is>
          <t>Chaleco REFLO Sargasso French Navy</t>
        </is>
      </c>
      <c r="J237" s="156" t="inlineStr">
        <is>
          <t>Ropa</t>
        </is>
      </c>
      <c r="K237" s="156" t="inlineStr">
        <is>
          <t>Chalecos</t>
        </is>
      </c>
      <c r="L237" s="156" t="n"/>
      <c r="M237" s="156" t="inlineStr">
        <is>
          <t>REFLO</t>
        </is>
      </c>
      <c r="N237" s="156" t="n"/>
      <c r="O237" s="156" t="n"/>
      <c r="P237" s="156" t="inlineStr">
        <is>
          <t>Azul</t>
        </is>
      </c>
      <c r="Q237" s="156" t="n"/>
      <c r="R237" s="156" t="n"/>
      <c r="S237" s="156" t="inlineStr">
        <is>
          <t>Poliéster reciclado</t>
        </is>
      </c>
      <c r="T237" s="156" t="inlineStr">
        <is>
          <t>Chaleco de golf REFLO modelo Sargasso en color French Navy, confeccionado con materiales reciclados. Estilo SARGFRE.</t>
        </is>
      </c>
      <c r="U237" s="156" t="n"/>
      <c r="V237" s="156" t="inlineStr">
        <is>
          <t>PZS</t>
        </is>
      </c>
      <c r="W237" s="51" t="inlineStr">
        <is>
          <t>53101800</t>
        </is>
      </c>
      <c r="X237" s="156" t="inlineStr">
        <is>
          <t>https://i.ibb.co/dWXPrf3/SARGFRE.jpg</t>
        </is>
      </c>
      <c r="Y237" s="54" t="n">
        <v>14.3</v>
      </c>
      <c r="Z237" s="54" t="n">
        <v>1049</v>
      </c>
      <c r="AA237" s="55">
        <f>IF(AND(A237="", B237="", E237=""), "", IF(AB237="", "Válido", IF((LEN(AB237)-LEN(SUBSTITUTE(AB237,"; ","")))/2+1&gt;(LEN(AB237)-LEN(SUBSTITUTE(AB237,"[Aviso]","")))/7, "Con Incidencias", "Válido")))</f>
        <v/>
      </c>
      <c r="AB237" s="56">
        <f>IF(AND(A237="", B237="", E237=""), "", TEXTJOIN("; ", TRUE, IF(OR(TRIM(A237&amp;"")="", ISNUMBER(SEARCH("FALTA", A237))), "UPC faltante/inválido", ""), IF(AND(A237&lt;&gt;"", IFERROR(_xlfn.XMATCH(A237,$A$2:$A$653,0,1)&lt;&gt;_xlfn.XMATCH(A237,$A$2:$A$653,0,-1),FALSE)), "Código de barras duplicado", ""), IF(AND(E237&lt;&gt;"", COUNTIF($E$2:$E$653, E237)&gt;1), "SKU duplicado", ""), IF(OR(J237="", J237=""), "[Aviso] División no capturada ()", IF(ISNA(MATCH(J237, Criterios!$A$123:$A$126, 0)), "División no válida", "")), IF(OR(K237="", K237=""), "[Aviso] Categoría no capturada ()", IF(ISNA(MATCH(K237, Criterios!$A$81:$A$120, 0)), "Categoría no válida", IF(AND(J237&lt;&gt;"", J237&lt;&gt;"", J237&lt;&gt;VLOOKUP(K237, Criterios!$A$81:$B$120, 2, FALSE)), "División no coincide con Categoría", ""))), IF(OR(L237="", L237=""), "[Aviso] Género no capturado ()", IF(ISNA(MATCH(L237, Criterios!$B$123:$B$127, 0)), "Género no válido", "")), IF(OR(N237="", N237=""), "[Aviso] Temporada no capturada ()", IF(ISNA(MATCH(N237, Criterios!$C$123:$C$128, 0)), "Temporada no válida", "")), IF(OR(O237="", O237=""), "[Aviso] Ciclo de vida no capturado ()", IF(ISNA(MATCH(O237, Criterios!$D$123:$D$124, 0)), "Ciclo de vida no válido", ""))))</f>
        <v/>
      </c>
      <c r="AC237" s="56" t="n"/>
      <c r="AD237" s="51" t="n">
        <v>8</v>
      </c>
      <c r="AE237" s="156" t="inlineStr">
        <is>
          <t>REFLO ALMACEN (4)</t>
        </is>
      </c>
      <c r="AF237" s="51" t="n">
        <v>8</v>
      </c>
      <c r="AG237" s="156" t="inlineStr">
        <is>
          <t>Nuevo – NetSuite con existencia</t>
        </is>
      </c>
      <c r="AH237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Validación G1522: [Aviso] Precio de compra posiblemente en USD · Validador Shopify: WB: precio con IVA no termina en 9</t>
        </is>
      </c>
      <c r="AI237" s="156" t="inlineStr">
        <is>
          <t>No</t>
        </is>
      </c>
      <c r="AJ237" s="156" t="n"/>
      <c r="AK237" s="155" t="inlineStr">
        <is>
          <t>G1522ProductosTodosloscamposSandboxResults894.xlsx: fila 58678 [X,Y]; G1522_Extraccion_Articulos_NetSuite_2026-09-30.xlsx: fila 39603 [Z]</t>
        </is>
      </c>
      <c r="AL237" s="58" t="n">
        <v>14.3</v>
      </c>
      <c r="AM237" s="58" t="n"/>
      <c r="AN237" s="155" t="n"/>
      <c r="AO237" s="59" t="n"/>
      <c r="AP237" s="59" t="n"/>
      <c r="AQ237" s="59" t="n"/>
      <c r="AR237" s="155" t="n"/>
    </row>
    <row r="238">
      <c r="A238" s="50" t="inlineStr">
        <is>
          <t>5060923783737</t>
        </is>
      </c>
      <c r="B238" s="51" t="inlineStr">
        <is>
          <t>79334</t>
        </is>
      </c>
      <c r="C238" s="156" t="inlineStr">
        <is>
          <t>REFLO</t>
        </is>
      </c>
      <c r="D238" s="156" t="inlineStr">
        <is>
          <t>SULUBLA</t>
        </is>
      </c>
      <c r="E238" s="156" t="inlineStr">
        <is>
          <t>SULUBLA-M</t>
        </is>
      </c>
      <c r="F238" s="156" t="inlineStr">
        <is>
          <t>M</t>
        </is>
      </c>
      <c r="G238" s="156" t="inlineStr">
        <is>
          <t>M</t>
        </is>
      </c>
      <c r="H238" s="156" t="inlineStr">
        <is>
          <t>REFLO</t>
        </is>
      </c>
      <c r="I238" s="156" t="inlineStr">
        <is>
          <t>Playera tipo polo REFLO Sulu Black</t>
        </is>
      </c>
      <c r="J238" s="156" t="inlineStr">
        <is>
          <t>Ropa</t>
        </is>
      </c>
      <c r="K238" s="156" t="inlineStr">
        <is>
          <t>Playeras</t>
        </is>
      </c>
      <c r="L238" s="156" t="n"/>
      <c r="M238" s="156" t="inlineStr">
        <is>
          <t>REFLO</t>
        </is>
      </c>
      <c r="N238" s="156" t="n"/>
      <c r="O238" s="156" t="n"/>
      <c r="P238" s="156" t="inlineStr">
        <is>
          <t>Negro</t>
        </is>
      </c>
      <c r="Q238" s="156" t="n"/>
      <c r="R238" s="156" t="n"/>
      <c r="S238" s="156" t="inlineStr">
        <is>
          <t>Poliéster reciclado</t>
        </is>
      </c>
      <c r="T238" s="156" t="inlineStr">
        <is>
          <t>Playera tipo polo de golf REFLO modelo Sulu en color Black, confeccionado con materiales reciclados. Estilo SULUBLA.</t>
        </is>
      </c>
      <c r="U238" s="156" t="n"/>
      <c r="V238" s="156" t="inlineStr">
        <is>
          <t>PZS</t>
        </is>
      </c>
      <c r="W238" s="51" t="inlineStr">
        <is>
          <t>53101600</t>
        </is>
      </c>
      <c r="X238" s="156" t="inlineStr">
        <is>
          <t>https://i.ibb.co/G2gCm36/SULUBLA.jpg</t>
        </is>
      </c>
      <c r="Y238" s="54" t="n">
        <v>22.75</v>
      </c>
      <c r="Z238" s="54" t="n">
        <v>1649</v>
      </c>
      <c r="AA238" s="55">
        <f>IF(AND(A238="", B238="", E238=""), "", IF(AB238="", "Válido", IF((LEN(AB238)-LEN(SUBSTITUTE(AB238,"; ","")))/2+1&gt;(LEN(AB238)-LEN(SUBSTITUTE(AB238,"[Aviso]","")))/7, "Con Incidencias", "Válido")))</f>
        <v/>
      </c>
      <c r="AB238" s="56">
        <f>IF(AND(A238="", B238="", E238=""), "", TEXTJOIN("; ", TRUE, IF(OR(TRIM(A238&amp;"")="", ISNUMBER(SEARCH("FALTA", A238))), "UPC faltante/inválido", ""), IF(AND(A238&lt;&gt;"", IFERROR(_xlfn.XMATCH(A238,$A$2:$A$653,0,1)&lt;&gt;_xlfn.XMATCH(A238,$A$2:$A$653,0,-1),FALSE)), "Código de barras duplicado", ""), IF(AND(E238&lt;&gt;"", COUNTIF($E$2:$E$653, E238)&gt;1), "SKU duplicado", ""), IF(OR(J238="", J238=""), "[Aviso] División no capturada ()", IF(ISNA(MATCH(J238, Criterios!$A$123:$A$126, 0)), "División no válida", "")), IF(OR(K238="", K238=""), "[Aviso] Categoría no capturada ()", IF(ISNA(MATCH(K238, Criterios!$A$81:$A$120, 0)), "Categoría no válida", IF(AND(J238&lt;&gt;"", J238&lt;&gt;"", J238&lt;&gt;VLOOKUP(K238, Criterios!$A$81:$B$120, 2, FALSE)), "División no coincide con Categoría", ""))), IF(OR(L238="", L238=""), "[Aviso] Género no capturado ()", IF(ISNA(MATCH(L238, Criterios!$B$123:$B$127, 0)), "Género no válido", "")), IF(OR(N238="", N238=""), "[Aviso] Temporada no capturada ()", IF(ISNA(MATCH(N238, Criterios!$C$123:$C$128, 0)), "Temporada no válida", "")), IF(OR(O238="", O238=""), "[Aviso] Ciclo de vida no capturado ()", IF(ISNA(MATCH(O238, Criterios!$D$123:$D$124, 0)), "Ciclo de vida no válido", ""))))</f>
        <v/>
      </c>
      <c r="AC238" s="56" t="n"/>
      <c r="AD238" s="51" t="n">
        <v>3</v>
      </c>
      <c r="AE238" s="156" t="inlineStr">
        <is>
          <t>REFLO ALMACEN (3); MUESTRAS REFLO (1)</t>
        </is>
      </c>
      <c r="AF238" s="51" t="n">
        <v>3</v>
      </c>
      <c r="AG238" s="156" t="inlineStr">
        <is>
          <t>Nuevo – NetSuite con existencia</t>
        </is>
      </c>
      <c r="AH238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38" s="156" t="inlineStr">
        <is>
          <t>Sí</t>
        </is>
      </c>
      <c r="AJ238" s="156" t="inlineStr">
        <is>
          <t>CONSIGNA REFLO (-1)</t>
        </is>
      </c>
      <c r="AK238" s="155" t="inlineStr">
        <is>
          <t>G1522ProductosTodosloscamposSandboxResults894.xlsx: fila 58910 [X,Y]; G1522_Extraccion_Articulos_NetSuite_2026-09-30.xlsx: fila 37666 [Z]</t>
        </is>
      </c>
      <c r="AL238" s="58" t="n">
        <v>22.75</v>
      </c>
      <c r="AM238" s="58" t="n"/>
      <c r="AN238" s="155" t="n"/>
      <c r="AO238" s="59" t="n"/>
      <c r="AP238" s="59" t="n"/>
      <c r="AQ238" s="59" t="n"/>
      <c r="AR238" s="155" t="n"/>
    </row>
    <row r="239">
      <c r="A239" s="50" t="inlineStr">
        <is>
          <t>5060923783768</t>
        </is>
      </c>
      <c r="B239" s="51" t="inlineStr">
        <is>
          <t>79335</t>
        </is>
      </c>
      <c r="C239" s="156" t="inlineStr">
        <is>
          <t>REFLO</t>
        </is>
      </c>
      <c r="D239" s="156" t="inlineStr">
        <is>
          <t>SULUBLA</t>
        </is>
      </c>
      <c r="E239" s="156" t="inlineStr">
        <is>
          <t>SULUBLA-XXL</t>
        </is>
      </c>
      <c r="F239" s="156" t="inlineStr">
        <is>
          <t>XXL</t>
        </is>
      </c>
      <c r="G239" s="156" t="inlineStr">
        <is>
          <t>XXL</t>
        </is>
      </c>
      <c r="H239" s="156" t="inlineStr">
        <is>
          <t>REFLO</t>
        </is>
      </c>
      <c r="I239" s="156" t="inlineStr">
        <is>
          <t>Playera tipo polo REFLO Sulu Black</t>
        </is>
      </c>
      <c r="J239" s="156" t="inlineStr">
        <is>
          <t>Ropa</t>
        </is>
      </c>
      <c r="K239" s="156" t="inlineStr">
        <is>
          <t>Playeras</t>
        </is>
      </c>
      <c r="L239" s="156" t="n"/>
      <c r="M239" s="156" t="inlineStr">
        <is>
          <t>REFLO</t>
        </is>
      </c>
      <c r="N239" s="156" t="n"/>
      <c r="O239" s="156" t="n"/>
      <c r="P239" s="156" t="inlineStr">
        <is>
          <t>Negro</t>
        </is>
      </c>
      <c r="Q239" s="156" t="n"/>
      <c r="R239" s="156" t="n"/>
      <c r="S239" s="156" t="inlineStr">
        <is>
          <t>Poliéster reciclado</t>
        </is>
      </c>
      <c r="T239" s="156" t="inlineStr">
        <is>
          <t>Playera tipo polo de golf REFLO modelo Sulu en color Black, confeccionado con materiales reciclados. Estilo SULUBLA.</t>
        </is>
      </c>
      <c r="U239" s="156" t="n"/>
      <c r="V239" s="156" t="inlineStr">
        <is>
          <t>PZS</t>
        </is>
      </c>
      <c r="W239" s="51" t="inlineStr">
        <is>
          <t>53101600</t>
        </is>
      </c>
      <c r="X239" s="156" t="inlineStr">
        <is>
          <t>https://i.ibb.co/G2gCm36/SULUBLA.jpg</t>
        </is>
      </c>
      <c r="Y239" s="54" t="n">
        <v>22.75</v>
      </c>
      <c r="Z239" s="54" t="n">
        <v>1649</v>
      </c>
      <c r="AA239" s="55">
        <f>IF(AND(A239="", B239="", E239=""), "", IF(AB239="", "Válido", IF((LEN(AB239)-LEN(SUBSTITUTE(AB239,"; ","")))/2+1&gt;(LEN(AB239)-LEN(SUBSTITUTE(AB239,"[Aviso]","")))/7, "Con Incidencias", "Válido")))</f>
        <v/>
      </c>
      <c r="AB239" s="56">
        <f>IF(AND(A239="", B239="", E239=""), "", TEXTJOIN("; ", TRUE, IF(OR(TRIM(A239&amp;"")="", ISNUMBER(SEARCH("FALTA", A239))), "UPC faltante/inválido", ""), IF(AND(A239&lt;&gt;"", IFERROR(_xlfn.XMATCH(A239,$A$2:$A$653,0,1)&lt;&gt;_xlfn.XMATCH(A239,$A$2:$A$653,0,-1),FALSE)), "Código de barras duplicado", ""), IF(AND(E239&lt;&gt;"", COUNTIF($E$2:$E$653, E239)&gt;1), "SKU duplicado", ""), IF(OR(J239="", J239=""), "[Aviso] División no capturada ()", IF(ISNA(MATCH(J239, Criterios!$A$123:$A$126, 0)), "División no válida", "")), IF(OR(K239="", K239=""), "[Aviso] Categoría no capturada ()", IF(ISNA(MATCH(K239, Criterios!$A$81:$A$120, 0)), "Categoría no válida", IF(AND(J239&lt;&gt;"", J239&lt;&gt;"", J239&lt;&gt;VLOOKUP(K239, Criterios!$A$81:$B$120, 2, FALSE)), "División no coincide con Categoría", ""))), IF(OR(L239="", L239=""), "[Aviso] Género no capturado ()", IF(ISNA(MATCH(L239, Criterios!$B$123:$B$127, 0)), "Género no válido", "")), IF(OR(N239="", N239=""), "[Aviso] Temporada no capturada ()", IF(ISNA(MATCH(N239, Criterios!$C$123:$C$128, 0)), "Temporada no válida", "")), IF(OR(O239="", O239=""), "[Aviso] Ciclo de vida no capturado ()", IF(ISNA(MATCH(O239, Criterios!$D$123:$D$124, 0)), "Ciclo de vida no válido", ""))))</f>
        <v/>
      </c>
      <c r="AC239" s="56" t="n"/>
      <c r="AD239" s="51" t="n">
        <v>4</v>
      </c>
      <c r="AE239" s="156" t="inlineStr">
        <is>
          <t>REFLO ALMACEN (3)</t>
        </is>
      </c>
      <c r="AF239" s="51" t="n">
        <v>5</v>
      </c>
      <c r="AG239" s="156" t="inlineStr">
        <is>
          <t>Nuevo – NetSuite con existencia</t>
        </is>
      </c>
      <c r="AH239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39" s="156" t="inlineStr">
        <is>
          <t>Sí</t>
        </is>
      </c>
      <c r="AJ239" s="156" t="inlineStr">
        <is>
          <t>CONSIGNA REFLO (-1)</t>
        </is>
      </c>
      <c r="AK239" s="155" t="inlineStr">
        <is>
          <t>G1522ProductosTodosloscamposSandboxResults894.xlsx: fila 58911 [X,Y]; G1522_Extraccion_Articulos_NetSuite_2026-09-30.xlsx: fila 37667 [Z]</t>
        </is>
      </c>
      <c r="AL239" s="58" t="n">
        <v>22.75</v>
      </c>
      <c r="AM239" s="58" t="n"/>
      <c r="AN239" s="155" t="n"/>
      <c r="AO239" s="59" t="n"/>
      <c r="AP239" s="59" t="n"/>
      <c r="AQ239" s="59" t="n"/>
      <c r="AR239" s="155" t="n"/>
    </row>
    <row r="240">
      <c r="A240" s="50" t="inlineStr">
        <is>
          <t>5060923783850</t>
        </is>
      </c>
      <c r="B240" s="51" t="inlineStr">
        <is>
          <t>79336</t>
        </is>
      </c>
      <c r="C240" s="156" t="inlineStr">
        <is>
          <t>REFLO</t>
        </is>
      </c>
      <c r="D240" s="156" t="inlineStr">
        <is>
          <t>SULUCLO</t>
        </is>
      </c>
      <c r="E240" s="156" t="inlineStr">
        <is>
          <t>SULUCLO-M</t>
        </is>
      </c>
      <c r="F240" s="156" t="inlineStr">
        <is>
          <t>M</t>
        </is>
      </c>
      <c r="G240" s="156" t="inlineStr">
        <is>
          <t>M</t>
        </is>
      </c>
      <c r="H240" s="156" t="inlineStr">
        <is>
          <t>REFLO</t>
        </is>
      </c>
      <c r="I240" s="156" t="inlineStr">
        <is>
          <t>Playera tipo polo REFLO Sulu Cloud</t>
        </is>
      </c>
      <c r="J240" s="156" t="inlineStr">
        <is>
          <t>Ropa</t>
        </is>
      </c>
      <c r="K240" s="156" t="inlineStr">
        <is>
          <t>Playeras</t>
        </is>
      </c>
      <c r="L240" s="156" t="n"/>
      <c r="M240" s="156" t="inlineStr">
        <is>
          <t>REFLO</t>
        </is>
      </c>
      <c r="N240" s="156" t="n"/>
      <c r="O240" s="156" t="n"/>
      <c r="P240" s="156" t="n"/>
      <c r="Q240" s="156" t="n"/>
      <c r="R240" s="156" t="n"/>
      <c r="S240" s="156" t="inlineStr">
        <is>
          <t>Poliéster reciclado</t>
        </is>
      </c>
      <c r="T240" s="156" t="inlineStr">
        <is>
          <t>Playera tipo polo de golf REFLO modelo Sulu en color Cloud, confeccionado con materiales reciclados. Estilo SULUCLO.</t>
        </is>
      </c>
      <c r="U240" s="156" t="n"/>
      <c r="V240" s="156" t="inlineStr">
        <is>
          <t>PZS</t>
        </is>
      </c>
      <c r="W240" s="51" t="inlineStr">
        <is>
          <t>53101600</t>
        </is>
      </c>
      <c r="X240" s="156" t="inlineStr">
        <is>
          <t>https://i.ibb.co/yRmYkHP/SULUCLO.jpg</t>
        </is>
      </c>
      <c r="Y240" s="54" t="n">
        <v>22.75</v>
      </c>
      <c r="Z240" s="54" t="n">
        <v>1649</v>
      </c>
      <c r="AA240" s="55">
        <f>IF(AND(A240="", B240="", E240=""), "", IF(AB240="", "Válido", IF((LEN(AB240)-LEN(SUBSTITUTE(AB240,"; ","")))/2+1&gt;(LEN(AB240)-LEN(SUBSTITUTE(AB240,"[Aviso]","")))/7, "Con Incidencias", "Válido")))</f>
        <v/>
      </c>
      <c r="AB240" s="56">
        <f>IF(AND(A240="", B240="", E240=""), "", TEXTJOIN("; ", TRUE, IF(OR(TRIM(A240&amp;"")="", ISNUMBER(SEARCH("FALTA", A240))), "UPC faltante/inválido", ""), IF(AND(A240&lt;&gt;"", IFERROR(_xlfn.XMATCH(A240,$A$2:$A$653,0,1)&lt;&gt;_xlfn.XMATCH(A240,$A$2:$A$653,0,-1),FALSE)), "Código de barras duplicado", ""), IF(AND(E240&lt;&gt;"", COUNTIF($E$2:$E$653, E240)&gt;1), "SKU duplicado", ""), IF(OR(J240="", J240=""), "[Aviso] División no capturada ()", IF(ISNA(MATCH(J240, Criterios!$A$123:$A$126, 0)), "División no válida", "")), IF(OR(K240="", K240=""), "[Aviso] Categoría no capturada ()", IF(ISNA(MATCH(K240, Criterios!$A$81:$A$120, 0)), "Categoría no válida", IF(AND(J240&lt;&gt;"", J240&lt;&gt;"", J240&lt;&gt;VLOOKUP(K240, Criterios!$A$81:$B$120, 2, FALSE)), "División no coincide con Categoría", ""))), IF(OR(L240="", L240=""), "[Aviso] Género no capturado ()", IF(ISNA(MATCH(L240, Criterios!$B$123:$B$127, 0)), "Género no válido", "")), IF(OR(N240="", N240=""), "[Aviso] Temporada no capturada ()", IF(ISNA(MATCH(N240, Criterios!$C$123:$C$128, 0)), "Temporada no válida", "")), IF(OR(O240="", O240=""), "[Aviso] Ciclo de vida no capturado ()", IF(ISNA(MATCH(O240, Criterios!$D$123:$D$124, 0)), "Ciclo de vida no válido", ""))))</f>
        <v/>
      </c>
      <c r="AC240" s="56" t="n"/>
      <c r="AD240" s="51" t="n">
        <v>2</v>
      </c>
      <c r="AE240" s="156" t="inlineStr">
        <is>
          <t>MUESTRAS REFLO (1); CONSIGNA REFLO (1)</t>
        </is>
      </c>
      <c r="AF240" s="51" t="n">
        <v>1</v>
      </c>
      <c r="AG240" s="156" t="inlineStr">
        <is>
          <t>Nuevo – NetSuite con existencia</t>
        </is>
      </c>
      <c r="AH240" s="156" t="inlineStr">
        <is>
          <t>Género no indicado en NetSuite; Composición: poliéster reciclado (validar % en etiqueta); Color por validar | Revisión 29/09/2026: Marca REFLO fuera de lista Criterios; Campos sin respaldo: L, N, O, P, Q, U; Auditoría NetSuite 30/09/2026: llenado desde NetSuite [Z] | Homologación G1522 06/10/2026: Validador Shopify: WB: precio con IVA no termina en 9</t>
        </is>
      </c>
      <c r="AI240" s="156" t="inlineStr">
        <is>
          <t>No</t>
        </is>
      </c>
      <c r="AJ240" s="156" t="n"/>
      <c r="AK240" s="155" t="inlineStr">
        <is>
          <t>G1522ProductosTodosloscamposSandboxResults894.xlsx: fila 58913 [X,Y]; G1522_Extraccion_Articulos_NetSuite_2026-09-30.xlsx: fila 37668 [Z]</t>
        </is>
      </c>
      <c r="AL240" s="58" t="n">
        <v>22.75</v>
      </c>
      <c r="AM240" s="58" t="n"/>
      <c r="AN240" s="155" t="n"/>
      <c r="AO240" s="59" t="n"/>
      <c r="AP240" s="59" t="n"/>
      <c r="AQ240" s="59" t="n"/>
      <c r="AR240" s="155" t="n"/>
    </row>
    <row r="241">
      <c r="A241" s="50" t="inlineStr">
        <is>
          <t>5060923783874</t>
        </is>
      </c>
      <c r="B241" s="51" t="inlineStr">
        <is>
          <t>79337</t>
        </is>
      </c>
      <c r="C241" s="156" t="inlineStr">
        <is>
          <t>REFLO</t>
        </is>
      </c>
      <c r="D241" s="156" t="inlineStr">
        <is>
          <t>SULUCLO</t>
        </is>
      </c>
      <c r="E241" s="156" t="inlineStr">
        <is>
          <t>SULUCLO-XL</t>
        </is>
      </c>
      <c r="F241" s="156" t="inlineStr">
        <is>
          <t>XL</t>
        </is>
      </c>
      <c r="G241" s="156" t="inlineStr">
        <is>
          <t>XL</t>
        </is>
      </c>
      <c r="H241" s="156" t="inlineStr">
        <is>
          <t>REFLO</t>
        </is>
      </c>
      <c r="I241" s="156" t="inlineStr">
        <is>
          <t>Playera tipo polo REFLO Sulu Cloud</t>
        </is>
      </c>
      <c r="J241" s="156" t="inlineStr">
        <is>
          <t>Ropa</t>
        </is>
      </c>
      <c r="K241" s="156" t="inlineStr">
        <is>
          <t>Playeras</t>
        </is>
      </c>
      <c r="L241" s="156" t="n"/>
      <c r="M241" s="156" t="inlineStr">
        <is>
          <t>REFLO</t>
        </is>
      </c>
      <c r="N241" s="156" t="n"/>
      <c r="O241" s="156" t="n"/>
      <c r="P241" s="156" t="n"/>
      <c r="Q241" s="156" t="n"/>
      <c r="R241" s="156" t="n"/>
      <c r="S241" s="156" t="inlineStr">
        <is>
          <t>Poliéster reciclado</t>
        </is>
      </c>
      <c r="T241" s="156" t="inlineStr">
        <is>
          <t>Playera tipo polo de golf REFLO modelo Sulu en color Cloud, confeccionado con materiales reciclados. Estilo SULUCLO.</t>
        </is>
      </c>
      <c r="U241" s="156" t="n"/>
      <c r="V241" s="156" t="inlineStr">
        <is>
          <t>PZS</t>
        </is>
      </c>
      <c r="W241" s="51" t="inlineStr">
        <is>
          <t>53101600</t>
        </is>
      </c>
      <c r="X241" s="156" t="inlineStr">
        <is>
          <t>https://i.ibb.co/yRmYkHP/SULUCLO.jpg</t>
        </is>
      </c>
      <c r="Y241" s="54" t="n">
        <v>22.75</v>
      </c>
      <c r="Z241" s="54" t="n">
        <v>1649</v>
      </c>
      <c r="AA241" s="55">
        <f>IF(AND(A241="", B241="", E241=""), "", IF(AB241="", "Válido", IF((LEN(AB241)-LEN(SUBSTITUTE(AB241,"; ","")))/2+1&gt;(LEN(AB241)-LEN(SUBSTITUTE(AB241,"[Aviso]","")))/7, "Con Incidencias", "Válido")))</f>
        <v/>
      </c>
      <c r="AB241" s="56">
        <f>IF(AND(A241="", B241="", E241=""), "", TEXTJOIN("; ", TRUE, IF(OR(TRIM(A241&amp;"")="", ISNUMBER(SEARCH("FALTA", A241))), "UPC faltante/inválido", ""), IF(AND(A241&lt;&gt;"", IFERROR(_xlfn.XMATCH(A241,$A$2:$A$653,0,1)&lt;&gt;_xlfn.XMATCH(A241,$A$2:$A$653,0,-1),FALSE)), "Código de barras duplicado", ""), IF(AND(E241&lt;&gt;"", COUNTIF($E$2:$E$653, E241)&gt;1), "SKU duplicado", ""), IF(OR(J241="", J241=""), "[Aviso] División no capturada ()", IF(ISNA(MATCH(J241, Criterios!$A$123:$A$126, 0)), "División no válida", "")), IF(OR(K241="", K241=""), "[Aviso] Categoría no capturada ()", IF(ISNA(MATCH(K241, Criterios!$A$81:$A$120, 0)), "Categoría no válida", IF(AND(J241&lt;&gt;"", J241&lt;&gt;"", J241&lt;&gt;VLOOKUP(K241, Criterios!$A$81:$B$120, 2, FALSE)), "División no coincide con Categoría", ""))), IF(OR(L241="", L241=""), "[Aviso] Género no capturado ()", IF(ISNA(MATCH(L241, Criterios!$B$123:$B$127, 0)), "Género no válido", "")), IF(OR(N241="", N241=""), "[Aviso] Temporada no capturada ()", IF(ISNA(MATCH(N241, Criterios!$C$123:$C$128, 0)), "Temporada no válida", "")), IF(OR(O241="", O241=""), "[Aviso] Ciclo de vida no capturado ()", IF(ISNA(MATCH(O241, Criterios!$D$123:$D$124, 0)), "Ciclo de vida no válido", ""))))</f>
        <v/>
      </c>
      <c r="AC241" s="56" t="n"/>
      <c r="AD241" s="51" t="n">
        <v>10</v>
      </c>
      <c r="AE241" s="156" t="inlineStr">
        <is>
          <t>REFLO ALMACEN (5)</t>
        </is>
      </c>
      <c r="AF241" s="51" t="n">
        <v>10</v>
      </c>
      <c r="AG241" s="156" t="inlineStr">
        <is>
          <t>Nuevo – NetSuite con existencia</t>
        </is>
      </c>
      <c r="AH241" s="156" t="inlineStr">
        <is>
          <t>Género no indicado en NetSuite; Composición: poliéster reciclado (validar % en etiqueta); Color por validar; Físico total NetSuite 10 ≠ suma por ubicación 5 | Revisión 29/09/2026: Marca REFLO fuera de lista Criterios; Campos sin respaldo: L, N, O, P, Q, U; Auditoría NetSuite 30/09/2026: llenado desde NetSuite [Z] | Homologación G1522 06/10/2026: Validador Shopify: WB: precio con IVA no termina en 9</t>
        </is>
      </c>
      <c r="AI241" s="156" t="inlineStr">
        <is>
          <t>No</t>
        </is>
      </c>
      <c r="AJ241" s="156" t="n"/>
      <c r="AK241" s="155" t="inlineStr">
        <is>
          <t>G1522ProductosTodosloscamposSandboxResults894.xlsx: fila 58914 [X,Y]; G1522_Extraccion_Articulos_NetSuite_2026-09-30.xlsx: fila 37669 [Z]</t>
        </is>
      </c>
      <c r="AL241" s="58" t="n">
        <v>22.75</v>
      </c>
      <c r="AM241" s="58" t="n"/>
      <c r="AN241" s="155" t="n"/>
      <c r="AO241" s="59" t="n"/>
      <c r="AP241" s="59" t="n"/>
      <c r="AQ241" s="59" t="n"/>
      <c r="AR241" s="155" t="n"/>
    </row>
    <row r="242">
      <c r="A242" s="50" t="inlineStr">
        <is>
          <t>5060923783881</t>
        </is>
      </c>
      <c r="B242" s="51" t="inlineStr">
        <is>
          <t>79338</t>
        </is>
      </c>
      <c r="C242" s="156" t="inlineStr">
        <is>
          <t>REFLO</t>
        </is>
      </c>
      <c r="D242" s="156" t="inlineStr">
        <is>
          <t>SULUCLO</t>
        </is>
      </c>
      <c r="E242" s="156" t="inlineStr">
        <is>
          <t>SULUCLO-XXL</t>
        </is>
      </c>
      <c r="F242" s="156" t="inlineStr">
        <is>
          <t>XXL</t>
        </is>
      </c>
      <c r="G242" s="156" t="inlineStr">
        <is>
          <t>XXL</t>
        </is>
      </c>
      <c r="H242" s="156" t="inlineStr">
        <is>
          <t>REFLO</t>
        </is>
      </c>
      <c r="I242" s="156" t="inlineStr">
        <is>
          <t>Playera tipo polo REFLO Sulu Cloud</t>
        </is>
      </c>
      <c r="J242" s="156" t="inlineStr">
        <is>
          <t>Ropa</t>
        </is>
      </c>
      <c r="K242" s="156" t="inlineStr">
        <is>
          <t>Playeras</t>
        </is>
      </c>
      <c r="L242" s="156" t="n"/>
      <c r="M242" s="156" t="inlineStr">
        <is>
          <t>REFLO</t>
        </is>
      </c>
      <c r="N242" s="156" t="n"/>
      <c r="O242" s="156" t="n"/>
      <c r="P242" s="156" t="n"/>
      <c r="Q242" s="156" t="n"/>
      <c r="R242" s="156" t="n"/>
      <c r="S242" s="156" t="inlineStr">
        <is>
          <t>Poliéster reciclado</t>
        </is>
      </c>
      <c r="T242" s="156" t="inlineStr">
        <is>
          <t>Playera tipo polo de golf REFLO modelo Sulu en color Cloud, confeccionado con materiales reciclados. Estilo SULUCLO.</t>
        </is>
      </c>
      <c r="U242" s="156" t="n"/>
      <c r="V242" s="156" t="inlineStr">
        <is>
          <t>PZS</t>
        </is>
      </c>
      <c r="W242" s="51" t="inlineStr">
        <is>
          <t>53101600</t>
        </is>
      </c>
      <c r="X242" s="156" t="inlineStr">
        <is>
          <t>https://i.ibb.co/yRmYkHP/SULUCLO.jpg</t>
        </is>
      </c>
      <c r="Y242" s="54" t="n">
        <v>22.75</v>
      </c>
      <c r="Z242" s="54" t="n">
        <v>1649</v>
      </c>
      <c r="AA242" s="55">
        <f>IF(AND(A242="", B242="", E242=""), "", IF(AB242="", "Válido", IF((LEN(AB242)-LEN(SUBSTITUTE(AB242,"; ","")))/2+1&gt;(LEN(AB242)-LEN(SUBSTITUTE(AB242,"[Aviso]","")))/7, "Con Incidencias", "Válido")))</f>
        <v/>
      </c>
      <c r="AB242" s="56">
        <f>IF(AND(A242="", B242="", E242=""), "", TEXTJOIN("; ", TRUE, IF(OR(TRIM(A242&amp;"")="", ISNUMBER(SEARCH("FALTA", A242))), "UPC faltante/inválido", ""), IF(AND(A242&lt;&gt;"", IFERROR(_xlfn.XMATCH(A242,$A$2:$A$653,0,1)&lt;&gt;_xlfn.XMATCH(A242,$A$2:$A$653,0,-1),FALSE)), "Código de barras duplicado", ""), IF(AND(E242&lt;&gt;"", COUNTIF($E$2:$E$653, E242)&gt;1), "SKU duplicado", ""), IF(OR(J242="", J242=""), "[Aviso] División no capturada ()", IF(ISNA(MATCH(J242, Criterios!$A$123:$A$126, 0)), "División no válida", "")), IF(OR(K242="", K242=""), "[Aviso] Categoría no capturada ()", IF(ISNA(MATCH(K242, Criterios!$A$81:$A$120, 0)), "Categoría no válida", IF(AND(J242&lt;&gt;"", J242&lt;&gt;"", J242&lt;&gt;VLOOKUP(K242, Criterios!$A$81:$B$120, 2, FALSE)), "División no coincide con Categoría", ""))), IF(OR(L242="", L242=""), "[Aviso] Género no capturado ()", IF(ISNA(MATCH(L242, Criterios!$B$123:$B$127, 0)), "Género no válido", "")), IF(OR(N242="", N242=""), "[Aviso] Temporada no capturada ()", IF(ISNA(MATCH(N242, Criterios!$C$123:$C$128, 0)), "Temporada no válida", "")), IF(OR(O242="", O242=""), "[Aviso] Ciclo de vida no capturado ()", IF(ISNA(MATCH(O242, Criterios!$D$123:$D$124, 0)), "Ciclo de vida no válido", ""))))</f>
        <v/>
      </c>
      <c r="AC242" s="56" t="n"/>
      <c r="AD242" s="51" t="n">
        <v>4</v>
      </c>
      <c r="AE242" s="156" t="inlineStr">
        <is>
          <t>REFLO ALMACEN (2)</t>
        </is>
      </c>
      <c r="AF242" s="51" t="n">
        <v>4</v>
      </c>
      <c r="AG242" s="156" t="inlineStr">
        <is>
          <t>Nuevo – NetSuite con existencia</t>
        </is>
      </c>
      <c r="AH242" s="156" t="inlineStr">
        <is>
          <t>Género no indicado en NetSuite; Composición: poliéster reciclado (validar % en etiqueta); Color por validar; Físico total NetSuite 4 ≠ suma por ubicación 2 | Revisión 29/09/2026: Marca REFLO fuera de lista Criterios; Campos sin respaldo: L, N, O, P, Q, U; Auditoría NetSuite 30/09/2026: llenado desde NetSuite [Z] | Homologación G1522 06/10/2026: Validador Shopify: WB: precio con IVA no termina en 9</t>
        </is>
      </c>
      <c r="AI242" s="156" t="inlineStr">
        <is>
          <t>No</t>
        </is>
      </c>
      <c r="AJ242" s="156" t="n"/>
      <c r="AK242" s="155" t="inlineStr">
        <is>
          <t>G1522ProductosTodosloscamposSandboxResults894.xlsx: fila 58915 [X,Y]; G1522_Extraccion_Articulos_NetSuite_2026-09-30.xlsx: fila 37670 [Z]</t>
        </is>
      </c>
      <c r="AL242" s="58" t="n">
        <v>22.75</v>
      </c>
      <c r="AM242" s="58" t="n"/>
      <c r="AN242" s="155" t="n"/>
      <c r="AO242" s="59" t="n"/>
      <c r="AP242" s="59" t="n"/>
      <c r="AQ242" s="59" t="n"/>
      <c r="AR242" s="155" t="n"/>
    </row>
    <row r="243">
      <c r="A243" s="50" t="inlineStr">
        <is>
          <t>5060923783614</t>
        </is>
      </c>
      <c r="B243" s="51" t="inlineStr">
        <is>
          <t>79339</t>
        </is>
      </c>
      <c r="C243" s="156" t="inlineStr">
        <is>
          <t>REFLO</t>
        </is>
      </c>
      <c r="D243" s="156" t="inlineStr">
        <is>
          <t>SULUGRE</t>
        </is>
      </c>
      <c r="E243" s="156" t="inlineStr">
        <is>
          <t>SULUGRE-M</t>
        </is>
      </c>
      <c r="F243" s="156" t="inlineStr">
        <is>
          <t>M</t>
        </is>
      </c>
      <c r="G243" s="156" t="inlineStr">
        <is>
          <t>M</t>
        </is>
      </c>
      <c r="H243" s="156" t="inlineStr">
        <is>
          <t>REFLO</t>
        </is>
      </c>
      <c r="I243" s="156" t="inlineStr">
        <is>
          <t>Playera tipo polo REFLO Sulu Green</t>
        </is>
      </c>
      <c r="J243" s="156" t="inlineStr">
        <is>
          <t>Ropa</t>
        </is>
      </c>
      <c r="K243" s="156" t="inlineStr">
        <is>
          <t>Playeras</t>
        </is>
      </c>
      <c r="L243" s="156" t="n"/>
      <c r="M243" s="156" t="inlineStr">
        <is>
          <t>REFLO</t>
        </is>
      </c>
      <c r="N243" s="156" t="n"/>
      <c r="O243" s="156" t="n"/>
      <c r="P243" s="156" t="inlineStr">
        <is>
          <t>Verde</t>
        </is>
      </c>
      <c r="Q243" s="156" t="n"/>
      <c r="R243" s="156" t="n"/>
      <c r="S243" s="156" t="inlineStr">
        <is>
          <t>Poliéster reciclado</t>
        </is>
      </c>
      <c r="T243" s="156" t="inlineStr">
        <is>
          <t>Playera tipo polo de golf REFLO modelo Sulu en color Green, confeccionado con materiales reciclados. Estilo SULUGRE.</t>
        </is>
      </c>
      <c r="U243" s="156" t="n"/>
      <c r="V243" s="156" t="inlineStr">
        <is>
          <t>PZS</t>
        </is>
      </c>
      <c r="W243" s="51" t="inlineStr">
        <is>
          <t>53101600</t>
        </is>
      </c>
      <c r="X243" s="156" t="inlineStr">
        <is>
          <t>https://i.ibb.co/gmxSPr2/SULUGRE.jpg</t>
        </is>
      </c>
      <c r="Y243" s="54" t="n">
        <v>22.75</v>
      </c>
      <c r="Z243" s="54" t="n">
        <v>1649</v>
      </c>
      <c r="AA243" s="55">
        <f>IF(AND(A243="", B243="", E243=""), "", IF(AB243="", "Válido", IF((LEN(AB243)-LEN(SUBSTITUTE(AB243,"; ","")))/2+1&gt;(LEN(AB243)-LEN(SUBSTITUTE(AB243,"[Aviso]","")))/7, "Con Incidencias", "Válido")))</f>
        <v/>
      </c>
      <c r="AB243" s="56">
        <f>IF(AND(A243="", B243="", E243=""), "", TEXTJOIN("; ", TRUE, IF(OR(TRIM(A243&amp;"")="", ISNUMBER(SEARCH("FALTA", A243))), "UPC faltante/inválido", ""), IF(AND(A243&lt;&gt;"", IFERROR(_xlfn.XMATCH(A243,$A$2:$A$653,0,1)&lt;&gt;_xlfn.XMATCH(A243,$A$2:$A$653,0,-1),FALSE)), "Código de barras duplicado", ""), IF(AND(E243&lt;&gt;"", COUNTIF($E$2:$E$653, E243)&gt;1), "SKU duplicado", ""), IF(OR(J243="", J243=""), "[Aviso] División no capturada ()", IF(ISNA(MATCH(J243, Criterios!$A$123:$A$126, 0)), "División no válida", "")), IF(OR(K243="", K243=""), "[Aviso] Categoría no capturada ()", IF(ISNA(MATCH(K243, Criterios!$A$81:$A$120, 0)), "Categoría no válida", IF(AND(J243&lt;&gt;"", J243&lt;&gt;"", J243&lt;&gt;VLOOKUP(K243, Criterios!$A$81:$B$120, 2, FALSE)), "División no coincide con Categoría", ""))), IF(OR(L243="", L243=""), "[Aviso] Género no capturado ()", IF(ISNA(MATCH(L243, Criterios!$B$123:$B$127, 0)), "Género no válido", "")), IF(OR(N243="", N243=""), "[Aviso] Temporada no capturada ()", IF(ISNA(MATCH(N243, Criterios!$C$123:$C$128, 0)), "Temporada no válida", "")), IF(OR(O243="", O243=""), "[Aviso] Ciclo de vida no capturado ()", IF(ISNA(MATCH(O243, Criterios!$D$123:$D$124, 0)), "Ciclo de vida no válido", ""))))</f>
        <v/>
      </c>
      <c r="AC243" s="56" t="n"/>
      <c r="AD243" s="51" t="n">
        <v>1</v>
      </c>
      <c r="AE243" s="156" t="inlineStr">
        <is>
          <t>MUESTRAS REFLO (1)</t>
        </is>
      </c>
      <c r="AF243" s="51" t="n">
        <v>0</v>
      </c>
      <c r="AG243" s="156" t="inlineStr">
        <is>
          <t>Nuevo – NetSuite con existencia</t>
        </is>
      </c>
      <c r="AH243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43" s="156" t="inlineStr">
        <is>
          <t>No</t>
        </is>
      </c>
      <c r="AJ243" s="156" t="n"/>
      <c r="AK243" s="155" t="inlineStr">
        <is>
          <t>G1522ProductosTodosloscamposSandboxResults894.xlsx: fila 58917 [X,Y]; G1522_Extraccion_Articulos_NetSuite_2026-09-30.xlsx: fila 37671 [Z]</t>
        </is>
      </c>
      <c r="AL243" s="58" t="n">
        <v>22.75</v>
      </c>
      <c r="AM243" s="58" t="n"/>
      <c r="AN243" s="155" t="n"/>
      <c r="AO243" s="59" t="n"/>
      <c r="AP243" s="59" t="n"/>
      <c r="AQ243" s="59" t="n"/>
      <c r="AR243" s="155" t="n"/>
    </row>
    <row r="244">
      <c r="A244" s="50" t="inlineStr">
        <is>
          <t>5060923783638</t>
        </is>
      </c>
      <c r="B244" s="51" t="inlineStr">
        <is>
          <t>79340</t>
        </is>
      </c>
      <c r="C244" s="156" t="inlineStr">
        <is>
          <t>REFLO</t>
        </is>
      </c>
      <c r="D244" s="156" t="inlineStr">
        <is>
          <t>SULUGRE</t>
        </is>
      </c>
      <c r="E244" s="156" t="inlineStr">
        <is>
          <t>SULUGRE-XL</t>
        </is>
      </c>
      <c r="F244" s="156" t="inlineStr">
        <is>
          <t>XL</t>
        </is>
      </c>
      <c r="G244" s="156" t="inlineStr">
        <is>
          <t>XL</t>
        </is>
      </c>
      <c r="H244" s="156" t="inlineStr">
        <is>
          <t>REFLO</t>
        </is>
      </c>
      <c r="I244" s="156" t="inlineStr">
        <is>
          <t>Playera tipo polo REFLO Sulu Green</t>
        </is>
      </c>
      <c r="J244" s="156" t="inlineStr">
        <is>
          <t>Ropa</t>
        </is>
      </c>
      <c r="K244" s="156" t="inlineStr">
        <is>
          <t>Playeras</t>
        </is>
      </c>
      <c r="L244" s="156" t="n"/>
      <c r="M244" s="156" t="inlineStr">
        <is>
          <t>REFLO</t>
        </is>
      </c>
      <c r="N244" s="156" t="n"/>
      <c r="O244" s="156" t="n"/>
      <c r="P244" s="156" t="inlineStr">
        <is>
          <t>Verde</t>
        </is>
      </c>
      <c r="Q244" s="156" t="n"/>
      <c r="R244" s="156" t="n"/>
      <c r="S244" s="156" t="inlineStr">
        <is>
          <t>Poliéster reciclado</t>
        </is>
      </c>
      <c r="T244" s="156" t="inlineStr">
        <is>
          <t>Playera tipo polo de golf REFLO modelo Sulu en color Green, confeccionado con materiales reciclados. Estilo SULUGRE.</t>
        </is>
      </c>
      <c r="U244" s="156" t="n"/>
      <c r="V244" s="156" t="inlineStr">
        <is>
          <t>PZS</t>
        </is>
      </c>
      <c r="W244" s="51" t="inlineStr">
        <is>
          <t>53101600</t>
        </is>
      </c>
      <c r="X244" s="156" t="inlineStr">
        <is>
          <t>https://i.ibb.co/gmxSPr2/SULUGRE.jpg</t>
        </is>
      </c>
      <c r="Y244" s="54" t="n">
        <v>22.75</v>
      </c>
      <c r="Z244" s="54" t="n">
        <v>1649</v>
      </c>
      <c r="AA244" s="55">
        <f>IF(AND(A244="", B244="", E244=""), "", IF(AB244="", "Válido", IF((LEN(AB244)-LEN(SUBSTITUTE(AB244,"; ","")))/2+1&gt;(LEN(AB244)-LEN(SUBSTITUTE(AB244,"[Aviso]","")))/7, "Con Incidencias", "Válido")))</f>
        <v/>
      </c>
      <c r="AB244" s="56">
        <f>IF(AND(A244="", B244="", E244=""), "", TEXTJOIN("; ", TRUE, IF(OR(TRIM(A244&amp;"")="", ISNUMBER(SEARCH("FALTA", A244))), "UPC faltante/inválido", ""), IF(AND(A244&lt;&gt;"", IFERROR(_xlfn.XMATCH(A244,$A$2:$A$653,0,1)&lt;&gt;_xlfn.XMATCH(A244,$A$2:$A$653,0,-1),FALSE)), "Código de barras duplicado", ""), IF(AND(E244&lt;&gt;"", COUNTIF($E$2:$E$653, E244)&gt;1), "SKU duplicado", ""), IF(OR(J244="", J244=""), "[Aviso] División no capturada ()", IF(ISNA(MATCH(J244, Criterios!$A$123:$A$126, 0)), "División no válida", "")), IF(OR(K244="", K244=""), "[Aviso] Categoría no capturada ()", IF(ISNA(MATCH(K244, Criterios!$A$81:$A$120, 0)), "Categoría no válida", IF(AND(J244&lt;&gt;"", J244&lt;&gt;"", J244&lt;&gt;VLOOKUP(K244, Criterios!$A$81:$B$120, 2, FALSE)), "División no coincide con Categoría", ""))), IF(OR(L244="", L244=""), "[Aviso] Género no capturado ()", IF(ISNA(MATCH(L244, Criterios!$B$123:$B$127, 0)), "Género no válido", "")), IF(OR(N244="", N244=""), "[Aviso] Temporada no capturada ()", IF(ISNA(MATCH(N244, Criterios!$C$123:$C$128, 0)), "Temporada no válida", "")), IF(OR(O244="", O244=""), "[Aviso] Ciclo de vida no capturado ()", IF(ISNA(MATCH(O244, Criterios!$D$123:$D$124, 0)), "Ciclo de vida no válido", ""))))</f>
        <v/>
      </c>
      <c r="AC244" s="56" t="n"/>
      <c r="AD244" s="51" t="n">
        <v>7</v>
      </c>
      <c r="AE244" s="156" t="inlineStr">
        <is>
          <t>REFLO ALMACEN (6)</t>
        </is>
      </c>
      <c r="AF244" s="51" t="n">
        <v>8</v>
      </c>
      <c r="AG244" s="156" t="inlineStr">
        <is>
          <t>Nuevo – NetSuite con existencia</t>
        </is>
      </c>
      <c r="AH244" s="156" t="inlineStr">
        <is>
          <t>Género no indicado en NetSuite; Composición: poliéster reciclado (validar % en etiqueta); Físico total NetSuite 7 ≠ suma por ubicación 5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44" s="156" t="inlineStr">
        <is>
          <t>Sí</t>
        </is>
      </c>
      <c r="AJ244" s="156" t="inlineStr">
        <is>
          <t>CONSIGNA REFLO (-1)</t>
        </is>
      </c>
      <c r="AK244" s="155" t="inlineStr">
        <is>
          <t>G1522ProductosTodosloscamposSandboxResults894.xlsx: fila 58918 [X,Y]; G1522_Extraccion_Articulos_NetSuite_2026-09-30.xlsx: fila 37672 [Z]</t>
        </is>
      </c>
      <c r="AL244" s="58" t="n">
        <v>22.75</v>
      </c>
      <c r="AM244" s="58" t="n"/>
      <c r="AN244" s="155" t="n"/>
      <c r="AO244" s="59" t="n"/>
      <c r="AP244" s="59" t="n"/>
      <c r="AQ244" s="59" t="n"/>
      <c r="AR244" s="155" t="n"/>
    </row>
    <row r="245">
      <c r="A245" s="50" t="inlineStr">
        <is>
          <t>5060923783645</t>
        </is>
      </c>
      <c r="B245" s="51" t="inlineStr">
        <is>
          <t>79341</t>
        </is>
      </c>
      <c r="C245" s="156" t="inlineStr">
        <is>
          <t>REFLO</t>
        </is>
      </c>
      <c r="D245" s="156" t="inlineStr">
        <is>
          <t>SULUGRE</t>
        </is>
      </c>
      <c r="E245" s="156" t="inlineStr">
        <is>
          <t>SULUGRE-XXL</t>
        </is>
      </c>
      <c r="F245" s="156" t="inlineStr">
        <is>
          <t>XXL</t>
        </is>
      </c>
      <c r="G245" s="156" t="inlineStr">
        <is>
          <t>XXL</t>
        </is>
      </c>
      <c r="H245" s="156" t="inlineStr">
        <is>
          <t>REFLO</t>
        </is>
      </c>
      <c r="I245" s="156" t="inlineStr">
        <is>
          <t>Playera tipo polo REFLO Sulu Green</t>
        </is>
      </c>
      <c r="J245" s="156" t="inlineStr">
        <is>
          <t>Ropa</t>
        </is>
      </c>
      <c r="K245" s="156" t="inlineStr">
        <is>
          <t>Playeras</t>
        </is>
      </c>
      <c r="L245" s="156" t="n"/>
      <c r="M245" s="156" t="inlineStr">
        <is>
          <t>REFLO</t>
        </is>
      </c>
      <c r="N245" s="156" t="n"/>
      <c r="O245" s="156" t="n"/>
      <c r="P245" s="156" t="inlineStr">
        <is>
          <t>Verde</t>
        </is>
      </c>
      <c r="Q245" s="156" t="n"/>
      <c r="R245" s="156" t="n"/>
      <c r="S245" s="156" t="inlineStr">
        <is>
          <t>Poliéster reciclado</t>
        </is>
      </c>
      <c r="T245" s="156" t="inlineStr">
        <is>
          <t>Playera tipo polo de golf REFLO modelo Sulu en color Green, confeccionado con materiales reciclados. Estilo SULUGRE.</t>
        </is>
      </c>
      <c r="U245" s="156" t="n"/>
      <c r="V245" s="156" t="inlineStr">
        <is>
          <t>PZS</t>
        </is>
      </c>
      <c r="W245" s="51" t="inlineStr">
        <is>
          <t>53101600</t>
        </is>
      </c>
      <c r="X245" s="156" t="inlineStr">
        <is>
          <t>https://i.ibb.co/gmxSPr2/SULUGRE.jpg</t>
        </is>
      </c>
      <c r="Y245" s="54" t="n">
        <v>22.75</v>
      </c>
      <c r="Z245" s="54" t="n">
        <v>1649</v>
      </c>
      <c r="AA245" s="55">
        <f>IF(AND(A245="", B245="", E245=""), "", IF(AB245="", "Válido", IF((LEN(AB245)-LEN(SUBSTITUTE(AB245,"; ","")))/2+1&gt;(LEN(AB245)-LEN(SUBSTITUTE(AB245,"[Aviso]","")))/7, "Con Incidencias", "Válido")))</f>
        <v/>
      </c>
      <c r="AB245" s="56">
        <f>IF(AND(A245="", B245="", E245=""), "", TEXTJOIN("; ", TRUE, IF(OR(TRIM(A245&amp;"")="", ISNUMBER(SEARCH("FALTA", A245))), "UPC faltante/inválido", ""), IF(AND(A245&lt;&gt;"", IFERROR(_xlfn.XMATCH(A245,$A$2:$A$653,0,1)&lt;&gt;_xlfn.XMATCH(A245,$A$2:$A$653,0,-1),FALSE)), "Código de barras duplicado", ""), IF(AND(E245&lt;&gt;"", COUNTIF($E$2:$E$653, E245)&gt;1), "SKU duplicado", ""), IF(OR(J245="", J245=""), "[Aviso] División no capturada ()", IF(ISNA(MATCH(J245, Criterios!$A$123:$A$126, 0)), "División no válida", "")), IF(OR(K245="", K245=""), "[Aviso] Categoría no capturada ()", IF(ISNA(MATCH(K245, Criterios!$A$81:$A$120, 0)), "Categoría no válida", IF(AND(J245&lt;&gt;"", J245&lt;&gt;"", J245&lt;&gt;VLOOKUP(K245, Criterios!$A$81:$B$120, 2, FALSE)), "División no coincide con Categoría", ""))), IF(OR(L245="", L245=""), "[Aviso] Género no capturado ()", IF(ISNA(MATCH(L245, Criterios!$B$123:$B$127, 0)), "Género no válido", "")), IF(OR(N245="", N245=""), "[Aviso] Temporada no capturada ()", IF(ISNA(MATCH(N245, Criterios!$C$123:$C$128, 0)), "Temporada no válida", "")), IF(OR(O245="", O245=""), "[Aviso] Ciclo de vida no capturado ()", IF(ISNA(MATCH(O245, Criterios!$D$123:$D$124, 0)), "Ciclo de vida no válido", ""))))</f>
        <v/>
      </c>
      <c r="AC245" s="56" t="n"/>
      <c r="AD245" s="51" t="n">
        <v>4</v>
      </c>
      <c r="AE245" s="156" t="inlineStr">
        <is>
          <t>REFLO ALMACEN (3)</t>
        </is>
      </c>
      <c r="AF245" s="51" t="n">
        <v>5</v>
      </c>
      <c r="AG245" s="156" t="inlineStr">
        <is>
          <t>Nuevo – NetSuite con existencia</t>
        </is>
      </c>
      <c r="AH245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45" s="156" t="inlineStr">
        <is>
          <t>Sí</t>
        </is>
      </c>
      <c r="AJ245" s="156" t="inlineStr">
        <is>
          <t>CONSIGNA REFLO (-1)</t>
        </is>
      </c>
      <c r="AK245" s="155" t="inlineStr">
        <is>
          <t>G1522ProductosTodosloscamposSandboxResults894.xlsx: fila 58919 [X,Y]; G1522_Extraccion_Articulos_NetSuite_2026-09-30.xlsx: fila 37673 [Z]</t>
        </is>
      </c>
      <c r="AL245" s="58" t="n">
        <v>22.75</v>
      </c>
      <c r="AM245" s="58" t="n"/>
      <c r="AN245" s="155" t="n"/>
      <c r="AO245" s="59" t="n"/>
      <c r="AP245" s="59" t="n"/>
      <c r="AQ245" s="59" t="n"/>
      <c r="AR245" s="155" t="n"/>
    </row>
    <row r="246">
      <c r="A246" s="50" t="inlineStr">
        <is>
          <t>5060923783676</t>
        </is>
      </c>
      <c r="B246" s="51" t="inlineStr">
        <is>
          <t>79342</t>
        </is>
      </c>
      <c r="C246" s="156" t="inlineStr">
        <is>
          <t>REFLO</t>
        </is>
      </c>
      <c r="D246" s="156" t="inlineStr">
        <is>
          <t>SULUYEL</t>
        </is>
      </c>
      <c r="E246" s="156" t="inlineStr">
        <is>
          <t>SULUYEL-M</t>
        </is>
      </c>
      <c r="F246" s="156" t="inlineStr">
        <is>
          <t>M</t>
        </is>
      </c>
      <c r="G246" s="156" t="inlineStr">
        <is>
          <t>M</t>
        </is>
      </c>
      <c r="H246" s="156" t="inlineStr">
        <is>
          <t>REFLO</t>
        </is>
      </c>
      <c r="I246" s="156" t="inlineStr">
        <is>
          <t>Playera tipo polo REFLO Sulu Yellow</t>
        </is>
      </c>
      <c r="J246" s="156" t="inlineStr">
        <is>
          <t>Ropa</t>
        </is>
      </c>
      <c r="K246" s="156" t="inlineStr">
        <is>
          <t>Playeras</t>
        </is>
      </c>
      <c r="L246" s="156" t="n"/>
      <c r="M246" s="156" t="inlineStr">
        <is>
          <t>REFLO</t>
        </is>
      </c>
      <c r="N246" s="156" t="n"/>
      <c r="O246" s="156" t="n"/>
      <c r="P246" s="156" t="inlineStr">
        <is>
          <t>Amarillo</t>
        </is>
      </c>
      <c r="Q246" s="156" t="n"/>
      <c r="R246" s="156" t="n"/>
      <c r="S246" s="156" t="inlineStr">
        <is>
          <t>Poliéster reciclado</t>
        </is>
      </c>
      <c r="T246" s="156" t="inlineStr">
        <is>
          <t>Playera tipo polo de golf REFLO modelo Sulu en color Yellow, confeccionado con materiales reciclados. Estilo SULUYEL.</t>
        </is>
      </c>
      <c r="U246" s="156" t="n"/>
      <c r="V246" s="156" t="inlineStr">
        <is>
          <t>PZS</t>
        </is>
      </c>
      <c r="W246" s="51" t="inlineStr">
        <is>
          <t>53101600</t>
        </is>
      </c>
      <c r="X246" s="156" t="inlineStr">
        <is>
          <t>https://i.ibb.co/YWh0cwH/SULUYEL.jpg</t>
        </is>
      </c>
      <c r="Y246" s="54" t="n">
        <v>22.75</v>
      </c>
      <c r="Z246" s="54" t="n">
        <v>1649</v>
      </c>
      <c r="AA246" s="55">
        <f>IF(AND(A246="", B246="", E246=""), "", IF(AB246="", "Válido", IF((LEN(AB246)-LEN(SUBSTITUTE(AB246,"; ","")))/2+1&gt;(LEN(AB246)-LEN(SUBSTITUTE(AB246,"[Aviso]","")))/7, "Con Incidencias", "Válido")))</f>
        <v/>
      </c>
      <c r="AB246" s="56">
        <f>IF(AND(A246="", B246="", E246=""), "", TEXTJOIN("; ", TRUE, IF(OR(TRIM(A246&amp;"")="", ISNUMBER(SEARCH("FALTA", A246))), "UPC faltante/inválido", ""), IF(AND(A246&lt;&gt;"", IFERROR(_xlfn.XMATCH(A246,$A$2:$A$653,0,1)&lt;&gt;_xlfn.XMATCH(A246,$A$2:$A$653,0,-1),FALSE)), "Código de barras duplicado", ""), IF(AND(E246&lt;&gt;"", COUNTIF($E$2:$E$653, E246)&gt;1), "SKU duplicado", ""), IF(OR(J246="", J246=""), "[Aviso] División no capturada ()", IF(ISNA(MATCH(J246, Criterios!$A$123:$A$126, 0)), "División no válida", "")), IF(OR(K246="", K246=""), "[Aviso] Categoría no capturada ()", IF(ISNA(MATCH(K246, Criterios!$A$81:$A$120, 0)), "Categoría no válida", IF(AND(J246&lt;&gt;"", J246&lt;&gt;"", J246&lt;&gt;VLOOKUP(K246, Criterios!$A$81:$B$120, 2, FALSE)), "División no coincide con Categoría", ""))), IF(OR(L246="", L246=""), "[Aviso] Género no capturado ()", IF(ISNA(MATCH(L246, Criterios!$B$123:$B$127, 0)), "Género no válido", "")), IF(OR(N246="", N246=""), "[Aviso] Temporada no capturada ()", IF(ISNA(MATCH(N246, Criterios!$C$123:$C$128, 0)), "Temporada no válida", "")), IF(OR(O246="", O246=""), "[Aviso] Ciclo de vida no capturado ()", IF(ISNA(MATCH(O246, Criterios!$D$123:$D$124, 0)), "Ciclo de vida no válido", ""))))</f>
        <v/>
      </c>
      <c r="AC246" s="56" t="n"/>
      <c r="AD246" s="51" t="n">
        <v>6</v>
      </c>
      <c r="AE246" s="156" t="inlineStr">
        <is>
          <t>CONSIGNA REFLO (1); REFLO ALMACEN (2); MUESTRAS REFLO (1)</t>
        </is>
      </c>
      <c r="AF246" s="51" t="n">
        <v>5</v>
      </c>
      <c r="AG246" s="156" t="inlineStr">
        <is>
          <t>Nuevo – NetSuite con existencia</t>
        </is>
      </c>
      <c r="AH246" s="156" t="inlineStr">
        <is>
          <t>Género no indicado en NetSuite; Composición: poliéster reciclado (validar % en etiqueta); Físico total NetSuite 6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46" s="156" t="inlineStr">
        <is>
          <t>No</t>
        </is>
      </c>
      <c r="AJ246" s="156" t="n"/>
      <c r="AK246" s="155" t="inlineStr">
        <is>
          <t>G1522ProductosTodosloscamposSandboxResults894.xlsx: fila 58921 [X,Y]; G1522_Extraccion_Articulos_NetSuite_2026-09-30.xlsx: fila 37674 [Z]</t>
        </is>
      </c>
      <c r="AL246" s="58" t="n">
        <v>22.75</v>
      </c>
      <c r="AM246" s="58" t="n"/>
      <c r="AN246" s="155" t="n"/>
      <c r="AO246" s="59" t="n"/>
      <c r="AP246" s="59" t="n"/>
      <c r="AQ246" s="59" t="n"/>
      <c r="AR246" s="155" t="n"/>
    </row>
    <row r="247">
      <c r="A247" s="50" t="inlineStr">
        <is>
          <t>5060923783690</t>
        </is>
      </c>
      <c r="B247" s="51" t="inlineStr">
        <is>
          <t>79343</t>
        </is>
      </c>
      <c r="C247" s="156" t="inlineStr">
        <is>
          <t>REFLO</t>
        </is>
      </c>
      <c r="D247" s="156" t="inlineStr">
        <is>
          <t>SULUYEL</t>
        </is>
      </c>
      <c r="E247" s="156" t="inlineStr">
        <is>
          <t>SULUYEL-XL</t>
        </is>
      </c>
      <c r="F247" s="156" t="inlineStr">
        <is>
          <t>XL</t>
        </is>
      </c>
      <c r="G247" s="156" t="inlineStr">
        <is>
          <t>XL</t>
        </is>
      </c>
      <c r="H247" s="156" t="inlineStr">
        <is>
          <t>REFLO</t>
        </is>
      </c>
      <c r="I247" s="156" t="inlineStr">
        <is>
          <t>Playera tipo polo REFLO Sulu Yellow</t>
        </is>
      </c>
      <c r="J247" s="156" t="inlineStr">
        <is>
          <t>Ropa</t>
        </is>
      </c>
      <c r="K247" s="156" t="inlineStr">
        <is>
          <t>Playeras</t>
        </is>
      </c>
      <c r="L247" s="156" t="n"/>
      <c r="M247" s="156" t="inlineStr">
        <is>
          <t>REFLO</t>
        </is>
      </c>
      <c r="N247" s="156" t="n"/>
      <c r="O247" s="156" t="n"/>
      <c r="P247" s="156" t="inlineStr">
        <is>
          <t>Amarillo</t>
        </is>
      </c>
      <c r="Q247" s="156" t="n"/>
      <c r="R247" s="156" t="n"/>
      <c r="S247" s="156" t="inlineStr">
        <is>
          <t>Poliéster reciclado</t>
        </is>
      </c>
      <c r="T247" s="156" t="inlineStr">
        <is>
          <t>Playera tipo polo de golf REFLO modelo Sulu en color Yellow, confeccionado con materiales reciclados. Estilo SULUYEL.</t>
        </is>
      </c>
      <c r="U247" s="156" t="n"/>
      <c r="V247" s="156" t="inlineStr">
        <is>
          <t>PZS</t>
        </is>
      </c>
      <c r="W247" s="51" t="inlineStr">
        <is>
          <t>53101600</t>
        </is>
      </c>
      <c r="X247" s="156" t="inlineStr">
        <is>
          <t>https://i.ibb.co/YWh0cwH/SULUYEL.jpg</t>
        </is>
      </c>
      <c r="Y247" s="54" t="n">
        <v>22.75</v>
      </c>
      <c r="Z247" s="54" t="n">
        <v>1649</v>
      </c>
      <c r="AA247" s="55">
        <f>IF(AND(A247="", B247="", E247=""), "", IF(AB247="", "Válido", IF((LEN(AB247)-LEN(SUBSTITUTE(AB247,"; ","")))/2+1&gt;(LEN(AB247)-LEN(SUBSTITUTE(AB247,"[Aviso]","")))/7, "Con Incidencias", "Válido")))</f>
        <v/>
      </c>
      <c r="AB247" s="56">
        <f>IF(AND(A247="", B247="", E247=""), "", TEXTJOIN("; ", TRUE, IF(OR(TRIM(A247&amp;"")="", ISNUMBER(SEARCH("FALTA", A247))), "UPC faltante/inválido", ""), IF(AND(A247&lt;&gt;"", IFERROR(_xlfn.XMATCH(A247,$A$2:$A$653,0,1)&lt;&gt;_xlfn.XMATCH(A247,$A$2:$A$653,0,-1),FALSE)), "Código de barras duplicado", ""), IF(AND(E247&lt;&gt;"", COUNTIF($E$2:$E$653, E247)&gt;1), "SKU duplicado", ""), IF(OR(J247="", J247=""), "[Aviso] División no capturada ()", IF(ISNA(MATCH(J247, Criterios!$A$123:$A$126, 0)), "División no válida", "")), IF(OR(K247="", K247=""), "[Aviso] Categoría no capturada ()", IF(ISNA(MATCH(K247, Criterios!$A$81:$A$120, 0)), "Categoría no válida", IF(AND(J247&lt;&gt;"", J247&lt;&gt;"", J247&lt;&gt;VLOOKUP(K247, Criterios!$A$81:$B$120, 2, FALSE)), "División no coincide con Categoría", ""))), IF(OR(L247="", L247=""), "[Aviso] Género no capturado ()", IF(ISNA(MATCH(L247, Criterios!$B$123:$B$127, 0)), "Género no válido", "")), IF(OR(N247="", N247=""), "[Aviso] Temporada no capturada ()", IF(ISNA(MATCH(N247, Criterios!$C$123:$C$128, 0)), "Temporada no válida", "")), IF(OR(O247="", O247=""), "[Aviso] Ciclo de vida no capturado ()", IF(ISNA(MATCH(O247, Criterios!$D$123:$D$124, 0)), "Ciclo de vida no válido", ""))))</f>
        <v/>
      </c>
      <c r="AC247" s="56" t="n"/>
      <c r="AD247" s="51" t="n">
        <v>10</v>
      </c>
      <c r="AE247" s="156" t="inlineStr">
        <is>
          <t>REFLO ALMACEN (5)</t>
        </is>
      </c>
      <c r="AF247" s="51" t="n">
        <v>10</v>
      </c>
      <c r="AG247" s="156" t="inlineStr">
        <is>
          <t>Nuevo – NetSuite con existencia</t>
        </is>
      </c>
      <c r="AH247" s="156" t="inlineStr">
        <is>
          <t>Género no indicado en NetSuite; Composición: poliéster reciclado (validar % en etiqueta); Físico total NetSuite 10 ≠ suma por ubicación 5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47" s="156" t="inlineStr">
        <is>
          <t>No</t>
        </is>
      </c>
      <c r="AJ247" s="156" t="n"/>
      <c r="AK247" s="155" t="inlineStr">
        <is>
          <t>G1522ProductosTodosloscamposSandboxResults894.xlsx: fila 58922 [X,Y]; G1522_Extraccion_Articulos_NetSuite_2026-09-30.xlsx: fila 37675 [Z]</t>
        </is>
      </c>
      <c r="AL247" s="58" t="n">
        <v>22.75</v>
      </c>
      <c r="AM247" s="58" t="n"/>
      <c r="AN247" s="155" t="n"/>
      <c r="AO247" s="59" t="n"/>
      <c r="AP247" s="59" t="n"/>
      <c r="AQ247" s="59" t="n"/>
      <c r="AR247" s="155" t="n"/>
    </row>
    <row r="248">
      <c r="A248" s="50" t="inlineStr">
        <is>
          <t>5060923783706</t>
        </is>
      </c>
      <c r="B248" s="51" t="inlineStr">
        <is>
          <t>79344</t>
        </is>
      </c>
      <c r="C248" s="156" t="inlineStr">
        <is>
          <t>REFLO</t>
        </is>
      </c>
      <c r="D248" s="156" t="inlineStr">
        <is>
          <t>SULUYEL</t>
        </is>
      </c>
      <c r="E248" s="156" t="inlineStr">
        <is>
          <t>SULUYEL-XXL</t>
        </is>
      </c>
      <c r="F248" s="156" t="inlineStr">
        <is>
          <t>XXL</t>
        </is>
      </c>
      <c r="G248" s="156" t="inlineStr">
        <is>
          <t>XXL</t>
        </is>
      </c>
      <c r="H248" s="156" t="inlineStr">
        <is>
          <t>REFLO</t>
        </is>
      </c>
      <c r="I248" s="156" t="inlineStr">
        <is>
          <t>Playera tipo polo REFLO Sulu Yellow</t>
        </is>
      </c>
      <c r="J248" s="156" t="inlineStr">
        <is>
          <t>Ropa</t>
        </is>
      </c>
      <c r="K248" s="156" t="inlineStr">
        <is>
          <t>Playeras</t>
        </is>
      </c>
      <c r="L248" s="156" t="n"/>
      <c r="M248" s="156" t="inlineStr">
        <is>
          <t>REFLO</t>
        </is>
      </c>
      <c r="N248" s="156" t="n"/>
      <c r="O248" s="156" t="n"/>
      <c r="P248" s="156" t="inlineStr">
        <is>
          <t>Amarillo</t>
        </is>
      </c>
      <c r="Q248" s="156" t="n"/>
      <c r="R248" s="156" t="n"/>
      <c r="S248" s="156" t="inlineStr">
        <is>
          <t>Poliéster reciclado</t>
        </is>
      </c>
      <c r="T248" s="156" t="inlineStr">
        <is>
          <t>Playera tipo polo de golf REFLO modelo Sulu en color Yellow, confeccionado con materiales reciclados. Estilo SULUYEL.</t>
        </is>
      </c>
      <c r="U248" s="156" t="n"/>
      <c r="V248" s="156" t="inlineStr">
        <is>
          <t>PZS</t>
        </is>
      </c>
      <c r="W248" s="51" t="inlineStr">
        <is>
          <t>53101600</t>
        </is>
      </c>
      <c r="X248" s="156" t="inlineStr">
        <is>
          <t>https://i.ibb.co/YWh0cwH/SULUYEL.jpg</t>
        </is>
      </c>
      <c r="Y248" s="54" t="n">
        <v>22.75</v>
      </c>
      <c r="Z248" s="54" t="n">
        <v>1649</v>
      </c>
      <c r="AA248" s="55">
        <f>IF(AND(A248="", B248="", E248=""), "", IF(AB248="", "Válido", IF((LEN(AB248)-LEN(SUBSTITUTE(AB248,"; ","")))/2+1&gt;(LEN(AB248)-LEN(SUBSTITUTE(AB248,"[Aviso]","")))/7, "Con Incidencias", "Válido")))</f>
        <v/>
      </c>
      <c r="AB248" s="56">
        <f>IF(AND(A248="", B248="", E248=""), "", TEXTJOIN("; ", TRUE, IF(OR(TRIM(A248&amp;"")="", ISNUMBER(SEARCH("FALTA", A248))), "UPC faltante/inválido", ""), IF(AND(A248&lt;&gt;"", IFERROR(_xlfn.XMATCH(A248,$A$2:$A$653,0,1)&lt;&gt;_xlfn.XMATCH(A248,$A$2:$A$653,0,-1),FALSE)), "Código de barras duplicado", ""), IF(AND(E248&lt;&gt;"", COUNTIF($E$2:$E$653, E248)&gt;1), "SKU duplicado", ""), IF(OR(J248="", J248=""), "[Aviso] División no capturada ()", IF(ISNA(MATCH(J248, Criterios!$A$123:$A$126, 0)), "División no válida", "")), IF(OR(K248="", K248=""), "[Aviso] Categoría no capturada ()", IF(ISNA(MATCH(K248, Criterios!$A$81:$A$120, 0)), "Categoría no válida", IF(AND(J248&lt;&gt;"", J248&lt;&gt;"", J248&lt;&gt;VLOOKUP(K248, Criterios!$A$81:$B$120, 2, FALSE)), "División no coincide con Categoría", ""))), IF(OR(L248="", L248=""), "[Aviso] Género no capturado ()", IF(ISNA(MATCH(L248, Criterios!$B$123:$B$127, 0)), "Género no válido", "")), IF(OR(N248="", N248=""), "[Aviso] Temporada no capturada ()", IF(ISNA(MATCH(N248, Criterios!$C$123:$C$128, 0)), "Temporada no válida", "")), IF(OR(O248="", O248=""), "[Aviso] Ciclo de vida no capturado ()", IF(ISNA(MATCH(O248, Criterios!$D$123:$D$124, 0)), "Ciclo de vida no válido", ""))))</f>
        <v/>
      </c>
      <c r="AC248" s="56" t="n"/>
      <c r="AD248" s="51" t="n">
        <v>4</v>
      </c>
      <c r="AE248" s="156" t="inlineStr">
        <is>
          <t>REFLO ALMACEN (2)</t>
        </is>
      </c>
      <c r="AF248" s="51" t="n">
        <v>4</v>
      </c>
      <c r="AG248" s="156" t="inlineStr">
        <is>
          <t>Nuevo – NetSuite con existencia</t>
        </is>
      </c>
      <c r="AH248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48" s="156" t="inlineStr">
        <is>
          <t>No</t>
        </is>
      </c>
      <c r="AJ248" s="156" t="n"/>
      <c r="AK248" s="155" t="inlineStr">
        <is>
          <t>G1522ProductosTodosloscamposSandboxResults894.xlsx: fila 58923 [X,Y]; G1522_Extraccion_Articulos_NetSuite_2026-09-30.xlsx: fila 37676 [Z]</t>
        </is>
      </c>
      <c r="AL248" s="58" t="n">
        <v>22.75</v>
      </c>
      <c r="AM248" s="58" t="n"/>
      <c r="AN248" s="155" t="n"/>
      <c r="AO248" s="59" t="n"/>
      <c r="AP248" s="59" t="n"/>
      <c r="AQ248" s="59" t="n"/>
      <c r="AR248" s="155" t="n"/>
    </row>
    <row r="249">
      <c r="A249" s="50" t="inlineStr">
        <is>
          <t>5056658702617</t>
        </is>
      </c>
      <c r="B249" s="51" t="inlineStr">
        <is>
          <t>79306</t>
        </is>
      </c>
      <c r="C249" s="156" t="inlineStr">
        <is>
          <t>REFLO</t>
        </is>
      </c>
      <c r="D249" s="156" t="inlineStr">
        <is>
          <t>TAGCAV</t>
        </is>
      </c>
      <c r="E249" s="156" t="inlineStr">
        <is>
          <t>TAGCAV-M</t>
        </is>
      </c>
      <c r="F249" s="156" t="inlineStr">
        <is>
          <t>M</t>
        </is>
      </c>
      <c r="G249" s="156" t="inlineStr">
        <is>
          <t>M</t>
        </is>
      </c>
      <c r="H249" s="156" t="inlineStr">
        <is>
          <t>REFLO</t>
        </is>
      </c>
      <c r="I249" s="156" t="inlineStr">
        <is>
          <t>Playera tipo polo REFLO Tagus Caviar/Asphalt</t>
        </is>
      </c>
      <c r="J249" s="156" t="inlineStr">
        <is>
          <t>Ropa</t>
        </is>
      </c>
      <c r="K249" s="156" t="inlineStr">
        <is>
          <t>Playeras</t>
        </is>
      </c>
      <c r="L249" s="156" t="n"/>
      <c r="M249" s="156" t="inlineStr">
        <is>
          <t>REFLO</t>
        </is>
      </c>
      <c r="N249" s="156" t="n"/>
      <c r="O249" s="156" t="n"/>
      <c r="P249" s="156" t="inlineStr">
        <is>
          <t>Negro</t>
        </is>
      </c>
      <c r="Q249" s="156" t="n"/>
      <c r="R249" s="156" t="n"/>
      <c r="S249" s="156" t="inlineStr">
        <is>
          <t>Poliéster reciclado</t>
        </is>
      </c>
      <c r="T249" s="156" t="inlineStr">
        <is>
          <t>Playera tipo polo de golf REFLO modelo Tagus en color Caviar/Asphalt, confeccionado con materiales reciclados. Estilo TAGCAV.</t>
        </is>
      </c>
      <c r="U249" s="156" t="n"/>
      <c r="V249" s="156" t="inlineStr">
        <is>
          <t>PZS</t>
        </is>
      </c>
      <c r="W249" s="51" t="inlineStr">
        <is>
          <t>53101600</t>
        </is>
      </c>
      <c r="X249" s="156" t="inlineStr">
        <is>
          <t>https://i.ibb.co/26L23dg/TAGCAV.jpg</t>
        </is>
      </c>
      <c r="Y249" s="54" t="n">
        <v>26</v>
      </c>
      <c r="Z249" s="54" t="n">
        <v>1899</v>
      </c>
      <c r="AA249" s="55">
        <f>IF(AND(A249="", B249="", E249=""), "", IF(AB249="", "Válido", IF((LEN(AB249)-LEN(SUBSTITUTE(AB249,"; ","")))/2+1&gt;(LEN(AB249)-LEN(SUBSTITUTE(AB249,"[Aviso]","")))/7, "Con Incidencias", "Válido")))</f>
        <v/>
      </c>
      <c r="AB249" s="56">
        <f>IF(AND(A249="", B249="", E249=""), "", TEXTJOIN("; ", TRUE, IF(OR(TRIM(A249&amp;"")="", ISNUMBER(SEARCH("FALTA", A249))), "UPC faltante/inválido", ""), IF(AND(A249&lt;&gt;"", IFERROR(_xlfn.XMATCH(A249,$A$2:$A$653,0,1)&lt;&gt;_xlfn.XMATCH(A249,$A$2:$A$653,0,-1),FALSE)), "Código de barras duplicado", ""), IF(AND(E249&lt;&gt;"", COUNTIF($E$2:$E$653, E249)&gt;1), "SKU duplicado", ""), IF(OR(J249="", J249=""), "[Aviso] División no capturada ()", IF(ISNA(MATCH(J249, Criterios!$A$123:$A$126, 0)), "División no válida", "")), IF(OR(K249="", K249=""), "[Aviso] Categoría no capturada ()", IF(ISNA(MATCH(K249, Criterios!$A$81:$A$120, 0)), "Categoría no válida", IF(AND(J249&lt;&gt;"", J249&lt;&gt;"", J249&lt;&gt;VLOOKUP(K249, Criterios!$A$81:$B$120, 2, FALSE)), "División no coincide con Categoría", ""))), IF(OR(L249="", L249=""), "[Aviso] Género no capturado ()", IF(ISNA(MATCH(L249, Criterios!$B$123:$B$127, 0)), "Género no válido", "")), IF(OR(N249="", N249=""), "[Aviso] Temporada no capturada ()", IF(ISNA(MATCH(N249, Criterios!$C$123:$C$128, 0)), "Temporada no válida", "")), IF(OR(O249="", O249=""), "[Aviso] Ciclo de vida no capturado ()", IF(ISNA(MATCH(O249, Criterios!$D$123:$D$124, 0)), "Ciclo de vida no válido", ""))))</f>
        <v/>
      </c>
      <c r="AC249" s="56" t="n"/>
      <c r="AD249" s="51" t="n">
        <v>10</v>
      </c>
      <c r="AE249" s="156" t="inlineStr">
        <is>
          <t>CONSIGNA REFLO (2); REFLO ALMACEN (3)</t>
        </is>
      </c>
      <c r="AF249" s="51" t="n">
        <v>10</v>
      </c>
      <c r="AG249" s="156" t="inlineStr">
        <is>
          <t>Nuevo – NetSuite con existencia</t>
        </is>
      </c>
      <c r="AH249" s="156" t="inlineStr">
        <is>
          <t>Género no indicado en NetSuite; Composición: poliéster reciclado (validar % en etiqueta); Físico total NetSuite 10 ≠ suma por ubicación 5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49" s="156" t="inlineStr">
        <is>
          <t>No</t>
        </is>
      </c>
      <c r="AJ249" s="156" t="n"/>
      <c r="AK249" s="155" t="inlineStr">
        <is>
          <t>G1522ProductosTodosloscamposSandboxResults894.xlsx: fila 58943 [X,Y]; G1522_Extraccion_Articulos_NetSuite_2026-09-30.xlsx: fila 37638 [Z]</t>
        </is>
      </c>
      <c r="AL249" s="58" t="n">
        <v>26</v>
      </c>
      <c r="AM249" s="58" t="n"/>
      <c r="AN249" s="155" t="n"/>
      <c r="AO249" s="59" t="n"/>
      <c r="AP249" s="59" t="n"/>
      <c r="AQ249" s="59" t="n"/>
      <c r="AR249" s="155" t="n"/>
    </row>
    <row r="250">
      <c r="A250" s="50" t="inlineStr">
        <is>
          <t>5056658702624</t>
        </is>
      </c>
      <c r="B250" s="51" t="inlineStr">
        <is>
          <t>79307</t>
        </is>
      </c>
      <c r="C250" s="156" t="inlineStr">
        <is>
          <t>REFLO</t>
        </is>
      </c>
      <c r="D250" s="156" t="inlineStr">
        <is>
          <t>TAGCAV</t>
        </is>
      </c>
      <c r="E250" s="156" t="inlineStr">
        <is>
          <t>TAGCAV-L</t>
        </is>
      </c>
      <c r="F250" s="156" t="inlineStr">
        <is>
          <t>L</t>
        </is>
      </c>
      <c r="G250" s="156" t="inlineStr">
        <is>
          <t>L</t>
        </is>
      </c>
      <c r="H250" s="156" t="inlineStr">
        <is>
          <t>REFLO</t>
        </is>
      </c>
      <c r="I250" s="156" t="inlineStr">
        <is>
          <t>Playera tipo polo REFLO Tagus Caviar/Asphalt</t>
        </is>
      </c>
      <c r="J250" s="156" t="inlineStr">
        <is>
          <t>Ropa</t>
        </is>
      </c>
      <c r="K250" s="156" t="inlineStr">
        <is>
          <t>Playeras</t>
        </is>
      </c>
      <c r="L250" s="156" t="n"/>
      <c r="M250" s="156" t="inlineStr">
        <is>
          <t>REFLO</t>
        </is>
      </c>
      <c r="N250" s="156" t="n"/>
      <c r="O250" s="156" t="n"/>
      <c r="P250" s="156" t="inlineStr">
        <is>
          <t>Negro</t>
        </is>
      </c>
      <c r="Q250" s="156" t="n"/>
      <c r="R250" s="156" t="n"/>
      <c r="S250" s="156" t="inlineStr">
        <is>
          <t>Poliéster reciclado</t>
        </is>
      </c>
      <c r="T250" s="156" t="inlineStr">
        <is>
          <t>Playera tipo polo de golf REFLO modelo Tagus en color Caviar/Asphalt, confeccionado con materiales reciclados. Estilo TAGCAV.</t>
        </is>
      </c>
      <c r="U250" s="156" t="n"/>
      <c r="V250" s="156" t="inlineStr">
        <is>
          <t>PZS</t>
        </is>
      </c>
      <c r="W250" s="51" t="inlineStr">
        <is>
          <t>53101600</t>
        </is>
      </c>
      <c r="X250" s="156" t="inlineStr">
        <is>
          <t>https://i.ibb.co/26L23dg/TAGCAV.jpg</t>
        </is>
      </c>
      <c r="Y250" s="54" t="n">
        <v>26</v>
      </c>
      <c r="Z250" s="54" t="n">
        <v>1899</v>
      </c>
      <c r="AA250" s="55">
        <f>IF(AND(A250="", B250="", E250=""), "", IF(AB250="", "Válido", IF((LEN(AB250)-LEN(SUBSTITUTE(AB250,"; ","")))/2+1&gt;(LEN(AB250)-LEN(SUBSTITUTE(AB250,"[Aviso]","")))/7, "Con Incidencias", "Válido")))</f>
        <v/>
      </c>
      <c r="AB250" s="56">
        <f>IF(AND(A250="", B250="", E250=""), "", TEXTJOIN("; ", TRUE, IF(OR(TRIM(A250&amp;"")="", ISNUMBER(SEARCH("FALTA", A250))), "UPC faltante/inválido", ""), IF(AND(A250&lt;&gt;"", IFERROR(_xlfn.XMATCH(A250,$A$2:$A$653,0,1)&lt;&gt;_xlfn.XMATCH(A250,$A$2:$A$653,0,-1),FALSE)), "Código de barras duplicado", ""), IF(AND(E250&lt;&gt;"", COUNTIF($E$2:$E$653, E250)&gt;1), "SKU duplicado", ""), IF(OR(J250="", J250=""), "[Aviso] División no capturada ()", IF(ISNA(MATCH(J250, Criterios!$A$123:$A$126, 0)), "División no válida", "")), IF(OR(K250="", K250=""), "[Aviso] Categoría no capturada ()", IF(ISNA(MATCH(K250, Criterios!$A$81:$A$120, 0)), "Categoría no válida", IF(AND(J250&lt;&gt;"", J250&lt;&gt;"", J250&lt;&gt;VLOOKUP(K250, Criterios!$A$81:$B$120, 2, FALSE)), "División no coincide con Categoría", ""))), IF(OR(L250="", L250=""), "[Aviso] Género no capturado ()", IF(ISNA(MATCH(L250, Criterios!$B$123:$B$127, 0)), "Género no válido", "")), IF(OR(N250="", N250=""), "[Aviso] Temporada no capturada ()", IF(ISNA(MATCH(N250, Criterios!$C$123:$C$128, 0)), "Temporada no válida", "")), IF(OR(O250="", O250=""), "[Aviso] Ciclo de vida no capturado ()", IF(ISNA(MATCH(O250, Criterios!$D$123:$D$124, 0)), "Ciclo de vida no válido", ""))))</f>
        <v/>
      </c>
      <c r="AC250" s="56" t="n"/>
      <c r="AD250" s="51" t="n">
        <v>14</v>
      </c>
      <c r="AE250" s="156" t="inlineStr">
        <is>
          <t>MUESTRAS REFLO (1); REFLO ALMACEN (7)</t>
        </is>
      </c>
      <c r="AF250" s="51" t="n">
        <v>13</v>
      </c>
      <c r="AG250" s="156" t="inlineStr">
        <is>
          <t>Nuevo – NetSuite con existencia</t>
        </is>
      </c>
      <c r="AH250" s="156" t="inlineStr">
        <is>
          <t>Género no indicado en NetSuite; Composición: poliéster reciclado (validar % en etiqueta); Físico total NetSuite 14 ≠ suma por ubicación 8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0" s="156" t="inlineStr">
        <is>
          <t>No</t>
        </is>
      </c>
      <c r="AJ250" s="156" t="n"/>
      <c r="AK250" s="155" t="inlineStr">
        <is>
          <t>G1522ProductosTodosloscamposSandboxResults894.xlsx: fila 58944 [X,Y]; G1522_Extraccion_Articulos_NetSuite_2026-09-30.xlsx: fila 37639 [Z]</t>
        </is>
      </c>
      <c r="AL250" s="58" t="n">
        <v>26</v>
      </c>
      <c r="AM250" s="58" t="n"/>
      <c r="AN250" s="155" t="n"/>
      <c r="AO250" s="59" t="n"/>
      <c r="AP250" s="59" t="n"/>
      <c r="AQ250" s="59" t="n"/>
      <c r="AR250" s="155" t="n"/>
    </row>
    <row r="251">
      <c r="A251" s="50" t="inlineStr">
        <is>
          <t>5056658702631</t>
        </is>
      </c>
      <c r="B251" s="51" t="inlineStr">
        <is>
          <t>79308</t>
        </is>
      </c>
      <c r="C251" s="156" t="inlineStr">
        <is>
          <t>REFLO</t>
        </is>
      </c>
      <c r="D251" s="156" t="inlineStr">
        <is>
          <t>TAGCAV</t>
        </is>
      </c>
      <c r="E251" s="156" t="inlineStr">
        <is>
          <t>TAGCAV-XL</t>
        </is>
      </c>
      <c r="F251" s="156" t="inlineStr">
        <is>
          <t>XL</t>
        </is>
      </c>
      <c r="G251" s="156" t="inlineStr">
        <is>
          <t>XL</t>
        </is>
      </c>
      <c r="H251" s="156" t="inlineStr">
        <is>
          <t>REFLO</t>
        </is>
      </c>
      <c r="I251" s="156" t="inlineStr">
        <is>
          <t>Playera tipo polo REFLO Tagus Caviar/Asphalt</t>
        </is>
      </c>
      <c r="J251" s="156" t="inlineStr">
        <is>
          <t>Ropa</t>
        </is>
      </c>
      <c r="K251" s="156" t="inlineStr">
        <is>
          <t>Playeras</t>
        </is>
      </c>
      <c r="L251" s="156" t="n"/>
      <c r="M251" s="156" t="inlineStr">
        <is>
          <t>REFLO</t>
        </is>
      </c>
      <c r="N251" s="156" t="n"/>
      <c r="O251" s="156" t="n"/>
      <c r="P251" s="156" t="inlineStr">
        <is>
          <t>Negro</t>
        </is>
      </c>
      <c r="Q251" s="156" t="n"/>
      <c r="R251" s="156" t="n"/>
      <c r="S251" s="156" t="inlineStr">
        <is>
          <t>Poliéster reciclado</t>
        </is>
      </c>
      <c r="T251" s="156" t="inlineStr">
        <is>
          <t>Playera tipo polo de golf REFLO modelo Tagus en color Caviar/Asphalt, confeccionado con materiales reciclados. Estilo TAGCAV.</t>
        </is>
      </c>
      <c r="U251" s="156" t="n"/>
      <c r="V251" s="156" t="inlineStr">
        <is>
          <t>PZS</t>
        </is>
      </c>
      <c r="W251" s="51" t="inlineStr">
        <is>
          <t>53101600</t>
        </is>
      </c>
      <c r="X251" s="156" t="inlineStr">
        <is>
          <t>https://i.ibb.co/26L23dg/TAGCAV.jpg</t>
        </is>
      </c>
      <c r="Y251" s="54" t="n">
        <v>26</v>
      </c>
      <c r="Z251" s="54" t="n">
        <v>1899</v>
      </c>
      <c r="AA251" s="55">
        <f>IF(AND(A251="", B251="", E251=""), "", IF(AB251="", "Válido", IF((LEN(AB251)-LEN(SUBSTITUTE(AB251,"; ","")))/2+1&gt;(LEN(AB251)-LEN(SUBSTITUTE(AB251,"[Aviso]","")))/7, "Con Incidencias", "Válido")))</f>
        <v/>
      </c>
      <c r="AB251" s="56">
        <f>IF(AND(A251="", B251="", E251=""), "", TEXTJOIN("; ", TRUE, IF(OR(TRIM(A251&amp;"")="", ISNUMBER(SEARCH("FALTA", A251))), "UPC faltante/inválido", ""), IF(AND(A251&lt;&gt;"", IFERROR(_xlfn.XMATCH(A251,$A$2:$A$653,0,1)&lt;&gt;_xlfn.XMATCH(A251,$A$2:$A$653,0,-1),FALSE)), "Código de barras duplicado", ""), IF(AND(E251&lt;&gt;"", COUNTIF($E$2:$E$653, E251)&gt;1), "SKU duplicado", ""), IF(OR(J251="", J251=""), "[Aviso] División no capturada ()", IF(ISNA(MATCH(J251, Criterios!$A$123:$A$126, 0)), "División no válida", "")), IF(OR(K251="", K251=""), "[Aviso] Categoría no capturada ()", IF(ISNA(MATCH(K251, Criterios!$A$81:$A$120, 0)), "Categoría no válida", IF(AND(J251&lt;&gt;"", J251&lt;&gt;"", J251&lt;&gt;VLOOKUP(K251, Criterios!$A$81:$B$120, 2, FALSE)), "División no coincide con Categoría", ""))), IF(OR(L251="", L251=""), "[Aviso] Género no capturado ()", IF(ISNA(MATCH(L251, Criterios!$B$123:$B$127, 0)), "Género no válido", "")), IF(OR(N251="", N251=""), "[Aviso] Temporada no capturada ()", IF(ISNA(MATCH(N251, Criterios!$C$123:$C$128, 0)), "Temporada no válida", "")), IF(OR(O251="", O251=""), "[Aviso] Ciclo de vida no capturado ()", IF(ISNA(MATCH(O251, Criterios!$D$123:$D$124, 0)), "Ciclo de vida no válido", ""))))</f>
        <v/>
      </c>
      <c r="AC251" s="56" t="n"/>
      <c r="AD251" s="51" t="n">
        <v>16</v>
      </c>
      <c r="AE251" s="156" t="inlineStr">
        <is>
          <t>REFLO ALMACEN (8)</t>
        </is>
      </c>
      <c r="AF251" s="51" t="n">
        <v>16</v>
      </c>
      <c r="AG251" s="156" t="inlineStr">
        <is>
          <t>Nuevo – NetSuite con existencia</t>
        </is>
      </c>
      <c r="AH251" s="156" t="inlineStr">
        <is>
          <t>Género no indicado en NetSuite; Composición: poliéster reciclado (validar % en etiqueta); Físico total NetSuite 16 ≠ suma por ubicación 8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1" s="156" t="inlineStr">
        <is>
          <t>No</t>
        </is>
      </c>
      <c r="AJ251" s="156" t="n"/>
      <c r="AK251" s="155" t="inlineStr">
        <is>
          <t>G1522ProductosTodosloscamposSandboxResults894.xlsx: fila 58945 [X,Y]; G1522_Extraccion_Articulos_NetSuite_2026-09-30.xlsx: fila 37640 [Z]</t>
        </is>
      </c>
      <c r="AL251" s="58" t="n">
        <v>26</v>
      </c>
      <c r="AM251" s="58" t="n"/>
      <c r="AN251" s="155" t="n"/>
      <c r="AO251" s="59" t="n"/>
      <c r="AP251" s="59" t="n"/>
      <c r="AQ251" s="59" t="n"/>
      <c r="AR251" s="155" t="n"/>
    </row>
    <row r="252">
      <c r="A252" s="50" t="inlineStr">
        <is>
          <t>5056658702648</t>
        </is>
      </c>
      <c r="B252" s="51" t="inlineStr">
        <is>
          <t>79309</t>
        </is>
      </c>
      <c r="C252" s="156" t="inlineStr">
        <is>
          <t>REFLO</t>
        </is>
      </c>
      <c r="D252" s="156" t="inlineStr">
        <is>
          <t>TAGCAV</t>
        </is>
      </c>
      <c r="E252" s="156" t="inlineStr">
        <is>
          <t>TAGCAV-2XL</t>
        </is>
      </c>
      <c r="F252" s="156" t="inlineStr">
        <is>
          <t>XXL</t>
        </is>
      </c>
      <c r="G252" s="156" t="inlineStr">
        <is>
          <t>XXL</t>
        </is>
      </c>
      <c r="H252" s="156" t="inlineStr">
        <is>
          <t>REFLO</t>
        </is>
      </c>
      <c r="I252" s="156" t="inlineStr">
        <is>
          <t>Playera tipo polo REFLO Tagus Caviar/Asphalt</t>
        </is>
      </c>
      <c r="J252" s="156" t="inlineStr">
        <is>
          <t>Ropa</t>
        </is>
      </c>
      <c r="K252" s="156" t="inlineStr">
        <is>
          <t>Playeras</t>
        </is>
      </c>
      <c r="L252" s="156" t="n"/>
      <c r="M252" s="156" t="inlineStr">
        <is>
          <t>REFLO</t>
        </is>
      </c>
      <c r="N252" s="156" t="n"/>
      <c r="O252" s="156" t="n"/>
      <c r="P252" s="156" t="inlineStr">
        <is>
          <t>Negro</t>
        </is>
      </c>
      <c r="Q252" s="156" t="n"/>
      <c r="R252" s="156" t="n"/>
      <c r="S252" s="156" t="inlineStr">
        <is>
          <t>Poliéster reciclado</t>
        </is>
      </c>
      <c r="T252" s="156" t="inlineStr">
        <is>
          <t>Playera tipo polo de golf REFLO modelo Tagus en color Caviar/Asphalt, confeccionado con materiales reciclados. Estilo TAGCAV.</t>
        </is>
      </c>
      <c r="U252" s="156" t="n"/>
      <c r="V252" s="156" t="inlineStr">
        <is>
          <t>PZS</t>
        </is>
      </c>
      <c r="W252" s="51" t="inlineStr">
        <is>
          <t>53101600</t>
        </is>
      </c>
      <c r="X252" s="156" t="inlineStr">
        <is>
          <t>https://i.ibb.co/26L23dg/TAGCAV.jpg</t>
        </is>
      </c>
      <c r="Y252" s="54" t="n">
        <v>26</v>
      </c>
      <c r="Z252" s="54" t="n">
        <v>1899</v>
      </c>
      <c r="AA252" s="55">
        <f>IF(AND(A252="", B252="", E252=""), "", IF(AB252="", "Válido", IF((LEN(AB252)-LEN(SUBSTITUTE(AB252,"; ","")))/2+1&gt;(LEN(AB252)-LEN(SUBSTITUTE(AB252,"[Aviso]","")))/7, "Con Incidencias", "Válido")))</f>
        <v/>
      </c>
      <c r="AB252" s="56">
        <f>IF(AND(A252="", B252="", E252=""), "", TEXTJOIN("; ", TRUE, IF(OR(TRIM(A252&amp;"")="", ISNUMBER(SEARCH("FALTA", A252))), "UPC faltante/inválido", ""), IF(AND(A252&lt;&gt;"", IFERROR(_xlfn.XMATCH(A252,$A$2:$A$653,0,1)&lt;&gt;_xlfn.XMATCH(A252,$A$2:$A$653,0,-1),FALSE)), "Código de barras duplicado", ""), IF(AND(E252&lt;&gt;"", COUNTIF($E$2:$E$653, E252)&gt;1), "SKU duplicado", ""), IF(OR(J252="", J252=""), "[Aviso] División no capturada ()", IF(ISNA(MATCH(J252, Criterios!$A$123:$A$126, 0)), "División no válida", "")), IF(OR(K252="", K252=""), "[Aviso] Categoría no capturada ()", IF(ISNA(MATCH(K252, Criterios!$A$81:$A$120, 0)), "Categoría no válida", IF(AND(J252&lt;&gt;"", J252&lt;&gt;"", J252&lt;&gt;VLOOKUP(K252, Criterios!$A$81:$B$120, 2, FALSE)), "División no coincide con Categoría", ""))), IF(OR(L252="", L252=""), "[Aviso] Género no capturado ()", IF(ISNA(MATCH(L252, Criterios!$B$123:$B$127, 0)), "Género no válido", "")), IF(OR(N252="", N252=""), "[Aviso] Temporada no capturada ()", IF(ISNA(MATCH(N252, Criterios!$C$123:$C$128, 0)), "Temporada no válida", "")), IF(OR(O252="", O252=""), "[Aviso] Ciclo de vida no capturado ()", IF(ISNA(MATCH(O252, Criterios!$D$123:$D$124, 0)), "Ciclo de vida no válido", ""))))</f>
        <v/>
      </c>
      <c r="AC252" s="56" t="n"/>
      <c r="AD252" s="51" t="n">
        <v>8</v>
      </c>
      <c r="AE252" s="156" t="inlineStr">
        <is>
          <t>REFLO ALMACEN (4)</t>
        </is>
      </c>
      <c r="AF252" s="51" t="n">
        <v>8</v>
      </c>
      <c r="AG252" s="156" t="inlineStr">
        <is>
          <t>Nuevo – NetSuite con existencia</t>
        </is>
      </c>
      <c r="AH252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2" s="156" t="inlineStr">
        <is>
          <t>No</t>
        </is>
      </c>
      <c r="AJ252" s="156" t="n"/>
      <c r="AK252" s="155" t="inlineStr">
        <is>
          <t>G1522ProductosTodosloscamposSandboxResults894.xlsx: fila 58946 [X,Y]; G1522_Extraccion_Articulos_NetSuite_2026-09-30.xlsx: fila 37641 [Z]</t>
        </is>
      </c>
      <c r="AL252" s="58" t="n">
        <v>26</v>
      </c>
      <c r="AM252" s="58" t="n"/>
      <c r="AN252" s="155" t="n"/>
      <c r="AO252" s="59" t="n"/>
      <c r="AP252" s="59" t="n"/>
      <c r="AQ252" s="59" t="n"/>
      <c r="AR252" s="155" t="n"/>
    </row>
    <row r="253">
      <c r="A253" s="50" t="inlineStr">
        <is>
          <t>5056658702600</t>
        </is>
      </c>
      <c r="B253" s="51" t="inlineStr">
        <is>
          <t>84435</t>
        </is>
      </c>
      <c r="C253" s="156" t="inlineStr">
        <is>
          <t>REFLO</t>
        </is>
      </c>
      <c r="D253" s="156" t="inlineStr">
        <is>
          <t>TAGCAV</t>
        </is>
      </c>
      <c r="E253" s="156" t="inlineStr">
        <is>
          <t>TAGCAV-S</t>
        </is>
      </c>
      <c r="F253" s="156" t="inlineStr">
        <is>
          <t>S</t>
        </is>
      </c>
      <c r="G253" s="156" t="inlineStr">
        <is>
          <t>S</t>
        </is>
      </c>
      <c r="H253" s="156" t="inlineStr">
        <is>
          <t>REFLO</t>
        </is>
      </c>
      <c r="I253" s="156" t="inlineStr">
        <is>
          <t>Playera tipo polo REFLO Tagus Caviar/Asphalt</t>
        </is>
      </c>
      <c r="J253" s="156" t="inlineStr">
        <is>
          <t>Ropa</t>
        </is>
      </c>
      <c r="K253" s="156" t="inlineStr">
        <is>
          <t>Playeras</t>
        </is>
      </c>
      <c r="L253" s="156" t="n"/>
      <c r="M253" s="156" t="inlineStr">
        <is>
          <t>REFLO</t>
        </is>
      </c>
      <c r="N253" s="156" t="n"/>
      <c r="O253" s="156" t="n"/>
      <c r="P253" s="156" t="inlineStr">
        <is>
          <t>Negro</t>
        </is>
      </c>
      <c r="Q253" s="156" t="n"/>
      <c r="R253" s="156" t="n"/>
      <c r="S253" s="156" t="inlineStr">
        <is>
          <t>Poliéster reciclado</t>
        </is>
      </c>
      <c r="T253" s="156" t="inlineStr">
        <is>
          <t>Playera tipo polo de golf REFLO modelo Tagus en color Caviar/Asphalt, confeccionado con materiales reciclados. Estilo TAGCAV.</t>
        </is>
      </c>
      <c r="U253" s="156" t="n"/>
      <c r="V253" s="156" t="inlineStr">
        <is>
          <t>PZS</t>
        </is>
      </c>
      <c r="W253" s="51" t="inlineStr">
        <is>
          <t>53101600</t>
        </is>
      </c>
      <c r="X253" s="156" t="inlineStr">
        <is>
          <t>https://i.ibb.co/26L23dg/TAGCAV.jpg</t>
        </is>
      </c>
      <c r="Y253" s="54" t="n">
        <v>26</v>
      </c>
      <c r="Z253" s="54" t="n">
        <v>1899</v>
      </c>
      <c r="AA253" s="55">
        <f>IF(AND(A253="", B253="", E253=""), "", IF(AB253="", "Válido", IF((LEN(AB253)-LEN(SUBSTITUTE(AB253,"; ","")))/2+1&gt;(LEN(AB253)-LEN(SUBSTITUTE(AB253,"[Aviso]","")))/7, "Con Incidencias", "Válido")))</f>
        <v/>
      </c>
      <c r="AB253" s="56">
        <f>IF(AND(A253="", B253="", E253=""), "", TEXTJOIN("; ", TRUE, IF(OR(TRIM(A253&amp;"")="", ISNUMBER(SEARCH("FALTA", A253))), "UPC faltante/inválido", ""), IF(AND(A253&lt;&gt;"", IFERROR(_xlfn.XMATCH(A253,$A$2:$A$653,0,1)&lt;&gt;_xlfn.XMATCH(A253,$A$2:$A$653,0,-1),FALSE)), "Código de barras duplicado", ""), IF(AND(E253&lt;&gt;"", COUNTIF($E$2:$E$653, E253)&gt;1), "SKU duplicado", ""), IF(OR(J253="", J253=""), "[Aviso] División no capturada ()", IF(ISNA(MATCH(J253, Criterios!$A$123:$A$126, 0)), "División no válida", "")), IF(OR(K253="", K253=""), "[Aviso] Categoría no capturada ()", IF(ISNA(MATCH(K253, Criterios!$A$81:$A$120, 0)), "Categoría no válida", IF(AND(J253&lt;&gt;"", J253&lt;&gt;"", J253&lt;&gt;VLOOKUP(K253, Criterios!$A$81:$B$120, 2, FALSE)), "División no coincide con Categoría", ""))), IF(OR(L253="", L253=""), "[Aviso] Género no capturado ()", IF(ISNA(MATCH(L253, Criterios!$B$123:$B$127, 0)), "Género no válido", "")), IF(OR(N253="", N253=""), "[Aviso] Temporada no capturada ()", IF(ISNA(MATCH(N253, Criterios!$C$123:$C$128, 0)), "Temporada no válida", "")), IF(OR(O253="", O253=""), "[Aviso] Ciclo de vida no capturado ()", IF(ISNA(MATCH(O253, Criterios!$D$123:$D$124, 0)), "Ciclo de vida no válido", ""))))</f>
        <v/>
      </c>
      <c r="AC253" s="56" t="n"/>
      <c r="AD253" s="51" t="n">
        <v>8</v>
      </c>
      <c r="AE253" s="156" t="inlineStr">
        <is>
          <t>CONSIGNA REFLO (2); REFLO ALMACEN (2)</t>
        </is>
      </c>
      <c r="AF253" s="51" t="n">
        <v>8</v>
      </c>
      <c r="AG253" s="156" t="inlineStr">
        <is>
          <t>Nuevo – NetSuite con existencia</t>
        </is>
      </c>
      <c r="AH253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3" s="156" t="inlineStr">
        <is>
          <t>No</t>
        </is>
      </c>
      <c r="AJ253" s="156" t="n"/>
      <c r="AK253" s="155" t="inlineStr">
        <is>
          <t>G1522ProductosTodosloscamposSandboxResults894.xlsx: fila 58942 [X,Y]; G1522_Extraccion_Articulos_NetSuite_2026-09-30.xlsx: fila 39604 [Z]</t>
        </is>
      </c>
      <c r="AL253" s="58" t="n">
        <v>26</v>
      </c>
      <c r="AM253" s="58" t="n"/>
      <c r="AN253" s="155" t="n"/>
      <c r="AO253" s="59" t="n"/>
      <c r="AP253" s="59" t="n"/>
      <c r="AQ253" s="59" t="n"/>
      <c r="AR253" s="155" t="n"/>
    </row>
    <row r="254">
      <c r="A254" s="50" t="inlineStr">
        <is>
          <t>5056658702730</t>
        </is>
      </c>
      <c r="B254" s="51" t="inlineStr">
        <is>
          <t>79310</t>
        </is>
      </c>
      <c r="C254" s="156" t="inlineStr">
        <is>
          <t>REFLO</t>
        </is>
      </c>
      <c r="D254" s="156" t="inlineStr">
        <is>
          <t>TAGCOR</t>
        </is>
      </c>
      <c r="E254" s="156" t="inlineStr">
        <is>
          <t>TAGCOR-M</t>
        </is>
      </c>
      <c r="F254" s="156" t="inlineStr">
        <is>
          <t>M</t>
        </is>
      </c>
      <c r="G254" s="156" t="inlineStr">
        <is>
          <t>M</t>
        </is>
      </c>
      <c r="H254" s="156" t="inlineStr">
        <is>
          <t>REFLO</t>
        </is>
      </c>
      <c r="I254" s="156" t="inlineStr">
        <is>
          <t>Playera tipo polo REFLO Tagus Coronet Blue/Vintage Indigo</t>
        </is>
      </c>
      <c r="J254" s="156" t="inlineStr">
        <is>
          <t>Ropa</t>
        </is>
      </c>
      <c r="K254" s="156" t="inlineStr">
        <is>
          <t>Playeras</t>
        </is>
      </c>
      <c r="L254" s="156" t="n"/>
      <c r="M254" s="156" t="inlineStr">
        <is>
          <t>REFLO</t>
        </is>
      </c>
      <c r="N254" s="156" t="n"/>
      <c r="O254" s="156" t="n"/>
      <c r="P254" s="156" t="inlineStr">
        <is>
          <t>Azul</t>
        </is>
      </c>
      <c r="Q254" s="156" t="n"/>
      <c r="R254" s="156" t="n"/>
      <c r="S254" s="156" t="inlineStr">
        <is>
          <t>Poliéster reciclado</t>
        </is>
      </c>
      <c r="T254" s="156" t="inlineStr">
        <is>
          <t>Playera tipo polo de golf REFLO modelo Tagus en color Coronet Blue/Vintage Indigo, confeccionado con materiales reciclados. Estilo TAGCOR.</t>
        </is>
      </c>
      <c r="U254" s="156" t="n"/>
      <c r="V254" s="156" t="inlineStr">
        <is>
          <t>PZS</t>
        </is>
      </c>
      <c r="W254" s="51" t="inlineStr">
        <is>
          <t>53101600</t>
        </is>
      </c>
      <c r="X254" s="156" t="inlineStr">
        <is>
          <t>https://i.ibb.co/JvDpcfF/TAGCOR.jpg</t>
        </is>
      </c>
      <c r="Y254" s="54" t="n">
        <v>26</v>
      </c>
      <c r="Z254" s="54" t="n">
        <v>1899</v>
      </c>
      <c r="AA254" s="55">
        <f>IF(AND(A254="", B254="", E254=""), "", IF(AB254="", "Válido", IF((LEN(AB254)-LEN(SUBSTITUTE(AB254,"; ","")))/2+1&gt;(LEN(AB254)-LEN(SUBSTITUTE(AB254,"[Aviso]","")))/7, "Con Incidencias", "Válido")))</f>
        <v/>
      </c>
      <c r="AB254" s="56">
        <f>IF(AND(A254="", B254="", E254=""), "", TEXTJOIN("; ", TRUE, IF(OR(TRIM(A254&amp;"")="", ISNUMBER(SEARCH("FALTA", A254))), "UPC faltante/inválido", ""), IF(AND(A254&lt;&gt;"", IFERROR(_xlfn.XMATCH(A254,$A$2:$A$653,0,1)&lt;&gt;_xlfn.XMATCH(A254,$A$2:$A$653,0,-1),FALSE)), "Código de barras duplicado", ""), IF(AND(E254&lt;&gt;"", COUNTIF($E$2:$E$653, E254)&gt;1), "SKU duplicado", ""), IF(OR(J254="", J254=""), "[Aviso] División no capturada ()", IF(ISNA(MATCH(J254, Criterios!$A$123:$A$126, 0)), "División no válida", "")), IF(OR(K254="", K254=""), "[Aviso] Categoría no capturada ()", IF(ISNA(MATCH(K254, Criterios!$A$81:$A$120, 0)), "Categoría no válida", IF(AND(J254&lt;&gt;"", J254&lt;&gt;"", J254&lt;&gt;VLOOKUP(K254, Criterios!$A$81:$B$120, 2, FALSE)), "División no coincide con Categoría", ""))), IF(OR(L254="", L254=""), "[Aviso] Género no capturado ()", IF(ISNA(MATCH(L254, Criterios!$B$123:$B$127, 0)), "Género no válido", "")), IF(OR(N254="", N254=""), "[Aviso] Temporada no capturada ()", IF(ISNA(MATCH(N254, Criterios!$C$123:$C$128, 0)), "Temporada no válida", "")), IF(OR(O254="", O254=""), "[Aviso] Ciclo de vida no capturado ()", IF(ISNA(MATCH(O254, Criterios!$D$123:$D$124, 0)), "Ciclo de vida no válido", ""))))</f>
        <v/>
      </c>
      <c r="AC254" s="56" t="n"/>
      <c r="AD254" s="51" t="n">
        <v>8</v>
      </c>
      <c r="AE254" s="156" t="inlineStr">
        <is>
          <t>CONSIGNA REFLO (1); REFLO ALMACEN (5)</t>
        </is>
      </c>
      <c r="AF254" s="51" t="n">
        <v>8</v>
      </c>
      <c r="AG254" s="156" t="inlineStr">
        <is>
          <t>Nuevo – NetSuite con existencia</t>
        </is>
      </c>
      <c r="AH254" s="156" t="inlineStr">
        <is>
          <t>Género no indicado en NetSuite; Composición: poliéster reciclado (validar % en etiqueta); Físico total NetSuite 8 ≠ suma por ubicación 6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4" s="156" t="inlineStr">
        <is>
          <t>No</t>
        </is>
      </c>
      <c r="AJ254" s="156" t="n"/>
      <c r="AK254" s="155" t="inlineStr">
        <is>
          <t>G1522ProductosTodosloscamposSandboxResults894.xlsx: fila 58948 [X,Y]; G1522_Extraccion_Articulos_NetSuite_2026-09-30.xlsx: fila 37642 [Z]</t>
        </is>
      </c>
      <c r="AL254" s="58" t="n">
        <v>26</v>
      </c>
      <c r="AM254" s="58" t="n"/>
      <c r="AN254" s="155" t="n"/>
      <c r="AO254" s="59" t="n"/>
      <c r="AP254" s="59" t="n"/>
      <c r="AQ254" s="59" t="n"/>
      <c r="AR254" s="155" t="n"/>
    </row>
    <row r="255">
      <c r="A255" s="50" t="inlineStr">
        <is>
          <t>5056658702747</t>
        </is>
      </c>
      <c r="B255" s="51" t="inlineStr">
        <is>
          <t>79311</t>
        </is>
      </c>
      <c r="C255" s="156" t="inlineStr">
        <is>
          <t>REFLO</t>
        </is>
      </c>
      <c r="D255" s="156" t="inlineStr">
        <is>
          <t>TAGCOR</t>
        </is>
      </c>
      <c r="E255" s="156" t="inlineStr">
        <is>
          <t>TAGCOR-L</t>
        </is>
      </c>
      <c r="F255" s="156" t="inlineStr">
        <is>
          <t>L</t>
        </is>
      </c>
      <c r="G255" s="156" t="inlineStr">
        <is>
          <t>L</t>
        </is>
      </c>
      <c r="H255" s="156" t="inlineStr">
        <is>
          <t>REFLO</t>
        </is>
      </c>
      <c r="I255" s="156" t="inlineStr">
        <is>
          <t>Playera tipo polo REFLO Tagus Coronet Blue/Vintage Indigo</t>
        </is>
      </c>
      <c r="J255" s="156" t="inlineStr">
        <is>
          <t>Ropa</t>
        </is>
      </c>
      <c r="K255" s="156" t="inlineStr">
        <is>
          <t>Playeras</t>
        </is>
      </c>
      <c r="L255" s="156" t="n"/>
      <c r="M255" s="156" t="inlineStr">
        <is>
          <t>REFLO</t>
        </is>
      </c>
      <c r="N255" s="156" t="n"/>
      <c r="O255" s="156" t="n"/>
      <c r="P255" s="156" t="inlineStr">
        <is>
          <t>Azul</t>
        </is>
      </c>
      <c r="Q255" s="156" t="n"/>
      <c r="R255" s="156" t="n"/>
      <c r="S255" s="156" t="inlineStr">
        <is>
          <t>Poliéster reciclado</t>
        </is>
      </c>
      <c r="T255" s="156" t="inlineStr">
        <is>
          <t>Playera tipo polo de golf REFLO modelo Tagus en color Coronet Blue/Vintage Indigo, confeccionado con materiales reciclados. Estilo TAGCOR.</t>
        </is>
      </c>
      <c r="U255" s="156" t="n"/>
      <c r="V255" s="156" t="inlineStr">
        <is>
          <t>PZS</t>
        </is>
      </c>
      <c r="W255" s="51" t="inlineStr">
        <is>
          <t>53101600</t>
        </is>
      </c>
      <c r="X255" s="156" t="inlineStr">
        <is>
          <t>https://i.ibb.co/JvDpcfF/TAGCOR.jpg</t>
        </is>
      </c>
      <c r="Y255" s="54" t="n">
        <v>26</v>
      </c>
      <c r="Z255" s="54" t="n">
        <v>1899</v>
      </c>
      <c r="AA255" s="55">
        <f>IF(AND(A255="", B255="", E255=""), "", IF(AB255="", "Válido", IF((LEN(AB255)-LEN(SUBSTITUTE(AB255,"; ","")))/2+1&gt;(LEN(AB255)-LEN(SUBSTITUTE(AB255,"[Aviso]","")))/7, "Con Incidencias", "Válido")))</f>
        <v/>
      </c>
      <c r="AB255" s="56">
        <f>IF(AND(A255="", B255="", E255=""), "", TEXTJOIN("; ", TRUE, IF(OR(TRIM(A255&amp;"")="", ISNUMBER(SEARCH("FALTA", A255))), "UPC faltante/inválido", ""), IF(AND(A255&lt;&gt;"", IFERROR(_xlfn.XMATCH(A255,$A$2:$A$653,0,1)&lt;&gt;_xlfn.XMATCH(A255,$A$2:$A$653,0,-1),FALSE)), "Código de barras duplicado", ""), IF(AND(E255&lt;&gt;"", COUNTIF($E$2:$E$653, E255)&gt;1), "SKU duplicado", ""), IF(OR(J255="", J255=""), "[Aviso] División no capturada ()", IF(ISNA(MATCH(J255, Criterios!$A$123:$A$126, 0)), "División no válida", "")), IF(OR(K255="", K255=""), "[Aviso] Categoría no capturada ()", IF(ISNA(MATCH(K255, Criterios!$A$81:$A$120, 0)), "Categoría no válida", IF(AND(J255&lt;&gt;"", J255&lt;&gt;"", J255&lt;&gt;VLOOKUP(K255, Criterios!$A$81:$B$120, 2, FALSE)), "División no coincide con Categoría", ""))), IF(OR(L255="", L255=""), "[Aviso] Género no capturado ()", IF(ISNA(MATCH(L255, Criterios!$B$123:$B$127, 0)), "Género no válido", "")), IF(OR(N255="", N255=""), "[Aviso] Temporada no capturada ()", IF(ISNA(MATCH(N255, Criterios!$C$123:$C$128, 0)), "Temporada no válida", "")), IF(OR(O255="", O255=""), "[Aviso] Ciclo de vida no capturado ()", IF(ISNA(MATCH(O255, Criterios!$D$123:$D$124, 0)), "Ciclo de vida no válido", ""))))</f>
        <v/>
      </c>
      <c r="AC255" s="56" t="n"/>
      <c r="AD255" s="51" t="n">
        <v>12</v>
      </c>
      <c r="AE255" s="156" t="inlineStr">
        <is>
          <t>MUESTRAS REFLO (1); REFLO ALMACEN (7)</t>
        </is>
      </c>
      <c r="AF255" s="51" t="n">
        <v>11</v>
      </c>
      <c r="AG255" s="156" t="inlineStr">
        <is>
          <t>Nuevo – NetSuite con existencia</t>
        </is>
      </c>
      <c r="AH255" s="156" t="inlineStr">
        <is>
          <t>Género no indicado en NetSuite; Composición: poliéster reciclado (validar % en etiqueta); Físico total NetSuite 12 ≠ suma por ubicación 8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5" s="156" t="inlineStr">
        <is>
          <t>No</t>
        </is>
      </c>
      <c r="AJ255" s="156" t="n"/>
      <c r="AK255" s="155" t="inlineStr">
        <is>
          <t>G1522ProductosTodosloscamposSandboxResults894.xlsx: fila 58949 [X,Y]; G1522_Extraccion_Articulos_NetSuite_2026-09-30.xlsx: fila 37643 [Z]</t>
        </is>
      </c>
      <c r="AL255" s="58" t="n">
        <v>26</v>
      </c>
      <c r="AM255" s="58" t="n"/>
      <c r="AN255" s="155" t="n"/>
      <c r="AO255" s="59" t="n"/>
      <c r="AP255" s="59" t="n"/>
      <c r="AQ255" s="59" t="n"/>
      <c r="AR255" s="155" t="n"/>
    </row>
    <row r="256">
      <c r="A256" s="50" t="inlineStr">
        <is>
          <t>5056658702754</t>
        </is>
      </c>
      <c r="B256" s="51" t="inlineStr">
        <is>
          <t>79312</t>
        </is>
      </c>
      <c r="C256" s="156" t="inlineStr">
        <is>
          <t>REFLO</t>
        </is>
      </c>
      <c r="D256" s="156" t="inlineStr">
        <is>
          <t>TAGCOR</t>
        </is>
      </c>
      <c r="E256" s="156" t="inlineStr">
        <is>
          <t>TAGCOR-XL</t>
        </is>
      </c>
      <c r="F256" s="156" t="inlineStr">
        <is>
          <t>XL</t>
        </is>
      </c>
      <c r="G256" s="156" t="inlineStr">
        <is>
          <t>XL</t>
        </is>
      </c>
      <c r="H256" s="156" t="inlineStr">
        <is>
          <t>REFLO</t>
        </is>
      </c>
      <c r="I256" s="156" t="inlineStr">
        <is>
          <t>Playera tipo polo REFLO Tagus Coronet Blue/Vintage Indigo</t>
        </is>
      </c>
      <c r="J256" s="156" t="inlineStr">
        <is>
          <t>Ropa</t>
        </is>
      </c>
      <c r="K256" s="156" t="inlineStr">
        <is>
          <t>Playeras</t>
        </is>
      </c>
      <c r="L256" s="156" t="n"/>
      <c r="M256" s="156" t="inlineStr">
        <is>
          <t>REFLO</t>
        </is>
      </c>
      <c r="N256" s="156" t="n"/>
      <c r="O256" s="156" t="n"/>
      <c r="P256" s="156" t="inlineStr">
        <is>
          <t>Azul</t>
        </is>
      </c>
      <c r="Q256" s="156" t="n"/>
      <c r="R256" s="156" t="n"/>
      <c r="S256" s="156" t="inlineStr">
        <is>
          <t>Poliéster reciclado</t>
        </is>
      </c>
      <c r="T256" s="156" t="inlineStr">
        <is>
          <t>Playera tipo polo de golf REFLO modelo Tagus en color Coronet Blue/Vintage Indigo, confeccionado con materiales reciclados. Estilo TAGCOR.</t>
        </is>
      </c>
      <c r="U256" s="156" t="n"/>
      <c r="V256" s="156" t="inlineStr">
        <is>
          <t>PZS</t>
        </is>
      </c>
      <c r="W256" s="51" t="inlineStr">
        <is>
          <t>53101600</t>
        </is>
      </c>
      <c r="X256" s="156" t="inlineStr">
        <is>
          <t>https://i.ibb.co/JvDpcfF/TAGCOR.jpg</t>
        </is>
      </c>
      <c r="Y256" s="54" t="n">
        <v>26</v>
      </c>
      <c r="Z256" s="54" t="n">
        <v>1899</v>
      </c>
      <c r="AA256" s="55">
        <f>IF(AND(A256="", B256="", E256=""), "", IF(AB256="", "Válido", IF((LEN(AB256)-LEN(SUBSTITUTE(AB256,"; ","")))/2+1&gt;(LEN(AB256)-LEN(SUBSTITUTE(AB256,"[Aviso]","")))/7, "Con Incidencias", "Válido")))</f>
        <v/>
      </c>
      <c r="AB256" s="56">
        <f>IF(AND(A256="", B256="", E256=""), "", TEXTJOIN("; ", TRUE, IF(OR(TRIM(A256&amp;"")="", ISNUMBER(SEARCH("FALTA", A256))), "UPC faltante/inválido", ""), IF(AND(A256&lt;&gt;"", IFERROR(_xlfn.XMATCH(A256,$A$2:$A$653,0,1)&lt;&gt;_xlfn.XMATCH(A256,$A$2:$A$653,0,-1),FALSE)), "Código de barras duplicado", ""), IF(AND(E256&lt;&gt;"", COUNTIF($E$2:$E$653, E256)&gt;1), "SKU duplicado", ""), IF(OR(J256="", J256=""), "[Aviso] División no capturada ()", IF(ISNA(MATCH(J256, Criterios!$A$123:$A$126, 0)), "División no válida", "")), IF(OR(K256="", K256=""), "[Aviso] Categoría no capturada ()", IF(ISNA(MATCH(K256, Criterios!$A$81:$A$120, 0)), "Categoría no válida", IF(AND(J256&lt;&gt;"", J256&lt;&gt;"", J256&lt;&gt;VLOOKUP(K256, Criterios!$A$81:$B$120, 2, FALSE)), "División no coincide con Categoría", ""))), IF(OR(L256="", L256=""), "[Aviso] Género no capturado ()", IF(ISNA(MATCH(L256, Criterios!$B$123:$B$127, 0)), "Género no válido", "")), IF(OR(N256="", N256=""), "[Aviso] Temporada no capturada ()", IF(ISNA(MATCH(N256, Criterios!$C$123:$C$128, 0)), "Temporada no válida", "")), IF(OR(O256="", O256=""), "[Aviso] Ciclo de vida no capturado ()", IF(ISNA(MATCH(O256, Criterios!$D$123:$D$124, 0)), "Ciclo de vida no válido", ""))))</f>
        <v/>
      </c>
      <c r="AC256" s="56" t="n"/>
      <c r="AD256" s="51" t="n">
        <v>13</v>
      </c>
      <c r="AE256" s="156" t="inlineStr">
        <is>
          <t>REFLO ALMACEN (8)</t>
        </is>
      </c>
      <c r="AF256" s="51" t="n">
        <v>13</v>
      </c>
      <c r="AG256" s="156" t="inlineStr">
        <is>
          <t>Nuevo – NetSuite con existencia</t>
        </is>
      </c>
      <c r="AH256" s="156" t="inlineStr">
        <is>
          <t>Género no indicado en NetSuite; Composición: poliéster reciclado (validar % en etiqueta); Físico total NetSuite 13 ≠ suma por ubicación 8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6" s="156" t="inlineStr">
        <is>
          <t>No</t>
        </is>
      </c>
      <c r="AJ256" s="156" t="n"/>
      <c r="AK256" s="155" t="inlineStr">
        <is>
          <t>G1522ProductosTodosloscamposSandboxResults894.xlsx: fila 58950 [X,Y]; G1522_Extraccion_Articulos_NetSuite_2026-09-30.xlsx: fila 37644 [Z]</t>
        </is>
      </c>
      <c r="AL256" s="58" t="n">
        <v>26</v>
      </c>
      <c r="AM256" s="58" t="n"/>
      <c r="AN256" s="155" t="n"/>
      <c r="AO256" s="59" t="n"/>
      <c r="AP256" s="59" t="n"/>
      <c r="AQ256" s="59" t="n"/>
      <c r="AR256" s="155" t="n"/>
    </row>
    <row r="257">
      <c r="A257" s="50" t="inlineStr">
        <is>
          <t>5056658702761</t>
        </is>
      </c>
      <c r="B257" s="51" t="inlineStr">
        <is>
          <t>79313</t>
        </is>
      </c>
      <c r="C257" s="156" t="inlineStr">
        <is>
          <t>REFLO</t>
        </is>
      </c>
      <c r="D257" s="156" t="inlineStr">
        <is>
          <t>TAGCOR</t>
        </is>
      </c>
      <c r="E257" s="156" t="inlineStr">
        <is>
          <t>TAGCOR-2XL</t>
        </is>
      </c>
      <c r="F257" s="156" t="inlineStr">
        <is>
          <t>XXL</t>
        </is>
      </c>
      <c r="G257" s="156" t="inlineStr">
        <is>
          <t>XXL</t>
        </is>
      </c>
      <c r="H257" s="156" t="inlineStr">
        <is>
          <t>REFLO</t>
        </is>
      </c>
      <c r="I257" s="156" t="inlineStr">
        <is>
          <t>Playera tipo polo REFLO Tagus Coronet Blue/Vintage Indigo</t>
        </is>
      </c>
      <c r="J257" s="156" t="inlineStr">
        <is>
          <t>Ropa</t>
        </is>
      </c>
      <c r="K257" s="156" t="inlineStr">
        <is>
          <t>Playeras</t>
        </is>
      </c>
      <c r="L257" s="156" t="n"/>
      <c r="M257" s="156" t="inlineStr">
        <is>
          <t>REFLO</t>
        </is>
      </c>
      <c r="N257" s="156" t="n"/>
      <c r="O257" s="156" t="n"/>
      <c r="P257" s="156" t="inlineStr">
        <is>
          <t>Azul</t>
        </is>
      </c>
      <c r="Q257" s="156" t="n"/>
      <c r="R257" s="156" t="n"/>
      <c r="S257" s="156" t="inlineStr">
        <is>
          <t>Poliéster reciclado</t>
        </is>
      </c>
      <c r="T257" s="156" t="inlineStr">
        <is>
          <t>Playera tipo polo de golf REFLO modelo Tagus en color Coronet Blue/Vintage Indigo, confeccionado con materiales reciclados. Estilo TAGCOR.</t>
        </is>
      </c>
      <c r="U257" s="156" t="n"/>
      <c r="V257" s="156" t="inlineStr">
        <is>
          <t>PZS</t>
        </is>
      </c>
      <c r="W257" s="51" t="inlineStr">
        <is>
          <t>53101600</t>
        </is>
      </c>
      <c r="X257" s="156" t="inlineStr">
        <is>
          <t>https://i.ibb.co/JvDpcfF/TAGCOR.jpg</t>
        </is>
      </c>
      <c r="Y257" s="54" t="n">
        <v>26</v>
      </c>
      <c r="Z257" s="54" t="n">
        <v>1899</v>
      </c>
      <c r="AA257" s="55">
        <f>IF(AND(A257="", B257="", E257=""), "", IF(AB257="", "Válido", IF((LEN(AB257)-LEN(SUBSTITUTE(AB257,"; ","")))/2+1&gt;(LEN(AB257)-LEN(SUBSTITUTE(AB257,"[Aviso]","")))/7, "Con Incidencias", "Válido")))</f>
        <v/>
      </c>
      <c r="AB257" s="56">
        <f>IF(AND(A257="", B257="", E257=""), "", TEXTJOIN("; ", TRUE, IF(OR(TRIM(A257&amp;"")="", ISNUMBER(SEARCH("FALTA", A257))), "UPC faltante/inválido", ""), IF(AND(A257&lt;&gt;"", IFERROR(_xlfn.XMATCH(A257,$A$2:$A$653,0,1)&lt;&gt;_xlfn.XMATCH(A257,$A$2:$A$653,0,-1),FALSE)), "Código de barras duplicado", ""), IF(AND(E257&lt;&gt;"", COUNTIF($E$2:$E$653, E257)&gt;1), "SKU duplicado", ""), IF(OR(J257="", J257=""), "[Aviso] División no capturada ()", IF(ISNA(MATCH(J257, Criterios!$A$123:$A$126, 0)), "División no válida", "")), IF(OR(K257="", K257=""), "[Aviso] Categoría no capturada ()", IF(ISNA(MATCH(K257, Criterios!$A$81:$A$120, 0)), "Categoría no válida", IF(AND(J257&lt;&gt;"", J257&lt;&gt;"", J257&lt;&gt;VLOOKUP(K257, Criterios!$A$81:$B$120, 2, FALSE)), "División no coincide con Categoría", ""))), IF(OR(L257="", L257=""), "[Aviso] Género no capturado ()", IF(ISNA(MATCH(L257, Criterios!$B$123:$B$127, 0)), "Género no válido", "")), IF(OR(N257="", N257=""), "[Aviso] Temporada no capturada ()", IF(ISNA(MATCH(N257, Criterios!$C$123:$C$128, 0)), "Temporada no válida", "")), IF(OR(O257="", O257=""), "[Aviso] Ciclo de vida no capturado ()", IF(ISNA(MATCH(O257, Criterios!$D$123:$D$124, 0)), "Ciclo de vida no válido", ""))))</f>
        <v/>
      </c>
      <c r="AC257" s="56" t="n"/>
      <c r="AD257" s="51" t="n">
        <v>8</v>
      </c>
      <c r="AE257" s="156" t="inlineStr">
        <is>
          <t>REFLO ALMACEN (4)</t>
        </is>
      </c>
      <c r="AF257" s="51" t="n">
        <v>8</v>
      </c>
      <c r="AG257" s="156" t="inlineStr">
        <is>
          <t>Nuevo – NetSuite con existencia</t>
        </is>
      </c>
      <c r="AH257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7" s="156" t="inlineStr">
        <is>
          <t>No</t>
        </is>
      </c>
      <c r="AJ257" s="156" t="n"/>
      <c r="AK257" s="155" t="inlineStr">
        <is>
          <t>G1522ProductosTodosloscamposSandboxResults894.xlsx: fila 58951 [X,Y]; G1522_Extraccion_Articulos_NetSuite_2026-09-30.xlsx: fila 37645 [Z]</t>
        </is>
      </c>
      <c r="AL257" s="58" t="n">
        <v>26</v>
      </c>
      <c r="AM257" s="58" t="n"/>
      <c r="AN257" s="155" t="n"/>
      <c r="AO257" s="59" t="n"/>
      <c r="AP257" s="59" t="n"/>
      <c r="AQ257" s="59" t="n"/>
      <c r="AR257" s="155" t="n"/>
    </row>
    <row r="258">
      <c r="A258" s="50" t="inlineStr">
        <is>
          <t>5056658702679</t>
        </is>
      </c>
      <c r="B258" s="51" t="inlineStr">
        <is>
          <t>79314</t>
        </is>
      </c>
      <c r="C258" s="156" t="inlineStr">
        <is>
          <t>REFLO</t>
        </is>
      </c>
      <c r="D258" s="156" t="inlineStr">
        <is>
          <t>TAGDAR</t>
        </is>
      </c>
      <c r="E258" s="156" t="inlineStr">
        <is>
          <t>TAGDAR-M</t>
        </is>
      </c>
      <c r="F258" s="156" t="inlineStr">
        <is>
          <t>M</t>
        </is>
      </c>
      <c r="G258" s="156" t="inlineStr">
        <is>
          <t>M</t>
        </is>
      </c>
      <c r="H258" s="156" t="inlineStr">
        <is>
          <t>REFLO</t>
        </is>
      </c>
      <c r="I258" s="156" t="inlineStr">
        <is>
          <t>Playera tipo polo REFLO Tagus Dark Forest/Medieval Blue</t>
        </is>
      </c>
      <c r="J258" s="156" t="inlineStr">
        <is>
          <t>Ropa</t>
        </is>
      </c>
      <c r="K258" s="156" t="inlineStr">
        <is>
          <t>Playeras</t>
        </is>
      </c>
      <c r="L258" s="156" t="n"/>
      <c r="M258" s="156" t="inlineStr">
        <is>
          <t>REFLO</t>
        </is>
      </c>
      <c r="N258" s="156" t="n"/>
      <c r="O258" s="156" t="n"/>
      <c r="P258" s="156" t="inlineStr">
        <is>
          <t>Azul</t>
        </is>
      </c>
      <c r="Q258" s="156" t="n"/>
      <c r="R258" s="156" t="n"/>
      <c r="S258" s="156" t="inlineStr">
        <is>
          <t>Poliéster reciclado</t>
        </is>
      </c>
      <c r="T258" s="156" t="inlineStr">
        <is>
          <t>Playera tipo polo de golf REFLO modelo Tagus en color Dark Forest/Medieval Blue, confeccionado con materiales reciclados. Estilo TAGDAR.</t>
        </is>
      </c>
      <c r="U258" s="156" t="n"/>
      <c r="V258" s="156" t="inlineStr">
        <is>
          <t>PZS</t>
        </is>
      </c>
      <c r="W258" s="51" t="inlineStr">
        <is>
          <t>53101600</t>
        </is>
      </c>
      <c r="X258" s="156" t="inlineStr">
        <is>
          <t>https://i.ibb.co/Z6Y4YQF/TAGDAR.jpg</t>
        </is>
      </c>
      <c r="Y258" s="54" t="n">
        <v>26</v>
      </c>
      <c r="Z258" s="54" t="n">
        <v>1899</v>
      </c>
      <c r="AA258" s="55">
        <f>IF(AND(A258="", B258="", E258=""), "", IF(AB258="", "Válido", IF((LEN(AB258)-LEN(SUBSTITUTE(AB258,"; ","")))/2+1&gt;(LEN(AB258)-LEN(SUBSTITUTE(AB258,"[Aviso]","")))/7, "Con Incidencias", "Válido")))</f>
        <v/>
      </c>
      <c r="AB258" s="56">
        <f>IF(AND(A258="", B258="", E258=""), "", TEXTJOIN("; ", TRUE, IF(OR(TRIM(A258&amp;"")="", ISNUMBER(SEARCH("FALTA", A258))), "UPC faltante/inválido", ""), IF(AND(A258&lt;&gt;"", IFERROR(_xlfn.XMATCH(A258,$A$2:$A$653,0,1)&lt;&gt;_xlfn.XMATCH(A258,$A$2:$A$653,0,-1),FALSE)), "Código de barras duplicado", ""), IF(AND(E258&lt;&gt;"", COUNTIF($E$2:$E$653, E258)&gt;1), "SKU duplicado", ""), IF(OR(J258="", J258=""), "[Aviso] División no capturada ()", IF(ISNA(MATCH(J258, Criterios!$A$123:$A$126, 0)), "División no válida", "")), IF(OR(K258="", K258=""), "[Aviso] Categoría no capturada ()", IF(ISNA(MATCH(K258, Criterios!$A$81:$A$120, 0)), "Categoría no válida", IF(AND(J258&lt;&gt;"", J258&lt;&gt;"", J258&lt;&gt;VLOOKUP(K258, Criterios!$A$81:$B$120, 2, FALSE)), "División no coincide con Categoría", ""))), IF(OR(L258="", L258=""), "[Aviso] Género no capturado ()", IF(ISNA(MATCH(L258, Criterios!$B$123:$B$127, 0)), "Género no válido", "")), IF(OR(N258="", N258=""), "[Aviso] Temporada no capturada ()", IF(ISNA(MATCH(N258, Criterios!$C$123:$C$128, 0)), "Temporada no válida", "")), IF(OR(O258="", O258=""), "[Aviso] Ciclo de vida no capturado ()", IF(ISNA(MATCH(O258, Criterios!$D$123:$D$124, 0)), "Ciclo de vida no válido", ""))))</f>
        <v/>
      </c>
      <c r="AC258" s="56" t="n"/>
      <c r="AD258" s="51" t="n">
        <v>7</v>
      </c>
      <c r="AE258" s="156" t="inlineStr">
        <is>
          <t>REFLO ALMACEN (5); CONSIGNA REFLO (1)</t>
        </is>
      </c>
      <c r="AF258" s="51" t="n">
        <v>7</v>
      </c>
      <c r="AG258" s="156" t="inlineStr">
        <is>
          <t>Nuevo – NetSuite con existencia</t>
        </is>
      </c>
      <c r="AH258" s="156" t="inlineStr">
        <is>
          <t>Género no indicado en NetSuite; Composición: poliéster reciclado (validar % en etiqueta); Físico total NetSuite 7 ≠ suma por ubicación 6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8" s="156" t="inlineStr">
        <is>
          <t>No</t>
        </is>
      </c>
      <c r="AJ258" s="156" t="n"/>
      <c r="AK258" s="155" t="inlineStr">
        <is>
          <t>G1522ProductosTodosloscamposSandboxResults894.xlsx: fila 58954 [X,Y]; G1522_Extraccion_Articulos_NetSuite_2026-09-30.xlsx: fila 37646 [Z]</t>
        </is>
      </c>
      <c r="AL258" s="58" t="n">
        <v>26</v>
      </c>
      <c r="AM258" s="58" t="n"/>
      <c r="AN258" s="155" t="n"/>
      <c r="AO258" s="59" t="n"/>
      <c r="AP258" s="59" t="n"/>
      <c r="AQ258" s="59" t="n"/>
      <c r="AR258" s="155" t="n"/>
    </row>
    <row r="259">
      <c r="A259" s="50" t="inlineStr">
        <is>
          <t>5056658702686</t>
        </is>
      </c>
      <c r="B259" s="51" t="inlineStr">
        <is>
          <t>79315</t>
        </is>
      </c>
      <c r="C259" s="156" t="inlineStr">
        <is>
          <t>REFLO</t>
        </is>
      </c>
      <c r="D259" s="156" t="inlineStr">
        <is>
          <t>TAGDAR</t>
        </is>
      </c>
      <c r="E259" s="156" t="inlineStr">
        <is>
          <t>TAGDAR-L</t>
        </is>
      </c>
      <c r="F259" s="156" t="inlineStr">
        <is>
          <t>L</t>
        </is>
      </c>
      <c r="G259" s="156" t="inlineStr">
        <is>
          <t>L</t>
        </is>
      </c>
      <c r="H259" s="156" t="inlineStr">
        <is>
          <t>REFLO</t>
        </is>
      </c>
      <c r="I259" s="156" t="inlineStr">
        <is>
          <t>Playera tipo polo REFLO Tagus Dark Forest/Medieval Blue</t>
        </is>
      </c>
      <c r="J259" s="156" t="inlineStr">
        <is>
          <t>Ropa</t>
        </is>
      </c>
      <c r="K259" s="156" t="inlineStr">
        <is>
          <t>Playeras</t>
        </is>
      </c>
      <c r="L259" s="156" t="n"/>
      <c r="M259" s="156" t="inlineStr">
        <is>
          <t>REFLO</t>
        </is>
      </c>
      <c r="N259" s="156" t="n"/>
      <c r="O259" s="156" t="n"/>
      <c r="P259" s="156" t="inlineStr">
        <is>
          <t>Azul</t>
        </is>
      </c>
      <c r="Q259" s="156" t="n"/>
      <c r="R259" s="156" t="n"/>
      <c r="S259" s="156" t="inlineStr">
        <is>
          <t>Poliéster reciclado</t>
        </is>
      </c>
      <c r="T259" s="156" t="inlineStr">
        <is>
          <t>Playera tipo polo de golf REFLO modelo Tagus en color Dark Forest/Medieval Blue, confeccionado con materiales reciclados. Estilo TAGDAR.</t>
        </is>
      </c>
      <c r="U259" s="156" t="n"/>
      <c r="V259" s="156" t="inlineStr">
        <is>
          <t>PZS</t>
        </is>
      </c>
      <c r="W259" s="51" t="inlineStr">
        <is>
          <t>53101600</t>
        </is>
      </c>
      <c r="X259" s="156" t="inlineStr">
        <is>
          <t>https://i.ibb.co/Z6Y4YQF/TAGDAR.jpg</t>
        </is>
      </c>
      <c r="Y259" s="54" t="n">
        <v>26</v>
      </c>
      <c r="Z259" s="54" t="n">
        <v>1899</v>
      </c>
      <c r="AA259" s="55">
        <f>IF(AND(A259="", B259="", E259=""), "", IF(AB259="", "Válido", IF((LEN(AB259)-LEN(SUBSTITUTE(AB259,"; ","")))/2+1&gt;(LEN(AB259)-LEN(SUBSTITUTE(AB259,"[Aviso]","")))/7, "Con Incidencias", "Válido")))</f>
        <v/>
      </c>
      <c r="AB259" s="56">
        <f>IF(AND(A259="", B259="", E259=""), "", TEXTJOIN("; ", TRUE, IF(OR(TRIM(A259&amp;"")="", ISNUMBER(SEARCH("FALTA", A259))), "UPC faltante/inválido", ""), IF(AND(A259&lt;&gt;"", IFERROR(_xlfn.XMATCH(A259,$A$2:$A$653,0,1)&lt;&gt;_xlfn.XMATCH(A259,$A$2:$A$653,0,-1),FALSE)), "Código de barras duplicado", ""), IF(AND(E259&lt;&gt;"", COUNTIF($E$2:$E$653, E259)&gt;1), "SKU duplicado", ""), IF(OR(J259="", J259=""), "[Aviso] División no capturada ()", IF(ISNA(MATCH(J259, Criterios!$A$123:$A$126, 0)), "División no válida", "")), IF(OR(K259="", K259=""), "[Aviso] Categoría no capturada ()", IF(ISNA(MATCH(K259, Criterios!$A$81:$A$120, 0)), "Categoría no válida", IF(AND(J259&lt;&gt;"", J259&lt;&gt;"", J259&lt;&gt;VLOOKUP(K259, Criterios!$A$81:$B$120, 2, FALSE)), "División no coincide con Categoría", ""))), IF(OR(L259="", L259=""), "[Aviso] Género no capturado ()", IF(ISNA(MATCH(L259, Criterios!$B$123:$B$127, 0)), "Género no válido", "")), IF(OR(N259="", N259=""), "[Aviso] Temporada no capturada ()", IF(ISNA(MATCH(N259, Criterios!$C$123:$C$128, 0)), "Temporada no válida", "")), IF(OR(O259="", O259=""), "[Aviso] Ciclo de vida no capturado ()", IF(ISNA(MATCH(O259, Criterios!$D$123:$D$124, 0)), "Ciclo de vida no válido", ""))))</f>
        <v/>
      </c>
      <c r="AC259" s="56" t="n"/>
      <c r="AD259" s="51" t="n">
        <v>10</v>
      </c>
      <c r="AE259" s="156" t="inlineStr">
        <is>
          <t>MUESTRAS REFLO (1); REFLO ALMACEN (7)</t>
        </is>
      </c>
      <c r="AF259" s="51" t="n">
        <v>9</v>
      </c>
      <c r="AG259" s="156" t="inlineStr">
        <is>
          <t>Nuevo – NetSuite con existencia</t>
        </is>
      </c>
      <c r="AH259" s="156" t="inlineStr">
        <is>
          <t>Género no indicado en NetSuite; Composición: poliéster reciclado (validar % en etiqueta); Físico total NetSuite 10 ≠ suma por ubicación 8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59" s="156" t="inlineStr">
        <is>
          <t>No</t>
        </is>
      </c>
      <c r="AJ259" s="156" t="n"/>
      <c r="AK259" s="155" t="inlineStr">
        <is>
          <t>G1522ProductosTodosloscamposSandboxResults894.xlsx: fila 58955 [X,Y]; G1522_Extraccion_Articulos_NetSuite_2026-09-30.xlsx: fila 37647 [Z]</t>
        </is>
      </c>
      <c r="AL259" s="58" t="n">
        <v>26</v>
      </c>
      <c r="AM259" s="58" t="n"/>
      <c r="AN259" s="155" t="n"/>
      <c r="AO259" s="59" t="n"/>
      <c r="AP259" s="59" t="n"/>
      <c r="AQ259" s="59" t="n"/>
      <c r="AR259" s="155" t="n"/>
    </row>
    <row r="260">
      <c r="A260" s="50" t="inlineStr">
        <is>
          <t>5056658702693</t>
        </is>
      </c>
      <c r="B260" s="51" t="inlineStr">
        <is>
          <t>79316</t>
        </is>
      </c>
      <c r="C260" s="156" t="inlineStr">
        <is>
          <t>REFLO</t>
        </is>
      </c>
      <c r="D260" s="156" t="inlineStr">
        <is>
          <t>TAGDAR</t>
        </is>
      </c>
      <c r="E260" s="156" t="inlineStr">
        <is>
          <t>TAGDAR-XL</t>
        </is>
      </c>
      <c r="F260" s="156" t="inlineStr">
        <is>
          <t>XL</t>
        </is>
      </c>
      <c r="G260" s="156" t="inlineStr">
        <is>
          <t>XL</t>
        </is>
      </c>
      <c r="H260" s="156" t="inlineStr">
        <is>
          <t>REFLO</t>
        </is>
      </c>
      <c r="I260" s="156" t="inlineStr">
        <is>
          <t>Playera tipo polo REFLO Tagus Dark Forest/Medieval Blue</t>
        </is>
      </c>
      <c r="J260" s="156" t="inlineStr">
        <is>
          <t>Ropa</t>
        </is>
      </c>
      <c r="K260" s="156" t="inlineStr">
        <is>
          <t>Playeras</t>
        </is>
      </c>
      <c r="L260" s="156" t="n"/>
      <c r="M260" s="156" t="inlineStr">
        <is>
          <t>REFLO</t>
        </is>
      </c>
      <c r="N260" s="156" t="n"/>
      <c r="O260" s="156" t="n"/>
      <c r="P260" s="156" t="inlineStr">
        <is>
          <t>Azul</t>
        </is>
      </c>
      <c r="Q260" s="156" t="n"/>
      <c r="R260" s="156" t="n"/>
      <c r="S260" s="156" t="inlineStr">
        <is>
          <t>Poliéster reciclado</t>
        </is>
      </c>
      <c r="T260" s="156" t="inlineStr">
        <is>
          <t>Playera tipo polo de golf REFLO modelo Tagus en color Dark Forest/Medieval Blue, confeccionado con materiales reciclados. Estilo TAGDAR.</t>
        </is>
      </c>
      <c r="U260" s="156" t="n"/>
      <c r="V260" s="156" t="inlineStr">
        <is>
          <t>PZS</t>
        </is>
      </c>
      <c r="W260" s="51" t="inlineStr">
        <is>
          <t>53101600</t>
        </is>
      </c>
      <c r="X260" s="156" t="inlineStr">
        <is>
          <t>https://i.ibb.co/Z6Y4YQF/TAGDAR.jpg</t>
        </is>
      </c>
      <c r="Y260" s="54" t="n">
        <v>26</v>
      </c>
      <c r="Z260" s="54" t="n">
        <v>1899</v>
      </c>
      <c r="AA260" s="55">
        <f>IF(AND(A260="", B260="", E260=""), "", IF(AB260="", "Válido", IF((LEN(AB260)-LEN(SUBSTITUTE(AB260,"; ","")))/2+1&gt;(LEN(AB260)-LEN(SUBSTITUTE(AB260,"[Aviso]","")))/7, "Con Incidencias", "Válido")))</f>
        <v/>
      </c>
      <c r="AB260" s="56">
        <f>IF(AND(A260="", B260="", E260=""), "", TEXTJOIN("; ", TRUE, IF(OR(TRIM(A260&amp;"")="", ISNUMBER(SEARCH("FALTA", A260))), "UPC faltante/inválido", ""), IF(AND(A260&lt;&gt;"", IFERROR(_xlfn.XMATCH(A260,$A$2:$A$653,0,1)&lt;&gt;_xlfn.XMATCH(A260,$A$2:$A$653,0,-1),FALSE)), "Código de barras duplicado", ""), IF(AND(E260&lt;&gt;"", COUNTIF($E$2:$E$653, E260)&gt;1), "SKU duplicado", ""), IF(OR(J260="", J260=""), "[Aviso] División no capturada ()", IF(ISNA(MATCH(J260, Criterios!$A$123:$A$126, 0)), "División no válida", "")), IF(OR(K260="", K260=""), "[Aviso] Categoría no capturada ()", IF(ISNA(MATCH(K260, Criterios!$A$81:$A$120, 0)), "Categoría no válida", IF(AND(J260&lt;&gt;"", J260&lt;&gt;"", J260&lt;&gt;VLOOKUP(K260, Criterios!$A$81:$B$120, 2, FALSE)), "División no coincide con Categoría", ""))), IF(OR(L260="", L260=""), "[Aviso] Género no capturado ()", IF(ISNA(MATCH(L260, Criterios!$B$123:$B$127, 0)), "Género no válido", "")), IF(OR(N260="", N260=""), "[Aviso] Temporada no capturada ()", IF(ISNA(MATCH(N260, Criterios!$C$123:$C$128, 0)), "Temporada no válida", "")), IF(OR(O260="", O260=""), "[Aviso] Ciclo de vida no capturado ()", IF(ISNA(MATCH(O260, Criterios!$D$123:$D$124, 0)), "Ciclo de vida no válido", ""))))</f>
        <v/>
      </c>
      <c r="AC260" s="56" t="n"/>
      <c r="AD260" s="51" t="n">
        <v>12</v>
      </c>
      <c r="AE260" s="156" t="inlineStr">
        <is>
          <t>CONSIGNA REFLO (1); REFLO ALMACEN (7)</t>
        </is>
      </c>
      <c r="AF260" s="51" t="n">
        <v>12</v>
      </c>
      <c r="AG260" s="156" t="inlineStr">
        <is>
          <t>Nuevo – NetSuite con existencia</t>
        </is>
      </c>
      <c r="AH260" s="156" t="inlineStr">
        <is>
          <t>Género no indicado en NetSuite; Composición: poliéster reciclado (validar % en etiqueta); Físico total NetSuite 12 ≠ suma por ubicación 8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0" s="156" t="inlineStr">
        <is>
          <t>No</t>
        </is>
      </c>
      <c r="AJ260" s="156" t="n"/>
      <c r="AK260" s="155" t="inlineStr">
        <is>
          <t>G1522ProductosTodosloscamposSandboxResults894.xlsx: fila 58956 [X,Y]; G1522_Extraccion_Articulos_NetSuite_2026-09-30.xlsx: fila 37648 [Z]</t>
        </is>
      </c>
      <c r="AL260" s="58" t="n">
        <v>26</v>
      </c>
      <c r="AM260" s="58" t="n"/>
      <c r="AN260" s="155" t="n"/>
      <c r="AO260" s="59" t="n"/>
      <c r="AP260" s="59" t="n"/>
      <c r="AQ260" s="59" t="n"/>
      <c r="AR260" s="155" t="n"/>
    </row>
    <row r="261">
      <c r="A261" s="50" t="inlineStr">
        <is>
          <t>5056658702709</t>
        </is>
      </c>
      <c r="B261" s="51" t="inlineStr">
        <is>
          <t>79317</t>
        </is>
      </c>
      <c r="C261" s="156" t="inlineStr">
        <is>
          <t>REFLO</t>
        </is>
      </c>
      <c r="D261" s="156" t="inlineStr">
        <is>
          <t>TAGDAR</t>
        </is>
      </c>
      <c r="E261" s="156" t="inlineStr">
        <is>
          <t>TAGDAR-2XL</t>
        </is>
      </c>
      <c r="F261" s="156" t="inlineStr">
        <is>
          <t>XXL</t>
        </is>
      </c>
      <c r="G261" s="156" t="inlineStr">
        <is>
          <t>XXL</t>
        </is>
      </c>
      <c r="H261" s="156" t="inlineStr">
        <is>
          <t>REFLO</t>
        </is>
      </c>
      <c r="I261" s="156" t="inlineStr">
        <is>
          <t>Playera tipo polo REFLO Tagus Dark Forest/Medieval Blue</t>
        </is>
      </c>
      <c r="J261" s="156" t="inlineStr">
        <is>
          <t>Ropa</t>
        </is>
      </c>
      <c r="K261" s="156" t="inlineStr">
        <is>
          <t>Playeras</t>
        </is>
      </c>
      <c r="L261" s="156" t="n"/>
      <c r="M261" s="156" t="inlineStr">
        <is>
          <t>REFLO</t>
        </is>
      </c>
      <c r="N261" s="156" t="n"/>
      <c r="O261" s="156" t="n"/>
      <c r="P261" s="156" t="inlineStr">
        <is>
          <t>Azul</t>
        </is>
      </c>
      <c r="Q261" s="156" t="n"/>
      <c r="R261" s="156" t="n"/>
      <c r="S261" s="156" t="inlineStr">
        <is>
          <t>Poliéster reciclado</t>
        </is>
      </c>
      <c r="T261" s="156" t="inlineStr">
        <is>
          <t>Playera tipo polo de golf REFLO modelo Tagus en color Dark Forest/Medieval Blue, confeccionado con materiales reciclados. Estilo TAGDAR.</t>
        </is>
      </c>
      <c r="U261" s="156" t="n"/>
      <c r="V261" s="156" t="inlineStr">
        <is>
          <t>PZS</t>
        </is>
      </c>
      <c r="W261" s="51" t="inlineStr">
        <is>
          <t>53101600</t>
        </is>
      </c>
      <c r="X261" s="156" t="inlineStr">
        <is>
          <t>https://i.ibb.co/Z6Y4YQF/TAGDAR.jpg</t>
        </is>
      </c>
      <c r="Y261" s="54" t="n">
        <v>26</v>
      </c>
      <c r="Z261" s="54" t="n">
        <v>1899</v>
      </c>
      <c r="AA261" s="55">
        <f>IF(AND(A261="", B261="", E261=""), "", IF(AB261="", "Válido", IF((LEN(AB261)-LEN(SUBSTITUTE(AB261,"; ","")))/2+1&gt;(LEN(AB261)-LEN(SUBSTITUTE(AB261,"[Aviso]","")))/7, "Con Incidencias", "Válido")))</f>
        <v/>
      </c>
      <c r="AB261" s="56">
        <f>IF(AND(A261="", B261="", E261=""), "", TEXTJOIN("; ", TRUE, IF(OR(TRIM(A261&amp;"")="", ISNUMBER(SEARCH("FALTA", A261))), "UPC faltante/inválido", ""), IF(AND(A261&lt;&gt;"", IFERROR(_xlfn.XMATCH(A261,$A$2:$A$653,0,1)&lt;&gt;_xlfn.XMATCH(A261,$A$2:$A$653,0,-1),FALSE)), "Código de barras duplicado", ""), IF(AND(E261&lt;&gt;"", COUNTIF($E$2:$E$653, E261)&gt;1), "SKU duplicado", ""), IF(OR(J261="", J261=""), "[Aviso] División no capturada ()", IF(ISNA(MATCH(J261, Criterios!$A$123:$A$126, 0)), "División no válida", "")), IF(OR(K261="", K261=""), "[Aviso] Categoría no capturada ()", IF(ISNA(MATCH(K261, Criterios!$A$81:$A$120, 0)), "Categoría no válida", IF(AND(J261&lt;&gt;"", J261&lt;&gt;"", J261&lt;&gt;VLOOKUP(K261, Criterios!$A$81:$B$120, 2, FALSE)), "División no coincide con Categoría", ""))), IF(OR(L261="", L261=""), "[Aviso] Género no capturado ()", IF(ISNA(MATCH(L261, Criterios!$B$123:$B$127, 0)), "Género no válido", "")), IF(OR(N261="", N261=""), "[Aviso] Temporada no capturada ()", IF(ISNA(MATCH(N261, Criterios!$C$123:$C$128, 0)), "Temporada no válida", "")), IF(OR(O261="", O261=""), "[Aviso] Ciclo de vida no capturado ()", IF(ISNA(MATCH(O261, Criterios!$D$123:$D$124, 0)), "Ciclo de vida no válido", ""))))</f>
        <v/>
      </c>
      <c r="AC261" s="56" t="n"/>
      <c r="AD261" s="51" t="n">
        <v>7</v>
      </c>
      <c r="AE261" s="156" t="inlineStr">
        <is>
          <t>REFLO ALMACEN (4)</t>
        </is>
      </c>
      <c r="AF261" s="51" t="n">
        <v>7</v>
      </c>
      <c r="AG261" s="156" t="inlineStr">
        <is>
          <t>Nuevo – NetSuite con existencia</t>
        </is>
      </c>
      <c r="AH261" s="156" t="inlineStr">
        <is>
          <t>Género no indicado en NetSuite; Composición: poliéster reciclado (validar % en etiqueta); Físico total NetSuite 7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1" s="156" t="inlineStr">
        <is>
          <t>No</t>
        </is>
      </c>
      <c r="AJ261" s="156" t="n"/>
      <c r="AK261" s="155" t="inlineStr">
        <is>
          <t>G1522ProductosTodosloscamposSandboxResults894.xlsx: fila 58957 [X,Y]; G1522_Extraccion_Articulos_NetSuite_2026-09-30.xlsx: fila 37649 [Z]</t>
        </is>
      </c>
      <c r="AL261" s="58" t="n">
        <v>26</v>
      </c>
      <c r="AM261" s="58" t="n"/>
      <c r="AN261" s="155" t="n"/>
      <c r="AO261" s="59" t="n"/>
      <c r="AP261" s="59" t="n"/>
      <c r="AQ261" s="59" t="n"/>
      <c r="AR261" s="155" t="n"/>
    </row>
    <row r="262">
      <c r="A262" s="50" t="inlineStr">
        <is>
          <t>5056658702662</t>
        </is>
      </c>
      <c r="B262" s="51" t="inlineStr">
        <is>
          <t>84436</t>
        </is>
      </c>
      <c r="C262" s="156" t="inlineStr">
        <is>
          <t>REFLO</t>
        </is>
      </c>
      <c r="D262" s="156" t="inlineStr">
        <is>
          <t>TAGDAR</t>
        </is>
      </c>
      <c r="E262" s="156" t="inlineStr">
        <is>
          <t>TAGDAR-S</t>
        </is>
      </c>
      <c r="F262" s="156" t="inlineStr">
        <is>
          <t>S</t>
        </is>
      </c>
      <c r="G262" s="156" t="inlineStr">
        <is>
          <t>S</t>
        </is>
      </c>
      <c r="H262" s="156" t="inlineStr">
        <is>
          <t>REFLO</t>
        </is>
      </c>
      <c r="I262" s="156" t="inlineStr">
        <is>
          <t>Playera tipo polo REFLO Tagus Dark Forest/Medieval Blue</t>
        </is>
      </c>
      <c r="J262" s="156" t="inlineStr">
        <is>
          <t>Ropa</t>
        </is>
      </c>
      <c r="K262" s="156" t="inlineStr">
        <is>
          <t>Playeras</t>
        </is>
      </c>
      <c r="L262" s="156" t="n"/>
      <c r="M262" s="156" t="inlineStr">
        <is>
          <t>REFLO</t>
        </is>
      </c>
      <c r="N262" s="156" t="n"/>
      <c r="O262" s="156" t="n"/>
      <c r="P262" s="156" t="inlineStr">
        <is>
          <t>Azul</t>
        </is>
      </c>
      <c r="Q262" s="156" t="n"/>
      <c r="R262" s="156" t="n"/>
      <c r="S262" s="156" t="inlineStr">
        <is>
          <t>Poliéster reciclado</t>
        </is>
      </c>
      <c r="T262" s="156" t="inlineStr">
        <is>
          <t>Playera tipo polo de golf REFLO modelo Tagus en color Dark Forest/Medieval Blue, confeccionado con materiales reciclados. Estilo TAGDAR.</t>
        </is>
      </c>
      <c r="U262" s="156" t="n"/>
      <c r="V262" s="156" t="inlineStr">
        <is>
          <t>PZS</t>
        </is>
      </c>
      <c r="W262" s="51" t="inlineStr">
        <is>
          <t>53101600</t>
        </is>
      </c>
      <c r="X262" s="156" t="inlineStr">
        <is>
          <t>https://i.ibb.co/Z6Y4YQF/TAGDAR.jpg</t>
        </is>
      </c>
      <c r="Y262" s="54" t="n">
        <v>26</v>
      </c>
      <c r="Z262" s="54" t="n">
        <v>1899</v>
      </c>
      <c r="AA262" s="55">
        <f>IF(AND(A262="", B262="", E262=""), "", IF(AB262="", "Válido", IF((LEN(AB262)-LEN(SUBSTITUTE(AB262,"; ","")))/2+1&gt;(LEN(AB262)-LEN(SUBSTITUTE(AB262,"[Aviso]","")))/7, "Con Incidencias", "Válido")))</f>
        <v/>
      </c>
      <c r="AB262" s="56">
        <f>IF(AND(A262="", B262="", E262=""), "", TEXTJOIN("; ", TRUE, IF(OR(TRIM(A262&amp;"")="", ISNUMBER(SEARCH("FALTA", A262))), "UPC faltante/inválido", ""), IF(AND(A262&lt;&gt;"", IFERROR(_xlfn.XMATCH(A262,$A$2:$A$653,0,1)&lt;&gt;_xlfn.XMATCH(A262,$A$2:$A$653,0,-1),FALSE)), "Código de barras duplicado", ""), IF(AND(E262&lt;&gt;"", COUNTIF($E$2:$E$653, E262)&gt;1), "SKU duplicado", ""), IF(OR(J262="", J262=""), "[Aviso] División no capturada ()", IF(ISNA(MATCH(J262, Criterios!$A$123:$A$126, 0)), "División no válida", "")), IF(OR(K262="", K262=""), "[Aviso] Categoría no capturada ()", IF(ISNA(MATCH(K262, Criterios!$A$81:$A$120, 0)), "Categoría no válida", IF(AND(J262&lt;&gt;"", J262&lt;&gt;"", J262&lt;&gt;VLOOKUP(K262, Criterios!$A$81:$B$120, 2, FALSE)), "División no coincide con Categoría", ""))), IF(OR(L262="", L262=""), "[Aviso] Género no capturado ()", IF(ISNA(MATCH(L262, Criterios!$B$123:$B$127, 0)), "Género no válido", "")), IF(OR(N262="", N262=""), "[Aviso] Temporada no capturada ()", IF(ISNA(MATCH(N262, Criterios!$C$123:$C$128, 0)), "Temporada no válida", "")), IF(OR(O262="", O262=""), "[Aviso] Ciclo de vida no capturado ()", IF(ISNA(MATCH(O262, Criterios!$D$123:$D$124, 0)), "Ciclo de vida no válido", ""))))</f>
        <v/>
      </c>
      <c r="AC262" s="56" t="n"/>
      <c r="AD262" s="51" t="n">
        <v>2</v>
      </c>
      <c r="AE262" s="156" t="inlineStr">
        <is>
          <t>CONSIGNA REFLO (1)</t>
        </is>
      </c>
      <c r="AF262" s="51" t="n">
        <v>2</v>
      </c>
      <c r="AG262" s="156" t="inlineStr">
        <is>
          <t>Nuevo – NetSuite con existencia</t>
        </is>
      </c>
      <c r="AH262" s="156" t="inlineStr">
        <is>
          <t>Género no indicado en NetSuite; Composición: poliéster reciclado (validar % en etiqueta); Físico total NetSuite 2 ≠ suma por ubicación 1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2" s="156" t="inlineStr">
        <is>
          <t>No</t>
        </is>
      </c>
      <c r="AJ262" s="156" t="n"/>
      <c r="AK262" s="155" t="inlineStr">
        <is>
          <t>G1522ProductosTodosloscamposSandboxResults894.xlsx: fila 58953 [X,Y]; G1522_Extraccion_Articulos_NetSuite_2026-09-30.xlsx: fila 39605 [Z]</t>
        </is>
      </c>
      <c r="AL262" s="58" t="n">
        <v>26</v>
      </c>
      <c r="AM262" s="58" t="n"/>
      <c r="AN262" s="155" t="n"/>
      <c r="AO262" s="59" t="n"/>
      <c r="AP262" s="59" t="n"/>
      <c r="AQ262" s="59" t="n"/>
      <c r="AR262" s="155" t="n"/>
    </row>
    <row r="263">
      <c r="A263" s="50" t="inlineStr">
        <is>
          <t>5056658702792</t>
        </is>
      </c>
      <c r="B263" s="51" t="inlineStr">
        <is>
          <t>79318</t>
        </is>
      </c>
      <c r="C263" s="156" t="inlineStr">
        <is>
          <t>REFLO</t>
        </is>
      </c>
      <c r="D263" s="156" t="inlineStr">
        <is>
          <t>TOBCAV</t>
        </is>
      </c>
      <c r="E263" s="156" t="inlineStr">
        <is>
          <t>TOBCAV-M</t>
        </is>
      </c>
      <c r="F263" s="156" t="inlineStr">
        <is>
          <t>M</t>
        </is>
      </c>
      <c r="G263" s="156" t="inlineStr">
        <is>
          <t>M</t>
        </is>
      </c>
      <c r="H263" s="156" t="inlineStr">
        <is>
          <t>REFLO</t>
        </is>
      </c>
      <c r="I263" s="156" t="inlineStr">
        <is>
          <t>Playera tipo polo REFLO Tobol Caviar/Dark Forest</t>
        </is>
      </c>
      <c r="J263" s="156" t="inlineStr">
        <is>
          <t>Ropa</t>
        </is>
      </c>
      <c r="K263" s="156" t="inlineStr">
        <is>
          <t>Playeras</t>
        </is>
      </c>
      <c r="L263" s="156" t="n"/>
      <c r="M263" s="156" t="inlineStr">
        <is>
          <t>REFLO</t>
        </is>
      </c>
      <c r="N263" s="156" t="n"/>
      <c r="O263" s="156" t="n"/>
      <c r="P263" s="156" t="inlineStr">
        <is>
          <t>Verde</t>
        </is>
      </c>
      <c r="Q263" s="156" t="n"/>
      <c r="R263" s="156" t="n"/>
      <c r="S263" s="156" t="inlineStr">
        <is>
          <t>Poliéster reciclado</t>
        </is>
      </c>
      <c r="T263" s="156" t="inlineStr">
        <is>
          <t>Playera tipo polo de golf REFLO modelo Tobol en color Caviar/Dark Forest, confeccionado con materiales reciclados. Estilo TOBCAV.</t>
        </is>
      </c>
      <c r="U263" s="156" t="n"/>
      <c r="V263" s="156" t="inlineStr">
        <is>
          <t>PZS</t>
        </is>
      </c>
      <c r="W263" s="51" t="inlineStr">
        <is>
          <t>53101600</t>
        </is>
      </c>
      <c r="X263" s="156" t="inlineStr">
        <is>
          <t>https://i.ibb.co/bm9p3KD/TOBCAV.jpg</t>
        </is>
      </c>
      <c r="Y263" s="54" t="n">
        <v>26</v>
      </c>
      <c r="Z263" s="54" t="n">
        <v>1899</v>
      </c>
      <c r="AA263" s="55">
        <f>IF(AND(A263="", B263="", E263=""), "", IF(AB263="", "Válido", IF((LEN(AB263)-LEN(SUBSTITUTE(AB263,"; ","")))/2+1&gt;(LEN(AB263)-LEN(SUBSTITUTE(AB263,"[Aviso]","")))/7, "Con Incidencias", "Válido")))</f>
        <v/>
      </c>
      <c r="AB263" s="56">
        <f>IF(AND(A263="", B263="", E263=""), "", TEXTJOIN("; ", TRUE, IF(OR(TRIM(A263&amp;"")="", ISNUMBER(SEARCH("FALTA", A263))), "UPC faltante/inválido", ""), IF(AND(A263&lt;&gt;"", IFERROR(_xlfn.XMATCH(A263,$A$2:$A$653,0,1)&lt;&gt;_xlfn.XMATCH(A263,$A$2:$A$653,0,-1),FALSE)), "Código de barras duplicado", ""), IF(AND(E263&lt;&gt;"", COUNTIF($E$2:$E$653, E263)&gt;1), "SKU duplicado", ""), IF(OR(J263="", J263=""), "[Aviso] División no capturada ()", IF(ISNA(MATCH(J263, Criterios!$A$123:$A$126, 0)), "División no válida", "")), IF(OR(K263="", K263=""), "[Aviso] Categoría no capturada ()", IF(ISNA(MATCH(K263, Criterios!$A$81:$A$120, 0)), "Categoría no válida", IF(AND(J263&lt;&gt;"", J263&lt;&gt;"", J263&lt;&gt;VLOOKUP(K263, Criterios!$A$81:$B$120, 2, FALSE)), "División no coincide con Categoría", ""))), IF(OR(L263="", L263=""), "[Aviso] Género no capturado ()", IF(ISNA(MATCH(L263, Criterios!$B$123:$B$127, 0)), "Género no válido", "")), IF(OR(N263="", N263=""), "[Aviso] Temporada no capturada ()", IF(ISNA(MATCH(N263, Criterios!$C$123:$C$128, 0)), "Temporada no válida", "")), IF(OR(O263="", O263=""), "[Aviso] Ciclo de vida no capturado ()", IF(ISNA(MATCH(O263, Criterios!$D$123:$D$124, 0)), "Ciclo de vida no válido", ""))))</f>
        <v/>
      </c>
      <c r="AC263" s="56" t="n"/>
      <c r="AD263" s="51" t="n">
        <v>2</v>
      </c>
      <c r="AE263" s="156" t="inlineStr">
        <is>
          <t>CONSIGNA REFLO (1)</t>
        </is>
      </c>
      <c r="AF263" s="51" t="n">
        <v>2</v>
      </c>
      <c r="AG263" s="156" t="inlineStr">
        <is>
          <t>Nuevo – NetSuite con existencia</t>
        </is>
      </c>
      <c r="AH263" s="156" t="inlineStr">
        <is>
          <t>Género no indicado en NetSuite; Composición: poliéster reciclado (validar % en etiqueta); Físico total NetSuite 2 ≠ suma por ubicación 1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3" s="156" t="inlineStr">
        <is>
          <t>No</t>
        </is>
      </c>
      <c r="AJ263" s="156" t="n"/>
      <c r="AK263" s="155" t="inlineStr">
        <is>
          <t>G1522ProductosTodosloscamposSandboxResults894.xlsx: fila 59038 [X,Y]; G1522_Extraccion_Articulos_NetSuite_2026-09-30.xlsx: fila 37650 [Z]</t>
        </is>
      </c>
      <c r="AL263" s="58" t="n">
        <v>26</v>
      </c>
      <c r="AM263" s="58" t="n"/>
      <c r="AN263" s="155" t="n"/>
      <c r="AO263" s="59" t="n"/>
      <c r="AP263" s="59" t="n"/>
      <c r="AQ263" s="59" t="n"/>
      <c r="AR263" s="155" t="n"/>
    </row>
    <row r="264">
      <c r="A264" s="50" t="inlineStr">
        <is>
          <t>5056658702808</t>
        </is>
      </c>
      <c r="B264" s="51" t="inlineStr">
        <is>
          <t>79319</t>
        </is>
      </c>
      <c r="C264" s="156" t="inlineStr">
        <is>
          <t>REFLO</t>
        </is>
      </c>
      <c r="D264" s="156" t="inlineStr">
        <is>
          <t>TOBCAV</t>
        </is>
      </c>
      <c r="E264" s="156" t="inlineStr">
        <is>
          <t>TOBCAV-L</t>
        </is>
      </c>
      <c r="F264" s="156" t="inlineStr">
        <is>
          <t>L</t>
        </is>
      </c>
      <c r="G264" s="156" t="inlineStr">
        <is>
          <t>L</t>
        </is>
      </c>
      <c r="H264" s="156" t="inlineStr">
        <is>
          <t>REFLO</t>
        </is>
      </c>
      <c r="I264" s="156" t="inlineStr">
        <is>
          <t>Playera tipo polo REFLO Tobol Caviar/Dark Forest</t>
        </is>
      </c>
      <c r="J264" s="156" t="inlineStr">
        <is>
          <t>Ropa</t>
        </is>
      </c>
      <c r="K264" s="156" t="inlineStr">
        <is>
          <t>Playeras</t>
        </is>
      </c>
      <c r="L264" s="156" t="n"/>
      <c r="M264" s="156" t="inlineStr">
        <is>
          <t>REFLO</t>
        </is>
      </c>
      <c r="N264" s="156" t="n"/>
      <c r="O264" s="156" t="n"/>
      <c r="P264" s="156" t="inlineStr">
        <is>
          <t>Verde</t>
        </is>
      </c>
      <c r="Q264" s="156" t="n"/>
      <c r="R264" s="156" t="n"/>
      <c r="S264" s="156" t="inlineStr">
        <is>
          <t>Poliéster reciclado</t>
        </is>
      </c>
      <c r="T264" s="156" t="inlineStr">
        <is>
          <t>Playera tipo polo de golf REFLO modelo Tobol en color Caviar/Dark Forest, confeccionado con materiales reciclados. Estilo TOBCAV.</t>
        </is>
      </c>
      <c r="U264" s="156" t="n"/>
      <c r="V264" s="156" t="inlineStr">
        <is>
          <t>PZS</t>
        </is>
      </c>
      <c r="W264" s="51" t="inlineStr">
        <is>
          <t>53101600</t>
        </is>
      </c>
      <c r="X264" s="156" t="inlineStr">
        <is>
          <t>https://i.ibb.co/bm9p3KD/TOBCAV.jpg</t>
        </is>
      </c>
      <c r="Y264" s="54" t="n">
        <v>26</v>
      </c>
      <c r="Z264" s="54" t="n">
        <v>1899</v>
      </c>
      <c r="AA264" s="55">
        <f>IF(AND(A264="", B264="", E264=""), "", IF(AB264="", "Válido", IF((LEN(AB264)-LEN(SUBSTITUTE(AB264,"; ","")))/2+1&gt;(LEN(AB264)-LEN(SUBSTITUTE(AB264,"[Aviso]","")))/7, "Con Incidencias", "Válido")))</f>
        <v/>
      </c>
      <c r="AB264" s="56">
        <f>IF(AND(A264="", B264="", E264=""), "", TEXTJOIN("; ", TRUE, IF(OR(TRIM(A264&amp;"")="", ISNUMBER(SEARCH("FALTA", A264))), "UPC faltante/inválido", ""), IF(AND(A264&lt;&gt;"", IFERROR(_xlfn.XMATCH(A264,$A$2:$A$653,0,1)&lt;&gt;_xlfn.XMATCH(A264,$A$2:$A$653,0,-1),FALSE)), "Código de barras duplicado", ""), IF(AND(E264&lt;&gt;"", COUNTIF($E$2:$E$653, E264)&gt;1), "SKU duplicado", ""), IF(OR(J264="", J264=""), "[Aviso] División no capturada ()", IF(ISNA(MATCH(J264, Criterios!$A$123:$A$126, 0)), "División no válida", "")), IF(OR(K264="", K264=""), "[Aviso] Categoría no capturada ()", IF(ISNA(MATCH(K264, Criterios!$A$81:$A$120, 0)), "Categoría no válida", IF(AND(J264&lt;&gt;"", J264&lt;&gt;"", J264&lt;&gt;VLOOKUP(K264, Criterios!$A$81:$B$120, 2, FALSE)), "División no coincide con Categoría", ""))), IF(OR(L264="", L264=""), "[Aviso] Género no capturado ()", IF(ISNA(MATCH(L264, Criterios!$B$123:$B$127, 0)), "Género no válido", "")), IF(OR(N264="", N264=""), "[Aviso] Temporada no capturada ()", IF(ISNA(MATCH(N264, Criterios!$C$123:$C$128, 0)), "Temporada no válida", "")), IF(OR(O264="", O264=""), "[Aviso] Ciclo de vida no capturado ()", IF(ISNA(MATCH(O264, Criterios!$D$123:$D$124, 0)), "Ciclo de vida no válido", ""))))</f>
        <v/>
      </c>
      <c r="AC264" s="56" t="n"/>
      <c r="AD264" s="51" t="n">
        <v>5</v>
      </c>
      <c r="AE264" s="156" t="inlineStr">
        <is>
          <t>REFLO ALMACEN (2); MUESTRAS REFLO (1)</t>
        </is>
      </c>
      <c r="AF264" s="51" t="n">
        <v>4</v>
      </c>
      <c r="AG264" s="156" t="inlineStr">
        <is>
          <t>Nuevo – NetSuite con existencia</t>
        </is>
      </c>
      <c r="AH264" s="156" t="inlineStr">
        <is>
          <t>Género no indicado en NetSuite; Composición: poliéster reciclado (validar % en etiqueta); Físico total NetSuite 5 ≠ suma por ubicación 3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4" s="156" t="inlineStr">
        <is>
          <t>No</t>
        </is>
      </c>
      <c r="AJ264" s="156" t="n"/>
      <c r="AK264" s="155" t="inlineStr">
        <is>
          <t>G1522ProductosTodosloscamposSandboxResults894.xlsx: fila 59039 [X,Y]; G1522_Extraccion_Articulos_NetSuite_2026-09-30.xlsx: fila 37651 [Z]</t>
        </is>
      </c>
      <c r="AL264" s="58" t="n">
        <v>26</v>
      </c>
      <c r="AM264" s="58" t="n"/>
      <c r="AN264" s="155" t="n"/>
      <c r="AO264" s="59" t="n"/>
      <c r="AP264" s="59" t="n"/>
      <c r="AQ264" s="59" t="n"/>
      <c r="AR264" s="155" t="n"/>
    </row>
    <row r="265">
      <c r="A265" s="50" t="inlineStr">
        <is>
          <t>5056658702815</t>
        </is>
      </c>
      <c r="B265" s="51" t="inlineStr">
        <is>
          <t>79320</t>
        </is>
      </c>
      <c r="C265" s="156" t="inlineStr">
        <is>
          <t>REFLO</t>
        </is>
      </c>
      <c r="D265" s="156" t="inlineStr">
        <is>
          <t>TOBCAV</t>
        </is>
      </c>
      <c r="E265" s="156" t="inlineStr">
        <is>
          <t>TOBCAV-XL</t>
        </is>
      </c>
      <c r="F265" s="156" t="inlineStr">
        <is>
          <t>XL</t>
        </is>
      </c>
      <c r="G265" s="156" t="inlineStr">
        <is>
          <t>XL</t>
        </is>
      </c>
      <c r="H265" s="156" t="inlineStr">
        <is>
          <t>REFLO</t>
        </is>
      </c>
      <c r="I265" s="156" t="inlineStr">
        <is>
          <t>Playera tipo polo REFLO Tobol Caviar/Dark Forest</t>
        </is>
      </c>
      <c r="J265" s="156" t="inlineStr">
        <is>
          <t>Ropa</t>
        </is>
      </c>
      <c r="K265" s="156" t="inlineStr">
        <is>
          <t>Playeras</t>
        </is>
      </c>
      <c r="L265" s="156" t="n"/>
      <c r="M265" s="156" t="inlineStr">
        <is>
          <t>REFLO</t>
        </is>
      </c>
      <c r="N265" s="156" t="n"/>
      <c r="O265" s="156" t="n"/>
      <c r="P265" s="156" t="inlineStr">
        <is>
          <t>Verde</t>
        </is>
      </c>
      <c r="Q265" s="156" t="n"/>
      <c r="R265" s="156" t="n"/>
      <c r="S265" s="156" t="inlineStr">
        <is>
          <t>Poliéster reciclado</t>
        </is>
      </c>
      <c r="T265" s="156" t="inlineStr">
        <is>
          <t>Playera tipo polo de golf REFLO modelo Tobol en color Caviar/Dark Forest, confeccionado con materiales reciclados. Estilo TOBCAV.</t>
        </is>
      </c>
      <c r="U265" s="156" t="n"/>
      <c r="V265" s="156" t="inlineStr">
        <is>
          <t>PZS</t>
        </is>
      </c>
      <c r="W265" s="51" t="inlineStr">
        <is>
          <t>53101600</t>
        </is>
      </c>
      <c r="X265" s="156" t="inlineStr">
        <is>
          <t>https://i.ibb.co/bm9p3KD/TOBCAV.jpg</t>
        </is>
      </c>
      <c r="Y265" s="54" t="n">
        <v>26</v>
      </c>
      <c r="Z265" s="54" t="n">
        <v>1899</v>
      </c>
      <c r="AA265" s="55">
        <f>IF(AND(A265="", B265="", E265=""), "", IF(AB265="", "Válido", IF((LEN(AB265)-LEN(SUBSTITUTE(AB265,"; ","")))/2+1&gt;(LEN(AB265)-LEN(SUBSTITUTE(AB265,"[Aviso]","")))/7, "Con Incidencias", "Válido")))</f>
        <v/>
      </c>
      <c r="AB265" s="56">
        <f>IF(AND(A265="", B265="", E265=""), "", TEXTJOIN("; ", TRUE, IF(OR(TRIM(A265&amp;"")="", ISNUMBER(SEARCH("FALTA", A265))), "UPC faltante/inválido", ""), IF(AND(A265&lt;&gt;"", IFERROR(_xlfn.XMATCH(A265,$A$2:$A$653,0,1)&lt;&gt;_xlfn.XMATCH(A265,$A$2:$A$653,0,-1),FALSE)), "Código de barras duplicado", ""), IF(AND(E265&lt;&gt;"", COUNTIF($E$2:$E$653, E265)&gt;1), "SKU duplicado", ""), IF(OR(J265="", J265=""), "[Aviso] División no capturada ()", IF(ISNA(MATCH(J265, Criterios!$A$123:$A$126, 0)), "División no válida", "")), IF(OR(K265="", K265=""), "[Aviso] Categoría no capturada ()", IF(ISNA(MATCH(K265, Criterios!$A$81:$A$120, 0)), "Categoría no válida", IF(AND(J265&lt;&gt;"", J265&lt;&gt;"", J265&lt;&gt;VLOOKUP(K265, Criterios!$A$81:$B$120, 2, FALSE)), "División no coincide con Categoría", ""))), IF(OR(L265="", L265=""), "[Aviso] Género no capturado ()", IF(ISNA(MATCH(L265, Criterios!$B$123:$B$127, 0)), "Género no válido", "")), IF(OR(N265="", N265=""), "[Aviso] Temporada no capturada ()", IF(ISNA(MATCH(N265, Criterios!$C$123:$C$128, 0)), "Temporada no válida", "")), IF(OR(O265="", O265=""), "[Aviso] Ciclo de vida no capturado ()", IF(ISNA(MATCH(O265, Criterios!$D$123:$D$124, 0)), "Ciclo de vida no válido", ""))))</f>
        <v/>
      </c>
      <c r="AC265" s="56" t="n"/>
      <c r="AD265" s="51" t="n">
        <v>5</v>
      </c>
      <c r="AE265" s="156" t="inlineStr">
        <is>
          <t>REFLO ALMACEN (3)</t>
        </is>
      </c>
      <c r="AF265" s="51" t="n">
        <v>5</v>
      </c>
      <c r="AG265" s="156" t="inlineStr">
        <is>
          <t>Nuevo – NetSuite con existencia</t>
        </is>
      </c>
      <c r="AH265" s="156" t="inlineStr">
        <is>
          <t>Género no indicado en NetSuite; Composición: poliéster reciclado (validar % en etiqueta); Físico total NetSuite 5 ≠ suma por ubicación 3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5" s="156" t="inlineStr">
        <is>
          <t>No</t>
        </is>
      </c>
      <c r="AJ265" s="156" t="n"/>
      <c r="AK265" s="155" t="inlineStr">
        <is>
          <t>G1522ProductosTodosloscamposSandboxResults894.xlsx: fila 59040 [X,Y]; G1522_Extraccion_Articulos_NetSuite_2026-09-30.xlsx: fila 37652 [Z]</t>
        </is>
      </c>
      <c r="AL265" s="58" t="n">
        <v>26</v>
      </c>
      <c r="AM265" s="58" t="n"/>
      <c r="AN265" s="155" t="n"/>
      <c r="AO265" s="59" t="n"/>
      <c r="AP265" s="59" t="n"/>
      <c r="AQ265" s="59" t="n"/>
      <c r="AR265" s="155" t="n"/>
    </row>
    <row r="266">
      <c r="A266" s="50" t="inlineStr">
        <is>
          <t>5056658702822</t>
        </is>
      </c>
      <c r="B266" s="51" t="inlineStr">
        <is>
          <t>79321</t>
        </is>
      </c>
      <c r="C266" s="156" t="inlineStr">
        <is>
          <t>REFLO</t>
        </is>
      </c>
      <c r="D266" s="156" t="inlineStr">
        <is>
          <t>TOBCAV</t>
        </is>
      </c>
      <c r="E266" s="156" t="inlineStr">
        <is>
          <t>TOBCAV-2XL</t>
        </is>
      </c>
      <c r="F266" s="156" t="inlineStr">
        <is>
          <t>XXL</t>
        </is>
      </c>
      <c r="G266" s="156" t="inlineStr">
        <is>
          <t>XXL</t>
        </is>
      </c>
      <c r="H266" s="156" t="inlineStr">
        <is>
          <t>REFLO</t>
        </is>
      </c>
      <c r="I266" s="156" t="inlineStr">
        <is>
          <t>Playera tipo polo REFLO Tobol Caviar/Dark Forest</t>
        </is>
      </c>
      <c r="J266" s="156" t="inlineStr">
        <is>
          <t>Ropa</t>
        </is>
      </c>
      <c r="K266" s="156" t="inlineStr">
        <is>
          <t>Playeras</t>
        </is>
      </c>
      <c r="L266" s="156" t="n"/>
      <c r="M266" s="156" t="inlineStr">
        <is>
          <t>REFLO</t>
        </is>
      </c>
      <c r="N266" s="156" t="n"/>
      <c r="O266" s="156" t="n"/>
      <c r="P266" s="156" t="inlineStr">
        <is>
          <t>Verde</t>
        </is>
      </c>
      <c r="Q266" s="156" t="n"/>
      <c r="R266" s="156" t="n"/>
      <c r="S266" s="156" t="inlineStr">
        <is>
          <t>Poliéster reciclado</t>
        </is>
      </c>
      <c r="T266" s="156" t="inlineStr">
        <is>
          <t>Playera tipo polo de golf REFLO modelo Tobol en color Caviar/Dark Forest, confeccionado con materiales reciclados. Estilo TOBCAV.</t>
        </is>
      </c>
      <c r="U266" s="156" t="n"/>
      <c r="V266" s="156" t="inlineStr">
        <is>
          <t>PZS</t>
        </is>
      </c>
      <c r="W266" s="51" t="inlineStr">
        <is>
          <t>53101600</t>
        </is>
      </c>
      <c r="X266" s="156" t="inlineStr">
        <is>
          <t>https://i.ibb.co/bm9p3KD/TOBCAV.jpg</t>
        </is>
      </c>
      <c r="Y266" s="54" t="n">
        <v>26</v>
      </c>
      <c r="Z266" s="54" t="n">
        <v>1899</v>
      </c>
      <c r="AA266" s="55">
        <f>IF(AND(A266="", B266="", E266=""), "", IF(AB266="", "Válido", IF((LEN(AB266)-LEN(SUBSTITUTE(AB266,"; ","")))/2+1&gt;(LEN(AB266)-LEN(SUBSTITUTE(AB266,"[Aviso]","")))/7, "Con Incidencias", "Válido")))</f>
        <v/>
      </c>
      <c r="AB266" s="56">
        <f>IF(AND(A266="", B266="", E266=""), "", TEXTJOIN("; ", TRUE, IF(OR(TRIM(A266&amp;"")="", ISNUMBER(SEARCH("FALTA", A266))), "UPC faltante/inválido", ""), IF(AND(A266&lt;&gt;"", IFERROR(_xlfn.XMATCH(A266,$A$2:$A$653,0,1)&lt;&gt;_xlfn.XMATCH(A266,$A$2:$A$653,0,-1),FALSE)), "Código de barras duplicado", ""), IF(AND(E266&lt;&gt;"", COUNTIF($E$2:$E$653, E266)&gt;1), "SKU duplicado", ""), IF(OR(J266="", J266=""), "[Aviso] División no capturada ()", IF(ISNA(MATCH(J266, Criterios!$A$123:$A$126, 0)), "División no válida", "")), IF(OR(K266="", K266=""), "[Aviso] Categoría no capturada ()", IF(ISNA(MATCH(K266, Criterios!$A$81:$A$120, 0)), "Categoría no válida", IF(AND(J266&lt;&gt;"", J266&lt;&gt;"", J266&lt;&gt;VLOOKUP(K266, Criterios!$A$81:$B$120, 2, FALSE)), "División no coincide con Categoría", ""))), IF(OR(L266="", L266=""), "[Aviso] Género no capturado ()", IF(ISNA(MATCH(L266, Criterios!$B$123:$B$127, 0)), "Género no válido", "")), IF(OR(N266="", N266=""), "[Aviso] Temporada no capturada ()", IF(ISNA(MATCH(N266, Criterios!$C$123:$C$128, 0)), "Temporada no válida", "")), IF(OR(O266="", O266=""), "[Aviso] Ciclo de vida no capturado ()", IF(ISNA(MATCH(O266, Criterios!$D$123:$D$124, 0)), "Ciclo de vida no válido", ""))))</f>
        <v/>
      </c>
      <c r="AC266" s="56" t="n"/>
      <c r="AD266" s="51" t="n">
        <v>4</v>
      </c>
      <c r="AE266" s="156" t="inlineStr">
        <is>
          <t>REFLO ALMACEN (2)</t>
        </is>
      </c>
      <c r="AF266" s="51" t="n">
        <v>4</v>
      </c>
      <c r="AG266" s="156" t="inlineStr">
        <is>
          <t>Nuevo – NetSuite con existencia</t>
        </is>
      </c>
      <c r="AH266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6" s="156" t="inlineStr">
        <is>
          <t>No</t>
        </is>
      </c>
      <c r="AJ266" s="156" t="n"/>
      <c r="AK266" s="155" t="inlineStr">
        <is>
          <t>G1522ProductosTodosloscamposSandboxResults894.xlsx: fila 59041 [X,Y]; G1522_Extraccion_Articulos_NetSuite_2026-09-30.xlsx: fila 37653 [Z]</t>
        </is>
      </c>
      <c r="AL266" s="58" t="n">
        <v>26</v>
      </c>
      <c r="AM266" s="58" t="n"/>
      <c r="AN266" s="155" t="n"/>
      <c r="AO266" s="59" t="n"/>
      <c r="AP266" s="59" t="n"/>
      <c r="AQ266" s="59" t="n"/>
      <c r="AR266" s="155" t="n"/>
    </row>
    <row r="267">
      <c r="A267" s="50" t="inlineStr">
        <is>
          <t>5056658702785</t>
        </is>
      </c>
      <c r="B267" s="51" t="inlineStr">
        <is>
          <t>84437</t>
        </is>
      </c>
      <c r="C267" s="156" t="inlineStr">
        <is>
          <t>REFLO</t>
        </is>
      </c>
      <c r="D267" s="156" t="inlineStr">
        <is>
          <t>TOBCAV</t>
        </is>
      </c>
      <c r="E267" s="156" t="inlineStr">
        <is>
          <t>TOBCAV-S</t>
        </is>
      </c>
      <c r="F267" s="156" t="inlineStr">
        <is>
          <t>S</t>
        </is>
      </c>
      <c r="G267" s="156" t="inlineStr">
        <is>
          <t>S</t>
        </is>
      </c>
      <c r="H267" s="156" t="inlineStr">
        <is>
          <t>REFLO</t>
        </is>
      </c>
      <c r="I267" s="156" t="inlineStr">
        <is>
          <t>Playera tipo polo REFLO Tobol Caviar/Dark Forest</t>
        </is>
      </c>
      <c r="J267" s="156" t="inlineStr">
        <is>
          <t>Ropa</t>
        </is>
      </c>
      <c r="K267" s="156" t="inlineStr">
        <is>
          <t>Playeras</t>
        </is>
      </c>
      <c r="L267" s="156" t="n"/>
      <c r="M267" s="156" t="inlineStr">
        <is>
          <t>REFLO</t>
        </is>
      </c>
      <c r="N267" s="156" t="n"/>
      <c r="O267" s="156" t="n"/>
      <c r="P267" s="156" t="inlineStr">
        <is>
          <t>Verde</t>
        </is>
      </c>
      <c r="Q267" s="156" t="n"/>
      <c r="R267" s="156" t="n"/>
      <c r="S267" s="156" t="inlineStr">
        <is>
          <t>Poliéster reciclado</t>
        </is>
      </c>
      <c r="T267" s="156" t="inlineStr">
        <is>
          <t>Playera tipo polo de golf REFLO modelo Tobol en color Caviar/Dark Forest, confeccionado con materiales reciclados. Estilo TOBCAV.</t>
        </is>
      </c>
      <c r="U267" s="156" t="n"/>
      <c r="V267" s="156" t="inlineStr">
        <is>
          <t>PZS</t>
        </is>
      </c>
      <c r="W267" s="51" t="inlineStr">
        <is>
          <t>53101600</t>
        </is>
      </c>
      <c r="X267" s="156" t="inlineStr">
        <is>
          <t>https://i.ibb.co/bm9p3KD/TOBCAV.jpg</t>
        </is>
      </c>
      <c r="Y267" s="54" t="n">
        <v>26</v>
      </c>
      <c r="Z267" s="54" t="n">
        <v>1899</v>
      </c>
      <c r="AA267" s="55">
        <f>IF(AND(A267="", B267="", E267=""), "", IF(AB267="", "Válido", IF((LEN(AB267)-LEN(SUBSTITUTE(AB267,"; ","")))/2+1&gt;(LEN(AB267)-LEN(SUBSTITUTE(AB267,"[Aviso]","")))/7, "Con Incidencias", "Válido")))</f>
        <v/>
      </c>
      <c r="AB267" s="56">
        <f>IF(AND(A267="", B267="", E267=""), "", TEXTJOIN("; ", TRUE, IF(OR(TRIM(A267&amp;"")="", ISNUMBER(SEARCH("FALTA", A267))), "UPC faltante/inválido", ""), IF(AND(A267&lt;&gt;"", IFERROR(_xlfn.XMATCH(A267,$A$2:$A$653,0,1)&lt;&gt;_xlfn.XMATCH(A267,$A$2:$A$653,0,-1),FALSE)), "Código de barras duplicado", ""), IF(AND(E267&lt;&gt;"", COUNTIF($E$2:$E$653, E267)&gt;1), "SKU duplicado", ""), IF(OR(J267="", J267=""), "[Aviso] División no capturada ()", IF(ISNA(MATCH(J267, Criterios!$A$123:$A$126, 0)), "División no válida", "")), IF(OR(K267="", K267=""), "[Aviso] Categoría no capturada ()", IF(ISNA(MATCH(K267, Criterios!$A$81:$A$120, 0)), "Categoría no válida", IF(AND(J267&lt;&gt;"", J267&lt;&gt;"", J267&lt;&gt;VLOOKUP(K267, Criterios!$A$81:$B$120, 2, FALSE)), "División no coincide con Categoría", ""))), IF(OR(L267="", L267=""), "[Aviso] Género no capturado ()", IF(ISNA(MATCH(L267, Criterios!$B$123:$B$127, 0)), "Género no válido", "")), IF(OR(N267="", N267=""), "[Aviso] Temporada no capturada ()", IF(ISNA(MATCH(N267, Criterios!$C$123:$C$128, 0)), "Temporada no válida", "")), IF(OR(O267="", O267=""), "[Aviso] Ciclo de vida no capturado ()", IF(ISNA(MATCH(O267, Criterios!$D$123:$D$124, 0)), "Ciclo de vida no válido", ""))))</f>
        <v/>
      </c>
      <c r="AC267" s="56" t="n"/>
      <c r="AD267" s="51" t="n">
        <v>6</v>
      </c>
      <c r="AE267" s="156" t="inlineStr">
        <is>
          <t>REFLO ALMACEN (2); CONSIGNA REFLO (1)</t>
        </is>
      </c>
      <c r="AF267" s="51" t="n">
        <v>6</v>
      </c>
      <c r="AG267" s="156" t="inlineStr">
        <is>
          <t>Nuevo – NetSuite con existencia</t>
        </is>
      </c>
      <c r="AH267" s="156" t="inlineStr">
        <is>
          <t>Género no indicado en NetSuite; Composición: poliéster reciclado (validar % en etiqueta); Físico total NetSuite 6 ≠ suma por ubicación 3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7" s="156" t="inlineStr">
        <is>
          <t>No</t>
        </is>
      </c>
      <c r="AJ267" s="156" t="n"/>
      <c r="AK267" s="155" t="inlineStr">
        <is>
          <t>G1522ProductosTodosloscamposSandboxResults894.xlsx: fila 59037 [X,Y]; G1522_Extraccion_Articulos_NetSuite_2026-09-30.xlsx: fila 39606 [Z]</t>
        </is>
      </c>
      <c r="AL267" s="58" t="n">
        <v>26</v>
      </c>
      <c r="AM267" s="58" t="n"/>
      <c r="AN267" s="155" t="n"/>
      <c r="AO267" s="59" t="n"/>
      <c r="AP267" s="59" t="n"/>
      <c r="AQ267" s="59" t="n"/>
      <c r="AR267" s="155" t="n"/>
    </row>
    <row r="268">
      <c r="A268" s="50" t="inlineStr">
        <is>
          <t>5056658702853</t>
        </is>
      </c>
      <c r="B268" s="51" t="inlineStr">
        <is>
          <t>79322</t>
        </is>
      </c>
      <c r="C268" s="156" t="inlineStr">
        <is>
          <t>REFLO</t>
        </is>
      </c>
      <c r="D268" s="156" t="inlineStr">
        <is>
          <t>TOBCOR</t>
        </is>
      </c>
      <c r="E268" s="156" t="inlineStr">
        <is>
          <t>TOBCOR-M</t>
        </is>
      </c>
      <c r="F268" s="156" t="inlineStr">
        <is>
          <t>M</t>
        </is>
      </c>
      <c r="G268" s="156" t="inlineStr">
        <is>
          <t>M</t>
        </is>
      </c>
      <c r="H268" s="156" t="inlineStr">
        <is>
          <t>REFLO</t>
        </is>
      </c>
      <c r="I268" s="156" t="inlineStr">
        <is>
          <t>Playera tipo polo REFLO Tobol Coronet Blue/Medieval Blue</t>
        </is>
      </c>
      <c r="J268" s="156" t="inlineStr">
        <is>
          <t>Ropa</t>
        </is>
      </c>
      <c r="K268" s="156" t="inlineStr">
        <is>
          <t>Playeras</t>
        </is>
      </c>
      <c r="L268" s="156" t="n"/>
      <c r="M268" s="156" t="inlineStr">
        <is>
          <t>REFLO</t>
        </is>
      </c>
      <c r="N268" s="156" t="n"/>
      <c r="O268" s="156" t="n"/>
      <c r="P268" s="156" t="inlineStr">
        <is>
          <t>Azul</t>
        </is>
      </c>
      <c r="Q268" s="156" t="n"/>
      <c r="R268" s="156" t="n"/>
      <c r="S268" s="156" t="inlineStr">
        <is>
          <t>Poliéster reciclado</t>
        </is>
      </c>
      <c r="T268" s="156" t="inlineStr">
        <is>
          <t>Playera tipo polo de golf REFLO modelo Tobol en color Coronet Blue/Medieval Blue, confeccionado con materiales reciclados. Estilo TOBCOR.</t>
        </is>
      </c>
      <c r="U268" s="156" t="n"/>
      <c r="V268" s="156" t="inlineStr">
        <is>
          <t>PZS</t>
        </is>
      </c>
      <c r="W268" s="51" t="inlineStr">
        <is>
          <t>53101600</t>
        </is>
      </c>
      <c r="X268" s="156" t="inlineStr">
        <is>
          <t>https://i.ibb.co/wBWTr43/TOBCOR.jpg</t>
        </is>
      </c>
      <c r="Y268" s="54" t="n">
        <v>26</v>
      </c>
      <c r="Z268" s="54" t="n">
        <v>1899</v>
      </c>
      <c r="AA268" s="55">
        <f>IF(AND(A268="", B268="", E268=""), "", IF(AB268="", "Válido", IF((LEN(AB268)-LEN(SUBSTITUTE(AB268,"; ","")))/2+1&gt;(LEN(AB268)-LEN(SUBSTITUTE(AB268,"[Aviso]","")))/7, "Con Incidencias", "Válido")))</f>
        <v/>
      </c>
      <c r="AB268" s="56">
        <f>IF(AND(A268="", B268="", E268=""), "", TEXTJOIN("; ", TRUE, IF(OR(TRIM(A268&amp;"")="", ISNUMBER(SEARCH("FALTA", A268))), "UPC faltante/inválido", ""), IF(AND(A268&lt;&gt;"", IFERROR(_xlfn.XMATCH(A268,$A$2:$A$653,0,1)&lt;&gt;_xlfn.XMATCH(A268,$A$2:$A$653,0,-1),FALSE)), "Código de barras duplicado", ""), IF(AND(E268&lt;&gt;"", COUNTIF($E$2:$E$653, E268)&gt;1), "SKU duplicado", ""), IF(OR(J268="", J268=""), "[Aviso] División no capturada ()", IF(ISNA(MATCH(J268, Criterios!$A$123:$A$126, 0)), "División no válida", "")), IF(OR(K268="", K268=""), "[Aviso] Categoría no capturada ()", IF(ISNA(MATCH(K268, Criterios!$A$81:$A$120, 0)), "Categoría no válida", IF(AND(J268&lt;&gt;"", J268&lt;&gt;"", J268&lt;&gt;VLOOKUP(K268, Criterios!$A$81:$B$120, 2, FALSE)), "División no coincide con Categoría", ""))), IF(OR(L268="", L268=""), "[Aviso] Género no capturado ()", IF(ISNA(MATCH(L268, Criterios!$B$123:$B$127, 0)), "Género no válido", "")), IF(OR(N268="", N268=""), "[Aviso] Temporada no capturada ()", IF(ISNA(MATCH(N268, Criterios!$C$123:$C$128, 0)), "Temporada no válida", "")), IF(OR(O268="", O268=""), "[Aviso] Ciclo de vida no capturado ()", IF(ISNA(MATCH(O268, Criterios!$D$123:$D$124, 0)), "Ciclo de vida no válido", ""))))</f>
        <v/>
      </c>
      <c r="AC268" s="56" t="n"/>
      <c r="AD268" s="51" t="n">
        <v>1</v>
      </c>
      <c r="AE268" s="156" t="inlineStr">
        <is>
          <t>MUESTRAS REFLO (1)</t>
        </is>
      </c>
      <c r="AF268" s="51" t="n">
        <v>0</v>
      </c>
      <c r="AG268" s="156" t="inlineStr">
        <is>
          <t>Nuevo – NetSuite con existencia</t>
        </is>
      </c>
      <c r="AH268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8" s="156" t="inlineStr">
        <is>
          <t>No</t>
        </is>
      </c>
      <c r="AJ268" s="156" t="n"/>
      <c r="AK268" s="155" t="inlineStr">
        <is>
          <t>G1522ProductosTodosloscamposSandboxResults894.xlsx: fila 59044 [X,Y]; G1522_Extraccion_Articulos_NetSuite_2026-09-30.xlsx: fila 37654 [Z]</t>
        </is>
      </c>
      <c r="AL268" s="58" t="n">
        <v>26</v>
      </c>
      <c r="AM268" s="58" t="n"/>
      <c r="AN268" s="155" t="n"/>
      <c r="AO268" s="59" t="n"/>
      <c r="AP268" s="59" t="n"/>
      <c r="AQ268" s="59" t="n"/>
      <c r="AR268" s="155" t="n"/>
    </row>
    <row r="269">
      <c r="A269" s="50" t="inlineStr">
        <is>
          <t>5056658702860</t>
        </is>
      </c>
      <c r="B269" s="51" t="inlineStr">
        <is>
          <t>79323</t>
        </is>
      </c>
      <c r="C269" s="156" t="inlineStr">
        <is>
          <t>REFLO</t>
        </is>
      </c>
      <c r="D269" s="156" t="inlineStr">
        <is>
          <t>TOBCOR</t>
        </is>
      </c>
      <c r="E269" s="156" t="inlineStr">
        <is>
          <t>TOBCOR-L</t>
        </is>
      </c>
      <c r="F269" s="156" t="inlineStr">
        <is>
          <t>L</t>
        </is>
      </c>
      <c r="G269" s="156" t="inlineStr">
        <is>
          <t>L</t>
        </is>
      </c>
      <c r="H269" s="156" t="inlineStr">
        <is>
          <t>REFLO</t>
        </is>
      </c>
      <c r="I269" s="156" t="inlineStr">
        <is>
          <t>Playera tipo polo REFLO Tobol Coronet Blue/Medieval Blue</t>
        </is>
      </c>
      <c r="J269" s="156" t="inlineStr">
        <is>
          <t>Ropa</t>
        </is>
      </c>
      <c r="K269" s="156" t="inlineStr">
        <is>
          <t>Playeras</t>
        </is>
      </c>
      <c r="L269" s="156" t="n"/>
      <c r="M269" s="156" t="inlineStr">
        <is>
          <t>REFLO</t>
        </is>
      </c>
      <c r="N269" s="156" t="n"/>
      <c r="O269" s="156" t="n"/>
      <c r="P269" s="156" t="inlineStr">
        <is>
          <t>Azul</t>
        </is>
      </c>
      <c r="Q269" s="156" t="n"/>
      <c r="R269" s="156" t="n"/>
      <c r="S269" s="156" t="inlineStr">
        <is>
          <t>Poliéster reciclado</t>
        </is>
      </c>
      <c r="T269" s="156" t="inlineStr">
        <is>
          <t>Playera tipo polo de golf REFLO modelo Tobol en color Coronet Blue/Medieval Blue, confeccionado con materiales reciclados. Estilo TOBCOR.</t>
        </is>
      </c>
      <c r="U269" s="156" t="n"/>
      <c r="V269" s="156" t="inlineStr">
        <is>
          <t>PZS</t>
        </is>
      </c>
      <c r="W269" s="51" t="inlineStr">
        <is>
          <t>53101600</t>
        </is>
      </c>
      <c r="X269" s="156" t="inlineStr">
        <is>
          <t>https://i.ibb.co/wBWTr43/TOBCOR.jpg</t>
        </is>
      </c>
      <c r="Y269" s="54" t="n">
        <v>26</v>
      </c>
      <c r="Z269" s="54" t="n">
        <v>1899</v>
      </c>
      <c r="AA269" s="55">
        <f>IF(AND(A269="", B269="", E269=""), "", IF(AB269="", "Válido", IF((LEN(AB269)-LEN(SUBSTITUTE(AB269,"; ","")))/2+1&gt;(LEN(AB269)-LEN(SUBSTITUTE(AB269,"[Aviso]","")))/7, "Con Incidencias", "Válido")))</f>
        <v/>
      </c>
      <c r="AB269" s="56">
        <f>IF(AND(A269="", B269="", E269=""), "", TEXTJOIN("; ", TRUE, IF(OR(TRIM(A269&amp;"")="", ISNUMBER(SEARCH("FALTA", A269))), "UPC faltante/inválido", ""), IF(AND(A269&lt;&gt;"", IFERROR(_xlfn.XMATCH(A269,$A$2:$A$653,0,1)&lt;&gt;_xlfn.XMATCH(A269,$A$2:$A$653,0,-1),FALSE)), "Código de barras duplicado", ""), IF(AND(E269&lt;&gt;"", COUNTIF($E$2:$E$653, E269)&gt;1), "SKU duplicado", ""), IF(OR(J269="", J269=""), "[Aviso] División no capturada ()", IF(ISNA(MATCH(J269, Criterios!$A$123:$A$126, 0)), "División no válida", "")), IF(OR(K269="", K269=""), "[Aviso] Categoría no capturada ()", IF(ISNA(MATCH(K269, Criterios!$A$81:$A$120, 0)), "Categoría no válida", IF(AND(J269&lt;&gt;"", J269&lt;&gt;"", J269&lt;&gt;VLOOKUP(K269, Criterios!$A$81:$B$120, 2, FALSE)), "División no coincide con Categoría", ""))), IF(OR(L269="", L269=""), "[Aviso] Género no capturado ()", IF(ISNA(MATCH(L269, Criterios!$B$123:$B$127, 0)), "Género no válido", "")), IF(OR(N269="", N269=""), "[Aviso] Temporada no capturada ()", IF(ISNA(MATCH(N269, Criterios!$C$123:$C$128, 0)), "Temporada no válida", "")), IF(OR(O269="", O269=""), "[Aviso] Ciclo de vida no capturado ()", IF(ISNA(MATCH(O269, Criterios!$D$123:$D$124, 0)), "Ciclo de vida no válido", ""))))</f>
        <v/>
      </c>
      <c r="AC269" s="56" t="n"/>
      <c r="AD269" s="51" t="n">
        <v>2</v>
      </c>
      <c r="AE269" s="156" t="inlineStr">
        <is>
          <t>REFLO ALMACEN (1); MUESTRAS REFLO (1)</t>
        </is>
      </c>
      <c r="AF269" s="51" t="n">
        <v>1</v>
      </c>
      <c r="AG269" s="156" t="inlineStr">
        <is>
          <t>Nuevo – NetSuite con existencia</t>
        </is>
      </c>
      <c r="AH269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69" s="156" t="inlineStr">
        <is>
          <t>No</t>
        </is>
      </c>
      <c r="AJ269" s="156" t="n"/>
      <c r="AK269" s="155" t="inlineStr">
        <is>
          <t>G1522ProductosTodosloscamposSandboxResults894.xlsx: fila 59045 [X,Y]; G1522_Extraccion_Articulos_NetSuite_2026-09-30.xlsx: fila 37655 [Z]</t>
        </is>
      </c>
      <c r="AL269" s="58" t="n">
        <v>26</v>
      </c>
      <c r="AM269" s="58" t="n"/>
      <c r="AN269" s="155" t="n"/>
      <c r="AO269" s="59" t="n"/>
      <c r="AP269" s="59" t="n"/>
      <c r="AQ269" s="59" t="n"/>
      <c r="AR269" s="155" t="n"/>
    </row>
    <row r="270">
      <c r="A270" s="50" t="inlineStr">
        <is>
          <t>5056658702877</t>
        </is>
      </c>
      <c r="B270" s="51" t="inlineStr">
        <is>
          <t>79324</t>
        </is>
      </c>
      <c r="C270" s="156" t="inlineStr">
        <is>
          <t>REFLO</t>
        </is>
      </c>
      <c r="D270" s="156" t="inlineStr">
        <is>
          <t>TOBCOR</t>
        </is>
      </c>
      <c r="E270" s="156" t="inlineStr">
        <is>
          <t>TOBCOR-XL</t>
        </is>
      </c>
      <c r="F270" s="156" t="inlineStr">
        <is>
          <t>XL</t>
        </is>
      </c>
      <c r="G270" s="156" t="inlineStr">
        <is>
          <t>XL</t>
        </is>
      </c>
      <c r="H270" s="156" t="inlineStr">
        <is>
          <t>REFLO</t>
        </is>
      </c>
      <c r="I270" s="156" t="inlineStr">
        <is>
          <t>Playera tipo polo REFLO Tobol Coronet Blue/Medieval Blue</t>
        </is>
      </c>
      <c r="J270" s="156" t="inlineStr">
        <is>
          <t>Ropa</t>
        </is>
      </c>
      <c r="K270" s="156" t="inlineStr">
        <is>
          <t>Playeras</t>
        </is>
      </c>
      <c r="L270" s="156" t="n"/>
      <c r="M270" s="156" t="inlineStr">
        <is>
          <t>REFLO</t>
        </is>
      </c>
      <c r="N270" s="156" t="n"/>
      <c r="O270" s="156" t="n"/>
      <c r="P270" s="156" t="inlineStr">
        <is>
          <t>Azul</t>
        </is>
      </c>
      <c r="Q270" s="156" t="n"/>
      <c r="R270" s="156" t="n"/>
      <c r="S270" s="156" t="inlineStr">
        <is>
          <t>Poliéster reciclado</t>
        </is>
      </c>
      <c r="T270" s="156" t="inlineStr">
        <is>
          <t>Playera tipo polo de golf REFLO modelo Tobol en color Coronet Blue/Medieval Blue, confeccionado con materiales reciclados. Estilo TOBCOR.</t>
        </is>
      </c>
      <c r="U270" s="156" t="n"/>
      <c r="V270" s="156" t="inlineStr">
        <is>
          <t>PZS</t>
        </is>
      </c>
      <c r="W270" s="51" t="inlineStr">
        <is>
          <t>53101600</t>
        </is>
      </c>
      <c r="X270" s="156" t="inlineStr">
        <is>
          <t>https://i.ibb.co/wBWTr43/TOBCOR.jpg</t>
        </is>
      </c>
      <c r="Y270" s="54" t="n">
        <v>26</v>
      </c>
      <c r="Z270" s="54" t="n">
        <v>1899</v>
      </c>
      <c r="AA270" s="55">
        <f>IF(AND(A270="", B270="", E270=""), "", IF(AB270="", "Válido", IF((LEN(AB270)-LEN(SUBSTITUTE(AB270,"; ","")))/2+1&gt;(LEN(AB270)-LEN(SUBSTITUTE(AB270,"[Aviso]","")))/7, "Con Incidencias", "Válido")))</f>
        <v/>
      </c>
      <c r="AB270" s="56">
        <f>IF(AND(A270="", B270="", E270=""), "", TEXTJOIN("; ", TRUE, IF(OR(TRIM(A270&amp;"")="", ISNUMBER(SEARCH("FALTA", A270))), "UPC faltante/inválido", ""), IF(AND(A270&lt;&gt;"", IFERROR(_xlfn.XMATCH(A270,$A$2:$A$653,0,1)&lt;&gt;_xlfn.XMATCH(A270,$A$2:$A$653,0,-1),FALSE)), "Código de barras duplicado", ""), IF(AND(E270&lt;&gt;"", COUNTIF($E$2:$E$653, E270)&gt;1), "SKU duplicado", ""), IF(OR(J270="", J270=""), "[Aviso] División no capturada ()", IF(ISNA(MATCH(J270, Criterios!$A$123:$A$126, 0)), "División no válida", "")), IF(OR(K270="", K270=""), "[Aviso] Categoría no capturada ()", IF(ISNA(MATCH(K270, Criterios!$A$81:$A$120, 0)), "Categoría no válida", IF(AND(J270&lt;&gt;"", J270&lt;&gt;"", J270&lt;&gt;VLOOKUP(K270, Criterios!$A$81:$B$120, 2, FALSE)), "División no coincide con Categoría", ""))), IF(OR(L270="", L270=""), "[Aviso] Género no capturado ()", IF(ISNA(MATCH(L270, Criterios!$B$123:$B$127, 0)), "Género no válido", "")), IF(OR(N270="", N270=""), "[Aviso] Temporada no capturada ()", IF(ISNA(MATCH(N270, Criterios!$C$123:$C$128, 0)), "Temporada no válida", "")), IF(OR(O270="", O270=""), "[Aviso] Ciclo de vida no capturado ()", IF(ISNA(MATCH(O270, Criterios!$D$123:$D$124, 0)), "Ciclo de vida no válido", ""))))</f>
        <v/>
      </c>
      <c r="AC270" s="56" t="n"/>
      <c r="AD270" s="51" t="n">
        <v>4</v>
      </c>
      <c r="AE270" s="156" t="inlineStr">
        <is>
          <t>REFLO ALMACEN (3)</t>
        </is>
      </c>
      <c r="AF270" s="51" t="n">
        <v>5</v>
      </c>
      <c r="AG270" s="156" t="inlineStr">
        <is>
          <t>Nuevo – NetSuite con existencia</t>
        </is>
      </c>
      <c r="AH270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70" s="156" t="inlineStr">
        <is>
          <t>Sí</t>
        </is>
      </c>
      <c r="AJ270" s="156" t="inlineStr">
        <is>
          <t>CONSIGNA REFLO (-1)</t>
        </is>
      </c>
      <c r="AK270" s="155" t="inlineStr">
        <is>
          <t>G1522ProductosTodosloscamposSandboxResults894.xlsx: fila 59046 [X,Y]; G1522_Extraccion_Articulos_NetSuite_2026-09-30.xlsx: fila 37656 [Z]</t>
        </is>
      </c>
      <c r="AL270" s="58" t="n">
        <v>26</v>
      </c>
      <c r="AM270" s="58" t="n"/>
      <c r="AN270" s="155" t="n"/>
      <c r="AO270" s="59" t="n"/>
      <c r="AP270" s="59" t="n"/>
      <c r="AQ270" s="59" t="n"/>
      <c r="AR270" s="155" t="n"/>
    </row>
    <row r="271">
      <c r="A271" s="50" t="inlineStr">
        <is>
          <t>5056658702884</t>
        </is>
      </c>
      <c r="B271" s="51" t="inlineStr">
        <is>
          <t>79325</t>
        </is>
      </c>
      <c r="C271" s="156" t="inlineStr">
        <is>
          <t>REFLO</t>
        </is>
      </c>
      <c r="D271" s="156" t="inlineStr">
        <is>
          <t>TOBCOR</t>
        </is>
      </c>
      <c r="E271" s="156" t="inlineStr">
        <is>
          <t>TOBCOR-2XL</t>
        </is>
      </c>
      <c r="F271" s="156" t="inlineStr">
        <is>
          <t>XXL</t>
        </is>
      </c>
      <c r="G271" s="156" t="inlineStr">
        <is>
          <t>XXL</t>
        </is>
      </c>
      <c r="H271" s="156" t="inlineStr">
        <is>
          <t>REFLO</t>
        </is>
      </c>
      <c r="I271" s="156" t="inlineStr">
        <is>
          <t>Playera tipo polo REFLO Tobol Coronet Blue/Medieval Blue</t>
        </is>
      </c>
      <c r="J271" s="156" t="inlineStr">
        <is>
          <t>Ropa</t>
        </is>
      </c>
      <c r="K271" s="156" t="inlineStr">
        <is>
          <t>Playeras</t>
        </is>
      </c>
      <c r="L271" s="156" t="n"/>
      <c r="M271" s="156" t="inlineStr">
        <is>
          <t>REFLO</t>
        </is>
      </c>
      <c r="N271" s="156" t="n"/>
      <c r="O271" s="156" t="n"/>
      <c r="P271" s="156" t="inlineStr">
        <is>
          <t>Azul</t>
        </is>
      </c>
      <c r="Q271" s="156" t="n"/>
      <c r="R271" s="156" t="n"/>
      <c r="S271" s="156" t="inlineStr">
        <is>
          <t>Poliéster reciclado</t>
        </is>
      </c>
      <c r="T271" s="156" t="inlineStr">
        <is>
          <t>Playera tipo polo de golf REFLO modelo Tobol en color Coronet Blue/Medieval Blue, confeccionado con materiales reciclados. Estilo TOBCOR.</t>
        </is>
      </c>
      <c r="U271" s="156" t="n"/>
      <c r="V271" s="156" t="inlineStr">
        <is>
          <t>PZS</t>
        </is>
      </c>
      <c r="W271" s="51" t="inlineStr">
        <is>
          <t>53101600</t>
        </is>
      </c>
      <c r="X271" s="156" t="inlineStr">
        <is>
          <t>https://i.ibb.co/wBWTr43/TOBCOR.jpg</t>
        </is>
      </c>
      <c r="Y271" s="54" t="n">
        <v>26</v>
      </c>
      <c r="Z271" s="54" t="n">
        <v>1899</v>
      </c>
      <c r="AA271" s="55">
        <f>IF(AND(A271="", B271="", E271=""), "", IF(AB271="", "Válido", IF((LEN(AB271)-LEN(SUBSTITUTE(AB271,"; ","")))/2+1&gt;(LEN(AB271)-LEN(SUBSTITUTE(AB271,"[Aviso]","")))/7, "Con Incidencias", "Válido")))</f>
        <v/>
      </c>
      <c r="AB271" s="56">
        <f>IF(AND(A271="", B271="", E271=""), "", TEXTJOIN("; ", TRUE, IF(OR(TRIM(A271&amp;"")="", ISNUMBER(SEARCH("FALTA", A271))), "UPC faltante/inválido", ""), IF(AND(A271&lt;&gt;"", IFERROR(_xlfn.XMATCH(A271,$A$2:$A$653,0,1)&lt;&gt;_xlfn.XMATCH(A271,$A$2:$A$653,0,-1),FALSE)), "Código de barras duplicado", ""), IF(AND(E271&lt;&gt;"", COUNTIF($E$2:$E$653, E271)&gt;1), "SKU duplicado", ""), IF(OR(J271="", J271=""), "[Aviso] División no capturada ()", IF(ISNA(MATCH(J271, Criterios!$A$123:$A$126, 0)), "División no válida", "")), IF(OR(K271="", K271=""), "[Aviso] Categoría no capturada ()", IF(ISNA(MATCH(K271, Criterios!$A$81:$A$120, 0)), "Categoría no válida", IF(AND(J271&lt;&gt;"", J271&lt;&gt;"", J271&lt;&gt;VLOOKUP(K271, Criterios!$A$81:$B$120, 2, FALSE)), "División no coincide con Categoría", ""))), IF(OR(L271="", L271=""), "[Aviso] Género no capturado ()", IF(ISNA(MATCH(L271, Criterios!$B$123:$B$127, 0)), "Género no válido", "")), IF(OR(N271="", N271=""), "[Aviso] Temporada no capturada ()", IF(ISNA(MATCH(N271, Criterios!$C$123:$C$128, 0)), "Temporada no válida", "")), IF(OR(O271="", O271=""), "[Aviso] Ciclo de vida no capturado ()", IF(ISNA(MATCH(O271, Criterios!$D$123:$D$124, 0)), "Ciclo de vida no válido", ""))))</f>
        <v/>
      </c>
      <c r="AC271" s="56" t="n"/>
      <c r="AD271" s="51" t="n">
        <v>3</v>
      </c>
      <c r="AE271" s="156" t="inlineStr">
        <is>
          <t>REFLO ALMACEN (3)</t>
        </is>
      </c>
      <c r="AF271" s="51" t="n">
        <v>4</v>
      </c>
      <c r="AG271" s="156" t="inlineStr">
        <is>
          <t>Nuevo – NetSuite con existencia</t>
        </is>
      </c>
      <c r="AH271" s="156" t="inlineStr">
        <is>
          <t>Género no indicado en NetSuite; Composición: poliéster reciclado (validar % en etiqueta); Físico total NetSuite 3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71" s="156" t="inlineStr">
        <is>
          <t>Sí</t>
        </is>
      </c>
      <c r="AJ271" s="156" t="inlineStr">
        <is>
          <t>CONSIGNA REFLO (-1)</t>
        </is>
      </c>
      <c r="AK271" s="155" t="inlineStr">
        <is>
          <t>G1522ProductosTodosloscamposSandboxResults894.xlsx: fila 59047 [X,Y]; G1522_Extraccion_Articulos_NetSuite_2026-09-30.xlsx: fila 37657 [Z]</t>
        </is>
      </c>
      <c r="AL271" s="58" t="n">
        <v>26</v>
      </c>
      <c r="AM271" s="58" t="n"/>
      <c r="AN271" s="155" t="n"/>
      <c r="AO271" s="59" t="n"/>
      <c r="AP271" s="59" t="n"/>
      <c r="AQ271" s="59" t="n"/>
      <c r="AR271" s="155" t="n"/>
    </row>
    <row r="272">
      <c r="A272" s="50" t="inlineStr">
        <is>
          <t>5056658702846</t>
        </is>
      </c>
      <c r="B272" s="51" t="inlineStr">
        <is>
          <t>84438</t>
        </is>
      </c>
      <c r="C272" s="156" t="inlineStr">
        <is>
          <t>REFLO</t>
        </is>
      </c>
      <c r="D272" s="156" t="inlineStr">
        <is>
          <t>TOBCOR</t>
        </is>
      </c>
      <c r="E272" s="156" t="inlineStr">
        <is>
          <t>TOBCOR-S</t>
        </is>
      </c>
      <c r="F272" s="156" t="inlineStr">
        <is>
          <t>S</t>
        </is>
      </c>
      <c r="G272" s="156" t="inlineStr">
        <is>
          <t>S</t>
        </is>
      </c>
      <c r="H272" s="156" t="inlineStr">
        <is>
          <t>REFLO</t>
        </is>
      </c>
      <c r="I272" s="156" t="inlineStr">
        <is>
          <t>Playera tipo polo REFLO Tobol Coronet Blue/Medieval Blue</t>
        </is>
      </c>
      <c r="J272" s="156" t="inlineStr">
        <is>
          <t>Ropa</t>
        </is>
      </c>
      <c r="K272" s="156" t="inlineStr">
        <is>
          <t>Playeras</t>
        </is>
      </c>
      <c r="L272" s="156" t="n"/>
      <c r="M272" s="156" t="inlineStr">
        <is>
          <t>REFLO</t>
        </is>
      </c>
      <c r="N272" s="156" t="n"/>
      <c r="O272" s="156" t="n"/>
      <c r="P272" s="156" t="inlineStr">
        <is>
          <t>Azul</t>
        </is>
      </c>
      <c r="Q272" s="156" t="n"/>
      <c r="R272" s="156" t="n"/>
      <c r="S272" s="156" t="inlineStr">
        <is>
          <t>Poliéster reciclado</t>
        </is>
      </c>
      <c r="T272" s="156" t="inlineStr">
        <is>
          <t>Playera tipo polo de golf REFLO modelo Tobol en color Coronet Blue/Medieval Blue, confeccionado con materiales reciclados. Estilo TOBCOR.</t>
        </is>
      </c>
      <c r="U272" s="156" t="n"/>
      <c r="V272" s="156" t="inlineStr">
        <is>
          <t>PZS</t>
        </is>
      </c>
      <c r="W272" s="51" t="inlineStr">
        <is>
          <t>53101600</t>
        </is>
      </c>
      <c r="X272" s="156" t="inlineStr">
        <is>
          <t>https://i.ibb.co/wBWTr43/TOBCOR.jpg</t>
        </is>
      </c>
      <c r="Y272" s="54" t="n">
        <v>26</v>
      </c>
      <c r="Z272" s="54" t="n">
        <v>1899</v>
      </c>
      <c r="AA272" s="55">
        <f>IF(AND(A272="", B272="", E272=""), "", IF(AB272="", "Válido", IF((LEN(AB272)-LEN(SUBSTITUTE(AB272,"; ","")))/2+1&gt;(LEN(AB272)-LEN(SUBSTITUTE(AB272,"[Aviso]","")))/7, "Con Incidencias", "Válido")))</f>
        <v/>
      </c>
      <c r="AB272" s="56">
        <f>IF(AND(A272="", B272="", E272=""), "", TEXTJOIN("; ", TRUE, IF(OR(TRIM(A272&amp;"")="", ISNUMBER(SEARCH("FALTA", A272))), "UPC faltante/inválido", ""), IF(AND(A272&lt;&gt;"", IFERROR(_xlfn.XMATCH(A272,$A$2:$A$653,0,1)&lt;&gt;_xlfn.XMATCH(A272,$A$2:$A$653,0,-1),FALSE)), "Código de barras duplicado", ""), IF(AND(E272&lt;&gt;"", COUNTIF($E$2:$E$653, E272)&gt;1), "SKU duplicado", ""), IF(OR(J272="", J272=""), "[Aviso] División no capturada ()", IF(ISNA(MATCH(J272, Criterios!$A$123:$A$126, 0)), "División no válida", "")), IF(OR(K272="", K272=""), "[Aviso] Categoría no capturada ()", IF(ISNA(MATCH(K272, Criterios!$A$81:$A$120, 0)), "Categoría no válida", IF(AND(J272&lt;&gt;"", J272&lt;&gt;"", J272&lt;&gt;VLOOKUP(K272, Criterios!$A$81:$B$120, 2, FALSE)), "División no coincide con Categoría", ""))), IF(OR(L272="", L272=""), "[Aviso] Género no capturado ()", IF(ISNA(MATCH(L272, Criterios!$B$123:$B$127, 0)), "Género no válido", "")), IF(OR(N272="", N272=""), "[Aviso] Temporada no capturada ()", IF(ISNA(MATCH(N272, Criterios!$C$123:$C$128, 0)), "Temporada no válida", "")), IF(OR(O272="", O272=""), "[Aviso] Ciclo de vida no capturado ()", IF(ISNA(MATCH(O272, Criterios!$D$123:$D$124, 0)), "Ciclo de vida no válido", ""))))</f>
        <v/>
      </c>
      <c r="AC272" s="56" t="n"/>
      <c r="AD272" s="51" t="n">
        <v>8</v>
      </c>
      <c r="AE272" s="156" t="inlineStr">
        <is>
          <t>REFLO ALMACEN (4)</t>
        </is>
      </c>
      <c r="AF272" s="51" t="n">
        <v>8</v>
      </c>
      <c r="AG272" s="156" t="inlineStr">
        <is>
          <t>Nuevo – NetSuite con existencia</t>
        </is>
      </c>
      <c r="AH272" s="156" t="inlineStr">
        <is>
          <t>Género no indicado en NetSuite; Composición: poliéster reciclado (validar % en etiqueta); Físico total NetSuite 8 ≠ suma por ubicación 4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72" s="156" t="inlineStr">
        <is>
          <t>No</t>
        </is>
      </c>
      <c r="AJ272" s="156" t="n"/>
      <c r="AK272" s="155" t="inlineStr">
        <is>
          <t>G1522ProductosTodosloscamposSandboxResults894.xlsx: fila 59043 [X,Y]; G1522_Extraccion_Articulos_NetSuite_2026-09-30.xlsx: fila 39607 [Z]</t>
        </is>
      </c>
      <c r="AL272" s="58" t="n">
        <v>26</v>
      </c>
      <c r="AM272" s="58" t="n"/>
      <c r="AN272" s="155" t="n"/>
      <c r="AO272" s="59" t="n"/>
      <c r="AP272" s="59" t="n"/>
      <c r="AQ272" s="59" t="n"/>
      <c r="AR272" s="155" t="n"/>
    </row>
    <row r="273">
      <c r="A273" s="50" t="inlineStr">
        <is>
          <t>5056658702914</t>
        </is>
      </c>
      <c r="B273" s="51" t="inlineStr">
        <is>
          <t>79326</t>
        </is>
      </c>
      <c r="C273" s="156" t="inlineStr">
        <is>
          <t>REFLO</t>
        </is>
      </c>
      <c r="D273" s="156" t="inlineStr">
        <is>
          <t>TOBTAN</t>
        </is>
      </c>
      <c r="E273" s="156" t="inlineStr">
        <is>
          <t>TOBTAN-M</t>
        </is>
      </c>
      <c r="F273" s="156" t="inlineStr">
        <is>
          <t>M</t>
        </is>
      </c>
      <c r="G273" s="156" t="inlineStr">
        <is>
          <t>M</t>
        </is>
      </c>
      <c r="H273" s="156" t="inlineStr">
        <is>
          <t>REFLO</t>
        </is>
      </c>
      <c r="I273" s="156" t="inlineStr">
        <is>
          <t>Playera tipo polo REFLO Tobol Tangerine/Bright White</t>
        </is>
      </c>
      <c r="J273" s="156" t="inlineStr">
        <is>
          <t>Ropa</t>
        </is>
      </c>
      <c r="K273" s="156" t="inlineStr">
        <is>
          <t>Playeras</t>
        </is>
      </c>
      <c r="L273" s="156" t="n"/>
      <c r="M273" s="156" t="inlineStr">
        <is>
          <t>REFLO</t>
        </is>
      </c>
      <c r="N273" s="156" t="n"/>
      <c r="O273" s="156" t="n"/>
      <c r="P273" s="156" t="inlineStr">
        <is>
          <t>Blanco</t>
        </is>
      </c>
      <c r="Q273" s="156" t="n"/>
      <c r="R273" s="156" t="n"/>
      <c r="S273" s="156" t="inlineStr">
        <is>
          <t>Poliéster reciclado</t>
        </is>
      </c>
      <c r="T273" s="156" t="inlineStr">
        <is>
          <t>Playera tipo polo de golf REFLO modelo Tobol en color Tangerine/Bright White, confeccionado con materiales reciclados. Estilo TOBTAN.</t>
        </is>
      </c>
      <c r="U273" s="156" t="n"/>
      <c r="V273" s="156" t="inlineStr">
        <is>
          <t>PZS</t>
        </is>
      </c>
      <c r="W273" s="51" t="inlineStr">
        <is>
          <t>53101600</t>
        </is>
      </c>
      <c r="X273" s="156" t="inlineStr">
        <is>
          <t>https://i.ibb.co/S0BpHwR/TOBTAN.jpg</t>
        </is>
      </c>
      <c r="Y273" s="54" t="n">
        <v>26</v>
      </c>
      <c r="Z273" s="54" t="n">
        <v>1899</v>
      </c>
      <c r="AA273" s="55">
        <f>IF(AND(A273="", B273="", E273=""), "", IF(AB273="", "Válido", IF((LEN(AB273)-LEN(SUBSTITUTE(AB273,"; ","")))/2+1&gt;(LEN(AB273)-LEN(SUBSTITUTE(AB273,"[Aviso]","")))/7, "Con Incidencias", "Válido")))</f>
        <v/>
      </c>
      <c r="AB273" s="56">
        <f>IF(AND(A273="", B273="", E273=""), "", TEXTJOIN("; ", TRUE, IF(OR(TRIM(A273&amp;"")="", ISNUMBER(SEARCH("FALTA", A273))), "UPC faltante/inválido", ""), IF(AND(A273&lt;&gt;"", IFERROR(_xlfn.XMATCH(A273,$A$2:$A$653,0,1)&lt;&gt;_xlfn.XMATCH(A273,$A$2:$A$653,0,-1),FALSE)), "Código de barras duplicado", ""), IF(AND(E273&lt;&gt;"", COUNTIF($E$2:$E$653, E273)&gt;1), "SKU duplicado", ""), IF(OR(J273="", J273=""), "[Aviso] División no capturada ()", IF(ISNA(MATCH(J273, Criterios!$A$123:$A$126, 0)), "División no válida", "")), IF(OR(K273="", K273=""), "[Aviso] Categoría no capturada ()", IF(ISNA(MATCH(K273, Criterios!$A$81:$A$120, 0)), "Categoría no válida", IF(AND(J273&lt;&gt;"", J273&lt;&gt;"", J273&lt;&gt;VLOOKUP(K273, Criterios!$A$81:$B$120, 2, FALSE)), "División no coincide con Categoría", ""))), IF(OR(L273="", L273=""), "[Aviso] Género no capturado ()", IF(ISNA(MATCH(L273, Criterios!$B$123:$B$127, 0)), "Género no válido", "")), IF(OR(N273="", N273=""), "[Aviso] Temporada no capturada ()", IF(ISNA(MATCH(N273, Criterios!$C$123:$C$128, 0)), "Temporada no válida", "")), IF(OR(O273="", O273=""), "[Aviso] Ciclo de vida no capturado ()", IF(ISNA(MATCH(O273, Criterios!$D$123:$D$124, 0)), "Ciclo de vida no válido", ""))))</f>
        <v/>
      </c>
      <c r="AC273" s="56" t="n"/>
      <c r="AD273" s="51" t="n">
        <v>0</v>
      </c>
      <c r="AE273" s="156" t="n"/>
      <c r="AF273" s="51" t="n">
        <v>0</v>
      </c>
      <c r="AG273" s="156" t="inlineStr">
        <is>
          <t>Nuevo – NetSuite sin existencia</t>
        </is>
      </c>
      <c r="AH273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73" s="156" t="inlineStr">
        <is>
          <t>No</t>
        </is>
      </c>
      <c r="AJ273" s="156" t="n"/>
      <c r="AK273" s="155" t="inlineStr">
        <is>
          <t>G1522ProductosTodosloscamposSandboxResults894.xlsx: fila 59050 [X,Y]; G1522_Extraccion_Articulos_NetSuite_2026-09-30.xlsx: fila 37658 [Z]</t>
        </is>
      </c>
      <c r="AL273" s="58" t="n">
        <v>26</v>
      </c>
      <c r="AM273" s="58" t="n"/>
      <c r="AN273" s="155" t="n"/>
      <c r="AO273" s="59" t="n"/>
      <c r="AP273" s="59" t="n"/>
      <c r="AQ273" s="59" t="n"/>
      <c r="AR273" s="155" t="n"/>
    </row>
    <row r="274">
      <c r="A274" s="50" t="inlineStr">
        <is>
          <t>5056658702921</t>
        </is>
      </c>
      <c r="B274" s="51" t="inlineStr">
        <is>
          <t>79327</t>
        </is>
      </c>
      <c r="C274" s="156" t="inlineStr">
        <is>
          <t>REFLO</t>
        </is>
      </c>
      <c r="D274" s="156" t="inlineStr">
        <is>
          <t>TOBTAN</t>
        </is>
      </c>
      <c r="E274" s="156" t="inlineStr">
        <is>
          <t>TOBTAN-L</t>
        </is>
      </c>
      <c r="F274" s="156" t="inlineStr">
        <is>
          <t>L</t>
        </is>
      </c>
      <c r="G274" s="156" t="inlineStr">
        <is>
          <t>L</t>
        </is>
      </c>
      <c r="H274" s="156" t="inlineStr">
        <is>
          <t>REFLO</t>
        </is>
      </c>
      <c r="I274" s="156" t="inlineStr">
        <is>
          <t>Playera tipo polo REFLO Tobol Tangerine/Bright White</t>
        </is>
      </c>
      <c r="J274" s="156" t="inlineStr">
        <is>
          <t>Ropa</t>
        </is>
      </c>
      <c r="K274" s="156" t="inlineStr">
        <is>
          <t>Playeras</t>
        </is>
      </c>
      <c r="L274" s="156" t="n"/>
      <c r="M274" s="156" t="inlineStr">
        <is>
          <t>REFLO</t>
        </is>
      </c>
      <c r="N274" s="156" t="n"/>
      <c r="O274" s="156" t="n"/>
      <c r="P274" s="156" t="inlineStr">
        <is>
          <t>Blanco</t>
        </is>
      </c>
      <c r="Q274" s="156" t="n"/>
      <c r="R274" s="156" t="n"/>
      <c r="S274" s="156" t="inlineStr">
        <is>
          <t>Poliéster reciclado</t>
        </is>
      </c>
      <c r="T274" s="156" t="inlineStr">
        <is>
          <t>Playera tipo polo de golf REFLO modelo Tobol en color Tangerine/Bright White, confeccionado con materiales reciclados. Estilo TOBTAN.</t>
        </is>
      </c>
      <c r="U274" s="156" t="n"/>
      <c r="V274" s="156" t="inlineStr">
        <is>
          <t>PZS</t>
        </is>
      </c>
      <c r="W274" s="51" t="inlineStr">
        <is>
          <t>53101600</t>
        </is>
      </c>
      <c r="X274" s="156" t="inlineStr">
        <is>
          <t>https://i.ibb.co/S0BpHwR/TOBTAN.jpg</t>
        </is>
      </c>
      <c r="Y274" s="54" t="n">
        <v>26</v>
      </c>
      <c r="Z274" s="54" t="n">
        <v>1899</v>
      </c>
      <c r="AA274" s="55">
        <f>IF(AND(A274="", B274="", E274=""), "", IF(AB274="", "Válido", IF((LEN(AB274)-LEN(SUBSTITUTE(AB274,"; ","")))/2+1&gt;(LEN(AB274)-LEN(SUBSTITUTE(AB274,"[Aviso]","")))/7, "Con Incidencias", "Válido")))</f>
        <v/>
      </c>
      <c r="AB274" s="56">
        <f>IF(AND(A274="", B274="", E274=""), "", TEXTJOIN("; ", TRUE, IF(OR(TRIM(A274&amp;"")="", ISNUMBER(SEARCH("FALTA", A274))), "UPC faltante/inválido", ""), IF(AND(A274&lt;&gt;"", IFERROR(_xlfn.XMATCH(A274,$A$2:$A$653,0,1)&lt;&gt;_xlfn.XMATCH(A274,$A$2:$A$653,0,-1),FALSE)), "Código de barras duplicado", ""), IF(AND(E274&lt;&gt;"", COUNTIF($E$2:$E$653, E274)&gt;1), "SKU duplicado", ""), IF(OR(J274="", J274=""), "[Aviso] División no capturada ()", IF(ISNA(MATCH(J274, Criterios!$A$123:$A$126, 0)), "División no válida", "")), IF(OR(K274="", K274=""), "[Aviso] Categoría no capturada ()", IF(ISNA(MATCH(K274, Criterios!$A$81:$A$120, 0)), "Categoría no válida", IF(AND(J274&lt;&gt;"", J274&lt;&gt;"", J274&lt;&gt;VLOOKUP(K274, Criterios!$A$81:$B$120, 2, FALSE)), "División no coincide con Categoría", ""))), IF(OR(L274="", L274=""), "[Aviso] Género no capturado ()", IF(ISNA(MATCH(L274, Criterios!$B$123:$B$127, 0)), "Género no válido", "")), IF(OR(N274="", N274=""), "[Aviso] Temporada no capturada ()", IF(ISNA(MATCH(N274, Criterios!$C$123:$C$128, 0)), "Temporada no válida", "")), IF(OR(O274="", O274=""), "[Aviso] Ciclo de vida no capturado ()", IF(ISNA(MATCH(O274, Criterios!$D$123:$D$124, 0)), "Ciclo de vida no válido", ""))))</f>
        <v/>
      </c>
      <c r="AC274" s="56" t="n"/>
      <c r="AD274" s="51" t="n">
        <v>2</v>
      </c>
      <c r="AE274" s="156" t="inlineStr">
        <is>
          <t>REFLO ALMACEN (1); MUESTRAS REFLO (1)</t>
        </is>
      </c>
      <c r="AF274" s="51" t="n">
        <v>1</v>
      </c>
      <c r="AG274" s="156" t="inlineStr">
        <is>
          <t>Nuevo – NetSuite con existencia</t>
        </is>
      </c>
      <c r="AH274" s="156" t="inlineStr">
        <is>
          <t>Género no indicado en NetSuite; Composición: poliéster reciclado (validar % en etiqueta)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74" s="156" t="inlineStr">
        <is>
          <t>No</t>
        </is>
      </c>
      <c r="AJ274" s="156" t="n"/>
      <c r="AK274" s="155" t="inlineStr">
        <is>
          <t>G1522ProductosTodosloscamposSandboxResults894.xlsx: fila 59051 [X,Y]; G1522_Extraccion_Articulos_NetSuite_2026-09-30.xlsx: fila 37659 [Z]</t>
        </is>
      </c>
      <c r="AL274" s="58" t="n">
        <v>26</v>
      </c>
      <c r="AM274" s="58" t="n"/>
      <c r="AN274" s="155" t="n"/>
      <c r="AO274" s="59" t="n"/>
      <c r="AP274" s="59" t="n"/>
      <c r="AQ274" s="59" t="n"/>
      <c r="AR274" s="155" t="n"/>
    </row>
    <row r="275">
      <c r="A275" s="50" t="inlineStr">
        <is>
          <t>5056658702938</t>
        </is>
      </c>
      <c r="B275" s="51" t="inlineStr">
        <is>
          <t>79328</t>
        </is>
      </c>
      <c r="C275" s="156" t="inlineStr">
        <is>
          <t>REFLO</t>
        </is>
      </c>
      <c r="D275" s="156" t="inlineStr">
        <is>
          <t>TOBTAN</t>
        </is>
      </c>
      <c r="E275" s="156" t="inlineStr">
        <is>
          <t>TOBTAN-XL</t>
        </is>
      </c>
      <c r="F275" s="156" t="inlineStr">
        <is>
          <t>XL</t>
        </is>
      </c>
      <c r="G275" s="156" t="inlineStr">
        <is>
          <t>XL</t>
        </is>
      </c>
      <c r="H275" s="156" t="inlineStr">
        <is>
          <t>REFLO</t>
        </is>
      </c>
      <c r="I275" s="156" t="inlineStr">
        <is>
          <t>Playera tipo polo REFLO Tobol Tangerine/Bright White</t>
        </is>
      </c>
      <c r="J275" s="156" t="inlineStr">
        <is>
          <t>Ropa</t>
        </is>
      </c>
      <c r="K275" s="156" t="inlineStr">
        <is>
          <t>Playeras</t>
        </is>
      </c>
      <c r="L275" s="156" t="n"/>
      <c r="M275" s="156" t="inlineStr">
        <is>
          <t>REFLO</t>
        </is>
      </c>
      <c r="N275" s="156" t="n"/>
      <c r="O275" s="156" t="n"/>
      <c r="P275" s="156" t="inlineStr">
        <is>
          <t>Blanco</t>
        </is>
      </c>
      <c r="Q275" s="156" t="n"/>
      <c r="R275" s="156" t="n"/>
      <c r="S275" s="156" t="inlineStr">
        <is>
          <t>Poliéster reciclado</t>
        </is>
      </c>
      <c r="T275" s="156" t="inlineStr">
        <is>
          <t>Playera tipo polo de golf REFLO modelo Tobol en color Tangerine/Bright White, confeccionado con materiales reciclados. Estilo TOBTAN.</t>
        </is>
      </c>
      <c r="U275" s="156" t="n"/>
      <c r="V275" s="156" t="inlineStr">
        <is>
          <t>PZS</t>
        </is>
      </c>
      <c r="W275" s="51" t="inlineStr">
        <is>
          <t>53101600</t>
        </is>
      </c>
      <c r="X275" s="156" t="inlineStr">
        <is>
          <t>https://i.ibb.co/S0BpHwR/TOBTAN.jpg</t>
        </is>
      </c>
      <c r="Y275" s="54" t="n">
        <v>26</v>
      </c>
      <c r="Z275" s="54" t="n">
        <v>1899</v>
      </c>
      <c r="AA275" s="55">
        <f>IF(AND(A275="", B275="", E275=""), "", IF(AB275="", "Válido", IF((LEN(AB275)-LEN(SUBSTITUTE(AB275,"; ","")))/2+1&gt;(LEN(AB275)-LEN(SUBSTITUTE(AB275,"[Aviso]","")))/7, "Con Incidencias", "Válido")))</f>
        <v/>
      </c>
      <c r="AB275" s="56">
        <f>IF(AND(A275="", B275="", E275=""), "", TEXTJOIN("; ", TRUE, IF(OR(TRIM(A275&amp;"")="", ISNUMBER(SEARCH("FALTA", A275))), "UPC faltante/inválido", ""), IF(AND(A275&lt;&gt;"", IFERROR(_xlfn.XMATCH(A275,$A$2:$A$653,0,1)&lt;&gt;_xlfn.XMATCH(A275,$A$2:$A$653,0,-1),FALSE)), "Código de barras duplicado", ""), IF(AND(E275&lt;&gt;"", COUNTIF($E$2:$E$653, E275)&gt;1), "SKU duplicado", ""), IF(OR(J275="", J275=""), "[Aviso] División no capturada ()", IF(ISNA(MATCH(J275, Criterios!$A$123:$A$126, 0)), "División no válida", "")), IF(OR(K275="", K275=""), "[Aviso] Categoría no capturada ()", IF(ISNA(MATCH(K275, Criterios!$A$81:$A$120, 0)), "Categoría no válida", IF(AND(J275&lt;&gt;"", J275&lt;&gt;"", J275&lt;&gt;VLOOKUP(K275, Criterios!$A$81:$B$120, 2, FALSE)), "División no coincide con Categoría", ""))), IF(OR(L275="", L275=""), "[Aviso] Género no capturado ()", IF(ISNA(MATCH(L275, Criterios!$B$123:$B$127, 0)), "Género no válido", "")), IF(OR(N275="", N275=""), "[Aviso] Temporada no capturada ()", IF(ISNA(MATCH(N275, Criterios!$C$123:$C$128, 0)), "Temporada no válida", "")), IF(OR(O275="", O275=""), "[Aviso] Ciclo de vida no capturado ()", IF(ISNA(MATCH(O275, Criterios!$D$123:$D$124, 0)), "Ciclo de vida no válido", ""))))</f>
        <v/>
      </c>
      <c r="AC275" s="56" t="n"/>
      <c r="AD275" s="51" t="n">
        <v>4</v>
      </c>
      <c r="AE275" s="156" t="inlineStr">
        <is>
          <t>REFLO ALMACEN (2)</t>
        </is>
      </c>
      <c r="AF275" s="51" t="n">
        <v>4</v>
      </c>
      <c r="AG275" s="156" t="inlineStr">
        <is>
          <t>Nuevo – NetSuite con existencia</t>
        </is>
      </c>
      <c r="AH275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75" s="156" t="inlineStr">
        <is>
          <t>No</t>
        </is>
      </c>
      <c r="AJ275" s="156" t="n"/>
      <c r="AK275" s="155" t="inlineStr">
        <is>
          <t>G1522ProductosTodosloscamposSandboxResults894.xlsx: fila 59052 [X,Y]; G1522_Extraccion_Articulos_NetSuite_2026-09-30.xlsx: fila 37660 [Z]</t>
        </is>
      </c>
      <c r="AL275" s="58" t="n">
        <v>26</v>
      </c>
      <c r="AM275" s="58" t="n"/>
      <c r="AN275" s="155" t="n"/>
      <c r="AO275" s="59" t="n"/>
      <c r="AP275" s="59" t="n"/>
      <c r="AQ275" s="59" t="n"/>
      <c r="AR275" s="155" t="n"/>
    </row>
    <row r="276">
      <c r="A276" s="50" t="inlineStr">
        <is>
          <t>5056658702945</t>
        </is>
      </c>
      <c r="B276" s="51" t="inlineStr">
        <is>
          <t>79329</t>
        </is>
      </c>
      <c r="C276" s="156" t="inlineStr">
        <is>
          <t>REFLO</t>
        </is>
      </c>
      <c r="D276" s="156" t="inlineStr">
        <is>
          <t>TOBTAN</t>
        </is>
      </c>
      <c r="E276" s="156" t="inlineStr">
        <is>
          <t>TOBTAN-2XL</t>
        </is>
      </c>
      <c r="F276" s="156" t="inlineStr">
        <is>
          <t>XXL</t>
        </is>
      </c>
      <c r="G276" s="156" t="inlineStr">
        <is>
          <t>XXL</t>
        </is>
      </c>
      <c r="H276" s="156" t="inlineStr">
        <is>
          <t>REFLO</t>
        </is>
      </c>
      <c r="I276" s="156" t="inlineStr">
        <is>
          <t>Playera tipo polo REFLO Tobol Tangerine/Bright White</t>
        </is>
      </c>
      <c r="J276" s="156" t="inlineStr">
        <is>
          <t>Ropa</t>
        </is>
      </c>
      <c r="K276" s="156" t="inlineStr">
        <is>
          <t>Playeras</t>
        </is>
      </c>
      <c r="L276" s="156" t="n"/>
      <c r="M276" s="156" t="inlineStr">
        <is>
          <t>REFLO</t>
        </is>
      </c>
      <c r="N276" s="156" t="n"/>
      <c r="O276" s="156" t="n"/>
      <c r="P276" s="156" t="inlineStr">
        <is>
          <t>Blanco</t>
        </is>
      </c>
      <c r="Q276" s="156" t="n"/>
      <c r="R276" s="156" t="n"/>
      <c r="S276" s="156" t="inlineStr">
        <is>
          <t>Poliéster reciclado</t>
        </is>
      </c>
      <c r="T276" s="156" t="inlineStr">
        <is>
          <t>Playera tipo polo de golf REFLO modelo Tobol en color Tangerine/Bright White, confeccionado con materiales reciclados. Estilo TOBTAN.</t>
        </is>
      </c>
      <c r="U276" s="156" t="n"/>
      <c r="V276" s="156" t="inlineStr">
        <is>
          <t>PZS</t>
        </is>
      </c>
      <c r="W276" s="51" t="inlineStr">
        <is>
          <t>53101600</t>
        </is>
      </c>
      <c r="X276" s="156" t="inlineStr">
        <is>
          <t>https://i.ibb.co/S0BpHwR/TOBTAN.jpg</t>
        </is>
      </c>
      <c r="Y276" s="54" t="n">
        <v>26</v>
      </c>
      <c r="Z276" s="54" t="n">
        <v>1899</v>
      </c>
      <c r="AA276" s="55">
        <f>IF(AND(A276="", B276="", E276=""), "", IF(AB276="", "Válido", IF((LEN(AB276)-LEN(SUBSTITUTE(AB276,"; ","")))/2+1&gt;(LEN(AB276)-LEN(SUBSTITUTE(AB276,"[Aviso]","")))/7, "Con Incidencias", "Válido")))</f>
        <v/>
      </c>
      <c r="AB276" s="56">
        <f>IF(AND(A276="", B276="", E276=""), "", TEXTJOIN("; ", TRUE, IF(OR(TRIM(A276&amp;"")="", ISNUMBER(SEARCH("FALTA", A276))), "UPC faltante/inválido", ""), IF(AND(A276&lt;&gt;"", IFERROR(_xlfn.XMATCH(A276,$A$2:$A$653,0,1)&lt;&gt;_xlfn.XMATCH(A276,$A$2:$A$653,0,-1),FALSE)), "Código de barras duplicado", ""), IF(AND(E276&lt;&gt;"", COUNTIF($E$2:$E$653, E276)&gt;1), "SKU duplicado", ""), IF(OR(J276="", J276=""), "[Aviso] División no capturada ()", IF(ISNA(MATCH(J276, Criterios!$A$123:$A$126, 0)), "División no válida", "")), IF(OR(K276="", K276=""), "[Aviso] Categoría no capturada ()", IF(ISNA(MATCH(K276, Criterios!$A$81:$A$120, 0)), "Categoría no válida", IF(AND(J276&lt;&gt;"", J276&lt;&gt;"", J276&lt;&gt;VLOOKUP(K276, Criterios!$A$81:$B$120, 2, FALSE)), "División no coincide con Categoría", ""))), IF(OR(L276="", L276=""), "[Aviso] Género no capturado ()", IF(ISNA(MATCH(L276, Criterios!$B$123:$B$127, 0)), "Género no válido", "")), IF(OR(N276="", N276=""), "[Aviso] Temporada no capturada ()", IF(ISNA(MATCH(N276, Criterios!$C$123:$C$128, 0)), "Temporada no válida", "")), IF(OR(O276="", O276=""), "[Aviso] Ciclo de vida no capturado ()", IF(ISNA(MATCH(O276, Criterios!$D$123:$D$124, 0)), "Ciclo de vida no válido", ""))))</f>
        <v/>
      </c>
      <c r="AC276" s="56" t="n"/>
      <c r="AD276" s="51" t="n">
        <v>4</v>
      </c>
      <c r="AE276" s="156" t="inlineStr">
        <is>
          <t>REFLO ALMACEN (2)</t>
        </is>
      </c>
      <c r="AF276" s="51" t="n">
        <v>4</v>
      </c>
      <c r="AG276" s="156" t="inlineStr">
        <is>
          <t>Nuevo – NetSuite con existencia</t>
        </is>
      </c>
      <c r="AH276" s="156" t="inlineStr">
        <is>
          <t>Género no indicado en NetSuite; Composición: poliéster reciclado (validar % en etiqueta); Físico total NetSuite 4 ≠ suma por ubicación 2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76" s="156" t="inlineStr">
        <is>
          <t>No</t>
        </is>
      </c>
      <c r="AJ276" s="156" t="n"/>
      <c r="AK276" s="155" t="inlineStr">
        <is>
          <t>G1522ProductosTodosloscamposSandboxResults894.xlsx: fila 59053 [X,Y]; G1522_Extraccion_Articulos_NetSuite_2026-09-30.xlsx: fila 37661 [Z]</t>
        </is>
      </c>
      <c r="AL276" s="58" t="n">
        <v>26</v>
      </c>
      <c r="AM276" s="58" t="n"/>
      <c r="AN276" s="155" t="n"/>
      <c r="AO276" s="59" t="n"/>
      <c r="AP276" s="59" t="n"/>
      <c r="AQ276" s="59" t="n"/>
      <c r="AR276" s="155" t="n"/>
    </row>
    <row r="277">
      <c r="A277" s="50" t="inlineStr">
        <is>
          <t>5056658702907</t>
        </is>
      </c>
      <c r="B277" s="51" t="inlineStr">
        <is>
          <t>83481</t>
        </is>
      </c>
      <c r="C277" s="156" t="inlineStr">
        <is>
          <t>REFLO</t>
        </is>
      </c>
      <c r="D277" s="156" t="inlineStr">
        <is>
          <t>TOBTAN</t>
        </is>
      </c>
      <c r="E277" s="156" t="inlineStr">
        <is>
          <t>TOBTAN-S</t>
        </is>
      </c>
      <c r="F277" s="156" t="inlineStr">
        <is>
          <t>S</t>
        </is>
      </c>
      <c r="G277" s="156" t="inlineStr">
        <is>
          <t>S</t>
        </is>
      </c>
      <c r="H277" s="156" t="inlineStr">
        <is>
          <t>REFLO</t>
        </is>
      </c>
      <c r="I277" s="156" t="inlineStr">
        <is>
          <t>Playera tipo polo REFLO Tobol Tangerine/Bright White</t>
        </is>
      </c>
      <c r="J277" s="156" t="inlineStr">
        <is>
          <t>Ropa</t>
        </is>
      </c>
      <c r="K277" s="156" t="inlineStr">
        <is>
          <t>Playeras</t>
        </is>
      </c>
      <c r="L277" s="156" t="n"/>
      <c r="M277" s="156" t="inlineStr">
        <is>
          <t>REFLO</t>
        </is>
      </c>
      <c r="N277" s="156" t="n"/>
      <c r="O277" s="156" t="n"/>
      <c r="P277" s="156" t="inlineStr">
        <is>
          <t>Blanco</t>
        </is>
      </c>
      <c r="Q277" s="156" t="n"/>
      <c r="R277" s="156" t="n"/>
      <c r="S277" s="156" t="inlineStr">
        <is>
          <t>Poliéster reciclado</t>
        </is>
      </c>
      <c r="T277" s="156" t="inlineStr">
        <is>
          <t>Playera tipo polo de golf REFLO modelo Tobol en color Tangerine/Bright White, confeccionado con materiales reciclados. Estilo TOBTAN.</t>
        </is>
      </c>
      <c r="U277" s="156" t="n"/>
      <c r="V277" s="156" t="inlineStr">
        <is>
          <t>PZS</t>
        </is>
      </c>
      <c r="W277" s="51" t="inlineStr">
        <is>
          <t>53101600</t>
        </is>
      </c>
      <c r="X277" s="156" t="inlineStr">
        <is>
          <t>https://i.ibb.co/S0BpHwR/TOBTAN.jpg</t>
        </is>
      </c>
      <c r="Y277" s="54" t="n">
        <v>26</v>
      </c>
      <c r="Z277" s="54" t="n">
        <v>1899</v>
      </c>
      <c r="AA277" s="55">
        <f>IF(AND(A277="", B277="", E277=""), "", IF(AB277="", "Válido", IF((LEN(AB277)-LEN(SUBSTITUTE(AB277,"; ","")))/2+1&gt;(LEN(AB277)-LEN(SUBSTITUTE(AB277,"[Aviso]","")))/7, "Con Incidencias", "Válido")))</f>
        <v/>
      </c>
      <c r="AB277" s="56">
        <f>IF(AND(A277="", B277="", E277=""), "", TEXTJOIN("; ", TRUE, IF(OR(TRIM(A277&amp;"")="", ISNUMBER(SEARCH("FALTA", A277))), "UPC faltante/inválido", ""), IF(AND(A277&lt;&gt;"", IFERROR(_xlfn.XMATCH(A277,$A$2:$A$653,0,1)&lt;&gt;_xlfn.XMATCH(A277,$A$2:$A$653,0,-1),FALSE)), "Código de barras duplicado", ""), IF(AND(E277&lt;&gt;"", COUNTIF($E$2:$E$653, E277)&gt;1), "SKU duplicado", ""), IF(OR(J277="", J277=""), "[Aviso] División no capturada ()", IF(ISNA(MATCH(J277, Criterios!$A$123:$A$126, 0)), "División no válida", "")), IF(OR(K277="", K277=""), "[Aviso] Categoría no capturada ()", IF(ISNA(MATCH(K277, Criterios!$A$81:$A$120, 0)), "Categoría no válida", IF(AND(J277&lt;&gt;"", J277&lt;&gt;"", J277&lt;&gt;VLOOKUP(K277, Criterios!$A$81:$B$120, 2, FALSE)), "División no coincide con Categoría", ""))), IF(OR(L277="", L277=""), "[Aviso] Género no capturado ()", IF(ISNA(MATCH(L277, Criterios!$B$123:$B$127, 0)), "Género no válido", "")), IF(OR(N277="", N277=""), "[Aviso] Temporada no capturada ()", IF(ISNA(MATCH(N277, Criterios!$C$123:$C$128, 0)), "Temporada no válida", "")), IF(OR(O277="", O277=""), "[Aviso] Ciclo de vida no capturado ()", IF(ISNA(MATCH(O277, Criterios!$D$123:$D$124, 0)), "Ciclo de vida no válido", ""))))</f>
        <v/>
      </c>
      <c r="AC277" s="56" t="n"/>
      <c r="AD277" s="51" t="n">
        <v>6</v>
      </c>
      <c r="AE277" s="156" t="inlineStr">
        <is>
          <t>CONSIGNA REFLO (1); REFLO ALMACEN (2)</t>
        </is>
      </c>
      <c r="AF277" s="51" t="n">
        <v>6</v>
      </c>
      <c r="AG277" s="156" t="inlineStr">
        <is>
          <t>Nuevo – NetSuite con existencia</t>
        </is>
      </c>
      <c r="AH277" s="156" t="inlineStr">
        <is>
          <t>Género no indicado en NetSuite; Composición: poliéster reciclado (validar % en etiqueta); Físico total NetSuite 6 ≠ suma por ubicación 3 | Revisión 29/09/2026: Marca REFLO fuera de lista Criterios; Campos sin respaldo: L, N, O, Q, U; Auditoría NetSuite 30/09/2026: llenado desde NetSuite [Z] | Homologación G1522 06/10/2026: Validador Shopify: WB: precio con IVA no termina en 9</t>
        </is>
      </c>
      <c r="AI277" s="156" t="inlineStr">
        <is>
          <t>No</t>
        </is>
      </c>
      <c r="AJ277" s="156" t="n"/>
      <c r="AK277" s="155" t="inlineStr">
        <is>
          <t>G1522ProductosTodosloscamposSandboxResults894.xlsx: fila 59049 [X,Y]; G1522_Extraccion_Articulos_NetSuite_2026-09-30.xlsx: fila 39512 [Z]</t>
        </is>
      </c>
      <c r="AL277" s="58" t="n">
        <v>26</v>
      </c>
      <c r="AM277" s="58" t="n"/>
      <c r="AN277" s="155" t="n"/>
      <c r="AO277" s="59" t="n"/>
      <c r="AP277" s="59" t="n"/>
      <c r="AQ277" s="59" t="n"/>
      <c r="AR277" s="155" t="n"/>
    </row>
    <row r="278">
      <c r="A278" s="50" t="inlineStr">
        <is>
          <t>5056658704642</t>
        </is>
      </c>
      <c r="B278" s="51" t="inlineStr">
        <is>
          <t>79181</t>
        </is>
      </c>
      <c r="C278" s="156" t="inlineStr">
        <is>
          <t>REFLO</t>
        </is>
      </c>
      <c r="D278" s="156" t="inlineStr">
        <is>
          <t>XR20803032</t>
        </is>
      </c>
      <c r="E278" s="156" t="inlineStr">
        <is>
          <t>XR20803032-OS</t>
        </is>
      </c>
      <c r="F278" s="156" t="inlineStr">
        <is>
          <t>Talla única</t>
        </is>
      </c>
      <c r="G278" s="156" t="inlineStr">
        <is>
          <t>One Size</t>
        </is>
      </c>
      <c r="H278" s="156" t="inlineStr">
        <is>
          <t>REFLO</t>
        </is>
      </c>
      <c r="I278" s="156" t="inlineStr">
        <is>
          <t>Gorra REFLO Cutler Navy</t>
        </is>
      </c>
      <c r="J278" s="156" t="inlineStr">
        <is>
          <t>Accesorios</t>
        </is>
      </c>
      <c r="K278" s="156" t="inlineStr">
        <is>
          <t>Gorras</t>
        </is>
      </c>
      <c r="L278" s="156" t="inlineStr">
        <is>
          <t>Unisex</t>
        </is>
      </c>
      <c r="M278" s="156" t="inlineStr">
        <is>
          <t>REFLO</t>
        </is>
      </c>
      <c r="N278" s="156" t="n"/>
      <c r="O278" s="156" t="n"/>
      <c r="P278" s="156" t="inlineStr">
        <is>
          <t>Azul</t>
        </is>
      </c>
      <c r="Q278" s="156" t="n"/>
      <c r="R278" s="156" t="n"/>
      <c r="S278" s="156" t="inlineStr">
        <is>
          <t>Poliéster reciclado</t>
        </is>
      </c>
      <c r="T278" s="156" t="inlineStr">
        <is>
          <t>Gorra de golf REFLO modelo Cutler en color Navy, confeccionado con materiales reciclados. Estilo XR20803032.</t>
        </is>
      </c>
      <c r="U278" s="156" t="n"/>
      <c r="V278" s="156" t="inlineStr">
        <is>
          <t>PZS</t>
        </is>
      </c>
      <c r="W278" s="51" t="inlineStr">
        <is>
          <t>53102516</t>
        </is>
      </c>
      <c r="X278" s="156" t="inlineStr">
        <is>
          <t>https://i.ibb.co/jzwTPTf/XR20803032.jpg</t>
        </is>
      </c>
      <c r="Y278" s="54" t="n">
        <v>11.05</v>
      </c>
      <c r="Z278" s="54" t="n">
        <v>799</v>
      </c>
      <c r="AA278" s="55">
        <f>IF(AND(A278="", B278="", E278=""), "", IF(AB278="", "Válido", IF((LEN(AB278)-LEN(SUBSTITUTE(AB278,"; ","")))/2+1&gt;(LEN(AB278)-LEN(SUBSTITUTE(AB278,"[Aviso]","")))/7, "Con Incidencias", "Válido")))</f>
        <v/>
      </c>
      <c r="AB278" s="56">
        <f>IF(AND(A278="", B278="", E278=""), "", TEXTJOIN("; ", TRUE, IF(OR(TRIM(A278&amp;"")="", ISNUMBER(SEARCH("FALTA", A278))), "UPC faltante/inválido", ""), IF(AND(A278&lt;&gt;"", IFERROR(_xlfn.XMATCH(A278,$A$2:$A$653,0,1)&lt;&gt;_xlfn.XMATCH(A278,$A$2:$A$653,0,-1),FALSE)), "Código de barras duplicado", ""), IF(AND(E278&lt;&gt;"", COUNTIF($E$2:$E$653, E278)&gt;1), "SKU duplicado", ""), IF(OR(J278="", J278=""), "[Aviso] División no capturada ()", IF(ISNA(MATCH(J278, Criterios!$A$123:$A$126, 0)), "División no válida", "")), IF(OR(K278="", K278=""), "[Aviso] Categoría no capturada ()", IF(ISNA(MATCH(K278, Criterios!$A$81:$A$120, 0)), "Categoría no válida", IF(AND(J278&lt;&gt;"", J278&lt;&gt;"", J278&lt;&gt;VLOOKUP(K278, Criterios!$A$81:$B$120, 2, FALSE)), "División no coincide con Categoría", ""))), IF(OR(L278="", L278=""), "[Aviso] Género no capturado ()", IF(ISNA(MATCH(L278, Criterios!$B$123:$B$127, 0)), "Género no válido", "")), IF(OR(N278="", N278=""), "[Aviso] Temporada no capturada ()", IF(ISNA(MATCH(N278, Criterios!$C$123:$C$128, 0)), "Temporada no válida", "")), IF(OR(O278="", O278=""), "[Aviso] Ciclo de vida no capturado ()", IF(ISNA(MATCH(O278, Criterios!$D$123:$D$124, 0)), "Ciclo de vida no válido", ""))))</f>
        <v/>
      </c>
      <c r="AC278" s="56" t="n"/>
      <c r="AD278" s="51" t="n">
        <v>203</v>
      </c>
      <c r="AE278" s="156" t="inlineStr">
        <is>
          <t>REFLO ALMACEN (105); MUESTRAS REFLO (1)</t>
        </is>
      </c>
      <c r="AF278" s="51" t="n">
        <v>202</v>
      </c>
      <c r="AG278" s="156" t="inlineStr">
        <is>
          <t>Nuevo – NetSuite con existencia</t>
        </is>
      </c>
      <c r="AH278" s="156" t="inlineStr">
        <is>
          <t>Composición: poliéster reciclado (validar % en etiqueta); Físico total NetSuite 203 ≠ suma por ubicación 106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78" s="156" t="inlineStr">
        <is>
          <t>No</t>
        </is>
      </c>
      <c r="AJ278" s="156" t="n"/>
      <c r="AK278" s="155" t="inlineStr">
        <is>
          <t>G1522ProductosTodosloscamposSandboxResults894.xlsx: fila 48543 [X,Y]; G1522_Extraccion_Articulos_NetSuite_2026-09-30.xlsx: fila 37514 [Z]</t>
        </is>
      </c>
      <c r="AL278" s="58" t="n">
        <v>11.05</v>
      </c>
      <c r="AM278" s="58" t="n"/>
      <c r="AN278" s="155" t="n"/>
      <c r="AO278" s="59" t="n"/>
      <c r="AP278" s="59" t="n"/>
      <c r="AQ278" s="59" t="n"/>
      <c r="AR278" s="155" t="n"/>
    </row>
    <row r="279">
      <c r="A279" s="50" t="inlineStr">
        <is>
          <t>5056658704673</t>
        </is>
      </c>
      <c r="B279" s="51" t="inlineStr">
        <is>
          <t>79182</t>
        </is>
      </c>
      <c r="C279" s="156" t="inlineStr">
        <is>
          <t>REFLO</t>
        </is>
      </c>
      <c r="D279" s="156" t="inlineStr">
        <is>
          <t>XR20806010</t>
        </is>
      </c>
      <c r="E279" s="156" t="inlineStr">
        <is>
          <t>XR20806010-OS</t>
        </is>
      </c>
      <c r="F279" s="156" t="inlineStr">
        <is>
          <t>Talla única</t>
        </is>
      </c>
      <c r="G279" s="156" t="inlineStr">
        <is>
          <t>One Size</t>
        </is>
      </c>
      <c r="H279" s="156" t="inlineStr">
        <is>
          <t>REFLO</t>
        </is>
      </c>
      <c r="I279" s="156" t="inlineStr">
        <is>
          <t>Gorra REFLO Davis Black</t>
        </is>
      </c>
      <c r="J279" s="156" t="inlineStr">
        <is>
          <t>Accesorios</t>
        </is>
      </c>
      <c r="K279" s="156" t="inlineStr">
        <is>
          <t>Gorras</t>
        </is>
      </c>
      <c r="L279" s="156" t="inlineStr">
        <is>
          <t>Unisex</t>
        </is>
      </c>
      <c r="M279" s="156" t="inlineStr">
        <is>
          <t>REFLO</t>
        </is>
      </c>
      <c r="N279" s="156" t="n"/>
      <c r="O279" s="156" t="n"/>
      <c r="P279" s="156" t="inlineStr">
        <is>
          <t>Negro</t>
        </is>
      </c>
      <c r="Q279" s="156" t="n"/>
      <c r="R279" s="156" t="n"/>
      <c r="S279" s="156" t="inlineStr">
        <is>
          <t>Poliéster reciclado</t>
        </is>
      </c>
      <c r="T279" s="156" t="inlineStr">
        <is>
          <t>Gorra de golf REFLO modelo Davis en color Black, confeccionado con materiales reciclados. Estilo XR20806010.</t>
        </is>
      </c>
      <c r="U279" s="156" t="n"/>
      <c r="V279" s="156" t="inlineStr">
        <is>
          <t>PZS</t>
        </is>
      </c>
      <c r="W279" s="51" t="inlineStr">
        <is>
          <t>53102516</t>
        </is>
      </c>
      <c r="X279" s="156" t="n"/>
      <c r="Y279" s="54" t="n">
        <v>11.05</v>
      </c>
      <c r="Z279" s="54" t="n">
        <v>688.7931033999999</v>
      </c>
      <c r="AA279" s="55">
        <f>IF(AND(A279="", B279="", E279=""), "", IF(AB279="", "Válido", IF((LEN(AB279)-LEN(SUBSTITUTE(AB279,"; ","")))/2+1&gt;(LEN(AB279)-LEN(SUBSTITUTE(AB279,"[Aviso]","")))/7, "Con Incidencias", "Válido")))</f>
        <v/>
      </c>
      <c r="AB279" s="56">
        <f>IF(AND(A279="", B279="", E279=""), "", TEXTJOIN("; ", TRUE, IF(OR(TRIM(A279&amp;"")="", ISNUMBER(SEARCH("FALTA", A279))), "UPC faltante/inválido", ""), IF(AND(A279&lt;&gt;"", IFERROR(_xlfn.XMATCH(A279,$A$2:$A$653,0,1)&lt;&gt;_xlfn.XMATCH(A279,$A$2:$A$653,0,-1),FALSE)), "Código de barras duplicado", ""), IF(AND(E279&lt;&gt;"", COUNTIF($E$2:$E$653, E279)&gt;1), "SKU duplicado", ""), IF(OR(J279="", J279=""), "[Aviso] División no capturada ()", IF(ISNA(MATCH(J279, Criterios!$A$123:$A$126, 0)), "División no válida", "")), IF(OR(K279="", K279=""), "[Aviso] Categoría no capturada ()", IF(ISNA(MATCH(K279, Criterios!$A$81:$A$120, 0)), "Categoría no válida", IF(AND(J279&lt;&gt;"", J279&lt;&gt;"", J279&lt;&gt;VLOOKUP(K279, Criterios!$A$81:$B$120, 2, FALSE)), "División no coincide con Categoría", ""))), IF(OR(L279="", L279=""), "[Aviso] Género no capturado ()", IF(ISNA(MATCH(L279, Criterios!$B$123:$B$127, 0)), "Género no válido", "")), IF(OR(N279="", N279=""), "[Aviso] Temporada no capturada ()", IF(ISNA(MATCH(N279, Criterios!$C$123:$C$128, 0)), "Temporada no válida", "")), IF(OR(O279="", O279=""), "[Aviso] Ciclo de vida no capturado ()", IF(ISNA(MATCH(O279, Criterios!$D$123:$D$124, 0)), "Ciclo de vida no válido", ""))))</f>
        <v/>
      </c>
      <c r="AC279" s="56" t="n"/>
      <c r="AD279" s="51" t="n">
        <v>291</v>
      </c>
      <c r="AE279" s="156" t="inlineStr">
        <is>
          <t>CONSIGNA REFLO (1); MUESTRAS REFLO (1); REFLO ALMACEN (144)</t>
        </is>
      </c>
      <c r="AF279" s="51" t="n">
        <v>290</v>
      </c>
      <c r="AG279" s="156" t="inlineStr">
        <is>
          <t>Nuevo – NetSuite con existencia</t>
        </is>
      </c>
      <c r="AH279" s="156" t="inlineStr">
        <is>
          <t>Composición: poliéster reciclado (validar % en etiqueta); Físico total NetSuite 291 ≠ suma por ubicación 146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79" s="156" t="inlineStr">
        <is>
          <t>No</t>
        </is>
      </c>
      <c r="AJ279" s="156" t="n"/>
      <c r="AK279" s="155" t="inlineStr">
        <is>
          <t>G1522ProductosTodosloscamposSandboxResults894.xlsx: fila 48547 [Y]; G1522_Extraccion_Articulos_NetSuite_2026-09-30.xlsx: fila 37515 [Y]</t>
        </is>
      </c>
      <c r="AL279" s="58" t="n"/>
      <c r="AM279" s="58" t="n">
        <v>688.7931033999999</v>
      </c>
      <c r="AN279" s="155" t="n"/>
      <c r="AO279" s="59" t="n"/>
      <c r="AP279" s="59" t="n"/>
      <c r="AQ279" s="59" t="n"/>
      <c r="AR279" s="155" t="n"/>
    </row>
    <row r="280">
      <c r="A280" s="50" t="inlineStr">
        <is>
          <t>5056658704703</t>
        </is>
      </c>
      <c r="B280" s="51" t="inlineStr">
        <is>
          <t>79183</t>
        </is>
      </c>
      <c r="C280" s="156" t="inlineStr">
        <is>
          <t>REFLO</t>
        </is>
      </c>
      <c r="D280" s="156" t="inlineStr">
        <is>
          <t>XR20809003</t>
        </is>
      </c>
      <c r="E280" s="156" t="inlineStr">
        <is>
          <t>XR20809003-OS</t>
        </is>
      </c>
      <c r="F280" s="156" t="inlineStr">
        <is>
          <t>Talla única</t>
        </is>
      </c>
      <c r="G280" s="156" t="inlineStr">
        <is>
          <t>One Size</t>
        </is>
      </c>
      <c r="H280" s="156" t="inlineStr">
        <is>
          <t>REFLO</t>
        </is>
      </c>
      <c r="I280" s="156" t="inlineStr">
        <is>
          <t>Gorra REFLO Dillons Black &amp; Grey</t>
        </is>
      </c>
      <c r="J280" s="156" t="inlineStr">
        <is>
          <t>Accesorios</t>
        </is>
      </c>
      <c r="K280" s="156" t="inlineStr">
        <is>
          <t>Gorras</t>
        </is>
      </c>
      <c r="L280" s="156" t="inlineStr">
        <is>
          <t>Unisex</t>
        </is>
      </c>
      <c r="M280" s="156" t="inlineStr">
        <is>
          <t>REFLO</t>
        </is>
      </c>
      <c r="N280" s="156" t="n"/>
      <c r="O280" s="156" t="n"/>
      <c r="P280" s="156" t="inlineStr">
        <is>
          <t>Gris</t>
        </is>
      </c>
      <c r="Q280" s="156" t="n"/>
      <c r="R280" s="156" t="n"/>
      <c r="S280" s="156" t="inlineStr">
        <is>
          <t>Poliéster reciclado</t>
        </is>
      </c>
      <c r="T280" s="156" t="inlineStr">
        <is>
          <t>Gorra de golf REFLO modelo Dillons en color Black &amp; Grey, confeccionado con materiales reciclados. Estilo XR20809003.</t>
        </is>
      </c>
      <c r="U280" s="156" t="n"/>
      <c r="V280" s="156" t="inlineStr">
        <is>
          <t>PZS</t>
        </is>
      </c>
      <c r="W280" s="51" t="inlineStr">
        <is>
          <t>53102516</t>
        </is>
      </c>
      <c r="X280" s="156" t="n"/>
      <c r="Y280" s="54" t="n">
        <v>11.05</v>
      </c>
      <c r="Z280" s="54" t="n">
        <v>688.7931033999999</v>
      </c>
      <c r="AA280" s="55">
        <f>IF(AND(A280="", B280="", E280=""), "", IF(AB280="", "Válido", IF((LEN(AB280)-LEN(SUBSTITUTE(AB280,"; ","")))/2+1&gt;(LEN(AB280)-LEN(SUBSTITUTE(AB280,"[Aviso]","")))/7, "Con Incidencias", "Válido")))</f>
        <v/>
      </c>
      <c r="AB280" s="56">
        <f>IF(AND(A280="", B280="", E280=""), "", TEXTJOIN("; ", TRUE, IF(OR(TRIM(A280&amp;"")="", ISNUMBER(SEARCH("FALTA", A280))), "UPC faltante/inválido", ""), IF(AND(A280&lt;&gt;"", IFERROR(_xlfn.XMATCH(A280,$A$2:$A$653,0,1)&lt;&gt;_xlfn.XMATCH(A280,$A$2:$A$653,0,-1),FALSE)), "Código de barras duplicado", ""), IF(AND(E280&lt;&gt;"", COUNTIF($E$2:$E$653, E280)&gt;1), "SKU duplicado", ""), IF(OR(J280="", J280=""), "[Aviso] División no capturada ()", IF(ISNA(MATCH(J280, Criterios!$A$123:$A$126, 0)), "División no válida", "")), IF(OR(K280="", K280=""), "[Aviso] Categoría no capturada ()", IF(ISNA(MATCH(K280, Criterios!$A$81:$A$120, 0)), "Categoría no válida", IF(AND(J280&lt;&gt;"", J280&lt;&gt;"", J280&lt;&gt;VLOOKUP(K280, Criterios!$A$81:$B$120, 2, FALSE)), "División no coincide con Categoría", ""))), IF(OR(L280="", L280=""), "[Aviso] Género no capturado ()", IF(ISNA(MATCH(L280, Criterios!$B$123:$B$127, 0)), "Género no válido", "")), IF(OR(N280="", N280=""), "[Aviso] Temporada no capturada ()", IF(ISNA(MATCH(N280, Criterios!$C$123:$C$128, 0)), "Temporada no válida", "")), IF(OR(O280="", O280=""), "[Aviso] Ciclo de vida no capturado ()", IF(ISNA(MATCH(O280, Criterios!$D$123:$D$124, 0)), "Ciclo de vida no válido", ""))))</f>
        <v/>
      </c>
      <c r="AC280" s="56" t="n"/>
      <c r="AD280" s="51" t="n">
        <v>293</v>
      </c>
      <c r="AE280" s="156" t="inlineStr">
        <is>
          <t>MUESTRAS REFLO (1); REFLO ALMACEN (147)</t>
        </is>
      </c>
      <c r="AF280" s="51" t="n">
        <v>292</v>
      </c>
      <c r="AG280" s="156" t="inlineStr">
        <is>
          <t>Nuevo – NetSuite con existencia</t>
        </is>
      </c>
      <c r="AH280" s="156" t="inlineStr">
        <is>
          <t>Composición: poliéster reciclado (validar % en etiqueta); Físico total NetSuite 293 ≠ suma por ubicación 148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80" s="156" t="inlineStr">
        <is>
          <t>No</t>
        </is>
      </c>
      <c r="AJ280" s="156" t="n"/>
      <c r="AK280" s="155" t="inlineStr">
        <is>
          <t>G1522ProductosTodosloscamposSandboxResults894.xlsx: fila 48588 [Y]; G1522_Extraccion_Articulos_NetSuite_2026-09-30.xlsx: fila 37516 [Y]</t>
        </is>
      </c>
      <c r="AL280" s="58" t="n"/>
      <c r="AM280" s="58" t="n">
        <v>688.7931033999999</v>
      </c>
      <c r="AN280" s="155" t="n"/>
      <c r="AO280" s="59" t="n"/>
      <c r="AP280" s="59" t="n"/>
      <c r="AQ280" s="59" t="n"/>
      <c r="AR280" s="155" t="n"/>
    </row>
    <row r="281">
      <c r="A281" s="50" t="inlineStr">
        <is>
          <t>5056658707940</t>
        </is>
      </c>
      <c r="B281" s="51" t="inlineStr">
        <is>
          <t>79184</t>
        </is>
      </c>
      <c r="C281" s="156" t="inlineStr">
        <is>
          <t>REFLO</t>
        </is>
      </c>
      <c r="D281" s="156" t="inlineStr">
        <is>
          <t>XR20812032</t>
        </is>
      </c>
      <c r="E281" s="156" t="inlineStr">
        <is>
          <t>XR20812032-OS</t>
        </is>
      </c>
      <c r="F281" s="156" t="inlineStr">
        <is>
          <t>Talla única</t>
        </is>
      </c>
      <c r="G281" s="156" t="inlineStr">
        <is>
          <t>One Size</t>
        </is>
      </c>
      <c r="H281" s="156" t="inlineStr">
        <is>
          <t>REFLO</t>
        </is>
      </c>
      <c r="I281" s="156" t="inlineStr">
        <is>
          <t>Gorra REFLO Luni Navy</t>
        </is>
      </c>
      <c r="J281" s="156" t="inlineStr">
        <is>
          <t>Accesorios</t>
        </is>
      </c>
      <c r="K281" s="156" t="inlineStr">
        <is>
          <t>Gorras</t>
        </is>
      </c>
      <c r="L281" s="156" t="inlineStr">
        <is>
          <t>Unisex</t>
        </is>
      </c>
      <c r="M281" s="156" t="inlineStr">
        <is>
          <t>REFLO</t>
        </is>
      </c>
      <c r="N281" s="156" t="n"/>
      <c r="O281" s="156" t="n"/>
      <c r="P281" s="156" t="inlineStr">
        <is>
          <t>Azul</t>
        </is>
      </c>
      <c r="Q281" s="156" t="n"/>
      <c r="R281" s="156" t="n"/>
      <c r="S281" s="156" t="inlineStr">
        <is>
          <t>Poliéster reciclado</t>
        </is>
      </c>
      <c r="T281" s="156" t="inlineStr">
        <is>
          <t>Gorra de golf REFLO modelo Luni en color Navy, confeccionado con materiales reciclados. Estilo XR20812032.</t>
        </is>
      </c>
      <c r="U281" s="156" t="n"/>
      <c r="V281" s="156" t="inlineStr">
        <is>
          <t>PZS</t>
        </is>
      </c>
      <c r="W281" s="51" t="inlineStr">
        <is>
          <t>53102516</t>
        </is>
      </c>
      <c r="X281" s="156" t="n"/>
      <c r="Y281" s="54" t="n">
        <v>11.05</v>
      </c>
      <c r="Z281" s="54" t="n">
        <v>688.7931033999999</v>
      </c>
      <c r="AA281" s="55">
        <f>IF(AND(A281="", B281="", E281=""), "", IF(AB281="", "Válido", IF((LEN(AB281)-LEN(SUBSTITUTE(AB281,"; ","")))/2+1&gt;(LEN(AB281)-LEN(SUBSTITUTE(AB281,"[Aviso]","")))/7, "Con Incidencias", "Válido")))</f>
        <v/>
      </c>
      <c r="AB281" s="56">
        <f>IF(AND(A281="", B281="", E281=""), "", TEXTJOIN("; ", TRUE, IF(OR(TRIM(A281&amp;"")="", ISNUMBER(SEARCH("FALTA", A281))), "UPC faltante/inválido", ""), IF(AND(A281&lt;&gt;"", IFERROR(_xlfn.XMATCH(A281,$A$2:$A$653,0,1)&lt;&gt;_xlfn.XMATCH(A281,$A$2:$A$653,0,-1),FALSE)), "Código de barras duplicado", ""), IF(AND(E281&lt;&gt;"", COUNTIF($E$2:$E$653, E281)&gt;1), "SKU duplicado", ""), IF(OR(J281="", J281=""), "[Aviso] División no capturada ()", IF(ISNA(MATCH(J281, Criterios!$A$123:$A$126, 0)), "División no válida", "")), IF(OR(K281="", K281=""), "[Aviso] Categoría no capturada ()", IF(ISNA(MATCH(K281, Criterios!$A$81:$A$120, 0)), "Categoría no válida", IF(AND(J281&lt;&gt;"", J281&lt;&gt;"", J281&lt;&gt;VLOOKUP(K281, Criterios!$A$81:$B$120, 2, FALSE)), "División no coincide con Categoría", ""))), IF(OR(L281="", L281=""), "[Aviso] Género no capturado ()", IF(ISNA(MATCH(L281, Criterios!$B$123:$B$127, 0)), "Género no válido", "")), IF(OR(N281="", N281=""), "[Aviso] Temporada no capturada ()", IF(ISNA(MATCH(N281, Criterios!$C$123:$C$128, 0)), "Temporada no válida", "")), IF(OR(O281="", O281=""), "[Aviso] Ciclo de vida no capturado ()", IF(ISNA(MATCH(O281, Criterios!$D$123:$D$124, 0)), "Ciclo de vida no válido", ""))))</f>
        <v/>
      </c>
      <c r="AC281" s="56" t="n"/>
      <c r="AD281" s="51" t="n">
        <v>285</v>
      </c>
      <c r="AE281" s="156" t="inlineStr">
        <is>
          <t>REFLO ALMACEN (142); MUESTRAS REFLO (1)</t>
        </is>
      </c>
      <c r="AF281" s="51" t="n">
        <v>284</v>
      </c>
      <c r="AG281" s="156" t="inlineStr">
        <is>
          <t>Nuevo – NetSuite con existencia</t>
        </is>
      </c>
      <c r="AH281" s="156" t="inlineStr">
        <is>
          <t>Composición: poliéster reciclado (validar % en etiqueta); Físico total NetSuite 285 ≠ suma por ubicación 143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81" s="156" t="inlineStr">
        <is>
          <t>No</t>
        </is>
      </c>
      <c r="AJ281" s="156" t="n"/>
      <c r="AK281" s="155" t="inlineStr">
        <is>
          <t>G1522ProductosTodosloscamposSandboxResults894.xlsx: fila 57746 [Y]; G1522_Extraccion_Articulos_NetSuite_2026-09-30.xlsx: fila 37517 [Y]</t>
        </is>
      </c>
      <c r="AL281" s="58" t="n"/>
      <c r="AM281" s="58" t="n">
        <v>688.7931033999999</v>
      </c>
      <c r="AN281" s="155" t="n"/>
      <c r="AO281" s="59" t="n"/>
      <c r="AP281" s="59" t="n"/>
      <c r="AQ281" s="59" t="n"/>
      <c r="AR281" s="155" t="n"/>
    </row>
    <row r="282">
      <c r="A282" s="50" t="inlineStr">
        <is>
          <t>5056658707971</t>
        </is>
      </c>
      <c r="B282" s="51" t="inlineStr">
        <is>
          <t>79185</t>
        </is>
      </c>
      <c r="C282" s="156" t="inlineStr">
        <is>
          <t>REFLO</t>
        </is>
      </c>
      <c r="D282" s="156" t="inlineStr">
        <is>
          <t>XR20815010</t>
        </is>
      </c>
      <c r="E282" s="156" t="inlineStr">
        <is>
          <t>XR20815010-OS</t>
        </is>
      </c>
      <c r="F282" s="156" t="inlineStr">
        <is>
          <t>Talla única</t>
        </is>
      </c>
      <c r="G282" s="156" t="inlineStr">
        <is>
          <t>One Size</t>
        </is>
      </c>
      <c r="H282" s="156" t="inlineStr">
        <is>
          <t>REFLO</t>
        </is>
      </c>
      <c r="I282" s="156" t="inlineStr">
        <is>
          <t>Gorra REFLO Chobe Black</t>
        </is>
      </c>
      <c r="J282" s="156" t="inlineStr">
        <is>
          <t>Accesorios</t>
        </is>
      </c>
      <c r="K282" s="156" t="inlineStr">
        <is>
          <t>Gorras</t>
        </is>
      </c>
      <c r="L282" s="156" t="inlineStr">
        <is>
          <t>Unisex</t>
        </is>
      </c>
      <c r="M282" s="156" t="inlineStr">
        <is>
          <t>REFLO</t>
        </is>
      </c>
      <c r="N282" s="156" t="n"/>
      <c r="O282" s="156" t="n"/>
      <c r="P282" s="156" t="inlineStr">
        <is>
          <t>Negro</t>
        </is>
      </c>
      <c r="Q282" s="156" t="n"/>
      <c r="R282" s="156" t="n"/>
      <c r="S282" s="156" t="inlineStr">
        <is>
          <t>Poliéster reciclado</t>
        </is>
      </c>
      <c r="T282" s="156" t="inlineStr">
        <is>
          <t>Gorra de golf REFLO modelo Chobe en color Black, confeccionado con materiales reciclados. Estilo XR20815010.</t>
        </is>
      </c>
      <c r="U282" s="156" t="n"/>
      <c r="V282" s="156" t="inlineStr">
        <is>
          <t>PZS</t>
        </is>
      </c>
      <c r="W282" s="51" t="inlineStr">
        <is>
          <t>53102516</t>
        </is>
      </c>
      <c r="X282" s="156" t="n"/>
      <c r="Y282" s="54" t="n">
        <v>11.05</v>
      </c>
      <c r="Z282" s="54" t="n">
        <v>688.7931033999999</v>
      </c>
      <c r="AA282" s="55">
        <f>IF(AND(A282="", B282="", E282=""), "", IF(AB282="", "Válido", IF((LEN(AB282)-LEN(SUBSTITUTE(AB282,"; ","")))/2+1&gt;(LEN(AB282)-LEN(SUBSTITUTE(AB282,"[Aviso]","")))/7, "Con Incidencias", "Válido")))</f>
        <v/>
      </c>
      <c r="AB282" s="56">
        <f>IF(AND(A282="", B282="", E282=""), "", TEXTJOIN("; ", TRUE, IF(OR(TRIM(A282&amp;"")="", ISNUMBER(SEARCH("FALTA", A282))), "UPC faltante/inválido", ""), IF(AND(A282&lt;&gt;"", IFERROR(_xlfn.XMATCH(A282,$A$2:$A$653,0,1)&lt;&gt;_xlfn.XMATCH(A282,$A$2:$A$653,0,-1),FALSE)), "Código de barras duplicado", ""), IF(AND(E282&lt;&gt;"", COUNTIF($E$2:$E$653, E282)&gt;1), "SKU duplicado", ""), IF(OR(J282="", J282=""), "[Aviso] División no capturada ()", IF(ISNA(MATCH(J282, Criterios!$A$123:$A$126, 0)), "División no válida", "")), IF(OR(K282="", K282=""), "[Aviso] Categoría no capturada ()", IF(ISNA(MATCH(K282, Criterios!$A$81:$A$120, 0)), "Categoría no válida", IF(AND(J282&lt;&gt;"", J282&lt;&gt;"", J282&lt;&gt;VLOOKUP(K282, Criterios!$A$81:$B$120, 2, FALSE)), "División no coincide con Categoría", ""))), IF(OR(L282="", L282=""), "[Aviso] Género no capturado ()", IF(ISNA(MATCH(L282, Criterios!$B$123:$B$127, 0)), "Género no válido", "")), IF(OR(N282="", N282=""), "[Aviso] Temporada no capturada ()", IF(ISNA(MATCH(N282, Criterios!$C$123:$C$128, 0)), "Temporada no válida", "")), IF(OR(O282="", O282=""), "[Aviso] Ciclo de vida no capturado ()", IF(ISNA(MATCH(O282, Criterios!$D$123:$D$124, 0)), "Ciclo de vida no válido", ""))))</f>
        <v/>
      </c>
      <c r="AC282" s="56" t="n"/>
      <c r="AD282" s="51" t="n">
        <v>284</v>
      </c>
      <c r="AE282" s="156" t="inlineStr">
        <is>
          <t>REFLO ALMACEN (144); MUESTRAS REFLO (1)</t>
        </is>
      </c>
      <c r="AF282" s="51" t="n">
        <v>283</v>
      </c>
      <c r="AG282" s="156" t="inlineStr">
        <is>
          <t>Nuevo – NetSuite con existencia</t>
        </is>
      </c>
      <c r="AH282" s="156" t="inlineStr">
        <is>
          <t>Composición: poliéster reciclado (validar % en etiqueta); Físico total NetSuite 284 ≠ suma por ubicación 145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82" s="156" t="inlineStr">
        <is>
          <t>No</t>
        </is>
      </c>
      <c r="AJ282" s="156" t="n"/>
      <c r="AK282" s="155" t="inlineStr">
        <is>
          <t>G1522ProductosTodosloscamposSandboxResults894.xlsx: fila 47450 [Y]; G1522_Extraccion_Articulos_NetSuite_2026-09-30.xlsx: fila 37518 [Y]</t>
        </is>
      </c>
      <c r="AL282" s="58" t="n"/>
      <c r="AM282" s="58" t="n">
        <v>688.7931033999999</v>
      </c>
      <c r="AN282" s="155" t="n"/>
      <c r="AO282" s="59" t="n"/>
      <c r="AP282" s="59" t="n"/>
      <c r="AQ282" s="59" t="n"/>
      <c r="AR282" s="155" t="n"/>
    </row>
    <row r="283">
      <c r="A283" s="50" t="inlineStr">
        <is>
          <t>5056658708008</t>
        </is>
      </c>
      <c r="B283" s="51" t="inlineStr">
        <is>
          <t>79186</t>
        </is>
      </c>
      <c r="C283" s="156" t="inlineStr">
        <is>
          <t>REFLO</t>
        </is>
      </c>
      <c r="D283" s="156" t="inlineStr">
        <is>
          <t>XR20818003</t>
        </is>
      </c>
      <c r="E283" s="156" t="inlineStr">
        <is>
          <t>XR20818003-OS</t>
        </is>
      </c>
      <c r="F283" s="156" t="inlineStr">
        <is>
          <t>Talla única</t>
        </is>
      </c>
      <c r="G283" s="156" t="inlineStr">
        <is>
          <t>One Size</t>
        </is>
      </c>
      <c r="H283" s="156" t="inlineStr">
        <is>
          <t>REFLO</t>
        </is>
      </c>
      <c r="I283" s="156" t="inlineStr">
        <is>
          <t>Gorra REFLO Slanley Black&amp;Grey</t>
        </is>
      </c>
      <c r="J283" s="156" t="inlineStr">
        <is>
          <t>Accesorios</t>
        </is>
      </c>
      <c r="K283" s="156" t="inlineStr">
        <is>
          <t>Gorras</t>
        </is>
      </c>
      <c r="L283" s="156" t="inlineStr">
        <is>
          <t>Unisex</t>
        </is>
      </c>
      <c r="M283" s="156" t="inlineStr">
        <is>
          <t>REFLO</t>
        </is>
      </c>
      <c r="N283" s="156" t="n"/>
      <c r="O283" s="156" t="n"/>
      <c r="P283" s="156" t="inlineStr">
        <is>
          <t>Gris</t>
        </is>
      </c>
      <c r="Q283" s="156" t="n"/>
      <c r="R283" s="156" t="n"/>
      <c r="S283" s="156" t="inlineStr">
        <is>
          <t>Poliéster reciclado</t>
        </is>
      </c>
      <c r="T283" s="156" t="inlineStr">
        <is>
          <t>Gorra de golf REFLO modelo Slanley en color Black&amp;Grey, confeccionado con materiales reciclados. Estilo XR20818003.</t>
        </is>
      </c>
      <c r="U283" s="156" t="n"/>
      <c r="V283" s="156" t="inlineStr">
        <is>
          <t>PZS</t>
        </is>
      </c>
      <c r="W283" s="51" t="inlineStr">
        <is>
          <t>53102516</t>
        </is>
      </c>
      <c r="X283" s="156" t="n"/>
      <c r="Y283" s="54" t="n">
        <v>11.05</v>
      </c>
      <c r="Z283" s="54" t="n">
        <v>688.7931033999999</v>
      </c>
      <c r="AA283" s="55">
        <f>IF(AND(A283="", B283="", E283=""), "", IF(AB283="", "Válido", IF((LEN(AB283)-LEN(SUBSTITUTE(AB283,"; ","")))/2+1&gt;(LEN(AB283)-LEN(SUBSTITUTE(AB283,"[Aviso]","")))/7, "Con Incidencias", "Válido")))</f>
        <v/>
      </c>
      <c r="AB283" s="56">
        <f>IF(AND(A283="", B283="", E283=""), "", TEXTJOIN("; ", TRUE, IF(OR(TRIM(A283&amp;"")="", ISNUMBER(SEARCH("FALTA", A283))), "UPC faltante/inválido", ""), IF(AND(A283&lt;&gt;"", IFERROR(_xlfn.XMATCH(A283,$A$2:$A$653,0,1)&lt;&gt;_xlfn.XMATCH(A283,$A$2:$A$653,0,-1),FALSE)), "Código de barras duplicado", ""), IF(AND(E283&lt;&gt;"", COUNTIF($E$2:$E$653, E283)&gt;1), "SKU duplicado", ""), IF(OR(J283="", J283=""), "[Aviso] División no capturada ()", IF(ISNA(MATCH(J283, Criterios!$A$123:$A$126, 0)), "División no válida", "")), IF(OR(K283="", K283=""), "[Aviso] Categoría no capturada ()", IF(ISNA(MATCH(K283, Criterios!$A$81:$A$120, 0)), "Categoría no válida", IF(AND(J283&lt;&gt;"", J283&lt;&gt;"", J283&lt;&gt;VLOOKUP(K283, Criterios!$A$81:$B$120, 2, FALSE)), "División no coincide con Categoría", ""))), IF(OR(L283="", L283=""), "[Aviso] Género no capturado ()", IF(ISNA(MATCH(L283, Criterios!$B$123:$B$127, 0)), "Género no válido", "")), IF(OR(N283="", N283=""), "[Aviso] Temporada no capturada ()", IF(ISNA(MATCH(N283, Criterios!$C$123:$C$128, 0)), "Temporada no válida", "")), IF(OR(O283="", O283=""), "[Aviso] Ciclo de vida no capturado ()", IF(ISNA(MATCH(O283, Criterios!$D$123:$D$124, 0)), "Ciclo de vida no válido", ""))))</f>
        <v/>
      </c>
      <c r="AC283" s="56" t="n"/>
      <c r="AD283" s="51" t="n">
        <v>289</v>
      </c>
      <c r="AE283" s="156" t="inlineStr">
        <is>
          <t>MUESTRAS REFLO (1); REFLO ALMACEN (144)</t>
        </is>
      </c>
      <c r="AF283" s="51" t="n">
        <v>288</v>
      </c>
      <c r="AG283" s="156" t="inlineStr">
        <is>
          <t>Nuevo – NetSuite con existencia</t>
        </is>
      </c>
      <c r="AH283" s="156" t="inlineStr">
        <is>
          <t>Composición: poliéster reciclado (validar % en etiqueta); Físico total NetSuite 289 ≠ suma por ubicación 145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83" s="156" t="inlineStr">
        <is>
          <t>No</t>
        </is>
      </c>
      <c r="AJ283" s="156" t="n"/>
      <c r="AK283" s="155" t="inlineStr">
        <is>
          <t>G1522ProductosTodosloscamposSandboxResults894.xlsx: fila 58806 [Y]; G1522_Extraccion_Articulos_NetSuite_2026-09-30.xlsx: fila 37519 [Y]</t>
        </is>
      </c>
      <c r="AL283" s="58" t="n"/>
      <c r="AM283" s="58" t="n">
        <v>688.7931033999999</v>
      </c>
      <c r="AN283" s="155" t="n"/>
      <c r="AO283" s="59" t="n"/>
      <c r="AP283" s="59" t="n"/>
      <c r="AQ283" s="59" t="n"/>
      <c r="AR283" s="155" t="n"/>
    </row>
    <row r="284">
      <c r="A284" s="50" t="inlineStr">
        <is>
          <t>5056658708053</t>
        </is>
      </c>
      <c r="B284" s="51" t="inlineStr">
        <is>
          <t>79187</t>
        </is>
      </c>
      <c r="C284" s="156" t="inlineStr">
        <is>
          <t>REFLO</t>
        </is>
      </c>
      <c r="D284" s="156" t="inlineStr">
        <is>
          <t>XR20823030</t>
        </is>
      </c>
      <c r="E284" s="156" t="inlineStr">
        <is>
          <t>XR20823030-OS</t>
        </is>
      </c>
      <c r="F284" s="156" t="inlineStr">
        <is>
          <t>Talla única</t>
        </is>
      </c>
      <c r="G284" s="156" t="inlineStr">
        <is>
          <t>One Size</t>
        </is>
      </c>
      <c r="H284" s="156" t="inlineStr">
        <is>
          <t>REFLO</t>
        </is>
      </c>
      <c r="I284" s="156" t="inlineStr">
        <is>
          <t>Gorra REFLO Conon Grey</t>
        </is>
      </c>
      <c r="J284" s="156" t="inlineStr">
        <is>
          <t>Accesorios</t>
        </is>
      </c>
      <c r="K284" s="156" t="inlineStr">
        <is>
          <t>Gorras</t>
        </is>
      </c>
      <c r="L284" s="156" t="inlineStr">
        <is>
          <t>Unisex</t>
        </is>
      </c>
      <c r="M284" s="156" t="inlineStr">
        <is>
          <t>REFLO</t>
        </is>
      </c>
      <c r="N284" s="156" t="n"/>
      <c r="O284" s="156" t="n"/>
      <c r="P284" s="156" t="inlineStr">
        <is>
          <t>Gris</t>
        </is>
      </c>
      <c r="Q284" s="156" t="n"/>
      <c r="R284" s="156" t="n"/>
      <c r="S284" s="156" t="inlineStr">
        <is>
          <t>Poliéster reciclado</t>
        </is>
      </c>
      <c r="T284" s="156" t="inlineStr">
        <is>
          <t>Gorra de golf REFLO modelo Conon en color Grey, confeccionado con materiales reciclados. Estilo XR20823030.</t>
        </is>
      </c>
      <c r="U284" s="156" t="n"/>
      <c r="V284" s="156" t="inlineStr">
        <is>
          <t>PZS</t>
        </is>
      </c>
      <c r="W284" s="51" t="inlineStr">
        <is>
          <t>53102516</t>
        </is>
      </c>
      <c r="X284" s="156" t="n"/>
      <c r="Y284" s="54" t="n">
        <v>11.05</v>
      </c>
      <c r="Z284" s="54" t="n">
        <v>688.7931033999999</v>
      </c>
      <c r="AA284" s="55">
        <f>IF(AND(A284="", B284="", E284=""), "", IF(AB284="", "Válido", IF((LEN(AB284)-LEN(SUBSTITUTE(AB284,"; ","")))/2+1&gt;(LEN(AB284)-LEN(SUBSTITUTE(AB284,"[Aviso]","")))/7, "Con Incidencias", "Válido")))</f>
        <v/>
      </c>
      <c r="AB284" s="56">
        <f>IF(AND(A284="", B284="", E284=""), "", TEXTJOIN("; ", TRUE, IF(OR(TRIM(A284&amp;"")="", ISNUMBER(SEARCH("FALTA", A284))), "UPC faltante/inválido", ""), IF(AND(A284&lt;&gt;"", IFERROR(_xlfn.XMATCH(A284,$A$2:$A$653,0,1)&lt;&gt;_xlfn.XMATCH(A284,$A$2:$A$653,0,-1),FALSE)), "Código de barras duplicado", ""), IF(AND(E284&lt;&gt;"", COUNTIF($E$2:$E$653, E284)&gt;1), "SKU duplicado", ""), IF(OR(J284="", J284=""), "[Aviso] División no capturada ()", IF(ISNA(MATCH(J284, Criterios!$A$123:$A$126, 0)), "División no válida", "")), IF(OR(K284="", K284=""), "[Aviso] Categoría no capturada ()", IF(ISNA(MATCH(K284, Criterios!$A$81:$A$120, 0)), "Categoría no válida", IF(AND(J284&lt;&gt;"", J284&lt;&gt;"", J284&lt;&gt;VLOOKUP(K284, Criterios!$A$81:$B$120, 2, FALSE)), "División no coincide con Categoría", ""))), IF(OR(L284="", L284=""), "[Aviso] Género no capturado ()", IF(ISNA(MATCH(L284, Criterios!$B$123:$B$127, 0)), "Género no válido", "")), IF(OR(N284="", N284=""), "[Aviso] Temporada no capturada ()", IF(ISNA(MATCH(N284, Criterios!$C$123:$C$128, 0)), "Temporada no válida", "")), IF(OR(O284="", O284=""), "[Aviso] Ciclo de vida no capturado ()", IF(ISNA(MATCH(O284, Criterios!$D$123:$D$124, 0)), "Ciclo de vida no válido", ""))))</f>
        <v/>
      </c>
      <c r="AC284" s="56" t="n"/>
      <c r="AD284" s="51" t="n">
        <v>293</v>
      </c>
      <c r="AE284" s="156" t="inlineStr">
        <is>
          <t>MUESTRAS REFLO (1); REFLO ALMACEN (146)</t>
        </is>
      </c>
      <c r="AF284" s="51" t="n">
        <v>292</v>
      </c>
      <c r="AG284" s="156" t="inlineStr">
        <is>
          <t>Nuevo – NetSuite con existencia</t>
        </is>
      </c>
      <c r="AH284" s="156" t="inlineStr">
        <is>
          <t>Composición: poliéster reciclado (validar % en etiqueta); Físico total NetSuite 293 ≠ suma por ubicación 147 | Revisión 29/09/2026: Marca REFLO fuera de lista Criterios; Campos sin respaldo: N, O, U, X; Auditoría NetSuite 30/09/2026: llenado desde NetSuite [Y] | Homologación G1522 06/10/2026: Validación G1522: [Aviso] Precio de compra posiblemente en USD</t>
        </is>
      </c>
      <c r="AI284" s="156" t="inlineStr">
        <is>
          <t>No</t>
        </is>
      </c>
      <c r="AJ284" s="156" t="n"/>
      <c r="AK284" s="155" t="inlineStr">
        <is>
          <t>G1522ProductosTodosloscamposSandboxResults894.xlsx: fila 48445 [Y]; G1522_Extraccion_Articulos_NetSuite_2026-09-30.xlsx: fila 37520 [Y]</t>
        </is>
      </c>
      <c r="AL284" s="58" t="n"/>
      <c r="AM284" s="58" t="n">
        <v>688.7931033999999</v>
      </c>
      <c r="AN284" s="155" t="n"/>
      <c r="AO284" s="59" t="n"/>
      <c r="AP284" s="59" t="n"/>
      <c r="AQ284" s="59" t="n"/>
      <c r="AR284" s="155" t="n"/>
    </row>
    <row r="285">
      <c r="A285" s="50" t="inlineStr">
        <is>
          <t>5056658708060</t>
        </is>
      </c>
      <c r="B285" s="51" t="inlineStr">
        <is>
          <t>79188</t>
        </is>
      </c>
      <c r="C285" s="156" t="inlineStr">
        <is>
          <t>REFLO</t>
        </is>
      </c>
      <c r="D285" s="156" t="inlineStr">
        <is>
          <t>XR20824030</t>
        </is>
      </c>
      <c r="E285" s="156" t="inlineStr">
        <is>
          <t>XR20824030-OS</t>
        </is>
      </c>
      <c r="F285" s="156" t="inlineStr">
        <is>
          <t>Talla única</t>
        </is>
      </c>
      <c r="G285" s="156" t="inlineStr">
        <is>
          <t>One Size</t>
        </is>
      </c>
      <c r="H285" s="156" t="inlineStr">
        <is>
          <t>REFLO</t>
        </is>
      </c>
      <c r="I285" s="156" t="inlineStr">
        <is>
          <t>Gorra REFLO Deveron Grey</t>
        </is>
      </c>
      <c r="J285" s="156" t="inlineStr">
        <is>
          <t>Accesorios</t>
        </is>
      </c>
      <c r="K285" s="156" t="inlineStr">
        <is>
          <t>Gorras</t>
        </is>
      </c>
      <c r="L285" s="156" t="inlineStr">
        <is>
          <t>Unisex</t>
        </is>
      </c>
      <c r="M285" s="156" t="inlineStr">
        <is>
          <t>REFLO</t>
        </is>
      </c>
      <c r="N285" s="156" t="n"/>
      <c r="O285" s="156" t="n"/>
      <c r="P285" s="156" t="inlineStr">
        <is>
          <t>Gris</t>
        </is>
      </c>
      <c r="Q285" s="156" t="n"/>
      <c r="R285" s="156" t="n"/>
      <c r="S285" s="156" t="inlineStr">
        <is>
          <t>Poliéster reciclado</t>
        </is>
      </c>
      <c r="T285" s="156" t="inlineStr">
        <is>
          <t>Gorra de golf REFLO modelo Deveron en color Grey, confeccionado con materiales reciclados. Estilo XR20824030.</t>
        </is>
      </c>
      <c r="U285" s="156" t="n"/>
      <c r="V285" s="156" t="inlineStr">
        <is>
          <t>PZS</t>
        </is>
      </c>
      <c r="W285" s="51" t="inlineStr">
        <is>
          <t>53102516</t>
        </is>
      </c>
      <c r="X285" s="156" t="inlineStr">
        <is>
          <t>https://i.ibb.co/DKzvrkT/XR20824030.jpg</t>
        </is>
      </c>
      <c r="Y285" s="54" t="n">
        <v>11.05</v>
      </c>
      <c r="Z285" s="54" t="n">
        <v>799</v>
      </c>
      <c r="AA285" s="55">
        <f>IF(AND(A285="", B285="", E285=""), "", IF(AB285="", "Válido", IF((LEN(AB285)-LEN(SUBSTITUTE(AB285,"; ","")))/2+1&gt;(LEN(AB285)-LEN(SUBSTITUTE(AB285,"[Aviso]","")))/7, "Con Incidencias", "Válido")))</f>
        <v/>
      </c>
      <c r="AB285" s="56">
        <f>IF(AND(A285="", B285="", E285=""), "", TEXTJOIN("; ", TRUE, IF(OR(TRIM(A285&amp;"")="", ISNUMBER(SEARCH("FALTA", A285))), "UPC faltante/inválido", ""), IF(AND(A285&lt;&gt;"", IFERROR(_xlfn.XMATCH(A285,$A$2:$A$653,0,1)&lt;&gt;_xlfn.XMATCH(A285,$A$2:$A$653,0,-1),FALSE)), "Código de barras duplicado", ""), IF(AND(E285&lt;&gt;"", COUNTIF($E$2:$E$653, E285)&gt;1), "SKU duplicado", ""), IF(OR(J285="", J285=""), "[Aviso] División no capturada ()", IF(ISNA(MATCH(J285, Criterios!$A$123:$A$126, 0)), "División no válida", "")), IF(OR(K285="", K285=""), "[Aviso] Categoría no capturada ()", IF(ISNA(MATCH(K285, Criterios!$A$81:$A$120, 0)), "Categoría no válida", IF(AND(J285&lt;&gt;"", J285&lt;&gt;"", J285&lt;&gt;VLOOKUP(K285, Criterios!$A$81:$B$120, 2, FALSE)), "División no coincide con Categoría", ""))), IF(OR(L285="", L285=""), "[Aviso] Género no capturado ()", IF(ISNA(MATCH(L285, Criterios!$B$123:$B$127, 0)), "Género no válido", "")), IF(OR(N285="", N285=""), "[Aviso] Temporada no capturada ()", IF(ISNA(MATCH(N285, Criterios!$C$123:$C$128, 0)), "Temporada no válida", "")), IF(OR(O285="", O285=""), "[Aviso] Ciclo de vida no capturado ()", IF(ISNA(MATCH(O285, Criterios!$D$123:$D$124, 0)), "Ciclo de vida no válido", ""))))</f>
        <v/>
      </c>
      <c r="AC285" s="56" t="n"/>
      <c r="AD285" s="51" t="n">
        <v>281</v>
      </c>
      <c r="AE285" s="156" t="inlineStr">
        <is>
          <t>REFLO ALMACEN (144); MUESTRAS REFLO (1)</t>
        </is>
      </c>
      <c r="AF285" s="51" t="n">
        <v>280</v>
      </c>
      <c r="AG285" s="156" t="inlineStr">
        <is>
          <t>Nuevo – NetSuite con existencia</t>
        </is>
      </c>
      <c r="AH285" s="156" t="inlineStr">
        <is>
          <t>Composición: poliéster reciclado (validar % en etiqueta); Físico total NetSuite 281 ≠ suma por ubicación 145 | Revisión 29/09/2026: Marca REFLO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85" s="156" t="inlineStr">
        <is>
          <t>No</t>
        </is>
      </c>
      <c r="AJ285" s="156" t="n"/>
      <c r="AK285" s="155" t="inlineStr">
        <is>
          <t>G1522ProductosTodosloscamposSandboxResults894.xlsx: fila 48582 [X,Y]; G1522_Extraccion_Articulos_NetSuite_2026-09-30.xlsx: fila 37521 [Z]</t>
        </is>
      </c>
      <c r="AL285" s="58" t="n">
        <v>11.05</v>
      </c>
      <c r="AM285" s="58" t="n"/>
      <c r="AN285" s="155" t="n"/>
      <c r="AO285" s="59" t="n"/>
      <c r="AP285" s="59" t="n"/>
      <c r="AQ285" s="59" t="n"/>
      <c r="AR285" s="155" t="n"/>
    </row>
    <row r="286">
      <c r="A286" s="50" t="inlineStr">
        <is>
          <t>5056658717215</t>
        </is>
      </c>
      <c r="B286" s="51" t="inlineStr">
        <is>
          <t>91083</t>
        </is>
      </c>
      <c r="C286" s="156" t="inlineStr">
        <is>
          <t>REFLO</t>
        </is>
      </c>
      <c r="D286" s="156" t="inlineStr">
        <is>
          <t>XRU25801010</t>
        </is>
      </c>
      <c r="E286" s="156" t="inlineStr">
        <is>
          <t>XRU25801010-OS</t>
        </is>
      </c>
      <c r="F286" s="156" t="inlineStr">
        <is>
          <t>Talla única</t>
        </is>
      </c>
      <c r="G286" s="156" t="inlineStr">
        <is>
          <t>One Size</t>
        </is>
      </c>
      <c r="H286" s="156" t="inlineStr">
        <is>
          <t>REFLO</t>
        </is>
      </c>
      <c r="I286" s="156" t="inlineStr">
        <is>
          <t>Gorra REFLO JAGUAR TCS Black</t>
        </is>
      </c>
      <c r="J286" s="156" t="inlineStr">
        <is>
          <t>Accesorios</t>
        </is>
      </c>
      <c r="K286" s="156" t="inlineStr">
        <is>
          <t>Gorras</t>
        </is>
      </c>
      <c r="L286" s="156" t="inlineStr">
        <is>
          <t>Unisex</t>
        </is>
      </c>
      <c r="M286" s="156" t="inlineStr">
        <is>
          <t>REFLO</t>
        </is>
      </c>
      <c r="N286" s="156" t="n"/>
      <c r="O286" s="156" t="n"/>
      <c r="P286" s="156" t="inlineStr">
        <is>
          <t>Negro</t>
        </is>
      </c>
      <c r="Q286" s="156" t="n"/>
      <c r="R286" s="156" t="n"/>
      <c r="S286" s="156" t="inlineStr">
        <is>
          <t>Poliéster reciclado</t>
        </is>
      </c>
      <c r="T286" s="156" t="inlineStr">
        <is>
          <t>Gorra de golf REFLO modelo JAGUAR TCS en color Black, confeccionado con materiales reciclados. Estilo XRU25801010.</t>
        </is>
      </c>
      <c r="U286" s="156" t="n"/>
      <c r="V286" s="156" t="inlineStr">
        <is>
          <t>PZS</t>
        </is>
      </c>
      <c r="W286" s="51" t="inlineStr">
        <is>
          <t>53102516</t>
        </is>
      </c>
      <c r="X286" s="156" t="n"/>
      <c r="Y286" s="54" t="n">
        <v>14.3</v>
      </c>
      <c r="Z286" s="54" t="n">
        <v>947.4137931</v>
      </c>
      <c r="AA286" s="55">
        <f>IF(AND(A286="", B286="", E286=""), "", IF(AB286="", "Válido", IF((LEN(AB286)-LEN(SUBSTITUTE(AB286,"; ","")))/2+1&gt;(LEN(AB286)-LEN(SUBSTITUTE(AB286,"[Aviso]","")))/7, "Con Incidencias", "Válido")))</f>
        <v/>
      </c>
      <c r="AB286" s="56">
        <f>IF(AND(A286="", B286="", E286=""), "", TEXTJOIN("; ", TRUE, IF(OR(TRIM(A286&amp;"")="", ISNUMBER(SEARCH("FALTA", A286))), "UPC faltante/inválido", ""), IF(AND(A286&lt;&gt;"", IFERROR(_xlfn.XMATCH(A286,$A$2:$A$653,0,1)&lt;&gt;_xlfn.XMATCH(A286,$A$2:$A$653,0,-1),FALSE)), "Código de barras duplicado", ""), IF(AND(E286&lt;&gt;"", COUNTIF($E$2:$E$653, E286)&gt;1), "SKU duplicado", ""), IF(OR(J286="", J286=""), "[Aviso] División no capturada ()", IF(ISNA(MATCH(J286, Criterios!$A$123:$A$126, 0)), "División no válida", "")), IF(OR(K286="", K286=""), "[Aviso] Categoría no capturada ()", IF(ISNA(MATCH(K286, Criterios!$A$81:$A$120, 0)), "Categoría no válida", IF(AND(J286&lt;&gt;"", J286&lt;&gt;"", J286&lt;&gt;VLOOKUP(K286, Criterios!$A$81:$B$120, 2, FALSE)), "División no coincide con Categoría", ""))), IF(OR(L286="", L286=""), "[Aviso] Género no capturado ()", IF(ISNA(MATCH(L286, Criterios!$B$123:$B$127, 0)), "Género no válido", "")), IF(OR(N286="", N286=""), "[Aviso] Temporada no capturada ()", IF(ISNA(MATCH(N286, Criterios!$C$123:$C$128, 0)), "Temporada no válida", "")), IF(OR(O286="", O286=""), "[Aviso] Ciclo de vida no capturado ()", IF(ISNA(MATCH(O286, Criterios!$D$123:$D$124, 0)), "Ciclo de vida no válido", ""))))</f>
        <v/>
      </c>
      <c r="AC286" s="56" t="n"/>
      <c r="AD286" s="51" t="n">
        <v>0</v>
      </c>
      <c r="AE286" s="156" t="n"/>
      <c r="AF286" s="51" t="n">
        <v>0</v>
      </c>
      <c r="AG286" s="156" t="inlineStr">
        <is>
          <t>Nuevo – NetSuite sin existencia</t>
        </is>
      </c>
      <c r="AH286" s="156" t="inlineStr">
        <is>
          <t>Composición: poliéster reciclado (validar % en etiqueta); Auditoría NetSuite 30/09/2026: llenado desde NetSuite [Y] | Homologación G1522 06/10/2026: Validación G1522: [Aviso] Precio de compra posiblemente en USD</t>
        </is>
      </c>
      <c r="AI286" s="156" t="inlineStr">
        <is>
          <t>No</t>
        </is>
      </c>
      <c r="AJ286" s="156" t="n"/>
      <c r="AK286" s="155" t="inlineStr">
        <is>
          <t>G1522_Extraccion_Articulos_NetSuite_2026-09-30.xlsx: fila 43838 [Y]</t>
        </is>
      </c>
      <c r="AL286" s="58" t="n"/>
      <c r="AM286" s="58" t="n">
        <v>947.4137931</v>
      </c>
      <c r="AN286" s="155" t="n"/>
      <c r="AO286" s="59" t="n"/>
      <c r="AP286" s="59" t="n"/>
      <c r="AQ286" s="59" t="n"/>
      <c r="AR286" s="155" t="n"/>
    </row>
    <row r="287">
      <c r="A287" s="50" t="inlineStr">
        <is>
          <t>5056658701245</t>
        </is>
      </c>
      <c r="B287" s="51" t="inlineStr">
        <is>
          <t>90796</t>
        </is>
      </c>
      <c r="C287" s="156" t="inlineStr">
        <is>
          <t>REFLO</t>
        </is>
      </c>
      <c r="D287" s="156" t="n"/>
      <c r="E287" s="156" t="n"/>
      <c r="F287" s="156" t="n"/>
      <c r="G287" s="156" t="n"/>
      <c r="H287" s="156" t="inlineStr">
        <is>
          <t>REFLO</t>
        </is>
      </c>
      <c r="I287" s="156" t="n"/>
      <c r="J287" s="156" t="n"/>
      <c r="K287" s="156" t="n"/>
      <c r="L287" s="156" t="n"/>
      <c r="M287" s="156" t="n"/>
      <c r="N287" s="156" t="n"/>
      <c r="O287" s="156" t="n"/>
      <c r="P287" s="156" t="n"/>
      <c r="Q287" s="156" t="n"/>
      <c r="R287" s="156" t="n"/>
      <c r="S287" s="156" t="n"/>
      <c r="T287" s="156" t="n"/>
      <c r="U287" s="156" t="n"/>
      <c r="V287" s="156" t="inlineStr">
        <is>
          <t>PZS</t>
        </is>
      </c>
      <c r="W287" s="51" t="inlineStr">
        <is>
          <t>53101500</t>
        </is>
      </c>
      <c r="X287" s="156" t="n"/>
      <c r="Y287" s="54" t="n">
        <v>19.5</v>
      </c>
      <c r="Z287" s="54" t="n">
        <v>1723.97841</v>
      </c>
      <c r="AA287" s="55">
        <f>IF(AND(A287="", B287="", E287=""), "", IF(AB287="", "Válido", IF((LEN(AB287)-LEN(SUBSTITUTE(AB287,"; ","")))/2+1&gt;(LEN(AB287)-LEN(SUBSTITUTE(AB287,"[Aviso]","")))/7, "Con Incidencias", "Válido")))</f>
        <v/>
      </c>
      <c r="AB287" s="56">
        <f>IF(AND(A287="", B287="", E287=""), "", TEXTJOIN("; ", TRUE, IF(OR(TRIM(A287&amp;"")="", ISNUMBER(SEARCH("FALTA", A287))), "UPC faltante/inválido", ""), IF(AND(A287&lt;&gt;"", IFERROR(_xlfn.XMATCH(A287,$A$2:$A$653,0,1)&lt;&gt;_xlfn.XMATCH(A287,$A$2:$A$653,0,-1),FALSE)), "Código de barras duplicado", ""), IF(AND(E287&lt;&gt;"", COUNTIF($E$2:$E$653, E287)&gt;1), "SKU duplicado", ""), IF(OR(J287="", J287=""), "[Aviso] División no capturada ()", IF(ISNA(MATCH(J287, Criterios!$A$123:$A$126, 0)), "División no válida", "")), IF(OR(K287="", K287=""), "[Aviso] Categoría no capturada ()", IF(ISNA(MATCH(K287, Criterios!$A$81:$A$120, 0)), "Categoría no válida", IF(AND(J287&lt;&gt;"", J287&lt;&gt;"", J287&lt;&gt;VLOOKUP(K287, Criterios!$A$81:$B$120, 2, FALSE)), "División no coincide con Categoría", ""))), IF(OR(L287="", L287=""), "[Aviso] Género no capturado ()", IF(ISNA(MATCH(L287, Criterios!$B$123:$B$127, 0)), "Género no válido", "")), IF(OR(N287="", N287=""), "[Aviso] Temporada no capturada ()", IF(ISNA(MATCH(N287, Criterios!$C$123:$C$128, 0)), "Temporada no válida", "")), IF(OR(O287="", O287=""), "[Aviso] Ciclo de vida no capturado ()", IF(ISNA(MATCH(O287, Criterios!$D$123:$D$124, 0)), "Ciclo de vida no válido", ""))))</f>
        <v/>
      </c>
      <c r="AC287" s="56" t="n"/>
      <c r="AD287" s="51" t="n">
        <v>0</v>
      </c>
      <c r="AE287" s="156" t="n"/>
      <c r="AF287" s="51" t="n">
        <v>0</v>
      </c>
      <c r="AG287" s="156" t="inlineStr">
        <is>
          <t>Nuevo – NetSuite sin existencia</t>
        </is>
      </c>
      <c r="AH28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87" s="156" t="inlineStr">
        <is>
          <t>No</t>
        </is>
      </c>
      <c r="AJ287" s="156" t="n"/>
      <c r="AK287" s="155" t="inlineStr">
        <is>
          <t>G1522_Extraccion_Articulos_NetSuite_2026-09-30.xlsx: fila 43659</t>
        </is>
      </c>
      <c r="AL287" s="58" t="n"/>
      <c r="AM287" s="58" t="n"/>
      <c r="AN287" s="155" t="n"/>
      <c r="AO287" s="59" t="n"/>
      <c r="AP287" s="59" t="n"/>
      <c r="AQ287" s="59" t="n"/>
      <c r="AR287" s="155" t="n"/>
    </row>
    <row r="288">
      <c r="A288" s="50" t="inlineStr">
        <is>
          <t>5056658701252</t>
        </is>
      </c>
      <c r="B288" s="51" t="inlineStr">
        <is>
          <t>90797</t>
        </is>
      </c>
      <c r="C288" s="156" t="inlineStr">
        <is>
          <t>REFLO</t>
        </is>
      </c>
      <c r="D288" s="156" t="n"/>
      <c r="E288" s="156" t="n"/>
      <c r="F288" s="156" t="n"/>
      <c r="G288" s="156" t="n"/>
      <c r="H288" s="156" t="inlineStr">
        <is>
          <t>REFLO</t>
        </is>
      </c>
      <c r="I288" s="156" t="n"/>
      <c r="J288" s="156" t="n"/>
      <c r="K288" s="156" t="n"/>
      <c r="L288" s="156" t="n"/>
      <c r="M288" s="156" t="n"/>
      <c r="N288" s="156" t="n"/>
      <c r="O288" s="156" t="n"/>
      <c r="P288" s="156" t="n"/>
      <c r="Q288" s="156" t="n"/>
      <c r="R288" s="156" t="n"/>
      <c r="S288" s="156" t="n"/>
      <c r="T288" s="156" t="n"/>
      <c r="U288" s="156" t="n"/>
      <c r="V288" s="156" t="inlineStr">
        <is>
          <t>PZS</t>
        </is>
      </c>
      <c r="W288" s="51" t="inlineStr">
        <is>
          <t>53101500</t>
        </is>
      </c>
      <c r="X288" s="156" t="n"/>
      <c r="Y288" s="54" t="n">
        <v>19.5</v>
      </c>
      <c r="Z288" s="54" t="n">
        <v>1723.97841</v>
      </c>
      <c r="AA288" s="55">
        <f>IF(AND(A288="", B288="", E288=""), "", IF(AB288="", "Válido", IF((LEN(AB288)-LEN(SUBSTITUTE(AB288,"; ","")))/2+1&gt;(LEN(AB288)-LEN(SUBSTITUTE(AB288,"[Aviso]","")))/7, "Con Incidencias", "Válido")))</f>
        <v/>
      </c>
      <c r="AB288" s="56">
        <f>IF(AND(A288="", B288="", E288=""), "", TEXTJOIN("; ", TRUE, IF(OR(TRIM(A288&amp;"")="", ISNUMBER(SEARCH("FALTA", A288))), "UPC faltante/inválido", ""), IF(AND(A288&lt;&gt;"", IFERROR(_xlfn.XMATCH(A288,$A$2:$A$653,0,1)&lt;&gt;_xlfn.XMATCH(A288,$A$2:$A$653,0,-1),FALSE)), "Código de barras duplicado", ""), IF(AND(E288&lt;&gt;"", COUNTIF($E$2:$E$653, E288)&gt;1), "SKU duplicado", ""), IF(OR(J288="", J288=""), "[Aviso] División no capturada ()", IF(ISNA(MATCH(J288, Criterios!$A$123:$A$126, 0)), "División no válida", "")), IF(OR(K288="", K288=""), "[Aviso] Categoría no capturada ()", IF(ISNA(MATCH(K288, Criterios!$A$81:$A$120, 0)), "Categoría no válida", IF(AND(J288&lt;&gt;"", J288&lt;&gt;"", J288&lt;&gt;VLOOKUP(K288, Criterios!$A$81:$B$120, 2, FALSE)), "División no coincide con Categoría", ""))), IF(OR(L288="", L288=""), "[Aviso] Género no capturado ()", IF(ISNA(MATCH(L288, Criterios!$B$123:$B$127, 0)), "Género no válido", "")), IF(OR(N288="", N288=""), "[Aviso] Temporada no capturada ()", IF(ISNA(MATCH(N288, Criterios!$C$123:$C$128, 0)), "Temporada no válida", "")), IF(OR(O288="", O288=""), "[Aviso] Ciclo de vida no capturado ()", IF(ISNA(MATCH(O288, Criterios!$D$123:$D$124, 0)), "Ciclo de vida no válido", ""))))</f>
        <v/>
      </c>
      <c r="AC288" s="56" t="n"/>
      <c r="AD288" s="51" t="n">
        <v>0</v>
      </c>
      <c r="AE288" s="156" t="n"/>
      <c r="AF288" s="51" t="n">
        <v>0</v>
      </c>
      <c r="AG288" s="156" t="inlineStr">
        <is>
          <t>Nuevo – NetSuite sin existencia</t>
        </is>
      </c>
      <c r="AH28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88" s="156" t="inlineStr">
        <is>
          <t>No</t>
        </is>
      </c>
      <c r="AJ288" s="156" t="n"/>
      <c r="AK288" s="155" t="inlineStr">
        <is>
          <t>G1522_Extraccion_Articulos_NetSuite_2026-09-30.xlsx: fila 43660</t>
        </is>
      </c>
      <c r="AL288" s="58" t="n"/>
      <c r="AM288" s="58" t="n"/>
      <c r="AN288" s="155" t="n"/>
      <c r="AO288" s="59" t="n"/>
      <c r="AP288" s="59" t="n"/>
      <c r="AQ288" s="59" t="n"/>
      <c r="AR288" s="155" t="n"/>
    </row>
    <row r="289">
      <c r="A289" s="50" t="inlineStr">
        <is>
          <t>5056658701269</t>
        </is>
      </c>
      <c r="B289" s="51" t="inlineStr">
        <is>
          <t>90798</t>
        </is>
      </c>
      <c r="C289" s="156" t="inlineStr">
        <is>
          <t>REFLO</t>
        </is>
      </c>
      <c r="D289" s="156" t="n"/>
      <c r="E289" s="156" t="n"/>
      <c r="F289" s="156" t="n"/>
      <c r="G289" s="156" t="n"/>
      <c r="H289" s="156" t="inlineStr">
        <is>
          <t>REFLO</t>
        </is>
      </c>
      <c r="I289" s="156" t="n"/>
      <c r="J289" s="156" t="n"/>
      <c r="K289" s="156" t="n"/>
      <c r="L289" s="156" t="n"/>
      <c r="M289" s="156" t="n"/>
      <c r="N289" s="156" t="n"/>
      <c r="O289" s="156" t="n"/>
      <c r="P289" s="156" t="n"/>
      <c r="Q289" s="156" t="n"/>
      <c r="R289" s="156" t="n"/>
      <c r="S289" s="156" t="n"/>
      <c r="T289" s="156" t="n"/>
      <c r="U289" s="156" t="n"/>
      <c r="V289" s="156" t="inlineStr">
        <is>
          <t>PZS</t>
        </is>
      </c>
      <c r="W289" s="51" t="inlineStr">
        <is>
          <t>53101500</t>
        </is>
      </c>
      <c r="X289" s="156" t="n"/>
      <c r="Y289" s="54" t="n">
        <v>19.5</v>
      </c>
      <c r="Z289" s="54" t="n">
        <v>1723.97841</v>
      </c>
      <c r="AA289" s="55">
        <f>IF(AND(A289="", B289="", E289=""), "", IF(AB289="", "Válido", IF((LEN(AB289)-LEN(SUBSTITUTE(AB289,"; ","")))/2+1&gt;(LEN(AB289)-LEN(SUBSTITUTE(AB289,"[Aviso]","")))/7, "Con Incidencias", "Válido")))</f>
        <v/>
      </c>
      <c r="AB289" s="56">
        <f>IF(AND(A289="", B289="", E289=""), "", TEXTJOIN("; ", TRUE, IF(OR(TRIM(A289&amp;"")="", ISNUMBER(SEARCH("FALTA", A289))), "UPC faltante/inválido", ""), IF(AND(A289&lt;&gt;"", IFERROR(_xlfn.XMATCH(A289,$A$2:$A$653,0,1)&lt;&gt;_xlfn.XMATCH(A289,$A$2:$A$653,0,-1),FALSE)), "Código de barras duplicado", ""), IF(AND(E289&lt;&gt;"", COUNTIF($E$2:$E$653, E289)&gt;1), "SKU duplicado", ""), IF(OR(J289="", J289=""), "[Aviso] División no capturada ()", IF(ISNA(MATCH(J289, Criterios!$A$123:$A$126, 0)), "División no válida", "")), IF(OR(K289="", K289=""), "[Aviso] Categoría no capturada ()", IF(ISNA(MATCH(K289, Criterios!$A$81:$A$120, 0)), "Categoría no válida", IF(AND(J289&lt;&gt;"", J289&lt;&gt;"", J289&lt;&gt;VLOOKUP(K289, Criterios!$A$81:$B$120, 2, FALSE)), "División no coincide con Categoría", ""))), IF(OR(L289="", L289=""), "[Aviso] Género no capturado ()", IF(ISNA(MATCH(L289, Criterios!$B$123:$B$127, 0)), "Género no válido", "")), IF(OR(N289="", N289=""), "[Aviso] Temporada no capturada ()", IF(ISNA(MATCH(N289, Criterios!$C$123:$C$128, 0)), "Temporada no válida", "")), IF(OR(O289="", O289=""), "[Aviso] Ciclo de vida no capturado ()", IF(ISNA(MATCH(O289, Criterios!$D$123:$D$124, 0)), "Ciclo de vida no válido", ""))))</f>
        <v/>
      </c>
      <c r="AC289" s="56" t="n"/>
      <c r="AD289" s="51" t="n">
        <v>0</v>
      </c>
      <c r="AE289" s="156" t="n"/>
      <c r="AF289" s="51" t="n">
        <v>0</v>
      </c>
      <c r="AG289" s="156" t="inlineStr">
        <is>
          <t>Nuevo – NetSuite sin existencia</t>
        </is>
      </c>
      <c r="AH28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89" s="156" t="inlineStr">
        <is>
          <t>No</t>
        </is>
      </c>
      <c r="AJ289" s="156" t="n"/>
      <c r="AK289" s="155" t="inlineStr">
        <is>
          <t>G1522_Extraccion_Articulos_NetSuite_2026-09-30.xlsx: fila 43661</t>
        </is>
      </c>
      <c r="AL289" s="58" t="n"/>
      <c r="AM289" s="58" t="n"/>
      <c r="AN289" s="155" t="n"/>
      <c r="AO289" s="59" t="n"/>
      <c r="AP289" s="59" t="n"/>
      <c r="AQ289" s="59" t="n"/>
      <c r="AR289" s="155" t="n"/>
    </row>
    <row r="290">
      <c r="A290" s="50" t="inlineStr">
        <is>
          <t>5056658701276</t>
        </is>
      </c>
      <c r="B290" s="51" t="inlineStr">
        <is>
          <t>90799</t>
        </is>
      </c>
      <c r="C290" s="156" t="inlineStr">
        <is>
          <t>REFLO</t>
        </is>
      </c>
      <c r="D290" s="156" t="n"/>
      <c r="E290" s="156" t="n"/>
      <c r="F290" s="156" t="n"/>
      <c r="G290" s="156" t="n"/>
      <c r="H290" s="156" t="inlineStr">
        <is>
          <t>REFLO</t>
        </is>
      </c>
      <c r="I290" s="156" t="n"/>
      <c r="J290" s="156" t="n"/>
      <c r="K290" s="156" t="n"/>
      <c r="L290" s="156" t="n"/>
      <c r="M290" s="156" t="n"/>
      <c r="N290" s="156" t="n"/>
      <c r="O290" s="156" t="n"/>
      <c r="P290" s="156" t="n"/>
      <c r="Q290" s="156" t="n"/>
      <c r="R290" s="156" t="n"/>
      <c r="S290" s="156" t="n"/>
      <c r="T290" s="156" t="n"/>
      <c r="U290" s="156" t="n"/>
      <c r="V290" s="156" t="inlineStr">
        <is>
          <t>PZS</t>
        </is>
      </c>
      <c r="W290" s="51" t="inlineStr">
        <is>
          <t>53101500</t>
        </is>
      </c>
      <c r="X290" s="156" t="n"/>
      <c r="Y290" s="54" t="n">
        <v>19.5</v>
      </c>
      <c r="Z290" s="54" t="n">
        <v>1723.97841</v>
      </c>
      <c r="AA290" s="55">
        <f>IF(AND(A290="", B290="", E290=""), "", IF(AB290="", "Válido", IF((LEN(AB290)-LEN(SUBSTITUTE(AB290,"; ","")))/2+1&gt;(LEN(AB290)-LEN(SUBSTITUTE(AB290,"[Aviso]","")))/7, "Con Incidencias", "Válido")))</f>
        <v/>
      </c>
      <c r="AB290" s="56">
        <f>IF(AND(A290="", B290="", E290=""), "", TEXTJOIN("; ", TRUE, IF(OR(TRIM(A290&amp;"")="", ISNUMBER(SEARCH("FALTA", A290))), "UPC faltante/inválido", ""), IF(AND(A290&lt;&gt;"", IFERROR(_xlfn.XMATCH(A290,$A$2:$A$653,0,1)&lt;&gt;_xlfn.XMATCH(A290,$A$2:$A$653,0,-1),FALSE)), "Código de barras duplicado", ""), IF(AND(E290&lt;&gt;"", COUNTIF($E$2:$E$653, E290)&gt;1), "SKU duplicado", ""), IF(OR(J290="", J290=""), "[Aviso] División no capturada ()", IF(ISNA(MATCH(J290, Criterios!$A$123:$A$126, 0)), "División no válida", "")), IF(OR(K290="", K290=""), "[Aviso] Categoría no capturada ()", IF(ISNA(MATCH(K290, Criterios!$A$81:$A$120, 0)), "Categoría no válida", IF(AND(J290&lt;&gt;"", J290&lt;&gt;"", J290&lt;&gt;VLOOKUP(K290, Criterios!$A$81:$B$120, 2, FALSE)), "División no coincide con Categoría", ""))), IF(OR(L290="", L290=""), "[Aviso] Género no capturado ()", IF(ISNA(MATCH(L290, Criterios!$B$123:$B$127, 0)), "Género no válido", "")), IF(OR(N290="", N290=""), "[Aviso] Temporada no capturada ()", IF(ISNA(MATCH(N290, Criterios!$C$123:$C$128, 0)), "Temporada no válida", "")), IF(OR(O290="", O290=""), "[Aviso] Ciclo de vida no capturado ()", IF(ISNA(MATCH(O290, Criterios!$D$123:$D$124, 0)), "Ciclo de vida no válido", ""))))</f>
        <v/>
      </c>
      <c r="AC290" s="56" t="n"/>
      <c r="AD290" s="51" t="n">
        <v>0</v>
      </c>
      <c r="AE290" s="156" t="n"/>
      <c r="AF290" s="51" t="n">
        <v>0</v>
      </c>
      <c r="AG290" s="156" t="inlineStr">
        <is>
          <t>Nuevo – NetSuite sin existencia</t>
        </is>
      </c>
      <c r="AH29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90" s="156" t="inlineStr">
        <is>
          <t>No</t>
        </is>
      </c>
      <c r="AJ290" s="156" t="n"/>
      <c r="AK290" s="155" t="inlineStr">
        <is>
          <t>G1522_Extraccion_Articulos_NetSuite_2026-09-30.xlsx: fila 43662</t>
        </is>
      </c>
      <c r="AL290" s="58" t="n"/>
      <c r="AM290" s="58" t="n"/>
      <c r="AN290" s="155" t="n"/>
      <c r="AO290" s="59" t="n"/>
      <c r="AP290" s="59" t="n"/>
      <c r="AQ290" s="59" t="n"/>
      <c r="AR290" s="155" t="n"/>
    </row>
    <row r="291">
      <c r="A291" s="50" t="inlineStr">
        <is>
          <t>5056658701283</t>
        </is>
      </c>
      <c r="B291" s="51" t="inlineStr">
        <is>
          <t>90800</t>
        </is>
      </c>
      <c r="C291" s="156" t="inlineStr">
        <is>
          <t>REFLO</t>
        </is>
      </c>
      <c r="D291" s="156" t="n"/>
      <c r="E291" s="156" t="n"/>
      <c r="F291" s="156" t="n"/>
      <c r="G291" s="156" t="n"/>
      <c r="H291" s="156" t="inlineStr">
        <is>
          <t>REFLO</t>
        </is>
      </c>
      <c r="I291" s="156" t="n"/>
      <c r="J291" s="156" t="n"/>
      <c r="K291" s="156" t="n"/>
      <c r="L291" s="156" t="n"/>
      <c r="M291" s="156" t="n"/>
      <c r="N291" s="156" t="n"/>
      <c r="O291" s="156" t="n"/>
      <c r="P291" s="156" t="n"/>
      <c r="Q291" s="156" t="n"/>
      <c r="R291" s="156" t="n"/>
      <c r="S291" s="156" t="n"/>
      <c r="T291" s="156" t="n"/>
      <c r="U291" s="156" t="n"/>
      <c r="V291" s="156" t="inlineStr">
        <is>
          <t>PZS</t>
        </is>
      </c>
      <c r="W291" s="51" t="inlineStr">
        <is>
          <t>53101500</t>
        </is>
      </c>
      <c r="X291" s="156" t="n"/>
      <c r="Y291" s="54" t="n">
        <v>19.5</v>
      </c>
      <c r="Z291" s="54" t="n">
        <v>1723.97841</v>
      </c>
      <c r="AA291" s="55">
        <f>IF(AND(A291="", B291="", E291=""), "", IF(AB291="", "Válido", IF((LEN(AB291)-LEN(SUBSTITUTE(AB291,"; ","")))/2+1&gt;(LEN(AB291)-LEN(SUBSTITUTE(AB291,"[Aviso]","")))/7, "Con Incidencias", "Válido")))</f>
        <v/>
      </c>
      <c r="AB291" s="56">
        <f>IF(AND(A291="", B291="", E291=""), "", TEXTJOIN("; ", TRUE, IF(OR(TRIM(A291&amp;"")="", ISNUMBER(SEARCH("FALTA", A291))), "UPC faltante/inválido", ""), IF(AND(A291&lt;&gt;"", IFERROR(_xlfn.XMATCH(A291,$A$2:$A$653,0,1)&lt;&gt;_xlfn.XMATCH(A291,$A$2:$A$653,0,-1),FALSE)), "Código de barras duplicado", ""), IF(AND(E291&lt;&gt;"", COUNTIF($E$2:$E$653, E291)&gt;1), "SKU duplicado", ""), IF(OR(J291="", J291=""), "[Aviso] División no capturada ()", IF(ISNA(MATCH(J291, Criterios!$A$123:$A$126, 0)), "División no válida", "")), IF(OR(K291="", K291=""), "[Aviso] Categoría no capturada ()", IF(ISNA(MATCH(K291, Criterios!$A$81:$A$120, 0)), "Categoría no válida", IF(AND(J291&lt;&gt;"", J291&lt;&gt;"", J291&lt;&gt;VLOOKUP(K291, Criterios!$A$81:$B$120, 2, FALSE)), "División no coincide con Categoría", ""))), IF(OR(L291="", L291=""), "[Aviso] Género no capturado ()", IF(ISNA(MATCH(L291, Criterios!$B$123:$B$127, 0)), "Género no válido", "")), IF(OR(N291="", N291=""), "[Aviso] Temporada no capturada ()", IF(ISNA(MATCH(N291, Criterios!$C$123:$C$128, 0)), "Temporada no válida", "")), IF(OR(O291="", O291=""), "[Aviso] Ciclo de vida no capturado ()", IF(ISNA(MATCH(O291, Criterios!$D$123:$D$124, 0)), "Ciclo de vida no válido", ""))))</f>
        <v/>
      </c>
      <c r="AC291" s="56" t="n"/>
      <c r="AD291" s="51" t="n">
        <v>0</v>
      </c>
      <c r="AE291" s="156" t="n"/>
      <c r="AF291" s="51" t="n">
        <v>0</v>
      </c>
      <c r="AG291" s="156" t="inlineStr">
        <is>
          <t>Nuevo – NetSuite sin existencia</t>
        </is>
      </c>
      <c r="AH29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91" s="156" t="inlineStr">
        <is>
          <t>No</t>
        </is>
      </c>
      <c r="AJ291" s="156" t="n"/>
      <c r="AK291" s="155" t="inlineStr">
        <is>
          <t>G1522_Extraccion_Articulos_NetSuite_2026-09-30.xlsx: fila 43663</t>
        </is>
      </c>
      <c r="AL291" s="58" t="n"/>
      <c r="AM291" s="58" t="n"/>
      <c r="AN291" s="155" t="n"/>
      <c r="AO291" s="59" t="n"/>
      <c r="AP291" s="59" t="n"/>
      <c r="AQ291" s="59" t="n"/>
      <c r="AR291" s="155" t="n"/>
    </row>
    <row r="292">
      <c r="A292" s="50" t="inlineStr">
        <is>
          <t>5056658748646</t>
        </is>
      </c>
      <c r="B292" s="51" t="inlineStr">
        <is>
          <t>90801</t>
        </is>
      </c>
      <c r="C292" s="156" t="inlineStr">
        <is>
          <t>REFLO</t>
        </is>
      </c>
      <c r="D292" s="156" t="n"/>
      <c r="E292" s="156" t="n"/>
      <c r="F292" s="156" t="n"/>
      <c r="G292" s="156" t="n"/>
      <c r="H292" s="156" t="inlineStr">
        <is>
          <t>REFLO</t>
        </is>
      </c>
      <c r="I292" s="156" t="n"/>
      <c r="J292" s="156" t="n"/>
      <c r="K292" s="156" t="n"/>
      <c r="L292" s="156" t="n"/>
      <c r="M292" s="156" t="n"/>
      <c r="N292" s="156" t="n"/>
      <c r="O292" s="156" t="n"/>
      <c r="P292" s="156" t="n"/>
      <c r="Q292" s="156" t="n"/>
      <c r="R292" s="156" t="n"/>
      <c r="S292" s="156" t="n"/>
      <c r="T292" s="156" t="n"/>
      <c r="U292" s="156" t="n"/>
      <c r="V292" s="156" t="inlineStr">
        <is>
          <t>PZS</t>
        </is>
      </c>
      <c r="W292" s="51" t="inlineStr">
        <is>
          <t>53101500</t>
        </is>
      </c>
      <c r="X292" s="156" t="n"/>
      <c r="Y292" s="54" t="n">
        <v>19.5</v>
      </c>
      <c r="Z292" s="54" t="n">
        <v>1723.97841</v>
      </c>
      <c r="AA292" s="55">
        <f>IF(AND(A292="", B292="", E292=""), "", IF(AB292="", "Válido", IF((LEN(AB292)-LEN(SUBSTITUTE(AB292,"; ","")))/2+1&gt;(LEN(AB292)-LEN(SUBSTITUTE(AB292,"[Aviso]","")))/7, "Con Incidencias", "Válido")))</f>
        <v/>
      </c>
      <c r="AB292" s="56">
        <f>IF(AND(A292="", B292="", E292=""), "", TEXTJOIN("; ", TRUE, IF(OR(TRIM(A292&amp;"")="", ISNUMBER(SEARCH("FALTA", A292))), "UPC faltante/inválido", ""), IF(AND(A292&lt;&gt;"", IFERROR(_xlfn.XMATCH(A292,$A$2:$A$653,0,1)&lt;&gt;_xlfn.XMATCH(A292,$A$2:$A$653,0,-1),FALSE)), "Código de barras duplicado", ""), IF(AND(E292&lt;&gt;"", COUNTIF($E$2:$E$653, E292)&gt;1), "SKU duplicado", ""), IF(OR(J292="", J292=""), "[Aviso] División no capturada ()", IF(ISNA(MATCH(J292, Criterios!$A$123:$A$126, 0)), "División no válida", "")), IF(OR(K292="", K292=""), "[Aviso] Categoría no capturada ()", IF(ISNA(MATCH(K292, Criterios!$A$81:$A$120, 0)), "Categoría no válida", IF(AND(J292&lt;&gt;"", J292&lt;&gt;"", J292&lt;&gt;VLOOKUP(K292, Criterios!$A$81:$B$120, 2, FALSE)), "División no coincide con Categoría", ""))), IF(OR(L292="", L292=""), "[Aviso] Género no capturado ()", IF(ISNA(MATCH(L292, Criterios!$B$123:$B$127, 0)), "Género no válido", "")), IF(OR(N292="", N292=""), "[Aviso] Temporada no capturada ()", IF(ISNA(MATCH(N292, Criterios!$C$123:$C$128, 0)), "Temporada no válida", "")), IF(OR(O292="", O292=""), "[Aviso] Ciclo de vida no capturado ()", IF(ISNA(MATCH(O292, Criterios!$D$123:$D$124, 0)), "Ciclo de vida no válido", ""))))</f>
        <v/>
      </c>
      <c r="AC292" s="56" t="n"/>
      <c r="AD292" s="51" t="n">
        <v>0</v>
      </c>
      <c r="AE292" s="156" t="n"/>
      <c r="AF292" s="51" t="n">
        <v>0</v>
      </c>
      <c r="AG292" s="156" t="inlineStr">
        <is>
          <t>Nuevo – NetSuite sin existencia</t>
        </is>
      </c>
      <c r="AH29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92" s="156" t="inlineStr">
        <is>
          <t>No</t>
        </is>
      </c>
      <c r="AJ292" s="156" t="n"/>
      <c r="AK292" s="155" t="inlineStr">
        <is>
          <t>G1522_Extraccion_Articulos_NetSuite_2026-09-30.xlsx: fila 43664</t>
        </is>
      </c>
      <c r="AL292" s="58" t="n"/>
      <c r="AM292" s="58" t="n"/>
      <c r="AN292" s="155" t="n"/>
      <c r="AO292" s="59" t="n"/>
      <c r="AP292" s="59" t="n"/>
      <c r="AQ292" s="59" t="n"/>
      <c r="AR292" s="155" t="n"/>
    </row>
    <row r="293">
      <c r="A293" s="50" t="inlineStr">
        <is>
          <t>5056658748653</t>
        </is>
      </c>
      <c r="B293" s="51" t="inlineStr">
        <is>
          <t>90802</t>
        </is>
      </c>
      <c r="C293" s="156" t="inlineStr">
        <is>
          <t>REFLO</t>
        </is>
      </c>
      <c r="D293" s="156" t="n"/>
      <c r="E293" s="156" t="n"/>
      <c r="F293" s="156" t="n"/>
      <c r="G293" s="156" t="n"/>
      <c r="H293" s="156" t="inlineStr">
        <is>
          <t>REFLO</t>
        </is>
      </c>
      <c r="I293" s="156" t="n"/>
      <c r="J293" s="156" t="n"/>
      <c r="K293" s="156" t="n"/>
      <c r="L293" s="156" t="n"/>
      <c r="M293" s="156" t="n"/>
      <c r="N293" s="156" t="n"/>
      <c r="O293" s="156" t="n"/>
      <c r="P293" s="156" t="n"/>
      <c r="Q293" s="156" t="n"/>
      <c r="R293" s="156" t="n"/>
      <c r="S293" s="156" t="n"/>
      <c r="T293" s="156" t="n"/>
      <c r="U293" s="156" t="n"/>
      <c r="V293" s="156" t="inlineStr">
        <is>
          <t>PZS</t>
        </is>
      </c>
      <c r="W293" s="51" t="inlineStr">
        <is>
          <t>53101500</t>
        </is>
      </c>
      <c r="X293" s="156" t="n"/>
      <c r="Y293" s="54" t="n">
        <v>19.5</v>
      </c>
      <c r="Z293" s="54" t="n">
        <v>1723.97841</v>
      </c>
      <c r="AA293" s="55">
        <f>IF(AND(A293="", B293="", E293=""), "", IF(AB293="", "Válido", IF((LEN(AB293)-LEN(SUBSTITUTE(AB293,"; ","")))/2+1&gt;(LEN(AB293)-LEN(SUBSTITUTE(AB293,"[Aviso]","")))/7, "Con Incidencias", "Válido")))</f>
        <v/>
      </c>
      <c r="AB293" s="56">
        <f>IF(AND(A293="", B293="", E293=""), "", TEXTJOIN("; ", TRUE, IF(OR(TRIM(A293&amp;"")="", ISNUMBER(SEARCH("FALTA", A293))), "UPC faltante/inválido", ""), IF(AND(A293&lt;&gt;"", IFERROR(_xlfn.XMATCH(A293,$A$2:$A$653,0,1)&lt;&gt;_xlfn.XMATCH(A293,$A$2:$A$653,0,-1),FALSE)), "Código de barras duplicado", ""), IF(AND(E293&lt;&gt;"", COUNTIF($E$2:$E$653, E293)&gt;1), "SKU duplicado", ""), IF(OR(J293="", J293=""), "[Aviso] División no capturada ()", IF(ISNA(MATCH(J293, Criterios!$A$123:$A$126, 0)), "División no válida", "")), IF(OR(K293="", K293=""), "[Aviso] Categoría no capturada ()", IF(ISNA(MATCH(K293, Criterios!$A$81:$A$120, 0)), "Categoría no válida", IF(AND(J293&lt;&gt;"", J293&lt;&gt;"", J293&lt;&gt;VLOOKUP(K293, Criterios!$A$81:$B$120, 2, FALSE)), "División no coincide con Categoría", ""))), IF(OR(L293="", L293=""), "[Aviso] Género no capturado ()", IF(ISNA(MATCH(L293, Criterios!$B$123:$B$127, 0)), "Género no válido", "")), IF(OR(N293="", N293=""), "[Aviso] Temporada no capturada ()", IF(ISNA(MATCH(N293, Criterios!$C$123:$C$128, 0)), "Temporada no válida", "")), IF(OR(O293="", O293=""), "[Aviso] Ciclo de vida no capturado ()", IF(ISNA(MATCH(O293, Criterios!$D$123:$D$124, 0)), "Ciclo de vida no válido", ""))))</f>
        <v/>
      </c>
      <c r="AC293" s="56" t="n"/>
      <c r="AD293" s="51" t="n">
        <v>0</v>
      </c>
      <c r="AE293" s="156" t="n"/>
      <c r="AF293" s="51" t="n">
        <v>0</v>
      </c>
      <c r="AG293" s="156" t="inlineStr">
        <is>
          <t>Nuevo – NetSuite sin existencia</t>
        </is>
      </c>
      <c r="AH29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93" s="156" t="inlineStr">
        <is>
          <t>No</t>
        </is>
      </c>
      <c r="AJ293" s="156" t="n"/>
      <c r="AK293" s="155" t="inlineStr">
        <is>
          <t>G1522_Extraccion_Articulos_NetSuite_2026-09-30.xlsx: fila 43665</t>
        </is>
      </c>
      <c r="AL293" s="58" t="n"/>
      <c r="AM293" s="58" t="n"/>
      <c r="AN293" s="155" t="n"/>
      <c r="AO293" s="59" t="n"/>
      <c r="AP293" s="59" t="n"/>
      <c r="AQ293" s="59" t="n"/>
      <c r="AR293" s="155" t="n"/>
    </row>
    <row r="294">
      <c r="A294" s="50" t="inlineStr">
        <is>
          <t>5056658748660</t>
        </is>
      </c>
      <c r="B294" s="51" t="inlineStr">
        <is>
          <t>90803</t>
        </is>
      </c>
      <c r="C294" s="156" t="inlineStr">
        <is>
          <t>REFLO</t>
        </is>
      </c>
      <c r="D294" s="156" t="n"/>
      <c r="E294" s="156" t="n"/>
      <c r="F294" s="156" t="n"/>
      <c r="G294" s="156" t="n"/>
      <c r="H294" s="156" t="inlineStr">
        <is>
          <t>REFLO</t>
        </is>
      </c>
      <c r="I294" s="156" t="n"/>
      <c r="J294" s="156" t="n"/>
      <c r="K294" s="156" t="n"/>
      <c r="L294" s="156" t="n"/>
      <c r="M294" s="156" t="n"/>
      <c r="N294" s="156" t="n"/>
      <c r="O294" s="156" t="n"/>
      <c r="P294" s="156" t="n"/>
      <c r="Q294" s="156" t="n"/>
      <c r="R294" s="156" t="n"/>
      <c r="S294" s="156" t="n"/>
      <c r="T294" s="156" t="n"/>
      <c r="U294" s="156" t="n"/>
      <c r="V294" s="156" t="inlineStr">
        <is>
          <t>PZS</t>
        </is>
      </c>
      <c r="W294" s="51" t="inlineStr">
        <is>
          <t>53101500</t>
        </is>
      </c>
      <c r="X294" s="156" t="n"/>
      <c r="Y294" s="54" t="n">
        <v>19.5</v>
      </c>
      <c r="Z294" s="54" t="n">
        <v>1723.97841</v>
      </c>
      <c r="AA294" s="55">
        <f>IF(AND(A294="", B294="", E294=""), "", IF(AB294="", "Válido", IF((LEN(AB294)-LEN(SUBSTITUTE(AB294,"; ","")))/2+1&gt;(LEN(AB294)-LEN(SUBSTITUTE(AB294,"[Aviso]","")))/7, "Con Incidencias", "Válido")))</f>
        <v/>
      </c>
      <c r="AB294" s="56">
        <f>IF(AND(A294="", B294="", E294=""), "", TEXTJOIN("; ", TRUE, IF(OR(TRIM(A294&amp;"")="", ISNUMBER(SEARCH("FALTA", A294))), "UPC faltante/inválido", ""), IF(AND(A294&lt;&gt;"", IFERROR(_xlfn.XMATCH(A294,$A$2:$A$653,0,1)&lt;&gt;_xlfn.XMATCH(A294,$A$2:$A$653,0,-1),FALSE)), "Código de barras duplicado", ""), IF(AND(E294&lt;&gt;"", COUNTIF($E$2:$E$653, E294)&gt;1), "SKU duplicado", ""), IF(OR(J294="", J294=""), "[Aviso] División no capturada ()", IF(ISNA(MATCH(J294, Criterios!$A$123:$A$126, 0)), "División no válida", "")), IF(OR(K294="", K294=""), "[Aviso] Categoría no capturada ()", IF(ISNA(MATCH(K294, Criterios!$A$81:$A$120, 0)), "Categoría no válida", IF(AND(J294&lt;&gt;"", J294&lt;&gt;"", J294&lt;&gt;VLOOKUP(K294, Criterios!$A$81:$B$120, 2, FALSE)), "División no coincide con Categoría", ""))), IF(OR(L294="", L294=""), "[Aviso] Género no capturado ()", IF(ISNA(MATCH(L294, Criterios!$B$123:$B$127, 0)), "Género no válido", "")), IF(OR(N294="", N294=""), "[Aviso] Temporada no capturada ()", IF(ISNA(MATCH(N294, Criterios!$C$123:$C$128, 0)), "Temporada no válida", "")), IF(OR(O294="", O294=""), "[Aviso] Ciclo de vida no capturado ()", IF(ISNA(MATCH(O294, Criterios!$D$123:$D$124, 0)), "Ciclo de vida no válido", ""))))</f>
        <v/>
      </c>
      <c r="AC294" s="56" t="n"/>
      <c r="AD294" s="51" t="n">
        <v>0</v>
      </c>
      <c r="AE294" s="156" t="n"/>
      <c r="AF294" s="51" t="n">
        <v>0</v>
      </c>
      <c r="AG294" s="156" t="inlineStr">
        <is>
          <t>Nuevo – NetSuite sin existencia</t>
        </is>
      </c>
      <c r="AH29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94" s="156" t="inlineStr">
        <is>
          <t>No</t>
        </is>
      </c>
      <c r="AJ294" s="156" t="n"/>
      <c r="AK294" s="155" t="inlineStr">
        <is>
          <t>G1522_Extraccion_Articulos_NetSuite_2026-09-30.xlsx: fila 43666</t>
        </is>
      </c>
      <c r="AL294" s="58" t="n"/>
      <c r="AM294" s="58" t="n"/>
      <c r="AN294" s="155" t="n"/>
      <c r="AO294" s="59" t="n"/>
      <c r="AP294" s="59" t="n"/>
      <c r="AQ294" s="59" t="n"/>
      <c r="AR294" s="155" t="n"/>
    </row>
    <row r="295">
      <c r="A295" s="50" t="inlineStr">
        <is>
          <t>5056658708091</t>
        </is>
      </c>
      <c r="B295" s="51" t="inlineStr">
        <is>
          <t>90804</t>
        </is>
      </c>
      <c r="C295" s="156" t="inlineStr">
        <is>
          <t>REFLO</t>
        </is>
      </c>
      <c r="D295" s="156" t="n"/>
      <c r="E295" s="156" t="n"/>
      <c r="F295" s="156" t="n"/>
      <c r="G295" s="156" t="n"/>
      <c r="H295" s="156" t="inlineStr">
        <is>
          <t>REFLO</t>
        </is>
      </c>
      <c r="I295" s="156" t="n"/>
      <c r="J295" s="156" t="n"/>
      <c r="K295" s="156" t="n"/>
      <c r="L295" s="156" t="n"/>
      <c r="M295" s="156" t="n"/>
      <c r="N295" s="156" t="n"/>
      <c r="O295" s="156" t="n"/>
      <c r="P295" s="156" t="n"/>
      <c r="Q295" s="156" t="n"/>
      <c r="R295" s="156" t="n"/>
      <c r="S295" s="156" t="n"/>
      <c r="T295" s="156" t="n"/>
      <c r="U295" s="156" t="n"/>
      <c r="V295" s="156" t="inlineStr">
        <is>
          <t>PZS</t>
        </is>
      </c>
      <c r="W295" s="51" t="inlineStr">
        <is>
          <t>53103000</t>
        </is>
      </c>
      <c r="X295" s="156" t="n"/>
      <c r="Y295" s="54" t="n">
        <v>11.4</v>
      </c>
      <c r="Z295" s="54" t="n">
        <v>1007.8643</v>
      </c>
      <c r="AA295" s="55">
        <f>IF(AND(A295="", B295="", E295=""), "", IF(AB295="", "Válido", IF((LEN(AB295)-LEN(SUBSTITUTE(AB295,"; ","")))/2+1&gt;(LEN(AB295)-LEN(SUBSTITUTE(AB295,"[Aviso]","")))/7, "Con Incidencias", "Válido")))</f>
        <v/>
      </c>
      <c r="AB295" s="56">
        <f>IF(AND(A295="", B295="", E295=""), "", TEXTJOIN("; ", TRUE, IF(OR(TRIM(A295&amp;"")="", ISNUMBER(SEARCH("FALTA", A295))), "UPC faltante/inválido", ""), IF(AND(A295&lt;&gt;"", IFERROR(_xlfn.XMATCH(A295,$A$2:$A$653,0,1)&lt;&gt;_xlfn.XMATCH(A295,$A$2:$A$653,0,-1),FALSE)), "Código de barras duplicado", ""), IF(AND(E295&lt;&gt;"", COUNTIF($E$2:$E$653, E295)&gt;1), "SKU duplicado", ""), IF(OR(J295="", J295=""), "[Aviso] División no capturada ()", IF(ISNA(MATCH(J295, Criterios!$A$123:$A$126, 0)), "División no válida", "")), IF(OR(K295="", K295=""), "[Aviso] Categoría no capturada ()", IF(ISNA(MATCH(K295, Criterios!$A$81:$A$120, 0)), "Categoría no válida", IF(AND(J295&lt;&gt;"", J295&lt;&gt;"", J295&lt;&gt;VLOOKUP(K295, Criterios!$A$81:$B$120, 2, FALSE)), "División no coincide con Categoría", ""))), IF(OR(L295="", L295=""), "[Aviso] Género no capturado ()", IF(ISNA(MATCH(L295, Criterios!$B$123:$B$127, 0)), "Género no válido", "")), IF(OR(N295="", N295=""), "[Aviso] Temporada no capturada ()", IF(ISNA(MATCH(N295, Criterios!$C$123:$C$128, 0)), "Temporada no válida", "")), IF(OR(O295="", O295=""), "[Aviso] Ciclo de vida no capturado ()", IF(ISNA(MATCH(O295, Criterios!$D$123:$D$124, 0)), "Ciclo de vida no válido", ""))))</f>
        <v/>
      </c>
      <c r="AC295" s="56" t="n"/>
      <c r="AD295" s="51" t="n">
        <v>5</v>
      </c>
      <c r="AE295" s="156" t="n"/>
      <c r="AF295" s="51" t="n">
        <v>5</v>
      </c>
      <c r="AG295" s="156" t="inlineStr">
        <is>
          <t>Nuevo – NetSuite con existencia</t>
        </is>
      </c>
      <c r="AH29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95" s="156" t="inlineStr">
        <is>
          <t>No</t>
        </is>
      </c>
      <c r="AJ295" s="156" t="n"/>
      <c r="AK295" s="155" t="inlineStr">
        <is>
          <t>G1522_Extraccion_Articulos_NetSuite_2026-09-30.xlsx: fila 43667</t>
        </is>
      </c>
      <c r="AL295" s="58" t="n"/>
      <c r="AM295" s="58" t="n"/>
      <c r="AN295" s="155" t="n"/>
      <c r="AO295" s="59" t="n"/>
      <c r="AP295" s="59" t="n"/>
      <c r="AQ295" s="59" t="n"/>
      <c r="AR295" s="155" t="n"/>
    </row>
    <row r="296">
      <c r="A296" s="50" t="inlineStr">
        <is>
          <t>5056658708107</t>
        </is>
      </c>
      <c r="B296" s="51" t="inlineStr">
        <is>
          <t>90805</t>
        </is>
      </c>
      <c r="C296" s="156" t="inlineStr">
        <is>
          <t>REFLO</t>
        </is>
      </c>
      <c r="D296" s="156" t="n"/>
      <c r="E296" s="156" t="n"/>
      <c r="F296" s="156" t="n"/>
      <c r="G296" s="156" t="n"/>
      <c r="H296" s="156" t="inlineStr">
        <is>
          <t>REFLO</t>
        </is>
      </c>
      <c r="I296" s="156" t="n"/>
      <c r="J296" s="156" t="n"/>
      <c r="K296" s="156" t="n"/>
      <c r="L296" s="156" t="n"/>
      <c r="M296" s="156" t="n"/>
      <c r="N296" s="156" t="n"/>
      <c r="O296" s="156" t="n"/>
      <c r="P296" s="156" t="n"/>
      <c r="Q296" s="156" t="n"/>
      <c r="R296" s="156" t="n"/>
      <c r="S296" s="156" t="n"/>
      <c r="T296" s="156" t="n"/>
      <c r="U296" s="156" t="n"/>
      <c r="V296" s="156" t="inlineStr">
        <is>
          <t>PZS</t>
        </is>
      </c>
      <c r="W296" s="51" t="inlineStr">
        <is>
          <t>53103000</t>
        </is>
      </c>
      <c r="X296" s="156" t="n"/>
      <c r="Y296" s="54" t="n">
        <v>11.4</v>
      </c>
      <c r="Z296" s="54" t="n">
        <v>1007.8643</v>
      </c>
      <c r="AA296" s="55">
        <f>IF(AND(A296="", B296="", E296=""), "", IF(AB296="", "Válido", IF((LEN(AB296)-LEN(SUBSTITUTE(AB296,"; ","")))/2+1&gt;(LEN(AB296)-LEN(SUBSTITUTE(AB296,"[Aviso]","")))/7, "Con Incidencias", "Válido")))</f>
        <v/>
      </c>
      <c r="AB296" s="56">
        <f>IF(AND(A296="", B296="", E296=""), "", TEXTJOIN("; ", TRUE, IF(OR(TRIM(A296&amp;"")="", ISNUMBER(SEARCH("FALTA", A296))), "UPC faltante/inválido", ""), IF(AND(A296&lt;&gt;"", IFERROR(_xlfn.XMATCH(A296,$A$2:$A$653,0,1)&lt;&gt;_xlfn.XMATCH(A296,$A$2:$A$653,0,-1),FALSE)), "Código de barras duplicado", ""), IF(AND(E296&lt;&gt;"", COUNTIF($E$2:$E$653, E296)&gt;1), "SKU duplicado", ""), IF(OR(J296="", J296=""), "[Aviso] División no capturada ()", IF(ISNA(MATCH(J296, Criterios!$A$123:$A$126, 0)), "División no válida", "")), IF(OR(K296="", K296=""), "[Aviso] Categoría no capturada ()", IF(ISNA(MATCH(K296, Criterios!$A$81:$A$120, 0)), "Categoría no válida", IF(AND(J296&lt;&gt;"", J296&lt;&gt;"", J296&lt;&gt;VLOOKUP(K296, Criterios!$A$81:$B$120, 2, FALSE)), "División no coincide con Categoría", ""))), IF(OR(L296="", L296=""), "[Aviso] Género no capturado ()", IF(ISNA(MATCH(L296, Criterios!$B$123:$B$127, 0)), "Género no válido", "")), IF(OR(N296="", N296=""), "[Aviso] Temporada no capturada ()", IF(ISNA(MATCH(N296, Criterios!$C$123:$C$128, 0)), "Temporada no válida", "")), IF(OR(O296="", O296=""), "[Aviso] Ciclo de vida no capturado ()", IF(ISNA(MATCH(O296, Criterios!$D$123:$D$124, 0)), "Ciclo de vida no válido", ""))))</f>
        <v/>
      </c>
      <c r="AC296" s="56" t="n"/>
      <c r="AD296" s="51" t="n">
        <v>13</v>
      </c>
      <c r="AE296" s="156" t="n"/>
      <c r="AF296" s="51" t="n">
        <v>13</v>
      </c>
      <c r="AG296" s="156" t="inlineStr">
        <is>
          <t>Nuevo – NetSuite con existencia</t>
        </is>
      </c>
      <c r="AH29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96" s="156" t="inlineStr">
        <is>
          <t>No</t>
        </is>
      </c>
      <c r="AJ296" s="156" t="n"/>
      <c r="AK296" s="155" t="inlineStr">
        <is>
          <t>G1522_Extraccion_Articulos_NetSuite_2026-09-30.xlsx: fila 43668</t>
        </is>
      </c>
      <c r="AL296" s="58" t="n"/>
      <c r="AM296" s="58" t="n"/>
      <c r="AN296" s="155" t="n"/>
      <c r="AO296" s="59" t="n"/>
      <c r="AP296" s="59" t="n"/>
      <c r="AQ296" s="59" t="n"/>
      <c r="AR296" s="155" t="n"/>
    </row>
    <row r="297">
      <c r="A297" s="50" t="inlineStr">
        <is>
          <t>5056658708114</t>
        </is>
      </c>
      <c r="B297" s="51" t="inlineStr">
        <is>
          <t>90806</t>
        </is>
      </c>
      <c r="C297" s="156" t="inlineStr">
        <is>
          <t>REFLO</t>
        </is>
      </c>
      <c r="D297" s="156" t="n"/>
      <c r="E297" s="156" t="n"/>
      <c r="F297" s="156" t="n"/>
      <c r="G297" s="156" t="n"/>
      <c r="H297" s="156" t="inlineStr">
        <is>
          <t>REFLO</t>
        </is>
      </c>
      <c r="I297" s="156" t="n"/>
      <c r="J297" s="156" t="n"/>
      <c r="K297" s="156" t="n"/>
      <c r="L297" s="156" t="n"/>
      <c r="M297" s="156" t="n"/>
      <c r="N297" s="156" t="n"/>
      <c r="O297" s="156" t="n"/>
      <c r="P297" s="156" t="n"/>
      <c r="Q297" s="156" t="n"/>
      <c r="R297" s="156" t="n"/>
      <c r="S297" s="156" t="n"/>
      <c r="T297" s="156" t="n"/>
      <c r="U297" s="156" t="n"/>
      <c r="V297" s="156" t="inlineStr">
        <is>
          <t>PZS</t>
        </is>
      </c>
      <c r="W297" s="51" t="inlineStr">
        <is>
          <t>53103000</t>
        </is>
      </c>
      <c r="X297" s="156" t="n"/>
      <c r="Y297" s="54" t="n">
        <v>11.4</v>
      </c>
      <c r="Z297" s="54" t="n">
        <v>1007.8643</v>
      </c>
      <c r="AA297" s="55">
        <f>IF(AND(A297="", B297="", E297=""), "", IF(AB297="", "Válido", IF((LEN(AB297)-LEN(SUBSTITUTE(AB297,"; ","")))/2+1&gt;(LEN(AB297)-LEN(SUBSTITUTE(AB297,"[Aviso]","")))/7, "Con Incidencias", "Válido")))</f>
        <v/>
      </c>
      <c r="AB297" s="56">
        <f>IF(AND(A297="", B297="", E297=""), "", TEXTJOIN("; ", TRUE, IF(OR(TRIM(A297&amp;"")="", ISNUMBER(SEARCH("FALTA", A297))), "UPC faltante/inválido", ""), IF(AND(A297&lt;&gt;"", IFERROR(_xlfn.XMATCH(A297,$A$2:$A$653,0,1)&lt;&gt;_xlfn.XMATCH(A297,$A$2:$A$653,0,-1),FALSE)), "Código de barras duplicado", ""), IF(AND(E297&lt;&gt;"", COUNTIF($E$2:$E$653, E297)&gt;1), "SKU duplicado", ""), IF(OR(J297="", J297=""), "[Aviso] División no capturada ()", IF(ISNA(MATCH(J297, Criterios!$A$123:$A$126, 0)), "División no válida", "")), IF(OR(K297="", K297=""), "[Aviso] Categoría no capturada ()", IF(ISNA(MATCH(K297, Criterios!$A$81:$A$120, 0)), "Categoría no válida", IF(AND(J297&lt;&gt;"", J297&lt;&gt;"", J297&lt;&gt;VLOOKUP(K297, Criterios!$A$81:$B$120, 2, FALSE)), "División no coincide con Categoría", ""))), IF(OR(L297="", L297=""), "[Aviso] Género no capturado ()", IF(ISNA(MATCH(L297, Criterios!$B$123:$B$127, 0)), "Género no válido", "")), IF(OR(N297="", N297=""), "[Aviso] Temporada no capturada ()", IF(ISNA(MATCH(N297, Criterios!$C$123:$C$128, 0)), "Temporada no válida", "")), IF(OR(O297="", O297=""), "[Aviso] Ciclo de vida no capturado ()", IF(ISNA(MATCH(O297, Criterios!$D$123:$D$124, 0)), "Ciclo de vida no válido", ""))))</f>
        <v/>
      </c>
      <c r="AC297" s="56" t="n"/>
      <c r="AD297" s="51" t="n">
        <v>14</v>
      </c>
      <c r="AE297" s="156" t="n"/>
      <c r="AF297" s="51" t="n">
        <v>14</v>
      </c>
      <c r="AG297" s="156" t="inlineStr">
        <is>
          <t>Nuevo – NetSuite con existencia</t>
        </is>
      </c>
      <c r="AH29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</t>
        </is>
      </c>
      <c r="AI297" s="156" t="inlineStr">
        <is>
          <t>No</t>
        </is>
      </c>
      <c r="AJ297" s="156" t="n"/>
      <c r="AK297" s="155" t="inlineStr">
        <is>
          <t>G1522_Extraccion_Articulos_NetSuite_2026-09-30.xlsx: fila 43669</t>
        </is>
      </c>
      <c r="AL297" s="58" t="n"/>
      <c r="AM297" s="58" t="n"/>
      <c r="AN297" s="155" t="n"/>
      <c r="AO297" s="59" t="n"/>
      <c r="AP297" s="59" t="n"/>
      <c r="AQ297" s="59" t="n"/>
      <c r="AR297" s="155" t="n"/>
    </row>
    <row r="298">
      <c r="A298" s="50" t="inlineStr">
        <is>
          <t>5056658705809</t>
        </is>
      </c>
      <c r="B298" s="51" t="inlineStr">
        <is>
          <t>90807</t>
        </is>
      </c>
      <c r="C298" s="156" t="inlineStr">
        <is>
          <t>REFLO</t>
        </is>
      </c>
      <c r="D298" s="156" t="n"/>
      <c r="E298" s="156" t="n"/>
      <c r="F298" s="156" t="n"/>
      <c r="G298" s="156" t="n"/>
      <c r="H298" s="156" t="inlineStr">
        <is>
          <t>REFLO</t>
        </is>
      </c>
      <c r="I298" s="156" t="n"/>
      <c r="J298" s="156" t="n"/>
      <c r="K298" s="156" t="n"/>
      <c r="L298" s="156" t="n"/>
      <c r="M298" s="156" t="n"/>
      <c r="N298" s="156" t="n"/>
      <c r="O298" s="156" t="n"/>
      <c r="P298" s="156" t="n"/>
      <c r="Q298" s="156" t="n"/>
      <c r="R298" s="156" t="n"/>
      <c r="S298" s="156" t="n"/>
      <c r="T298" s="156" t="n"/>
      <c r="U298" s="156" t="n"/>
      <c r="V298" s="156" t="inlineStr">
        <is>
          <t>PZS</t>
        </is>
      </c>
      <c r="W298" s="51" t="inlineStr">
        <is>
          <t>53103000</t>
        </is>
      </c>
      <c r="X298" s="156" t="n"/>
      <c r="Y298" s="54" t="n">
        <v>22.75</v>
      </c>
      <c r="Z298" s="54" t="n">
        <v>2011.30815</v>
      </c>
      <c r="AA298" s="55">
        <f>IF(AND(A298="", B298="", E298=""), "", IF(AB298="", "Válido", IF((LEN(AB298)-LEN(SUBSTITUTE(AB298,"; ","")))/2+1&gt;(LEN(AB298)-LEN(SUBSTITUTE(AB298,"[Aviso]","")))/7, "Con Incidencias", "Válido")))</f>
        <v/>
      </c>
      <c r="AB298" s="56">
        <f>IF(AND(A298="", B298="", E298=""), "", TEXTJOIN("; ", TRUE, IF(OR(TRIM(A298&amp;"")="", ISNUMBER(SEARCH("FALTA", A298))), "UPC faltante/inválido", ""), IF(AND(A298&lt;&gt;"", IFERROR(_xlfn.XMATCH(A298,$A$2:$A$653,0,1)&lt;&gt;_xlfn.XMATCH(A298,$A$2:$A$653,0,-1),FALSE)), "Código de barras duplicado", ""), IF(AND(E298&lt;&gt;"", COUNTIF($E$2:$E$653, E298)&gt;1), "SKU duplicado", ""), IF(OR(J298="", J298=""), "[Aviso] División no capturada ()", IF(ISNA(MATCH(J298, Criterios!$A$123:$A$126, 0)), "División no válida", "")), IF(OR(K298="", K298=""), "[Aviso] Categoría no capturada ()", IF(ISNA(MATCH(K298, Criterios!$A$81:$A$120, 0)), "Categoría no válida", IF(AND(J298&lt;&gt;"", J298&lt;&gt;"", J298&lt;&gt;VLOOKUP(K298, Criterios!$A$81:$B$120, 2, FALSE)), "División no coincide con Categoría", ""))), IF(OR(L298="", L298=""), "[Aviso] Género no capturado ()", IF(ISNA(MATCH(L298, Criterios!$B$123:$B$127, 0)), "Género no válido", "")), IF(OR(N298="", N298=""), "[Aviso] Temporada no capturada ()", IF(ISNA(MATCH(N298, Criterios!$C$123:$C$128, 0)), "Temporada no válida", "")), IF(OR(O298="", O298=""), "[Aviso] Ciclo de vida no capturado ()", IF(ISNA(MATCH(O298, Criterios!$D$123:$D$124, 0)), "Ciclo de vida no válido", ""))))</f>
        <v/>
      </c>
      <c r="AC298" s="56" t="n"/>
      <c r="AD298" s="51" t="n">
        <v>0</v>
      </c>
      <c r="AE298" s="156" t="n"/>
      <c r="AF298" s="51" t="n">
        <v>0</v>
      </c>
      <c r="AG298" s="156" t="inlineStr">
        <is>
          <t>Nuevo – NetSuite sin existencia</t>
        </is>
      </c>
      <c r="AH29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98" s="156" t="inlineStr">
        <is>
          <t>No</t>
        </is>
      </c>
      <c r="AJ298" s="156" t="n"/>
      <c r="AK298" s="155" t="inlineStr">
        <is>
          <t>G1522_Extraccion_Articulos_NetSuite_2026-09-30.xlsx: fila 43670</t>
        </is>
      </c>
      <c r="AL298" s="58" t="n"/>
      <c r="AM298" s="58" t="n"/>
      <c r="AN298" s="155" t="n"/>
      <c r="AO298" s="59" t="n"/>
      <c r="AP298" s="59" t="n"/>
      <c r="AQ298" s="59" t="n"/>
      <c r="AR298" s="155" t="n"/>
    </row>
    <row r="299">
      <c r="A299" s="50" t="inlineStr">
        <is>
          <t>5056658705816</t>
        </is>
      </c>
      <c r="B299" s="51" t="inlineStr">
        <is>
          <t>90808</t>
        </is>
      </c>
      <c r="C299" s="156" t="inlineStr">
        <is>
          <t>REFLO</t>
        </is>
      </c>
      <c r="D299" s="156" t="n"/>
      <c r="E299" s="156" t="n"/>
      <c r="F299" s="156" t="n"/>
      <c r="G299" s="156" t="n"/>
      <c r="H299" s="156" t="inlineStr">
        <is>
          <t>REFLO</t>
        </is>
      </c>
      <c r="I299" s="156" t="n"/>
      <c r="J299" s="156" t="n"/>
      <c r="K299" s="156" t="n"/>
      <c r="L299" s="156" t="n"/>
      <c r="M299" s="156" t="n"/>
      <c r="N299" s="156" t="n"/>
      <c r="O299" s="156" t="n"/>
      <c r="P299" s="156" t="n"/>
      <c r="Q299" s="156" t="n"/>
      <c r="R299" s="156" t="n"/>
      <c r="S299" s="156" t="n"/>
      <c r="T299" s="156" t="n"/>
      <c r="U299" s="156" t="n"/>
      <c r="V299" s="156" t="inlineStr">
        <is>
          <t>PZS</t>
        </is>
      </c>
      <c r="W299" s="51" t="inlineStr">
        <is>
          <t>53103000</t>
        </is>
      </c>
      <c r="X299" s="156" t="n"/>
      <c r="Y299" s="54" t="n">
        <v>22.75</v>
      </c>
      <c r="Z299" s="54" t="n">
        <v>2011.30815</v>
      </c>
      <c r="AA299" s="55">
        <f>IF(AND(A299="", B299="", E299=""), "", IF(AB299="", "Válido", IF((LEN(AB299)-LEN(SUBSTITUTE(AB299,"; ","")))/2+1&gt;(LEN(AB299)-LEN(SUBSTITUTE(AB299,"[Aviso]","")))/7, "Con Incidencias", "Válido")))</f>
        <v/>
      </c>
      <c r="AB299" s="56">
        <f>IF(AND(A299="", B299="", E299=""), "", TEXTJOIN("; ", TRUE, IF(OR(TRIM(A299&amp;"")="", ISNUMBER(SEARCH("FALTA", A299))), "UPC faltante/inválido", ""), IF(AND(A299&lt;&gt;"", IFERROR(_xlfn.XMATCH(A299,$A$2:$A$653,0,1)&lt;&gt;_xlfn.XMATCH(A299,$A$2:$A$653,0,-1),FALSE)), "Código de barras duplicado", ""), IF(AND(E299&lt;&gt;"", COUNTIF($E$2:$E$653, E299)&gt;1), "SKU duplicado", ""), IF(OR(J299="", J299=""), "[Aviso] División no capturada ()", IF(ISNA(MATCH(J299, Criterios!$A$123:$A$126, 0)), "División no válida", "")), IF(OR(K299="", K299=""), "[Aviso] Categoría no capturada ()", IF(ISNA(MATCH(K299, Criterios!$A$81:$A$120, 0)), "Categoría no válida", IF(AND(J299&lt;&gt;"", J299&lt;&gt;"", J299&lt;&gt;VLOOKUP(K299, Criterios!$A$81:$B$120, 2, FALSE)), "División no coincide con Categoría", ""))), IF(OR(L299="", L299=""), "[Aviso] Género no capturado ()", IF(ISNA(MATCH(L299, Criterios!$B$123:$B$127, 0)), "Género no válido", "")), IF(OR(N299="", N299=""), "[Aviso] Temporada no capturada ()", IF(ISNA(MATCH(N299, Criterios!$C$123:$C$128, 0)), "Temporada no válida", "")), IF(OR(O299="", O299=""), "[Aviso] Ciclo de vida no capturado ()", IF(ISNA(MATCH(O299, Criterios!$D$123:$D$124, 0)), "Ciclo de vida no válido", ""))))</f>
        <v/>
      </c>
      <c r="AC299" s="56" t="n"/>
      <c r="AD299" s="51" t="n">
        <v>0</v>
      </c>
      <c r="AE299" s="156" t="n"/>
      <c r="AF299" s="51" t="n">
        <v>0</v>
      </c>
      <c r="AG299" s="156" t="inlineStr">
        <is>
          <t>Nuevo – NetSuite sin existencia</t>
        </is>
      </c>
      <c r="AH29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99" s="156" t="inlineStr">
        <is>
          <t>No</t>
        </is>
      </c>
      <c r="AJ299" s="156" t="n"/>
      <c r="AK299" s="155" t="inlineStr">
        <is>
          <t>G1522_Extraccion_Articulos_NetSuite_2026-09-30.xlsx: fila 43671</t>
        </is>
      </c>
      <c r="AL299" s="58" t="n"/>
      <c r="AM299" s="58" t="n"/>
      <c r="AN299" s="155" t="n"/>
      <c r="AO299" s="59" t="n"/>
      <c r="AP299" s="59" t="n"/>
      <c r="AQ299" s="59" t="n"/>
      <c r="AR299" s="155" t="n"/>
    </row>
    <row r="300">
      <c r="A300" s="50" t="inlineStr">
        <is>
          <t>5056658700774</t>
        </is>
      </c>
      <c r="B300" s="51" t="inlineStr">
        <is>
          <t>90809</t>
        </is>
      </c>
      <c r="C300" s="156" t="inlineStr">
        <is>
          <t>REFLO</t>
        </is>
      </c>
      <c r="D300" s="156" t="n"/>
      <c r="E300" s="156" t="n"/>
      <c r="F300" s="156" t="n"/>
      <c r="G300" s="156" t="n"/>
      <c r="H300" s="156" t="inlineStr">
        <is>
          <t>REFLO</t>
        </is>
      </c>
      <c r="I300" s="156" t="n"/>
      <c r="J300" s="156" t="n"/>
      <c r="K300" s="156" t="n"/>
      <c r="L300" s="156" t="n"/>
      <c r="M300" s="156" t="n"/>
      <c r="N300" s="156" t="n"/>
      <c r="O300" s="156" t="n"/>
      <c r="P300" s="156" t="n"/>
      <c r="Q300" s="156" t="n"/>
      <c r="R300" s="156" t="n"/>
      <c r="S300" s="156" t="n"/>
      <c r="T300" s="156" t="n"/>
      <c r="U300" s="156" t="n"/>
      <c r="V300" s="156" t="inlineStr">
        <is>
          <t>PZS</t>
        </is>
      </c>
      <c r="W300" s="51" t="inlineStr">
        <is>
          <t>53103000</t>
        </is>
      </c>
      <c r="X300" s="156" t="n"/>
      <c r="Y300" s="54" t="n">
        <v>16.9</v>
      </c>
      <c r="Z300" s="54" t="n">
        <v>1494.11463</v>
      </c>
      <c r="AA300" s="55">
        <f>IF(AND(A300="", B300="", E300=""), "", IF(AB300="", "Válido", IF((LEN(AB300)-LEN(SUBSTITUTE(AB300,"; ","")))/2+1&gt;(LEN(AB300)-LEN(SUBSTITUTE(AB300,"[Aviso]","")))/7, "Con Incidencias", "Válido")))</f>
        <v/>
      </c>
      <c r="AB300" s="56">
        <f>IF(AND(A300="", B300="", E300=""), "", TEXTJOIN("; ", TRUE, IF(OR(TRIM(A300&amp;"")="", ISNUMBER(SEARCH("FALTA", A300))), "UPC faltante/inválido", ""), IF(AND(A300&lt;&gt;"", IFERROR(_xlfn.XMATCH(A300,$A$2:$A$653,0,1)&lt;&gt;_xlfn.XMATCH(A300,$A$2:$A$653,0,-1),FALSE)), "Código de barras duplicado", ""), IF(AND(E300&lt;&gt;"", COUNTIF($E$2:$E$653, E300)&gt;1), "SKU duplicado", ""), IF(OR(J300="", J300=""), "[Aviso] División no capturada ()", IF(ISNA(MATCH(J300, Criterios!$A$123:$A$126, 0)), "División no válida", "")), IF(OR(K300="", K300=""), "[Aviso] Categoría no capturada ()", IF(ISNA(MATCH(K300, Criterios!$A$81:$A$120, 0)), "Categoría no válida", IF(AND(J300&lt;&gt;"", J300&lt;&gt;"", J300&lt;&gt;VLOOKUP(K300, Criterios!$A$81:$B$120, 2, FALSE)), "División no coincide con Categoría", ""))), IF(OR(L300="", L300=""), "[Aviso] Género no capturado ()", IF(ISNA(MATCH(L300, Criterios!$B$123:$B$127, 0)), "Género no válido", "")), IF(OR(N300="", N300=""), "[Aviso] Temporada no capturada ()", IF(ISNA(MATCH(N300, Criterios!$C$123:$C$128, 0)), "Temporada no válida", "")), IF(OR(O300="", O300=""), "[Aviso] Ciclo de vida no capturado ()", IF(ISNA(MATCH(O300, Criterios!$D$123:$D$124, 0)), "Ciclo de vida no válido", ""))))</f>
        <v/>
      </c>
      <c r="AC300" s="56" t="n"/>
      <c r="AD300" s="51" t="n">
        <v>0</v>
      </c>
      <c r="AE300" s="156" t="n"/>
      <c r="AF300" s="51" t="n">
        <v>0</v>
      </c>
      <c r="AG300" s="156" t="inlineStr">
        <is>
          <t>Nuevo – NetSuite sin existencia</t>
        </is>
      </c>
      <c r="AH30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00" s="156" t="inlineStr">
        <is>
          <t>No</t>
        </is>
      </c>
      <c r="AJ300" s="156" t="n"/>
      <c r="AK300" s="155" t="inlineStr">
        <is>
          <t>G1522_Extraccion_Articulos_NetSuite_2026-09-30.xlsx: fila 43672</t>
        </is>
      </c>
      <c r="AL300" s="58" t="n"/>
      <c r="AM300" s="58" t="n"/>
      <c r="AN300" s="155" t="n"/>
      <c r="AO300" s="59" t="n"/>
      <c r="AP300" s="59" t="n"/>
      <c r="AQ300" s="59" t="n"/>
      <c r="AR300" s="155" t="n"/>
    </row>
    <row r="301">
      <c r="A301" s="50" t="inlineStr">
        <is>
          <t>5056658700781</t>
        </is>
      </c>
      <c r="B301" s="51" t="inlineStr">
        <is>
          <t>90810</t>
        </is>
      </c>
      <c r="C301" s="156" t="inlineStr">
        <is>
          <t>REFLO</t>
        </is>
      </c>
      <c r="D301" s="156" t="n"/>
      <c r="E301" s="156" t="n"/>
      <c r="F301" s="156" t="n"/>
      <c r="G301" s="156" t="n"/>
      <c r="H301" s="156" t="inlineStr">
        <is>
          <t>REFLO</t>
        </is>
      </c>
      <c r="I301" s="156" t="n"/>
      <c r="J301" s="156" t="n"/>
      <c r="K301" s="156" t="n"/>
      <c r="L301" s="156" t="n"/>
      <c r="M301" s="156" t="n"/>
      <c r="N301" s="156" t="n"/>
      <c r="O301" s="156" t="n"/>
      <c r="P301" s="156" t="n"/>
      <c r="Q301" s="156" t="n"/>
      <c r="R301" s="156" t="n"/>
      <c r="S301" s="156" t="n"/>
      <c r="T301" s="156" t="n"/>
      <c r="U301" s="156" t="n"/>
      <c r="V301" s="156" t="inlineStr">
        <is>
          <t>PZS</t>
        </is>
      </c>
      <c r="W301" s="51" t="inlineStr">
        <is>
          <t>53103000</t>
        </is>
      </c>
      <c r="X301" s="156" t="n"/>
      <c r="Y301" s="54" t="n">
        <v>16.9</v>
      </c>
      <c r="Z301" s="54" t="n">
        <v>1494.11463</v>
      </c>
      <c r="AA301" s="55">
        <f>IF(AND(A301="", B301="", E301=""), "", IF(AB301="", "Válido", IF((LEN(AB301)-LEN(SUBSTITUTE(AB301,"; ","")))/2+1&gt;(LEN(AB301)-LEN(SUBSTITUTE(AB301,"[Aviso]","")))/7, "Con Incidencias", "Válido")))</f>
        <v/>
      </c>
      <c r="AB301" s="56">
        <f>IF(AND(A301="", B301="", E301=""), "", TEXTJOIN("; ", TRUE, IF(OR(TRIM(A301&amp;"")="", ISNUMBER(SEARCH("FALTA", A301))), "UPC faltante/inválido", ""), IF(AND(A301&lt;&gt;"", IFERROR(_xlfn.XMATCH(A301,$A$2:$A$653,0,1)&lt;&gt;_xlfn.XMATCH(A301,$A$2:$A$653,0,-1),FALSE)), "Código de barras duplicado", ""), IF(AND(E301&lt;&gt;"", COUNTIF($E$2:$E$653, E301)&gt;1), "SKU duplicado", ""), IF(OR(J301="", J301=""), "[Aviso] División no capturada ()", IF(ISNA(MATCH(J301, Criterios!$A$123:$A$126, 0)), "División no válida", "")), IF(OR(K301="", K301=""), "[Aviso] Categoría no capturada ()", IF(ISNA(MATCH(K301, Criterios!$A$81:$A$120, 0)), "Categoría no válida", IF(AND(J301&lt;&gt;"", J301&lt;&gt;"", J301&lt;&gt;VLOOKUP(K301, Criterios!$A$81:$B$120, 2, FALSE)), "División no coincide con Categoría", ""))), IF(OR(L301="", L301=""), "[Aviso] Género no capturado ()", IF(ISNA(MATCH(L301, Criterios!$B$123:$B$127, 0)), "Género no válido", "")), IF(OR(N301="", N301=""), "[Aviso] Temporada no capturada ()", IF(ISNA(MATCH(N301, Criterios!$C$123:$C$128, 0)), "Temporada no válida", "")), IF(OR(O301="", O301=""), "[Aviso] Ciclo de vida no capturado ()", IF(ISNA(MATCH(O301, Criterios!$D$123:$D$124, 0)), "Ciclo de vida no válido", ""))))</f>
        <v/>
      </c>
      <c r="AC301" s="56" t="n"/>
      <c r="AD301" s="51" t="n">
        <v>0</v>
      </c>
      <c r="AE301" s="156" t="n"/>
      <c r="AF301" s="51" t="n">
        <v>0</v>
      </c>
      <c r="AG301" s="156" t="inlineStr">
        <is>
          <t>Nuevo – NetSuite sin existencia</t>
        </is>
      </c>
      <c r="AH30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01" s="156" t="inlineStr">
        <is>
          <t>No</t>
        </is>
      </c>
      <c r="AJ301" s="156" t="n"/>
      <c r="AK301" s="155" t="inlineStr">
        <is>
          <t>G1522_Extraccion_Articulos_NetSuite_2026-09-30.xlsx: fila 43673</t>
        </is>
      </c>
      <c r="AL301" s="58" t="n"/>
      <c r="AM301" s="58" t="n"/>
      <c r="AN301" s="155" t="n"/>
      <c r="AO301" s="59" t="n"/>
      <c r="AP301" s="59" t="n"/>
      <c r="AQ301" s="59" t="n"/>
      <c r="AR301" s="155" t="n"/>
    </row>
    <row r="302">
      <c r="A302" s="50" t="inlineStr">
        <is>
          <t>5056658700798</t>
        </is>
      </c>
      <c r="B302" s="51" t="inlineStr">
        <is>
          <t>90811</t>
        </is>
      </c>
      <c r="C302" s="156" t="inlineStr">
        <is>
          <t>REFLO</t>
        </is>
      </c>
      <c r="D302" s="156" t="n"/>
      <c r="E302" s="156" t="n"/>
      <c r="F302" s="156" t="n"/>
      <c r="G302" s="156" t="n"/>
      <c r="H302" s="156" t="inlineStr">
        <is>
          <t>REFLO</t>
        </is>
      </c>
      <c r="I302" s="156" t="n"/>
      <c r="J302" s="156" t="n"/>
      <c r="K302" s="156" t="n"/>
      <c r="L302" s="156" t="n"/>
      <c r="M302" s="156" t="n"/>
      <c r="N302" s="156" t="n"/>
      <c r="O302" s="156" t="n"/>
      <c r="P302" s="156" t="n"/>
      <c r="Q302" s="156" t="n"/>
      <c r="R302" s="156" t="n"/>
      <c r="S302" s="156" t="n"/>
      <c r="T302" s="156" t="n"/>
      <c r="U302" s="156" t="n"/>
      <c r="V302" s="156" t="inlineStr">
        <is>
          <t>PZS</t>
        </is>
      </c>
      <c r="W302" s="51" t="inlineStr">
        <is>
          <t>53103000</t>
        </is>
      </c>
      <c r="X302" s="156" t="n"/>
      <c r="Y302" s="54" t="n">
        <v>16.9</v>
      </c>
      <c r="Z302" s="54" t="n">
        <v>1494.11463</v>
      </c>
      <c r="AA302" s="55">
        <f>IF(AND(A302="", B302="", E302=""), "", IF(AB302="", "Válido", IF((LEN(AB302)-LEN(SUBSTITUTE(AB302,"; ","")))/2+1&gt;(LEN(AB302)-LEN(SUBSTITUTE(AB302,"[Aviso]","")))/7, "Con Incidencias", "Válido")))</f>
        <v/>
      </c>
      <c r="AB302" s="56">
        <f>IF(AND(A302="", B302="", E302=""), "", TEXTJOIN("; ", TRUE, IF(OR(TRIM(A302&amp;"")="", ISNUMBER(SEARCH("FALTA", A302))), "UPC faltante/inválido", ""), IF(AND(A302&lt;&gt;"", IFERROR(_xlfn.XMATCH(A302,$A$2:$A$653,0,1)&lt;&gt;_xlfn.XMATCH(A302,$A$2:$A$653,0,-1),FALSE)), "Código de barras duplicado", ""), IF(AND(E302&lt;&gt;"", COUNTIF($E$2:$E$653, E302)&gt;1), "SKU duplicado", ""), IF(OR(J302="", J302=""), "[Aviso] División no capturada ()", IF(ISNA(MATCH(J302, Criterios!$A$123:$A$126, 0)), "División no válida", "")), IF(OR(K302="", K302=""), "[Aviso] Categoría no capturada ()", IF(ISNA(MATCH(K302, Criterios!$A$81:$A$120, 0)), "Categoría no válida", IF(AND(J302&lt;&gt;"", J302&lt;&gt;"", J302&lt;&gt;VLOOKUP(K302, Criterios!$A$81:$B$120, 2, FALSE)), "División no coincide con Categoría", ""))), IF(OR(L302="", L302=""), "[Aviso] Género no capturado ()", IF(ISNA(MATCH(L302, Criterios!$B$123:$B$127, 0)), "Género no válido", "")), IF(OR(N302="", N302=""), "[Aviso] Temporada no capturada ()", IF(ISNA(MATCH(N302, Criterios!$C$123:$C$128, 0)), "Temporada no válida", "")), IF(OR(O302="", O302=""), "[Aviso] Ciclo de vida no capturado ()", IF(ISNA(MATCH(O302, Criterios!$D$123:$D$124, 0)), "Ciclo de vida no válido", ""))))</f>
        <v/>
      </c>
      <c r="AC302" s="56" t="n"/>
      <c r="AD302" s="51" t="n">
        <v>0</v>
      </c>
      <c r="AE302" s="156" t="n"/>
      <c r="AF302" s="51" t="n">
        <v>0</v>
      </c>
      <c r="AG302" s="156" t="inlineStr">
        <is>
          <t>Nuevo – NetSuite sin existencia</t>
        </is>
      </c>
      <c r="AH30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02" s="156" t="inlineStr">
        <is>
          <t>No</t>
        </is>
      </c>
      <c r="AJ302" s="156" t="n"/>
      <c r="AK302" s="155" t="inlineStr">
        <is>
          <t>G1522_Extraccion_Articulos_NetSuite_2026-09-30.xlsx: fila 43674</t>
        </is>
      </c>
      <c r="AL302" s="58" t="n"/>
      <c r="AM302" s="58" t="n"/>
      <c r="AN302" s="155" t="n"/>
      <c r="AO302" s="59" t="n"/>
      <c r="AP302" s="59" t="n"/>
      <c r="AQ302" s="59" t="n"/>
      <c r="AR302" s="155" t="n"/>
    </row>
    <row r="303">
      <c r="A303" s="50" t="inlineStr">
        <is>
          <t>5056658748677</t>
        </is>
      </c>
      <c r="B303" s="51" t="inlineStr">
        <is>
          <t>90812</t>
        </is>
      </c>
      <c r="C303" s="156" t="inlineStr">
        <is>
          <t>REFLO</t>
        </is>
      </c>
      <c r="D303" s="156" t="n"/>
      <c r="E303" s="156" t="n"/>
      <c r="F303" s="156" t="n"/>
      <c r="G303" s="156" t="n"/>
      <c r="H303" s="156" t="inlineStr">
        <is>
          <t>REFLO</t>
        </is>
      </c>
      <c r="I303" s="156" t="n"/>
      <c r="J303" s="156" t="n"/>
      <c r="K303" s="156" t="n"/>
      <c r="L303" s="156" t="n"/>
      <c r="M303" s="156" t="n"/>
      <c r="N303" s="156" t="n"/>
      <c r="O303" s="156" t="n"/>
      <c r="P303" s="156" t="n"/>
      <c r="Q303" s="156" t="n"/>
      <c r="R303" s="156" t="n"/>
      <c r="S303" s="156" t="n"/>
      <c r="T303" s="156" t="n"/>
      <c r="U303" s="156" t="n"/>
      <c r="V303" s="156" t="inlineStr">
        <is>
          <t>PZS</t>
        </is>
      </c>
      <c r="W303" s="51" t="inlineStr">
        <is>
          <t>53103000</t>
        </is>
      </c>
      <c r="X303" s="156" t="n"/>
      <c r="Y303" s="54" t="n">
        <v>16.9</v>
      </c>
      <c r="Z303" s="54" t="n">
        <v>1494.11463</v>
      </c>
      <c r="AA303" s="55">
        <f>IF(AND(A303="", B303="", E303=""), "", IF(AB303="", "Válido", IF((LEN(AB303)-LEN(SUBSTITUTE(AB303,"; ","")))/2+1&gt;(LEN(AB303)-LEN(SUBSTITUTE(AB303,"[Aviso]","")))/7, "Con Incidencias", "Válido")))</f>
        <v/>
      </c>
      <c r="AB303" s="56">
        <f>IF(AND(A303="", B303="", E303=""), "", TEXTJOIN("; ", TRUE, IF(OR(TRIM(A303&amp;"")="", ISNUMBER(SEARCH("FALTA", A303))), "UPC faltante/inválido", ""), IF(AND(A303&lt;&gt;"", IFERROR(_xlfn.XMATCH(A303,$A$2:$A$653,0,1)&lt;&gt;_xlfn.XMATCH(A303,$A$2:$A$653,0,-1),FALSE)), "Código de barras duplicado", ""), IF(AND(E303&lt;&gt;"", COUNTIF($E$2:$E$653, E303)&gt;1), "SKU duplicado", ""), IF(OR(J303="", J303=""), "[Aviso] División no capturada ()", IF(ISNA(MATCH(J303, Criterios!$A$123:$A$126, 0)), "División no válida", "")), IF(OR(K303="", K303=""), "[Aviso] Categoría no capturada ()", IF(ISNA(MATCH(K303, Criterios!$A$81:$A$120, 0)), "Categoría no válida", IF(AND(J303&lt;&gt;"", J303&lt;&gt;"", J303&lt;&gt;VLOOKUP(K303, Criterios!$A$81:$B$120, 2, FALSE)), "División no coincide con Categoría", ""))), IF(OR(L303="", L303=""), "[Aviso] Género no capturado ()", IF(ISNA(MATCH(L303, Criterios!$B$123:$B$127, 0)), "Género no válido", "")), IF(OR(N303="", N303=""), "[Aviso] Temporada no capturada ()", IF(ISNA(MATCH(N303, Criterios!$C$123:$C$128, 0)), "Temporada no válida", "")), IF(OR(O303="", O303=""), "[Aviso] Ciclo de vida no capturado ()", IF(ISNA(MATCH(O303, Criterios!$D$123:$D$124, 0)), "Ciclo de vida no válido", ""))))</f>
        <v/>
      </c>
      <c r="AC303" s="56" t="n"/>
      <c r="AD303" s="51" t="n">
        <v>0</v>
      </c>
      <c r="AE303" s="156" t="n"/>
      <c r="AF303" s="51" t="n">
        <v>0</v>
      </c>
      <c r="AG303" s="156" t="inlineStr">
        <is>
          <t>Nuevo – NetSuite sin existencia</t>
        </is>
      </c>
      <c r="AH30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03" s="156" t="inlineStr">
        <is>
          <t>No</t>
        </is>
      </c>
      <c r="AJ303" s="156" t="n"/>
      <c r="AK303" s="155" t="inlineStr">
        <is>
          <t>G1522_Extraccion_Articulos_NetSuite_2026-09-30.xlsx: fila 43675</t>
        </is>
      </c>
      <c r="AL303" s="58" t="n"/>
      <c r="AM303" s="58" t="n"/>
      <c r="AN303" s="155" t="n"/>
      <c r="AO303" s="59" t="n"/>
      <c r="AP303" s="59" t="n"/>
      <c r="AQ303" s="59" t="n"/>
      <c r="AR303" s="155" t="n"/>
    </row>
    <row r="304">
      <c r="A304" s="50" t="inlineStr">
        <is>
          <t>5056658709241</t>
        </is>
      </c>
      <c r="B304" s="51" t="inlineStr">
        <is>
          <t>90813</t>
        </is>
      </c>
      <c r="C304" s="156" t="inlineStr">
        <is>
          <t>REFLO</t>
        </is>
      </c>
      <c r="D304" s="156" t="n"/>
      <c r="E304" s="156" t="n"/>
      <c r="F304" s="156" t="n"/>
      <c r="G304" s="156" t="n"/>
      <c r="H304" s="156" t="inlineStr">
        <is>
          <t>REFLO</t>
        </is>
      </c>
      <c r="I304" s="156" t="n"/>
      <c r="J304" s="156" t="n"/>
      <c r="K304" s="156" t="n"/>
      <c r="L304" s="156" t="n"/>
      <c r="M304" s="156" t="n"/>
      <c r="N304" s="156" t="n"/>
      <c r="O304" s="156" t="n"/>
      <c r="P304" s="156" t="n"/>
      <c r="Q304" s="156" t="n"/>
      <c r="R304" s="156" t="n"/>
      <c r="S304" s="156" t="n"/>
      <c r="T304" s="156" t="n"/>
      <c r="U304" s="156" t="n"/>
      <c r="V304" s="156" t="inlineStr">
        <is>
          <t>PZS</t>
        </is>
      </c>
      <c r="W304" s="51" t="inlineStr">
        <is>
          <t>53103000</t>
        </is>
      </c>
      <c r="X304" s="156" t="n"/>
      <c r="Y304" s="54" t="n">
        <v>16.9</v>
      </c>
      <c r="Z304" s="54" t="n">
        <v>1494.11463</v>
      </c>
      <c r="AA304" s="55">
        <f>IF(AND(A304="", B304="", E304=""), "", IF(AB304="", "Válido", IF((LEN(AB304)-LEN(SUBSTITUTE(AB304,"; ","")))/2+1&gt;(LEN(AB304)-LEN(SUBSTITUTE(AB304,"[Aviso]","")))/7, "Con Incidencias", "Válido")))</f>
        <v/>
      </c>
      <c r="AB304" s="56">
        <f>IF(AND(A304="", B304="", E304=""), "", TEXTJOIN("; ", TRUE, IF(OR(TRIM(A304&amp;"")="", ISNUMBER(SEARCH("FALTA", A304))), "UPC faltante/inválido", ""), IF(AND(A304&lt;&gt;"", IFERROR(_xlfn.XMATCH(A304,$A$2:$A$653,0,1)&lt;&gt;_xlfn.XMATCH(A304,$A$2:$A$653,0,-1),FALSE)), "Código de barras duplicado", ""), IF(AND(E304&lt;&gt;"", COUNTIF($E$2:$E$653, E304)&gt;1), "SKU duplicado", ""), IF(OR(J304="", J304=""), "[Aviso] División no capturada ()", IF(ISNA(MATCH(J304, Criterios!$A$123:$A$126, 0)), "División no válida", "")), IF(OR(K304="", K304=""), "[Aviso] Categoría no capturada ()", IF(ISNA(MATCH(K304, Criterios!$A$81:$A$120, 0)), "Categoría no válida", IF(AND(J304&lt;&gt;"", J304&lt;&gt;"", J304&lt;&gt;VLOOKUP(K304, Criterios!$A$81:$B$120, 2, FALSE)), "División no coincide con Categoría", ""))), IF(OR(L304="", L304=""), "[Aviso] Género no capturado ()", IF(ISNA(MATCH(L304, Criterios!$B$123:$B$127, 0)), "Género no válido", "")), IF(OR(N304="", N304=""), "[Aviso] Temporada no capturada ()", IF(ISNA(MATCH(N304, Criterios!$C$123:$C$128, 0)), "Temporada no válida", "")), IF(OR(O304="", O304=""), "[Aviso] Ciclo de vida no capturado ()", IF(ISNA(MATCH(O304, Criterios!$D$123:$D$124, 0)), "Ciclo de vida no válido", ""))))</f>
        <v/>
      </c>
      <c r="AC304" s="56" t="n"/>
      <c r="AD304" s="51" t="n">
        <v>13</v>
      </c>
      <c r="AE304" s="156" t="n"/>
      <c r="AF304" s="51" t="n">
        <v>13</v>
      </c>
      <c r="AG304" s="156" t="inlineStr">
        <is>
          <t>Nuevo – NetSuite con existencia</t>
        </is>
      </c>
      <c r="AH30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04" s="156" t="inlineStr">
        <is>
          <t>No</t>
        </is>
      </c>
      <c r="AJ304" s="156" t="n"/>
      <c r="AK304" s="155" t="inlineStr">
        <is>
          <t>G1522_Extraccion_Articulos_NetSuite_2026-09-30.xlsx: fila 43676</t>
        </is>
      </c>
      <c r="AL304" s="58" t="n"/>
      <c r="AM304" s="58" t="n"/>
      <c r="AN304" s="155" t="n"/>
      <c r="AO304" s="59" t="n"/>
      <c r="AP304" s="59" t="n"/>
      <c r="AQ304" s="59" t="n"/>
      <c r="AR304" s="155" t="n"/>
    </row>
    <row r="305">
      <c r="A305" s="50" t="inlineStr">
        <is>
          <t>5056658709258</t>
        </is>
      </c>
      <c r="B305" s="51" t="inlineStr">
        <is>
          <t>90814</t>
        </is>
      </c>
      <c r="C305" s="156" t="inlineStr">
        <is>
          <t>REFLO</t>
        </is>
      </c>
      <c r="D305" s="156" t="n"/>
      <c r="E305" s="156" t="n"/>
      <c r="F305" s="156" t="n"/>
      <c r="G305" s="156" t="n"/>
      <c r="H305" s="156" t="inlineStr">
        <is>
          <t>REFLO</t>
        </is>
      </c>
      <c r="I305" s="156" t="n"/>
      <c r="J305" s="156" t="n"/>
      <c r="K305" s="156" t="n"/>
      <c r="L305" s="156" t="n"/>
      <c r="M305" s="156" t="n"/>
      <c r="N305" s="156" t="n"/>
      <c r="O305" s="156" t="n"/>
      <c r="P305" s="156" t="n"/>
      <c r="Q305" s="156" t="n"/>
      <c r="R305" s="156" t="n"/>
      <c r="S305" s="156" t="n"/>
      <c r="T305" s="156" t="n"/>
      <c r="U305" s="156" t="n"/>
      <c r="V305" s="156" t="inlineStr">
        <is>
          <t>PZS</t>
        </is>
      </c>
      <c r="W305" s="51" t="inlineStr">
        <is>
          <t>53103000</t>
        </is>
      </c>
      <c r="X305" s="156" t="n"/>
      <c r="Y305" s="54" t="n">
        <v>16.9</v>
      </c>
      <c r="Z305" s="54" t="n">
        <v>1494.11463</v>
      </c>
      <c r="AA305" s="55">
        <f>IF(AND(A305="", B305="", E305=""), "", IF(AB305="", "Válido", IF((LEN(AB305)-LEN(SUBSTITUTE(AB305,"; ","")))/2+1&gt;(LEN(AB305)-LEN(SUBSTITUTE(AB305,"[Aviso]","")))/7, "Con Incidencias", "Válido")))</f>
        <v/>
      </c>
      <c r="AB305" s="56">
        <f>IF(AND(A305="", B305="", E305=""), "", TEXTJOIN("; ", TRUE, IF(OR(TRIM(A305&amp;"")="", ISNUMBER(SEARCH("FALTA", A305))), "UPC faltante/inválido", ""), IF(AND(A305&lt;&gt;"", IFERROR(_xlfn.XMATCH(A305,$A$2:$A$653,0,1)&lt;&gt;_xlfn.XMATCH(A305,$A$2:$A$653,0,-1),FALSE)), "Código de barras duplicado", ""), IF(AND(E305&lt;&gt;"", COUNTIF($E$2:$E$653, E305)&gt;1), "SKU duplicado", ""), IF(OR(J305="", J305=""), "[Aviso] División no capturada ()", IF(ISNA(MATCH(J305, Criterios!$A$123:$A$126, 0)), "División no válida", "")), IF(OR(K305="", K305=""), "[Aviso] Categoría no capturada ()", IF(ISNA(MATCH(K305, Criterios!$A$81:$A$120, 0)), "Categoría no válida", IF(AND(J305&lt;&gt;"", J305&lt;&gt;"", J305&lt;&gt;VLOOKUP(K305, Criterios!$A$81:$B$120, 2, FALSE)), "División no coincide con Categoría", ""))), IF(OR(L305="", L305=""), "[Aviso] Género no capturado ()", IF(ISNA(MATCH(L305, Criterios!$B$123:$B$127, 0)), "Género no válido", "")), IF(OR(N305="", N305=""), "[Aviso] Temporada no capturada ()", IF(ISNA(MATCH(N305, Criterios!$C$123:$C$128, 0)), "Temporada no válida", "")), IF(OR(O305="", O305=""), "[Aviso] Ciclo de vida no capturado ()", IF(ISNA(MATCH(O305, Criterios!$D$123:$D$124, 0)), "Ciclo de vida no válido", ""))))</f>
        <v/>
      </c>
      <c r="AC305" s="56" t="n"/>
      <c r="AD305" s="51" t="n">
        <v>12</v>
      </c>
      <c r="AE305" s="156" t="n"/>
      <c r="AF305" s="51" t="n">
        <v>12</v>
      </c>
      <c r="AG305" s="156" t="inlineStr">
        <is>
          <t>Nuevo – NetSuite con existencia</t>
        </is>
      </c>
      <c r="AH30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05" s="156" t="inlineStr">
        <is>
          <t>No</t>
        </is>
      </c>
      <c r="AJ305" s="156" t="n"/>
      <c r="AK305" s="155" t="inlineStr">
        <is>
          <t>G1522_Extraccion_Articulos_NetSuite_2026-09-30.xlsx: fila 43677</t>
        </is>
      </c>
      <c r="AL305" s="58" t="n"/>
      <c r="AM305" s="58" t="n"/>
      <c r="AN305" s="155" t="n"/>
      <c r="AO305" s="59" t="n"/>
      <c r="AP305" s="59" t="n"/>
      <c r="AQ305" s="59" t="n"/>
      <c r="AR305" s="155" t="n"/>
    </row>
    <row r="306">
      <c r="A306" s="50" t="inlineStr">
        <is>
          <t>5056658709265</t>
        </is>
      </c>
      <c r="B306" s="51" t="inlineStr">
        <is>
          <t>90815</t>
        </is>
      </c>
      <c r="C306" s="156" t="inlineStr">
        <is>
          <t>REFLO</t>
        </is>
      </c>
      <c r="D306" s="156" t="n"/>
      <c r="E306" s="156" t="n"/>
      <c r="F306" s="156" t="n"/>
      <c r="G306" s="156" t="n"/>
      <c r="H306" s="156" t="inlineStr">
        <is>
          <t>REFLO</t>
        </is>
      </c>
      <c r="I306" s="156" t="n"/>
      <c r="J306" s="156" t="n"/>
      <c r="K306" s="156" t="n"/>
      <c r="L306" s="156" t="n"/>
      <c r="M306" s="156" t="n"/>
      <c r="N306" s="156" t="n"/>
      <c r="O306" s="156" t="n"/>
      <c r="P306" s="156" t="n"/>
      <c r="Q306" s="156" t="n"/>
      <c r="R306" s="156" t="n"/>
      <c r="S306" s="156" t="n"/>
      <c r="T306" s="156" t="n"/>
      <c r="U306" s="156" t="n"/>
      <c r="V306" s="156" t="inlineStr">
        <is>
          <t>PZS</t>
        </is>
      </c>
      <c r="W306" s="51" t="inlineStr">
        <is>
          <t>53103000</t>
        </is>
      </c>
      <c r="X306" s="156" t="n"/>
      <c r="Y306" s="54" t="n">
        <v>16.9</v>
      </c>
      <c r="Z306" s="54" t="n">
        <v>1494.11463</v>
      </c>
      <c r="AA306" s="55">
        <f>IF(AND(A306="", B306="", E306=""), "", IF(AB306="", "Válido", IF((LEN(AB306)-LEN(SUBSTITUTE(AB306,"; ","")))/2+1&gt;(LEN(AB306)-LEN(SUBSTITUTE(AB306,"[Aviso]","")))/7, "Con Incidencias", "Válido")))</f>
        <v/>
      </c>
      <c r="AB306" s="56">
        <f>IF(AND(A306="", B306="", E306=""), "", TEXTJOIN("; ", TRUE, IF(OR(TRIM(A306&amp;"")="", ISNUMBER(SEARCH("FALTA", A306))), "UPC faltante/inválido", ""), IF(AND(A306&lt;&gt;"", IFERROR(_xlfn.XMATCH(A306,$A$2:$A$653,0,1)&lt;&gt;_xlfn.XMATCH(A306,$A$2:$A$653,0,-1),FALSE)), "Código de barras duplicado", ""), IF(AND(E306&lt;&gt;"", COUNTIF($E$2:$E$653, E306)&gt;1), "SKU duplicado", ""), IF(OR(J306="", J306=""), "[Aviso] División no capturada ()", IF(ISNA(MATCH(J306, Criterios!$A$123:$A$126, 0)), "División no válida", "")), IF(OR(K306="", K306=""), "[Aviso] Categoría no capturada ()", IF(ISNA(MATCH(K306, Criterios!$A$81:$A$120, 0)), "Categoría no válida", IF(AND(J306&lt;&gt;"", J306&lt;&gt;"", J306&lt;&gt;VLOOKUP(K306, Criterios!$A$81:$B$120, 2, FALSE)), "División no coincide con Categoría", ""))), IF(OR(L306="", L306=""), "[Aviso] Género no capturado ()", IF(ISNA(MATCH(L306, Criterios!$B$123:$B$127, 0)), "Género no válido", "")), IF(OR(N306="", N306=""), "[Aviso] Temporada no capturada ()", IF(ISNA(MATCH(N306, Criterios!$C$123:$C$128, 0)), "Temporada no válida", "")), IF(OR(O306="", O306=""), "[Aviso] Ciclo de vida no capturado ()", IF(ISNA(MATCH(O306, Criterios!$D$123:$D$124, 0)), "Ciclo de vida no válido", ""))))</f>
        <v/>
      </c>
      <c r="AC306" s="56" t="n"/>
      <c r="AD306" s="51" t="n">
        <v>6</v>
      </c>
      <c r="AE306" s="156" t="n"/>
      <c r="AF306" s="51" t="n">
        <v>6</v>
      </c>
      <c r="AG306" s="156" t="inlineStr">
        <is>
          <t>Nuevo – NetSuite con existencia</t>
        </is>
      </c>
      <c r="AH30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06" s="156" t="inlineStr">
        <is>
          <t>No</t>
        </is>
      </c>
      <c r="AJ306" s="156" t="n"/>
      <c r="AK306" s="155" t="inlineStr">
        <is>
          <t>G1522_Extraccion_Articulos_NetSuite_2026-09-30.xlsx: fila 43678</t>
        </is>
      </c>
      <c r="AL306" s="58" t="n"/>
      <c r="AM306" s="58" t="n"/>
      <c r="AN306" s="155" t="n"/>
      <c r="AO306" s="59" t="n"/>
      <c r="AP306" s="59" t="n"/>
      <c r="AQ306" s="59" t="n"/>
      <c r="AR306" s="155" t="n"/>
    </row>
    <row r="307">
      <c r="A307" s="50" t="inlineStr">
        <is>
          <t>5056658714085</t>
        </is>
      </c>
      <c r="B307" s="51" t="inlineStr">
        <is>
          <t>90816</t>
        </is>
      </c>
      <c r="C307" s="156" t="inlineStr">
        <is>
          <t>REFLO</t>
        </is>
      </c>
      <c r="D307" s="156" t="n"/>
      <c r="E307" s="156" t="n"/>
      <c r="F307" s="156" t="n"/>
      <c r="G307" s="156" t="n"/>
      <c r="H307" s="156" t="inlineStr">
        <is>
          <t>REFLO</t>
        </is>
      </c>
      <c r="I307" s="156" t="n"/>
      <c r="J307" s="156" t="n"/>
      <c r="K307" s="156" t="n"/>
      <c r="L307" s="156" t="n"/>
      <c r="M307" s="156" t="n"/>
      <c r="N307" s="156" t="n"/>
      <c r="O307" s="156" t="n"/>
      <c r="P307" s="156" t="n"/>
      <c r="Q307" s="156" t="n"/>
      <c r="R307" s="156" t="n"/>
      <c r="S307" s="156" t="n"/>
      <c r="T307" s="156" t="n"/>
      <c r="U307" s="156" t="n"/>
      <c r="V307" s="156" t="inlineStr">
        <is>
          <t>PZS</t>
        </is>
      </c>
      <c r="W307" s="51" t="inlineStr">
        <is>
          <t>53103000</t>
        </is>
      </c>
      <c r="X307" s="156" t="n"/>
      <c r="Y307" s="54" t="n">
        <v>16.9</v>
      </c>
      <c r="Z307" s="54" t="n">
        <v>1494.11463</v>
      </c>
      <c r="AA307" s="55">
        <f>IF(AND(A307="", B307="", E307=""), "", IF(AB307="", "Válido", IF((LEN(AB307)-LEN(SUBSTITUTE(AB307,"; ","")))/2+1&gt;(LEN(AB307)-LEN(SUBSTITUTE(AB307,"[Aviso]","")))/7, "Con Incidencias", "Válido")))</f>
        <v/>
      </c>
      <c r="AB307" s="56">
        <f>IF(AND(A307="", B307="", E307=""), "", TEXTJOIN("; ", TRUE, IF(OR(TRIM(A307&amp;"")="", ISNUMBER(SEARCH("FALTA", A307))), "UPC faltante/inválido", ""), IF(AND(A307&lt;&gt;"", IFERROR(_xlfn.XMATCH(A307,$A$2:$A$653,0,1)&lt;&gt;_xlfn.XMATCH(A307,$A$2:$A$653,0,-1),FALSE)), "Código de barras duplicado", ""), IF(AND(E307&lt;&gt;"", COUNTIF($E$2:$E$653, E307)&gt;1), "SKU duplicado", ""), IF(OR(J307="", J307=""), "[Aviso] División no capturada ()", IF(ISNA(MATCH(J307, Criterios!$A$123:$A$126, 0)), "División no válida", "")), IF(OR(K307="", K307=""), "[Aviso] Categoría no capturada ()", IF(ISNA(MATCH(K307, Criterios!$A$81:$A$120, 0)), "Categoría no válida", IF(AND(J307&lt;&gt;"", J307&lt;&gt;"", J307&lt;&gt;VLOOKUP(K307, Criterios!$A$81:$B$120, 2, FALSE)), "División no coincide con Categoría", ""))), IF(OR(L307="", L307=""), "[Aviso] Género no capturado ()", IF(ISNA(MATCH(L307, Criterios!$B$123:$B$127, 0)), "Género no válido", "")), IF(OR(N307="", N307=""), "[Aviso] Temporada no capturada ()", IF(ISNA(MATCH(N307, Criterios!$C$123:$C$128, 0)), "Temporada no válida", "")), IF(OR(O307="", O307=""), "[Aviso] Ciclo de vida no capturado ()", IF(ISNA(MATCH(O307, Criterios!$D$123:$D$124, 0)), "Ciclo de vida no válido", ""))))</f>
        <v/>
      </c>
      <c r="AC307" s="56" t="n"/>
      <c r="AD307" s="51" t="n">
        <v>2</v>
      </c>
      <c r="AE307" s="156" t="n"/>
      <c r="AF307" s="51" t="n">
        <v>2</v>
      </c>
      <c r="AG307" s="156" t="inlineStr">
        <is>
          <t>Nuevo – NetSuite con existencia</t>
        </is>
      </c>
      <c r="AH30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07" s="156" t="inlineStr">
        <is>
          <t>No</t>
        </is>
      </c>
      <c r="AJ307" s="156" t="n"/>
      <c r="AK307" s="155" t="inlineStr">
        <is>
          <t>G1522_Extraccion_Articulos_NetSuite_2026-09-30.xlsx: fila 43679</t>
        </is>
      </c>
      <c r="AL307" s="58" t="n"/>
      <c r="AM307" s="58" t="n"/>
      <c r="AN307" s="155" t="n"/>
      <c r="AO307" s="59" t="n"/>
      <c r="AP307" s="59" t="n"/>
      <c r="AQ307" s="59" t="n"/>
      <c r="AR307" s="155" t="n"/>
    </row>
    <row r="308">
      <c r="A308" s="50" t="inlineStr">
        <is>
          <t>5056658705670</t>
        </is>
      </c>
      <c r="B308" s="51" t="inlineStr">
        <is>
          <t>90817</t>
        </is>
      </c>
      <c r="C308" s="156" t="inlineStr">
        <is>
          <t>REFLO</t>
        </is>
      </c>
      <c r="D308" s="156" t="n"/>
      <c r="E308" s="156" t="n"/>
      <c r="F308" s="156" t="n"/>
      <c r="G308" s="156" t="n"/>
      <c r="H308" s="156" t="inlineStr">
        <is>
          <t>REFLO</t>
        </is>
      </c>
      <c r="I308" s="156" t="n"/>
      <c r="J308" s="156" t="n"/>
      <c r="K308" s="156" t="n"/>
      <c r="L308" s="156" t="n"/>
      <c r="M308" s="156" t="n"/>
      <c r="N308" s="156" t="n"/>
      <c r="O308" s="156" t="n"/>
      <c r="P308" s="156" t="n"/>
      <c r="Q308" s="156" t="n"/>
      <c r="R308" s="156" t="n"/>
      <c r="S308" s="156" t="n"/>
      <c r="T308" s="156" t="n"/>
      <c r="U308" s="156" t="n"/>
      <c r="V308" s="156" t="inlineStr">
        <is>
          <t>PZS</t>
        </is>
      </c>
      <c r="W308" s="51" t="inlineStr">
        <is>
          <t>53103000</t>
        </is>
      </c>
      <c r="X308" s="156" t="n"/>
      <c r="Y308" s="54" t="n">
        <v>22.75</v>
      </c>
      <c r="Z308" s="54" t="n">
        <v>2011.30815</v>
      </c>
      <c r="AA308" s="55">
        <f>IF(AND(A308="", B308="", E308=""), "", IF(AB308="", "Válido", IF((LEN(AB308)-LEN(SUBSTITUTE(AB308,"; ","")))/2+1&gt;(LEN(AB308)-LEN(SUBSTITUTE(AB308,"[Aviso]","")))/7, "Con Incidencias", "Válido")))</f>
        <v/>
      </c>
      <c r="AB308" s="56">
        <f>IF(AND(A308="", B308="", E308=""), "", TEXTJOIN("; ", TRUE, IF(OR(TRIM(A308&amp;"")="", ISNUMBER(SEARCH("FALTA", A308))), "UPC faltante/inválido", ""), IF(AND(A308&lt;&gt;"", IFERROR(_xlfn.XMATCH(A308,$A$2:$A$653,0,1)&lt;&gt;_xlfn.XMATCH(A308,$A$2:$A$653,0,-1),FALSE)), "Código de barras duplicado", ""), IF(AND(E308&lt;&gt;"", COUNTIF($E$2:$E$653, E308)&gt;1), "SKU duplicado", ""), IF(OR(J308="", J308=""), "[Aviso] División no capturada ()", IF(ISNA(MATCH(J308, Criterios!$A$123:$A$126, 0)), "División no válida", "")), IF(OR(K308="", K308=""), "[Aviso] Categoría no capturada ()", IF(ISNA(MATCH(K308, Criterios!$A$81:$A$120, 0)), "Categoría no válida", IF(AND(J308&lt;&gt;"", J308&lt;&gt;"", J308&lt;&gt;VLOOKUP(K308, Criterios!$A$81:$B$120, 2, FALSE)), "División no coincide con Categoría", ""))), IF(OR(L308="", L308=""), "[Aviso] Género no capturado ()", IF(ISNA(MATCH(L308, Criterios!$B$123:$B$127, 0)), "Género no válido", "")), IF(OR(N308="", N308=""), "[Aviso] Temporada no capturada ()", IF(ISNA(MATCH(N308, Criterios!$C$123:$C$128, 0)), "Temporada no válida", "")), IF(OR(O308="", O308=""), "[Aviso] Ciclo de vida no capturado ()", IF(ISNA(MATCH(O308, Criterios!$D$123:$D$124, 0)), "Ciclo de vida no válido", ""))))</f>
        <v/>
      </c>
      <c r="AC308" s="56" t="n"/>
      <c r="AD308" s="51" t="n">
        <v>0</v>
      </c>
      <c r="AE308" s="156" t="n"/>
      <c r="AF308" s="51" t="n">
        <v>0</v>
      </c>
      <c r="AG308" s="156" t="inlineStr">
        <is>
          <t>Nuevo – NetSuite sin existencia</t>
        </is>
      </c>
      <c r="AH30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8" s="156" t="inlineStr">
        <is>
          <t>No</t>
        </is>
      </c>
      <c r="AJ308" s="156" t="n"/>
      <c r="AK308" s="155" t="inlineStr">
        <is>
          <t>G1522_Extraccion_Articulos_NetSuite_2026-09-30.xlsx: fila 43680</t>
        </is>
      </c>
      <c r="AL308" s="58" t="n"/>
      <c r="AM308" s="58" t="n"/>
      <c r="AN308" s="155" t="n"/>
      <c r="AO308" s="59" t="n"/>
      <c r="AP308" s="59" t="n"/>
      <c r="AQ308" s="59" t="n"/>
      <c r="AR308" s="155" t="n"/>
    </row>
    <row r="309">
      <c r="A309" s="50" t="inlineStr">
        <is>
          <t>5056658705687</t>
        </is>
      </c>
      <c r="B309" s="51" t="inlineStr">
        <is>
          <t>90818</t>
        </is>
      </c>
      <c r="C309" s="156" t="inlineStr">
        <is>
          <t>REFLO</t>
        </is>
      </c>
      <c r="D309" s="156" t="n"/>
      <c r="E309" s="156" t="n"/>
      <c r="F309" s="156" t="n"/>
      <c r="G309" s="156" t="n"/>
      <c r="H309" s="156" t="inlineStr">
        <is>
          <t>REFLO</t>
        </is>
      </c>
      <c r="I309" s="156" t="n"/>
      <c r="J309" s="156" t="n"/>
      <c r="K309" s="156" t="n"/>
      <c r="L309" s="156" t="n"/>
      <c r="M309" s="156" t="n"/>
      <c r="N309" s="156" t="n"/>
      <c r="O309" s="156" t="n"/>
      <c r="P309" s="156" t="n"/>
      <c r="Q309" s="156" t="n"/>
      <c r="R309" s="156" t="n"/>
      <c r="S309" s="156" t="n"/>
      <c r="T309" s="156" t="n"/>
      <c r="U309" s="156" t="n"/>
      <c r="V309" s="156" t="inlineStr">
        <is>
          <t>PZS</t>
        </is>
      </c>
      <c r="W309" s="51" t="inlineStr">
        <is>
          <t>53103000</t>
        </is>
      </c>
      <c r="X309" s="156" t="n"/>
      <c r="Y309" s="54" t="n">
        <v>22.75</v>
      </c>
      <c r="Z309" s="54" t="n">
        <v>2011.30815</v>
      </c>
      <c r="AA309" s="55">
        <f>IF(AND(A309="", B309="", E309=""), "", IF(AB309="", "Válido", IF((LEN(AB309)-LEN(SUBSTITUTE(AB309,"; ","")))/2+1&gt;(LEN(AB309)-LEN(SUBSTITUTE(AB309,"[Aviso]","")))/7, "Con Incidencias", "Válido")))</f>
        <v/>
      </c>
      <c r="AB309" s="56">
        <f>IF(AND(A309="", B309="", E309=""), "", TEXTJOIN("; ", TRUE, IF(OR(TRIM(A309&amp;"")="", ISNUMBER(SEARCH("FALTA", A309))), "UPC faltante/inválido", ""), IF(AND(A309&lt;&gt;"", IFERROR(_xlfn.XMATCH(A309,$A$2:$A$653,0,1)&lt;&gt;_xlfn.XMATCH(A309,$A$2:$A$653,0,-1),FALSE)), "Código de barras duplicado", ""), IF(AND(E309&lt;&gt;"", COUNTIF($E$2:$E$653, E309)&gt;1), "SKU duplicado", ""), IF(OR(J309="", J309=""), "[Aviso] División no capturada ()", IF(ISNA(MATCH(J309, Criterios!$A$123:$A$126, 0)), "División no válida", "")), IF(OR(K309="", K309=""), "[Aviso] Categoría no capturada ()", IF(ISNA(MATCH(K309, Criterios!$A$81:$A$120, 0)), "Categoría no válida", IF(AND(J309&lt;&gt;"", J309&lt;&gt;"", J309&lt;&gt;VLOOKUP(K309, Criterios!$A$81:$B$120, 2, FALSE)), "División no coincide con Categoría", ""))), IF(OR(L309="", L309=""), "[Aviso] Género no capturado ()", IF(ISNA(MATCH(L309, Criterios!$B$123:$B$127, 0)), "Género no válido", "")), IF(OR(N309="", N309=""), "[Aviso] Temporada no capturada ()", IF(ISNA(MATCH(N309, Criterios!$C$123:$C$128, 0)), "Temporada no válida", "")), IF(OR(O309="", O309=""), "[Aviso] Ciclo de vida no capturado ()", IF(ISNA(MATCH(O309, Criterios!$D$123:$D$124, 0)), "Ciclo de vida no válido", ""))))</f>
        <v/>
      </c>
      <c r="AC309" s="56" t="n"/>
      <c r="AD309" s="51" t="n">
        <v>0</v>
      </c>
      <c r="AE309" s="156" t="n"/>
      <c r="AF309" s="51" t="n">
        <v>0</v>
      </c>
      <c r="AG309" s="156" t="inlineStr">
        <is>
          <t>Nuevo – NetSuite sin existencia</t>
        </is>
      </c>
      <c r="AH30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9" s="156" t="inlineStr">
        <is>
          <t>No</t>
        </is>
      </c>
      <c r="AJ309" s="156" t="n"/>
      <c r="AK309" s="155" t="inlineStr">
        <is>
          <t>G1522_Extraccion_Articulos_NetSuite_2026-09-30.xlsx: fila 43681</t>
        </is>
      </c>
      <c r="AL309" s="58" t="n"/>
      <c r="AM309" s="58" t="n"/>
      <c r="AN309" s="155" t="n"/>
      <c r="AO309" s="59" t="n"/>
      <c r="AP309" s="59" t="n"/>
      <c r="AQ309" s="59" t="n"/>
      <c r="AR309" s="155" t="n"/>
    </row>
    <row r="310">
      <c r="A310" s="50" t="inlineStr">
        <is>
          <t>5056658705779</t>
        </is>
      </c>
      <c r="B310" s="51" t="inlineStr">
        <is>
          <t>90819</t>
        </is>
      </c>
      <c r="C310" s="156" t="inlineStr">
        <is>
          <t>REFLO</t>
        </is>
      </c>
      <c r="D310" s="156" t="n"/>
      <c r="E310" s="156" t="n"/>
      <c r="F310" s="156" t="n"/>
      <c r="G310" s="156" t="n"/>
      <c r="H310" s="156" t="inlineStr">
        <is>
          <t>REFLO</t>
        </is>
      </c>
      <c r="I310" s="156" t="n"/>
      <c r="J310" s="156" t="n"/>
      <c r="K310" s="156" t="n"/>
      <c r="L310" s="156" t="n"/>
      <c r="M310" s="156" t="n"/>
      <c r="N310" s="156" t="n"/>
      <c r="O310" s="156" t="n"/>
      <c r="P310" s="156" t="n"/>
      <c r="Q310" s="156" t="n"/>
      <c r="R310" s="156" t="n"/>
      <c r="S310" s="156" t="n"/>
      <c r="T310" s="156" t="n"/>
      <c r="U310" s="156" t="n"/>
      <c r="V310" s="156" t="inlineStr">
        <is>
          <t>PZS</t>
        </is>
      </c>
      <c r="W310" s="51" t="inlineStr">
        <is>
          <t>53103000</t>
        </is>
      </c>
      <c r="X310" s="156" t="n"/>
      <c r="Y310" s="54" t="n">
        <v>22.75</v>
      </c>
      <c r="Z310" s="54" t="n">
        <v>2011.30815</v>
      </c>
      <c r="AA310" s="55">
        <f>IF(AND(A310="", B310="", E310=""), "", IF(AB310="", "Válido", IF((LEN(AB310)-LEN(SUBSTITUTE(AB310,"; ","")))/2+1&gt;(LEN(AB310)-LEN(SUBSTITUTE(AB310,"[Aviso]","")))/7, "Con Incidencias", "Válido")))</f>
        <v/>
      </c>
      <c r="AB310" s="56">
        <f>IF(AND(A310="", B310="", E310=""), "", TEXTJOIN("; ", TRUE, IF(OR(TRIM(A310&amp;"")="", ISNUMBER(SEARCH("FALTA", A310))), "UPC faltante/inválido", ""), IF(AND(A310&lt;&gt;"", IFERROR(_xlfn.XMATCH(A310,$A$2:$A$653,0,1)&lt;&gt;_xlfn.XMATCH(A310,$A$2:$A$653,0,-1),FALSE)), "Código de barras duplicado", ""), IF(AND(E310&lt;&gt;"", COUNTIF($E$2:$E$653, E310)&gt;1), "SKU duplicado", ""), IF(OR(J310="", J310=""), "[Aviso] División no capturada ()", IF(ISNA(MATCH(J310, Criterios!$A$123:$A$126, 0)), "División no válida", "")), IF(OR(K310="", K310=""), "[Aviso] Categoría no capturada ()", IF(ISNA(MATCH(K310, Criterios!$A$81:$A$120, 0)), "Categoría no válida", IF(AND(J310&lt;&gt;"", J310&lt;&gt;"", J310&lt;&gt;VLOOKUP(K310, Criterios!$A$81:$B$120, 2, FALSE)), "División no coincide con Categoría", ""))), IF(OR(L310="", L310=""), "[Aviso] Género no capturado ()", IF(ISNA(MATCH(L310, Criterios!$B$123:$B$127, 0)), "Género no válido", "")), IF(OR(N310="", N310=""), "[Aviso] Temporada no capturada ()", IF(ISNA(MATCH(N310, Criterios!$C$123:$C$128, 0)), "Temporada no válida", "")), IF(OR(O310="", O310=""), "[Aviso] Ciclo de vida no capturado ()", IF(ISNA(MATCH(O310, Criterios!$D$123:$D$124, 0)), "Ciclo de vida no válido", ""))))</f>
        <v/>
      </c>
      <c r="AC310" s="56" t="n"/>
      <c r="AD310" s="51" t="n">
        <v>0</v>
      </c>
      <c r="AE310" s="156" t="n"/>
      <c r="AF310" s="51" t="n">
        <v>0</v>
      </c>
      <c r="AG310" s="156" t="inlineStr">
        <is>
          <t>Nuevo – NetSuite sin existencia</t>
        </is>
      </c>
      <c r="AH31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0" s="156" t="inlineStr">
        <is>
          <t>No</t>
        </is>
      </c>
      <c r="AJ310" s="156" t="n"/>
      <c r="AK310" s="155" t="inlineStr">
        <is>
          <t>G1522_Extraccion_Articulos_NetSuite_2026-09-30.xlsx: fila 43682</t>
        </is>
      </c>
      <c r="AL310" s="58" t="n"/>
      <c r="AM310" s="58" t="n"/>
      <c r="AN310" s="155" t="n"/>
      <c r="AO310" s="59" t="n"/>
      <c r="AP310" s="59" t="n"/>
      <c r="AQ310" s="59" t="n"/>
      <c r="AR310" s="155" t="n"/>
    </row>
    <row r="311">
      <c r="A311" s="50" t="inlineStr">
        <is>
          <t>5056658709227</t>
        </is>
      </c>
      <c r="B311" s="51" t="inlineStr">
        <is>
          <t>90917</t>
        </is>
      </c>
      <c r="C311" s="156" t="inlineStr">
        <is>
          <t>REFLO</t>
        </is>
      </c>
      <c r="D311" s="156" t="n"/>
      <c r="E311" s="156" t="n"/>
      <c r="F311" s="156" t="n"/>
      <c r="G311" s="156" t="n"/>
      <c r="H311" s="156" t="inlineStr">
        <is>
          <t>REFLO</t>
        </is>
      </c>
      <c r="I311" s="156" t="n"/>
      <c r="J311" s="156" t="n"/>
      <c r="K311" s="156" t="n"/>
      <c r="L311" s="156" t="n"/>
      <c r="M311" s="156" t="n"/>
      <c r="N311" s="156" t="n"/>
      <c r="O311" s="156" t="n"/>
      <c r="P311" s="156" t="n"/>
      <c r="Q311" s="156" t="n"/>
      <c r="R311" s="156" t="n"/>
      <c r="S311" s="156" t="n"/>
      <c r="T311" s="156" t="n"/>
      <c r="U311" s="156" t="n"/>
      <c r="V311" s="156" t="inlineStr">
        <is>
          <t>PZS</t>
        </is>
      </c>
      <c r="W311" s="51" t="inlineStr">
        <is>
          <t>53103000</t>
        </is>
      </c>
      <c r="X311" s="156" t="n"/>
      <c r="Y311" s="54" t="n">
        <v>16.9</v>
      </c>
      <c r="Z311" s="54" t="n">
        <v>1299</v>
      </c>
      <c r="AA311" s="55">
        <f>IF(AND(A311="", B311="", E311=""), "", IF(AB311="", "Válido", IF((LEN(AB311)-LEN(SUBSTITUTE(AB311,"; ","")))/2+1&gt;(LEN(AB311)-LEN(SUBSTITUTE(AB311,"[Aviso]","")))/7, "Con Incidencias", "Válido")))</f>
        <v/>
      </c>
      <c r="AB311" s="56">
        <f>IF(AND(A311="", B311="", E311=""), "", TEXTJOIN("; ", TRUE, IF(OR(TRIM(A311&amp;"")="", ISNUMBER(SEARCH("FALTA", A311))), "UPC faltante/inválido", ""), IF(AND(A311&lt;&gt;"", IFERROR(_xlfn.XMATCH(A311,$A$2:$A$653,0,1)&lt;&gt;_xlfn.XMATCH(A311,$A$2:$A$653,0,-1),FALSE)), "Código de barras duplicado", ""), IF(AND(E311&lt;&gt;"", COUNTIF($E$2:$E$653, E311)&gt;1), "SKU duplicado", ""), IF(OR(J311="", J311=""), "[Aviso] División no capturada ()", IF(ISNA(MATCH(J311, Criterios!$A$123:$A$126, 0)), "División no válida", "")), IF(OR(K311="", K311=""), "[Aviso] Categoría no capturada ()", IF(ISNA(MATCH(K311, Criterios!$A$81:$A$120, 0)), "Categoría no válida", IF(AND(J311&lt;&gt;"", J311&lt;&gt;"", J311&lt;&gt;VLOOKUP(K311, Criterios!$A$81:$B$120, 2, FALSE)), "División no coincide con Categoría", ""))), IF(OR(L311="", L311=""), "[Aviso] Género no capturado ()", IF(ISNA(MATCH(L311, Criterios!$B$123:$B$127, 0)), "Género no válido", "")), IF(OR(N311="", N311=""), "[Aviso] Temporada no capturada ()", IF(ISNA(MATCH(N311, Criterios!$C$123:$C$128, 0)), "Temporada no válida", "")), IF(OR(O311="", O311=""), "[Aviso] Ciclo de vida no capturado ()", IF(ISNA(MATCH(O311, Criterios!$D$123:$D$124, 0)), "Ciclo de vida no válido", ""))))</f>
        <v/>
      </c>
      <c r="AC311" s="56" t="n"/>
      <c r="AD311" s="51" t="n">
        <v>4</v>
      </c>
      <c r="AE311" s="156" t="n"/>
      <c r="AF311" s="51" t="n">
        <v>4</v>
      </c>
      <c r="AG311" s="156" t="inlineStr">
        <is>
          <t>Nuevo – NetSuite con existencia</t>
        </is>
      </c>
      <c r="AH31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11" s="156" t="inlineStr">
        <is>
          <t>No</t>
        </is>
      </c>
      <c r="AJ311" s="156" t="n"/>
      <c r="AK311" s="155" t="inlineStr">
        <is>
          <t>G1522_Extraccion_Articulos_NetSuite_2026-09-30.xlsx: fila 43704</t>
        </is>
      </c>
      <c r="AL311" s="58" t="n"/>
      <c r="AM311" s="58" t="n"/>
      <c r="AN311" s="155" t="n"/>
      <c r="AO311" s="59" t="n"/>
      <c r="AP311" s="59" t="n"/>
      <c r="AQ311" s="59" t="n"/>
      <c r="AR311" s="155" t="n"/>
    </row>
    <row r="312">
      <c r="A312" s="50" t="inlineStr">
        <is>
          <t>5056658709234</t>
        </is>
      </c>
      <c r="B312" s="51" t="inlineStr">
        <is>
          <t>90918</t>
        </is>
      </c>
      <c r="C312" s="156" t="inlineStr">
        <is>
          <t>REFLO</t>
        </is>
      </c>
      <c r="D312" s="156" t="n"/>
      <c r="E312" s="156" t="n"/>
      <c r="F312" s="156" t="n"/>
      <c r="G312" s="156" t="n"/>
      <c r="H312" s="156" t="inlineStr">
        <is>
          <t>REFLO</t>
        </is>
      </c>
      <c r="I312" s="156" t="n"/>
      <c r="J312" s="156" t="n"/>
      <c r="K312" s="156" t="n"/>
      <c r="L312" s="156" t="n"/>
      <c r="M312" s="156" t="n"/>
      <c r="N312" s="156" t="n"/>
      <c r="O312" s="156" t="n"/>
      <c r="P312" s="156" t="n"/>
      <c r="Q312" s="156" t="n"/>
      <c r="R312" s="156" t="n"/>
      <c r="S312" s="156" t="n"/>
      <c r="T312" s="156" t="n"/>
      <c r="U312" s="156" t="n"/>
      <c r="V312" s="156" t="inlineStr">
        <is>
          <t>PZS</t>
        </is>
      </c>
      <c r="W312" s="51" t="inlineStr">
        <is>
          <t>53103000</t>
        </is>
      </c>
      <c r="X312" s="156" t="n"/>
      <c r="Y312" s="54" t="n">
        <v>16.9</v>
      </c>
      <c r="Z312" s="54" t="n">
        <v>1299</v>
      </c>
      <c r="AA312" s="55">
        <f>IF(AND(A312="", B312="", E312=""), "", IF(AB312="", "Válido", IF((LEN(AB312)-LEN(SUBSTITUTE(AB312,"; ","")))/2+1&gt;(LEN(AB312)-LEN(SUBSTITUTE(AB312,"[Aviso]","")))/7, "Con Incidencias", "Válido")))</f>
        <v/>
      </c>
      <c r="AB312" s="56">
        <f>IF(AND(A312="", B312="", E312=""), "", TEXTJOIN("; ", TRUE, IF(OR(TRIM(A312&amp;"")="", ISNUMBER(SEARCH("FALTA", A312))), "UPC faltante/inválido", ""), IF(AND(A312&lt;&gt;"", IFERROR(_xlfn.XMATCH(A312,$A$2:$A$653,0,1)&lt;&gt;_xlfn.XMATCH(A312,$A$2:$A$653,0,-1),FALSE)), "Código de barras duplicado", ""), IF(AND(E312&lt;&gt;"", COUNTIF($E$2:$E$653, E312)&gt;1), "SKU duplicado", ""), IF(OR(J312="", J312=""), "[Aviso] División no capturada ()", IF(ISNA(MATCH(J312, Criterios!$A$123:$A$126, 0)), "División no válida", "")), IF(OR(K312="", K312=""), "[Aviso] Categoría no capturada ()", IF(ISNA(MATCH(K312, Criterios!$A$81:$A$120, 0)), "Categoría no válida", IF(AND(J312&lt;&gt;"", J312&lt;&gt;"", J312&lt;&gt;VLOOKUP(K312, Criterios!$A$81:$B$120, 2, FALSE)), "División no coincide con Categoría", ""))), IF(OR(L312="", L312=""), "[Aviso] Género no capturado ()", IF(ISNA(MATCH(L312, Criterios!$B$123:$B$127, 0)), "Género no válido", "")), IF(OR(N312="", N312=""), "[Aviso] Temporada no capturada ()", IF(ISNA(MATCH(N312, Criterios!$C$123:$C$128, 0)), "Temporada no válida", "")), IF(OR(O312="", O312=""), "[Aviso] Ciclo de vida no capturado ()", IF(ISNA(MATCH(O312, Criterios!$D$123:$D$124, 0)), "Ciclo de vida no válido", ""))))</f>
        <v/>
      </c>
      <c r="AC312" s="56" t="n"/>
      <c r="AD312" s="51" t="n">
        <v>5</v>
      </c>
      <c r="AE312" s="156" t="n"/>
      <c r="AF312" s="51" t="n">
        <v>5</v>
      </c>
      <c r="AG312" s="156" t="inlineStr">
        <is>
          <t>Nuevo – NetSuite con existencia</t>
        </is>
      </c>
      <c r="AH31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12" s="156" t="inlineStr">
        <is>
          <t>No</t>
        </is>
      </c>
      <c r="AJ312" s="156" t="n"/>
      <c r="AK312" s="155" t="inlineStr">
        <is>
          <t>G1522_Extraccion_Articulos_NetSuite_2026-09-30.xlsx: fila 43705</t>
        </is>
      </c>
      <c r="AL312" s="58" t="n"/>
      <c r="AM312" s="58" t="n"/>
      <c r="AN312" s="155" t="n"/>
      <c r="AO312" s="59" t="n"/>
      <c r="AP312" s="59" t="n"/>
      <c r="AQ312" s="59" t="n"/>
      <c r="AR312" s="155" t="n"/>
    </row>
    <row r="313">
      <c r="A313" s="50" t="inlineStr">
        <is>
          <t>5056658709289</t>
        </is>
      </c>
      <c r="B313" s="51" t="inlineStr">
        <is>
          <t>90919</t>
        </is>
      </c>
      <c r="C313" s="156" t="inlineStr">
        <is>
          <t>REFLO</t>
        </is>
      </c>
      <c r="D313" s="156" t="n"/>
      <c r="E313" s="156" t="n"/>
      <c r="F313" s="156" t="n"/>
      <c r="G313" s="156" t="n"/>
      <c r="H313" s="156" t="inlineStr">
        <is>
          <t>REFLO</t>
        </is>
      </c>
      <c r="I313" s="156" t="n"/>
      <c r="J313" s="156" t="n"/>
      <c r="K313" s="156" t="n"/>
      <c r="L313" s="156" t="n"/>
      <c r="M313" s="156" t="n"/>
      <c r="N313" s="156" t="n"/>
      <c r="O313" s="156" t="n"/>
      <c r="P313" s="156" t="n"/>
      <c r="Q313" s="156" t="n"/>
      <c r="R313" s="156" t="n"/>
      <c r="S313" s="156" t="n"/>
      <c r="T313" s="156" t="n"/>
      <c r="U313" s="156" t="n"/>
      <c r="V313" s="156" t="inlineStr">
        <is>
          <t>PZS</t>
        </is>
      </c>
      <c r="W313" s="51" t="inlineStr">
        <is>
          <t>53103000</t>
        </is>
      </c>
      <c r="X313" s="156" t="n"/>
      <c r="Y313" s="54" t="n">
        <v>16.9</v>
      </c>
      <c r="Z313" s="54" t="n">
        <v>1249</v>
      </c>
      <c r="AA313" s="55">
        <f>IF(AND(A313="", B313="", E313=""), "", IF(AB313="", "Válido", IF((LEN(AB313)-LEN(SUBSTITUTE(AB313,"; ","")))/2+1&gt;(LEN(AB313)-LEN(SUBSTITUTE(AB313,"[Aviso]","")))/7, "Con Incidencias", "Válido")))</f>
        <v/>
      </c>
      <c r="AB313" s="56">
        <f>IF(AND(A313="", B313="", E313=""), "", TEXTJOIN("; ", TRUE, IF(OR(TRIM(A313&amp;"")="", ISNUMBER(SEARCH("FALTA", A313))), "UPC faltante/inválido", ""), IF(AND(A313&lt;&gt;"", IFERROR(_xlfn.XMATCH(A313,$A$2:$A$653,0,1)&lt;&gt;_xlfn.XMATCH(A313,$A$2:$A$653,0,-1),FALSE)), "Código de barras duplicado", ""), IF(AND(E313&lt;&gt;"", COUNTIF($E$2:$E$653, E313)&gt;1), "SKU duplicado", ""), IF(OR(J313="", J313=""), "[Aviso] División no capturada ()", IF(ISNA(MATCH(J313, Criterios!$A$123:$A$126, 0)), "División no válida", "")), IF(OR(K313="", K313=""), "[Aviso] Categoría no capturada ()", IF(ISNA(MATCH(K313, Criterios!$A$81:$A$120, 0)), "Categoría no válida", IF(AND(J313&lt;&gt;"", J313&lt;&gt;"", J313&lt;&gt;VLOOKUP(K313, Criterios!$A$81:$B$120, 2, FALSE)), "División no coincide con Categoría", ""))), IF(OR(L313="", L313=""), "[Aviso] Género no capturado ()", IF(ISNA(MATCH(L313, Criterios!$B$123:$B$127, 0)), "Género no válido", "")), IF(OR(N313="", N313=""), "[Aviso] Temporada no capturada ()", IF(ISNA(MATCH(N313, Criterios!$C$123:$C$128, 0)), "Temporada no válida", "")), IF(OR(O313="", O313=""), "[Aviso] Ciclo de vida no capturado ()", IF(ISNA(MATCH(O313, Criterios!$D$123:$D$124, 0)), "Ciclo de vida no válido", ""))))</f>
        <v/>
      </c>
      <c r="AC313" s="56" t="n"/>
      <c r="AD313" s="51" t="n">
        <v>0</v>
      </c>
      <c r="AE313" s="156" t="n"/>
      <c r="AF313" s="51" t="n">
        <v>0</v>
      </c>
      <c r="AG313" s="156" t="inlineStr">
        <is>
          <t>Nuevo – NetSuite sin existencia</t>
        </is>
      </c>
      <c r="AH31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13" s="156" t="inlineStr">
        <is>
          <t>No</t>
        </is>
      </c>
      <c r="AJ313" s="156" t="n"/>
      <c r="AK313" s="155" t="inlineStr">
        <is>
          <t>G1522_Extraccion_Articulos_NetSuite_2026-09-30.xlsx: fila 43706</t>
        </is>
      </c>
      <c r="AL313" s="58" t="n"/>
      <c r="AM313" s="58" t="n"/>
      <c r="AN313" s="155" t="n"/>
      <c r="AO313" s="59" t="n"/>
      <c r="AP313" s="59" t="n"/>
      <c r="AQ313" s="59" t="n"/>
      <c r="AR313" s="155" t="n"/>
    </row>
    <row r="314">
      <c r="A314" s="50" t="inlineStr">
        <is>
          <t>5056658709296</t>
        </is>
      </c>
      <c r="B314" s="51" t="inlineStr">
        <is>
          <t>90920</t>
        </is>
      </c>
      <c r="C314" s="156" t="inlineStr">
        <is>
          <t>REFLO</t>
        </is>
      </c>
      <c r="D314" s="156" t="n"/>
      <c r="E314" s="156" t="n"/>
      <c r="F314" s="156" t="n"/>
      <c r="G314" s="156" t="n"/>
      <c r="H314" s="156" t="inlineStr">
        <is>
          <t>REFLO</t>
        </is>
      </c>
      <c r="I314" s="156" t="n"/>
      <c r="J314" s="156" t="n"/>
      <c r="K314" s="156" t="n"/>
      <c r="L314" s="156" t="n"/>
      <c r="M314" s="156" t="n"/>
      <c r="N314" s="156" t="n"/>
      <c r="O314" s="156" t="n"/>
      <c r="P314" s="156" t="n"/>
      <c r="Q314" s="156" t="n"/>
      <c r="R314" s="156" t="n"/>
      <c r="S314" s="156" t="n"/>
      <c r="T314" s="156" t="n"/>
      <c r="U314" s="156" t="n"/>
      <c r="V314" s="156" t="inlineStr">
        <is>
          <t>PZS</t>
        </is>
      </c>
      <c r="W314" s="51" t="inlineStr">
        <is>
          <t>53103000</t>
        </is>
      </c>
      <c r="X314" s="156" t="n"/>
      <c r="Y314" s="54" t="n">
        <v>16.9</v>
      </c>
      <c r="Z314" s="54" t="n">
        <v>1249</v>
      </c>
      <c r="AA314" s="55">
        <f>IF(AND(A314="", B314="", E314=""), "", IF(AB314="", "Válido", IF((LEN(AB314)-LEN(SUBSTITUTE(AB314,"; ","")))/2+1&gt;(LEN(AB314)-LEN(SUBSTITUTE(AB314,"[Aviso]","")))/7, "Con Incidencias", "Válido")))</f>
        <v/>
      </c>
      <c r="AB314" s="56">
        <f>IF(AND(A314="", B314="", E314=""), "", TEXTJOIN("; ", TRUE, IF(OR(TRIM(A314&amp;"")="", ISNUMBER(SEARCH("FALTA", A314))), "UPC faltante/inválido", ""), IF(AND(A314&lt;&gt;"", IFERROR(_xlfn.XMATCH(A314,$A$2:$A$653,0,1)&lt;&gt;_xlfn.XMATCH(A314,$A$2:$A$653,0,-1),FALSE)), "Código de barras duplicado", ""), IF(AND(E314&lt;&gt;"", COUNTIF($E$2:$E$653, E314)&gt;1), "SKU duplicado", ""), IF(OR(J314="", J314=""), "[Aviso] División no capturada ()", IF(ISNA(MATCH(J314, Criterios!$A$123:$A$126, 0)), "División no válida", "")), IF(OR(K314="", K314=""), "[Aviso] Categoría no capturada ()", IF(ISNA(MATCH(K314, Criterios!$A$81:$A$120, 0)), "Categoría no válida", IF(AND(J314&lt;&gt;"", J314&lt;&gt;"", J314&lt;&gt;VLOOKUP(K314, Criterios!$A$81:$B$120, 2, FALSE)), "División no coincide con Categoría", ""))), IF(OR(L314="", L314=""), "[Aviso] Género no capturado ()", IF(ISNA(MATCH(L314, Criterios!$B$123:$B$127, 0)), "Género no válido", "")), IF(OR(N314="", N314=""), "[Aviso] Temporada no capturada ()", IF(ISNA(MATCH(N314, Criterios!$C$123:$C$128, 0)), "Temporada no válida", "")), IF(OR(O314="", O314=""), "[Aviso] Ciclo de vida no capturado ()", IF(ISNA(MATCH(O314, Criterios!$D$123:$D$124, 0)), "Ciclo de vida no válido", ""))))</f>
        <v/>
      </c>
      <c r="AC314" s="56" t="n"/>
      <c r="AD314" s="51" t="n">
        <v>0</v>
      </c>
      <c r="AE314" s="156" t="n"/>
      <c r="AF314" s="51" t="n">
        <v>0</v>
      </c>
      <c r="AG314" s="156" t="inlineStr">
        <is>
          <t>Nuevo – NetSuite sin existencia</t>
        </is>
      </c>
      <c r="AH31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14" s="156" t="inlineStr">
        <is>
          <t>No</t>
        </is>
      </c>
      <c r="AJ314" s="156" t="n"/>
      <c r="AK314" s="155" t="inlineStr">
        <is>
          <t>G1522_Extraccion_Articulos_NetSuite_2026-09-30.xlsx: fila 43707</t>
        </is>
      </c>
      <c r="AL314" s="58" t="n"/>
      <c r="AM314" s="58" t="n"/>
      <c r="AN314" s="155" t="n"/>
      <c r="AO314" s="59" t="n"/>
      <c r="AP314" s="59" t="n"/>
      <c r="AQ314" s="59" t="n"/>
      <c r="AR314" s="155" t="n"/>
    </row>
    <row r="315">
      <c r="A315" s="50" t="inlineStr">
        <is>
          <t>5056658709302</t>
        </is>
      </c>
      <c r="B315" s="51" t="inlineStr">
        <is>
          <t>90921</t>
        </is>
      </c>
      <c r="C315" s="156" t="inlineStr">
        <is>
          <t>REFLO</t>
        </is>
      </c>
      <c r="D315" s="156" t="n"/>
      <c r="E315" s="156" t="n"/>
      <c r="F315" s="156" t="n"/>
      <c r="G315" s="156" t="n"/>
      <c r="H315" s="156" t="inlineStr">
        <is>
          <t>REFLO</t>
        </is>
      </c>
      <c r="I315" s="156" t="n"/>
      <c r="J315" s="156" t="n"/>
      <c r="K315" s="156" t="n"/>
      <c r="L315" s="156" t="n"/>
      <c r="M315" s="156" t="n"/>
      <c r="N315" s="156" t="n"/>
      <c r="O315" s="156" t="n"/>
      <c r="P315" s="156" t="n"/>
      <c r="Q315" s="156" t="n"/>
      <c r="R315" s="156" t="n"/>
      <c r="S315" s="156" t="n"/>
      <c r="T315" s="156" t="n"/>
      <c r="U315" s="156" t="n"/>
      <c r="V315" s="156" t="inlineStr">
        <is>
          <t>PZS</t>
        </is>
      </c>
      <c r="W315" s="51" t="inlineStr">
        <is>
          <t>53103000</t>
        </is>
      </c>
      <c r="X315" s="156" t="n"/>
      <c r="Y315" s="54" t="n">
        <v>16.9</v>
      </c>
      <c r="Z315" s="54" t="n">
        <v>1249</v>
      </c>
      <c r="AA315" s="55">
        <f>IF(AND(A315="", B315="", E315=""), "", IF(AB315="", "Válido", IF((LEN(AB315)-LEN(SUBSTITUTE(AB315,"; ","")))/2+1&gt;(LEN(AB315)-LEN(SUBSTITUTE(AB315,"[Aviso]","")))/7, "Con Incidencias", "Válido")))</f>
        <v/>
      </c>
      <c r="AB315" s="56">
        <f>IF(AND(A315="", B315="", E315=""), "", TEXTJOIN("; ", TRUE, IF(OR(TRIM(A315&amp;"")="", ISNUMBER(SEARCH("FALTA", A315))), "UPC faltante/inválido", ""), IF(AND(A315&lt;&gt;"", IFERROR(_xlfn.XMATCH(A315,$A$2:$A$653,0,1)&lt;&gt;_xlfn.XMATCH(A315,$A$2:$A$653,0,-1),FALSE)), "Código de barras duplicado", ""), IF(AND(E315&lt;&gt;"", COUNTIF($E$2:$E$653, E315)&gt;1), "SKU duplicado", ""), IF(OR(J315="", J315=""), "[Aviso] División no capturada ()", IF(ISNA(MATCH(J315, Criterios!$A$123:$A$126, 0)), "División no válida", "")), IF(OR(K315="", K315=""), "[Aviso] Categoría no capturada ()", IF(ISNA(MATCH(K315, Criterios!$A$81:$A$120, 0)), "Categoría no válida", IF(AND(J315&lt;&gt;"", J315&lt;&gt;"", J315&lt;&gt;VLOOKUP(K315, Criterios!$A$81:$B$120, 2, FALSE)), "División no coincide con Categoría", ""))), IF(OR(L315="", L315=""), "[Aviso] Género no capturado ()", IF(ISNA(MATCH(L315, Criterios!$B$123:$B$127, 0)), "Género no válido", "")), IF(OR(N315="", N315=""), "[Aviso] Temporada no capturada ()", IF(ISNA(MATCH(N315, Criterios!$C$123:$C$128, 0)), "Temporada no válida", "")), IF(OR(O315="", O315=""), "[Aviso] Ciclo de vida no capturado ()", IF(ISNA(MATCH(O315, Criterios!$D$123:$D$124, 0)), "Ciclo de vida no válido", ""))))</f>
        <v/>
      </c>
      <c r="AC315" s="56" t="n"/>
      <c r="AD315" s="51" t="n">
        <v>17</v>
      </c>
      <c r="AE315" s="156" t="n"/>
      <c r="AF315" s="51" t="n">
        <v>17</v>
      </c>
      <c r="AG315" s="156" t="inlineStr">
        <is>
          <t>Nuevo – NetSuite con existencia</t>
        </is>
      </c>
      <c r="AH31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15" s="156" t="inlineStr">
        <is>
          <t>No</t>
        </is>
      </c>
      <c r="AJ315" s="156" t="n"/>
      <c r="AK315" s="155" t="inlineStr">
        <is>
          <t>G1522_Extraccion_Articulos_NetSuite_2026-09-30.xlsx: fila 43708</t>
        </is>
      </c>
      <c r="AL315" s="58" t="n"/>
      <c r="AM315" s="58" t="n"/>
      <c r="AN315" s="155" t="n"/>
      <c r="AO315" s="59" t="n"/>
      <c r="AP315" s="59" t="n"/>
      <c r="AQ315" s="59" t="n"/>
      <c r="AR315" s="155" t="n"/>
    </row>
    <row r="316">
      <c r="A316" s="50" t="inlineStr">
        <is>
          <t>5056658709319</t>
        </is>
      </c>
      <c r="B316" s="51" t="inlineStr">
        <is>
          <t>90922</t>
        </is>
      </c>
      <c r="C316" s="156" t="inlineStr">
        <is>
          <t>REFLO</t>
        </is>
      </c>
      <c r="D316" s="156" t="n"/>
      <c r="E316" s="156" t="n"/>
      <c r="F316" s="156" t="n"/>
      <c r="G316" s="156" t="n"/>
      <c r="H316" s="156" t="inlineStr">
        <is>
          <t>REFLO</t>
        </is>
      </c>
      <c r="I316" s="156" t="n"/>
      <c r="J316" s="156" t="n"/>
      <c r="K316" s="156" t="n"/>
      <c r="L316" s="156" t="n"/>
      <c r="M316" s="156" t="n"/>
      <c r="N316" s="156" t="n"/>
      <c r="O316" s="156" t="n"/>
      <c r="P316" s="156" t="n"/>
      <c r="Q316" s="156" t="n"/>
      <c r="R316" s="156" t="n"/>
      <c r="S316" s="156" t="n"/>
      <c r="T316" s="156" t="n"/>
      <c r="U316" s="156" t="n"/>
      <c r="V316" s="156" t="inlineStr">
        <is>
          <t>PZS</t>
        </is>
      </c>
      <c r="W316" s="51" t="inlineStr">
        <is>
          <t>53103000</t>
        </is>
      </c>
      <c r="X316" s="156" t="n"/>
      <c r="Y316" s="54" t="n">
        <v>16.9</v>
      </c>
      <c r="Z316" s="54" t="n">
        <v>1249</v>
      </c>
      <c r="AA316" s="55">
        <f>IF(AND(A316="", B316="", E316=""), "", IF(AB316="", "Válido", IF((LEN(AB316)-LEN(SUBSTITUTE(AB316,"; ","")))/2+1&gt;(LEN(AB316)-LEN(SUBSTITUTE(AB316,"[Aviso]","")))/7, "Con Incidencias", "Válido")))</f>
        <v/>
      </c>
      <c r="AB316" s="56">
        <f>IF(AND(A316="", B316="", E316=""), "", TEXTJOIN("; ", TRUE, IF(OR(TRIM(A316&amp;"")="", ISNUMBER(SEARCH("FALTA", A316))), "UPC faltante/inválido", ""), IF(AND(A316&lt;&gt;"", IFERROR(_xlfn.XMATCH(A316,$A$2:$A$653,0,1)&lt;&gt;_xlfn.XMATCH(A316,$A$2:$A$653,0,-1),FALSE)), "Código de barras duplicado", ""), IF(AND(E316&lt;&gt;"", COUNTIF($E$2:$E$653, E316)&gt;1), "SKU duplicado", ""), IF(OR(J316="", J316=""), "[Aviso] División no capturada ()", IF(ISNA(MATCH(J316, Criterios!$A$123:$A$126, 0)), "División no válida", "")), IF(OR(K316="", K316=""), "[Aviso] Categoría no capturada ()", IF(ISNA(MATCH(K316, Criterios!$A$81:$A$120, 0)), "Categoría no válida", IF(AND(J316&lt;&gt;"", J316&lt;&gt;"", J316&lt;&gt;VLOOKUP(K316, Criterios!$A$81:$B$120, 2, FALSE)), "División no coincide con Categoría", ""))), IF(OR(L316="", L316=""), "[Aviso] Género no capturado ()", IF(ISNA(MATCH(L316, Criterios!$B$123:$B$127, 0)), "Género no válido", "")), IF(OR(N316="", N316=""), "[Aviso] Temporada no capturada ()", IF(ISNA(MATCH(N316, Criterios!$C$123:$C$128, 0)), "Temporada no válida", "")), IF(OR(O316="", O316=""), "[Aviso] Ciclo de vida no capturado ()", IF(ISNA(MATCH(O316, Criterios!$D$123:$D$124, 0)), "Ciclo de vida no válido", ""))))</f>
        <v/>
      </c>
      <c r="AC316" s="56" t="n"/>
      <c r="AD316" s="51" t="n">
        <v>24</v>
      </c>
      <c r="AE316" s="156" t="n"/>
      <c r="AF316" s="51" t="n">
        <v>24</v>
      </c>
      <c r="AG316" s="156" t="inlineStr">
        <is>
          <t>Nuevo – NetSuite con existencia</t>
        </is>
      </c>
      <c r="AH31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16" s="156" t="inlineStr">
        <is>
          <t>No</t>
        </is>
      </c>
      <c r="AJ316" s="156" t="n"/>
      <c r="AK316" s="155" t="inlineStr">
        <is>
          <t>G1522_Extraccion_Articulos_NetSuite_2026-09-30.xlsx: fila 43709</t>
        </is>
      </c>
      <c r="AL316" s="58" t="n"/>
      <c r="AM316" s="58" t="n"/>
      <c r="AN316" s="155" t="n"/>
      <c r="AO316" s="59" t="n"/>
      <c r="AP316" s="59" t="n"/>
      <c r="AQ316" s="59" t="n"/>
      <c r="AR316" s="155" t="n"/>
    </row>
    <row r="317">
      <c r="A317" s="50" t="inlineStr">
        <is>
          <t>5056658709326</t>
        </is>
      </c>
      <c r="B317" s="51" t="inlineStr">
        <is>
          <t>90923</t>
        </is>
      </c>
      <c r="C317" s="156" t="inlineStr">
        <is>
          <t>REFLO</t>
        </is>
      </c>
      <c r="D317" s="156" t="n"/>
      <c r="E317" s="156" t="n"/>
      <c r="F317" s="156" t="n"/>
      <c r="G317" s="156" t="n"/>
      <c r="H317" s="156" t="inlineStr">
        <is>
          <t>REFLO</t>
        </is>
      </c>
      <c r="I317" s="156" t="n"/>
      <c r="J317" s="156" t="n"/>
      <c r="K317" s="156" t="n"/>
      <c r="L317" s="156" t="n"/>
      <c r="M317" s="156" t="n"/>
      <c r="N317" s="156" t="n"/>
      <c r="O317" s="156" t="n"/>
      <c r="P317" s="156" t="n"/>
      <c r="Q317" s="156" t="n"/>
      <c r="R317" s="156" t="n"/>
      <c r="S317" s="156" t="n"/>
      <c r="T317" s="156" t="n"/>
      <c r="U317" s="156" t="n"/>
      <c r="V317" s="156" t="inlineStr">
        <is>
          <t>PZS</t>
        </is>
      </c>
      <c r="W317" s="51" t="inlineStr">
        <is>
          <t>53103000</t>
        </is>
      </c>
      <c r="X317" s="156" t="n"/>
      <c r="Y317" s="54" t="n">
        <v>16.9</v>
      </c>
      <c r="Z317" s="54" t="n">
        <v>1249</v>
      </c>
      <c r="AA317" s="55">
        <f>IF(AND(A317="", B317="", E317=""), "", IF(AB317="", "Válido", IF((LEN(AB317)-LEN(SUBSTITUTE(AB317,"; ","")))/2+1&gt;(LEN(AB317)-LEN(SUBSTITUTE(AB317,"[Aviso]","")))/7, "Con Incidencias", "Válido")))</f>
        <v/>
      </c>
      <c r="AB317" s="56">
        <f>IF(AND(A317="", B317="", E317=""), "", TEXTJOIN("; ", TRUE, IF(OR(TRIM(A317&amp;"")="", ISNUMBER(SEARCH("FALTA", A317))), "UPC faltante/inválido", ""), IF(AND(A317&lt;&gt;"", IFERROR(_xlfn.XMATCH(A317,$A$2:$A$653,0,1)&lt;&gt;_xlfn.XMATCH(A317,$A$2:$A$653,0,-1),FALSE)), "Código de barras duplicado", ""), IF(AND(E317&lt;&gt;"", COUNTIF($E$2:$E$653, E317)&gt;1), "SKU duplicado", ""), IF(OR(J317="", J317=""), "[Aviso] División no capturada ()", IF(ISNA(MATCH(J317, Criterios!$A$123:$A$126, 0)), "División no válida", "")), IF(OR(K317="", K317=""), "[Aviso] Categoría no capturada ()", IF(ISNA(MATCH(K317, Criterios!$A$81:$A$120, 0)), "Categoría no válida", IF(AND(J317&lt;&gt;"", J317&lt;&gt;"", J317&lt;&gt;VLOOKUP(K317, Criterios!$A$81:$B$120, 2, FALSE)), "División no coincide con Categoría", ""))), IF(OR(L317="", L317=""), "[Aviso] Género no capturado ()", IF(ISNA(MATCH(L317, Criterios!$B$123:$B$127, 0)), "Género no válido", "")), IF(OR(N317="", N317=""), "[Aviso] Temporada no capturada ()", IF(ISNA(MATCH(N317, Criterios!$C$123:$C$128, 0)), "Temporada no válida", "")), IF(OR(O317="", O317=""), "[Aviso] Ciclo de vida no capturado ()", IF(ISNA(MATCH(O317, Criterios!$D$123:$D$124, 0)), "Ciclo de vida no válido", ""))))</f>
        <v/>
      </c>
      <c r="AC317" s="56" t="n"/>
      <c r="AD317" s="51" t="n">
        <v>12</v>
      </c>
      <c r="AE317" s="156" t="n"/>
      <c r="AF317" s="51" t="n">
        <v>12</v>
      </c>
      <c r="AG317" s="156" t="inlineStr">
        <is>
          <t>Nuevo – NetSuite con existencia</t>
        </is>
      </c>
      <c r="AH31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17" s="156" t="inlineStr">
        <is>
          <t>No</t>
        </is>
      </c>
      <c r="AJ317" s="156" t="n"/>
      <c r="AK317" s="155" t="inlineStr">
        <is>
          <t>G1522_Extraccion_Articulos_NetSuite_2026-09-30.xlsx: fila 43710</t>
        </is>
      </c>
      <c r="AL317" s="58" t="n"/>
      <c r="AM317" s="58" t="n"/>
      <c r="AN317" s="155" t="n"/>
      <c r="AO317" s="59" t="n"/>
      <c r="AP317" s="59" t="n"/>
      <c r="AQ317" s="59" t="n"/>
      <c r="AR317" s="155" t="n"/>
    </row>
    <row r="318">
      <c r="A318" s="50" t="inlineStr">
        <is>
          <t>5056658714092</t>
        </is>
      </c>
      <c r="B318" s="51" t="inlineStr">
        <is>
          <t>90924</t>
        </is>
      </c>
      <c r="C318" s="156" t="inlineStr">
        <is>
          <t>REFLO</t>
        </is>
      </c>
      <c r="D318" s="156" t="n"/>
      <c r="E318" s="156" t="n"/>
      <c r="F318" s="156" t="n"/>
      <c r="G318" s="156" t="n"/>
      <c r="H318" s="156" t="inlineStr">
        <is>
          <t>REFLO</t>
        </is>
      </c>
      <c r="I318" s="156" t="n"/>
      <c r="J318" s="156" t="n"/>
      <c r="K318" s="156" t="n"/>
      <c r="L318" s="156" t="n"/>
      <c r="M318" s="156" t="n"/>
      <c r="N318" s="156" t="n"/>
      <c r="O318" s="156" t="n"/>
      <c r="P318" s="156" t="n"/>
      <c r="Q318" s="156" t="n"/>
      <c r="R318" s="156" t="n"/>
      <c r="S318" s="156" t="n"/>
      <c r="T318" s="156" t="n"/>
      <c r="U318" s="156" t="n"/>
      <c r="V318" s="156" t="inlineStr">
        <is>
          <t>PZS</t>
        </is>
      </c>
      <c r="W318" s="51" t="inlineStr">
        <is>
          <t>53103000</t>
        </is>
      </c>
      <c r="X318" s="156" t="n"/>
      <c r="Y318" s="54" t="n">
        <v>16.9</v>
      </c>
      <c r="Z318" s="54" t="n">
        <v>1249</v>
      </c>
      <c r="AA318" s="55">
        <f>IF(AND(A318="", B318="", E318=""), "", IF(AB318="", "Válido", IF((LEN(AB318)-LEN(SUBSTITUTE(AB318,"; ","")))/2+1&gt;(LEN(AB318)-LEN(SUBSTITUTE(AB318,"[Aviso]","")))/7, "Con Incidencias", "Válido")))</f>
        <v/>
      </c>
      <c r="AB318" s="56">
        <f>IF(AND(A318="", B318="", E318=""), "", TEXTJOIN("; ", TRUE, IF(OR(TRIM(A318&amp;"")="", ISNUMBER(SEARCH("FALTA", A318))), "UPC faltante/inválido", ""), IF(AND(A318&lt;&gt;"", IFERROR(_xlfn.XMATCH(A318,$A$2:$A$653,0,1)&lt;&gt;_xlfn.XMATCH(A318,$A$2:$A$653,0,-1),FALSE)), "Código de barras duplicado", ""), IF(AND(E318&lt;&gt;"", COUNTIF($E$2:$E$653, E318)&gt;1), "SKU duplicado", ""), IF(OR(J318="", J318=""), "[Aviso] División no capturada ()", IF(ISNA(MATCH(J318, Criterios!$A$123:$A$126, 0)), "División no válida", "")), IF(OR(K318="", K318=""), "[Aviso] Categoría no capturada ()", IF(ISNA(MATCH(K318, Criterios!$A$81:$A$120, 0)), "Categoría no válida", IF(AND(J318&lt;&gt;"", J318&lt;&gt;"", J318&lt;&gt;VLOOKUP(K318, Criterios!$A$81:$B$120, 2, FALSE)), "División no coincide con Categoría", ""))), IF(OR(L318="", L318=""), "[Aviso] Género no capturado ()", IF(ISNA(MATCH(L318, Criterios!$B$123:$B$127, 0)), "Género no válido", "")), IF(OR(N318="", N318=""), "[Aviso] Temporada no capturada ()", IF(ISNA(MATCH(N318, Criterios!$C$123:$C$128, 0)), "Temporada no válida", "")), IF(OR(O318="", O318=""), "[Aviso] Ciclo de vida no capturado ()", IF(ISNA(MATCH(O318, Criterios!$D$123:$D$124, 0)), "Ciclo de vida no válido", ""))))</f>
        <v/>
      </c>
      <c r="AC318" s="56" t="n"/>
      <c r="AD318" s="51" t="n">
        <v>6</v>
      </c>
      <c r="AE318" s="156" t="n"/>
      <c r="AF318" s="51" t="n">
        <v>6</v>
      </c>
      <c r="AG318" s="156" t="inlineStr">
        <is>
          <t>Nuevo – NetSuite con existencia</t>
        </is>
      </c>
      <c r="AH31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18" s="156" t="inlineStr">
        <is>
          <t>No</t>
        </is>
      </c>
      <c r="AJ318" s="156" t="n"/>
      <c r="AK318" s="155" t="inlineStr">
        <is>
          <t>G1522_Extraccion_Articulos_NetSuite_2026-09-30.xlsx: fila 43711</t>
        </is>
      </c>
      <c r="AL318" s="58" t="n"/>
      <c r="AM318" s="58" t="n"/>
      <c r="AN318" s="155" t="n"/>
      <c r="AO318" s="59" t="n"/>
      <c r="AP318" s="59" t="n"/>
      <c r="AQ318" s="59" t="n"/>
      <c r="AR318" s="155" t="n"/>
    </row>
    <row r="319">
      <c r="A319" s="50" t="inlineStr">
        <is>
          <t>5056658709654</t>
        </is>
      </c>
      <c r="B319" s="51" t="inlineStr">
        <is>
          <t>90925</t>
        </is>
      </c>
      <c r="C319" s="156" t="inlineStr">
        <is>
          <t>REFLO</t>
        </is>
      </c>
      <c r="D319" s="156" t="n"/>
      <c r="E319" s="156" t="n"/>
      <c r="F319" s="156" t="n"/>
      <c r="G319" s="156" t="n"/>
      <c r="H319" s="156" t="inlineStr">
        <is>
          <t>REFLO</t>
        </is>
      </c>
      <c r="I319" s="156" t="n"/>
      <c r="J319" s="156" t="n"/>
      <c r="K319" s="156" t="n"/>
      <c r="L319" s="156" t="n"/>
      <c r="M319" s="156" t="n"/>
      <c r="N319" s="156" t="n"/>
      <c r="O319" s="156" t="n"/>
      <c r="P319" s="156" t="n"/>
      <c r="Q319" s="156" t="n"/>
      <c r="R319" s="156" t="n"/>
      <c r="S319" s="156" t="n"/>
      <c r="T319" s="156" t="n"/>
      <c r="U319" s="156" t="n"/>
      <c r="V319" s="156" t="inlineStr">
        <is>
          <t>PZS</t>
        </is>
      </c>
      <c r="W319" s="51" t="inlineStr">
        <is>
          <t>53103000</t>
        </is>
      </c>
      <c r="X319" s="156" t="n"/>
      <c r="Y319" s="54" t="n">
        <v>22.75</v>
      </c>
      <c r="Z319" s="54" t="n">
        <v>1649</v>
      </c>
      <c r="AA319" s="55">
        <f>IF(AND(A319="", B319="", E319=""), "", IF(AB319="", "Válido", IF((LEN(AB319)-LEN(SUBSTITUTE(AB319,"; ","")))/2+1&gt;(LEN(AB319)-LEN(SUBSTITUTE(AB319,"[Aviso]","")))/7, "Con Incidencias", "Válido")))</f>
        <v/>
      </c>
      <c r="AB319" s="56">
        <f>IF(AND(A319="", B319="", E319=""), "", TEXTJOIN("; ", TRUE, IF(OR(TRIM(A319&amp;"")="", ISNUMBER(SEARCH("FALTA", A319))), "UPC faltante/inválido", ""), IF(AND(A319&lt;&gt;"", IFERROR(_xlfn.XMATCH(A319,$A$2:$A$653,0,1)&lt;&gt;_xlfn.XMATCH(A319,$A$2:$A$653,0,-1),FALSE)), "Código de barras duplicado", ""), IF(AND(E319&lt;&gt;"", COUNTIF($E$2:$E$653, E319)&gt;1), "SKU duplicado", ""), IF(OR(J319="", J319=""), "[Aviso] División no capturada ()", IF(ISNA(MATCH(J319, Criterios!$A$123:$A$126, 0)), "División no válida", "")), IF(OR(K319="", K319=""), "[Aviso] Categoría no capturada ()", IF(ISNA(MATCH(K319, Criterios!$A$81:$A$120, 0)), "Categoría no válida", IF(AND(J319&lt;&gt;"", J319&lt;&gt;"", J319&lt;&gt;VLOOKUP(K319, Criterios!$A$81:$B$120, 2, FALSE)), "División no coincide con Categoría", ""))), IF(OR(L319="", L319=""), "[Aviso] Género no capturado ()", IF(ISNA(MATCH(L319, Criterios!$B$123:$B$127, 0)), "Género no válido", "")), IF(OR(N319="", N319=""), "[Aviso] Temporada no capturada ()", IF(ISNA(MATCH(N319, Criterios!$C$123:$C$128, 0)), "Temporada no válida", "")), IF(OR(O319="", O319=""), "[Aviso] Ciclo de vida no capturado ()", IF(ISNA(MATCH(O319, Criterios!$D$123:$D$124, 0)), "Ciclo de vida no válido", ""))))</f>
        <v/>
      </c>
      <c r="AC319" s="56" t="n"/>
      <c r="AD319" s="51" t="n">
        <v>1</v>
      </c>
      <c r="AE319" s="156" t="n"/>
      <c r="AF319" s="51" t="n">
        <v>1</v>
      </c>
      <c r="AG319" s="156" t="inlineStr">
        <is>
          <t>Nuevo – NetSuite con existencia</t>
        </is>
      </c>
      <c r="AH31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9" s="156" t="inlineStr">
        <is>
          <t>No</t>
        </is>
      </c>
      <c r="AJ319" s="156" t="n"/>
      <c r="AK319" s="155" t="inlineStr">
        <is>
          <t>G1522_Extraccion_Articulos_NetSuite_2026-09-30.xlsx: fila 43712</t>
        </is>
      </c>
      <c r="AL319" s="58" t="n"/>
      <c r="AM319" s="58" t="n"/>
      <c r="AN319" s="155" t="n"/>
      <c r="AO319" s="59" t="n"/>
      <c r="AP319" s="59" t="n"/>
      <c r="AQ319" s="59" t="n"/>
      <c r="AR319" s="155" t="n"/>
    </row>
    <row r="320">
      <c r="A320" s="50" t="inlineStr">
        <is>
          <t>5056658709661</t>
        </is>
      </c>
      <c r="B320" s="51" t="inlineStr">
        <is>
          <t>90926</t>
        </is>
      </c>
      <c r="C320" s="156" t="inlineStr">
        <is>
          <t>REFLO</t>
        </is>
      </c>
      <c r="D320" s="156" t="n"/>
      <c r="E320" s="156" t="n"/>
      <c r="F320" s="156" t="n"/>
      <c r="G320" s="156" t="n"/>
      <c r="H320" s="156" t="inlineStr">
        <is>
          <t>REFLO</t>
        </is>
      </c>
      <c r="I320" s="156" t="n"/>
      <c r="J320" s="156" t="n"/>
      <c r="K320" s="156" t="n"/>
      <c r="L320" s="156" t="n"/>
      <c r="M320" s="156" t="n"/>
      <c r="N320" s="156" t="n"/>
      <c r="O320" s="156" t="n"/>
      <c r="P320" s="156" t="n"/>
      <c r="Q320" s="156" t="n"/>
      <c r="R320" s="156" t="n"/>
      <c r="S320" s="156" t="n"/>
      <c r="T320" s="156" t="n"/>
      <c r="U320" s="156" t="n"/>
      <c r="V320" s="156" t="inlineStr">
        <is>
          <t>PZS</t>
        </is>
      </c>
      <c r="W320" s="51" t="inlineStr">
        <is>
          <t>53103000</t>
        </is>
      </c>
      <c r="X320" s="156" t="n"/>
      <c r="Y320" s="54" t="n">
        <v>22.75</v>
      </c>
      <c r="Z320" s="54" t="n">
        <v>1649</v>
      </c>
      <c r="AA320" s="55">
        <f>IF(AND(A320="", B320="", E320=""), "", IF(AB320="", "Válido", IF((LEN(AB320)-LEN(SUBSTITUTE(AB320,"; ","")))/2+1&gt;(LEN(AB320)-LEN(SUBSTITUTE(AB320,"[Aviso]","")))/7, "Con Incidencias", "Válido")))</f>
        <v/>
      </c>
      <c r="AB320" s="56">
        <f>IF(AND(A320="", B320="", E320=""), "", TEXTJOIN("; ", TRUE, IF(OR(TRIM(A320&amp;"")="", ISNUMBER(SEARCH("FALTA", A320))), "UPC faltante/inválido", ""), IF(AND(A320&lt;&gt;"", IFERROR(_xlfn.XMATCH(A320,$A$2:$A$653,0,1)&lt;&gt;_xlfn.XMATCH(A320,$A$2:$A$653,0,-1),FALSE)), "Código de barras duplicado", ""), IF(AND(E320&lt;&gt;"", COUNTIF($E$2:$E$653, E320)&gt;1), "SKU duplicado", ""), IF(OR(J320="", J320=""), "[Aviso] División no capturada ()", IF(ISNA(MATCH(J320, Criterios!$A$123:$A$126, 0)), "División no válida", "")), IF(OR(K320="", K320=""), "[Aviso] Categoría no capturada ()", IF(ISNA(MATCH(K320, Criterios!$A$81:$A$120, 0)), "Categoría no válida", IF(AND(J320&lt;&gt;"", J320&lt;&gt;"", J320&lt;&gt;VLOOKUP(K320, Criterios!$A$81:$B$120, 2, FALSE)), "División no coincide con Categoría", ""))), IF(OR(L320="", L320=""), "[Aviso] Género no capturado ()", IF(ISNA(MATCH(L320, Criterios!$B$123:$B$127, 0)), "Género no válido", "")), IF(OR(N320="", N320=""), "[Aviso] Temporada no capturada ()", IF(ISNA(MATCH(N320, Criterios!$C$123:$C$128, 0)), "Temporada no válida", "")), IF(OR(O320="", O320=""), "[Aviso] Ciclo de vida no capturado ()", IF(ISNA(MATCH(O320, Criterios!$D$123:$D$124, 0)), "Ciclo de vida no válido", ""))))</f>
        <v/>
      </c>
      <c r="AC320" s="56" t="n"/>
      <c r="AD320" s="51" t="n">
        <v>13</v>
      </c>
      <c r="AE320" s="156" t="n"/>
      <c r="AF320" s="51" t="n">
        <v>13</v>
      </c>
      <c r="AG320" s="156" t="inlineStr">
        <is>
          <t>Nuevo – NetSuite con existencia</t>
        </is>
      </c>
      <c r="AH32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0" s="156" t="inlineStr">
        <is>
          <t>No</t>
        </is>
      </c>
      <c r="AJ320" s="156" t="n"/>
      <c r="AK320" s="155" t="inlineStr">
        <is>
          <t>G1522_Extraccion_Articulos_NetSuite_2026-09-30.xlsx: fila 43713</t>
        </is>
      </c>
      <c r="AL320" s="58" t="n"/>
      <c r="AM320" s="58" t="n"/>
      <c r="AN320" s="155" t="n"/>
      <c r="AO320" s="59" t="n"/>
      <c r="AP320" s="59" t="n"/>
      <c r="AQ320" s="59" t="n"/>
      <c r="AR320" s="155" t="n"/>
    </row>
    <row r="321">
      <c r="A321" s="50" t="inlineStr">
        <is>
          <t>5056658709678</t>
        </is>
      </c>
      <c r="B321" s="51" t="inlineStr">
        <is>
          <t>90927</t>
        </is>
      </c>
      <c r="C321" s="156" t="inlineStr">
        <is>
          <t>REFLO</t>
        </is>
      </c>
      <c r="D321" s="156" t="n"/>
      <c r="E321" s="156" t="n"/>
      <c r="F321" s="156" t="n"/>
      <c r="G321" s="156" t="n"/>
      <c r="H321" s="156" t="inlineStr">
        <is>
          <t>REFLO</t>
        </is>
      </c>
      <c r="I321" s="156" t="n"/>
      <c r="J321" s="156" t="n"/>
      <c r="K321" s="156" t="n"/>
      <c r="L321" s="156" t="n"/>
      <c r="M321" s="156" t="n"/>
      <c r="N321" s="156" t="n"/>
      <c r="O321" s="156" t="n"/>
      <c r="P321" s="156" t="n"/>
      <c r="Q321" s="156" t="n"/>
      <c r="R321" s="156" t="n"/>
      <c r="S321" s="156" t="n"/>
      <c r="T321" s="156" t="n"/>
      <c r="U321" s="156" t="n"/>
      <c r="V321" s="156" t="inlineStr">
        <is>
          <t>PZS</t>
        </is>
      </c>
      <c r="W321" s="51" t="inlineStr">
        <is>
          <t>53103000</t>
        </is>
      </c>
      <c r="X321" s="156" t="n"/>
      <c r="Y321" s="54" t="n">
        <v>22.75</v>
      </c>
      <c r="Z321" s="54" t="n">
        <v>1649</v>
      </c>
      <c r="AA321" s="55">
        <f>IF(AND(A321="", B321="", E321=""), "", IF(AB321="", "Válido", IF((LEN(AB321)-LEN(SUBSTITUTE(AB321,"; ","")))/2+1&gt;(LEN(AB321)-LEN(SUBSTITUTE(AB321,"[Aviso]","")))/7, "Con Incidencias", "Válido")))</f>
        <v/>
      </c>
      <c r="AB321" s="56">
        <f>IF(AND(A321="", B321="", E321=""), "", TEXTJOIN("; ", TRUE, IF(OR(TRIM(A321&amp;"")="", ISNUMBER(SEARCH("FALTA", A321))), "UPC faltante/inválido", ""), IF(AND(A321&lt;&gt;"", IFERROR(_xlfn.XMATCH(A321,$A$2:$A$653,0,1)&lt;&gt;_xlfn.XMATCH(A321,$A$2:$A$653,0,-1),FALSE)), "Código de barras duplicado", ""), IF(AND(E321&lt;&gt;"", COUNTIF($E$2:$E$653, E321)&gt;1), "SKU duplicado", ""), IF(OR(J321="", J321=""), "[Aviso] División no capturada ()", IF(ISNA(MATCH(J321, Criterios!$A$123:$A$126, 0)), "División no válida", "")), IF(OR(K321="", K321=""), "[Aviso] Categoría no capturada ()", IF(ISNA(MATCH(K321, Criterios!$A$81:$A$120, 0)), "Categoría no válida", IF(AND(J321&lt;&gt;"", J321&lt;&gt;"", J321&lt;&gt;VLOOKUP(K321, Criterios!$A$81:$B$120, 2, FALSE)), "División no coincide con Categoría", ""))), IF(OR(L321="", L321=""), "[Aviso] Género no capturado ()", IF(ISNA(MATCH(L321, Criterios!$B$123:$B$127, 0)), "Género no válido", "")), IF(OR(N321="", N321=""), "[Aviso] Temporada no capturada ()", IF(ISNA(MATCH(N321, Criterios!$C$123:$C$128, 0)), "Temporada no válida", "")), IF(OR(O321="", O321=""), "[Aviso] Ciclo de vida no capturado ()", IF(ISNA(MATCH(O321, Criterios!$D$123:$D$124, 0)), "Ciclo de vida no válido", ""))))</f>
        <v/>
      </c>
      <c r="AC321" s="56" t="n"/>
      <c r="AD321" s="51" t="n">
        <v>15</v>
      </c>
      <c r="AE321" s="156" t="n"/>
      <c r="AF321" s="51" t="n">
        <v>15</v>
      </c>
      <c r="AG321" s="156" t="inlineStr">
        <is>
          <t>Nuevo – NetSuite con existencia</t>
        </is>
      </c>
      <c r="AH32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1" s="156" t="inlineStr">
        <is>
          <t>No</t>
        </is>
      </c>
      <c r="AJ321" s="156" t="n"/>
      <c r="AK321" s="155" t="inlineStr">
        <is>
          <t>G1522_Extraccion_Articulos_NetSuite_2026-09-30.xlsx: fila 43714</t>
        </is>
      </c>
      <c r="AL321" s="58" t="n"/>
      <c r="AM321" s="58" t="n"/>
      <c r="AN321" s="155" t="n"/>
      <c r="AO321" s="59" t="n"/>
      <c r="AP321" s="59" t="n"/>
      <c r="AQ321" s="59" t="n"/>
      <c r="AR321" s="155" t="n"/>
    </row>
    <row r="322">
      <c r="A322" s="50" t="inlineStr">
        <is>
          <t>5056658709685</t>
        </is>
      </c>
      <c r="B322" s="51" t="inlineStr">
        <is>
          <t>90928</t>
        </is>
      </c>
      <c r="C322" s="156" t="inlineStr">
        <is>
          <t>REFLO</t>
        </is>
      </c>
      <c r="D322" s="156" t="n"/>
      <c r="E322" s="156" t="n"/>
      <c r="F322" s="156" t="n"/>
      <c r="G322" s="156" t="n"/>
      <c r="H322" s="156" t="inlineStr">
        <is>
          <t>REFLO</t>
        </is>
      </c>
      <c r="I322" s="156" t="n"/>
      <c r="J322" s="156" t="n"/>
      <c r="K322" s="156" t="n"/>
      <c r="L322" s="156" t="n"/>
      <c r="M322" s="156" t="n"/>
      <c r="N322" s="156" t="n"/>
      <c r="O322" s="156" t="n"/>
      <c r="P322" s="156" t="n"/>
      <c r="Q322" s="156" t="n"/>
      <c r="R322" s="156" t="n"/>
      <c r="S322" s="156" t="n"/>
      <c r="T322" s="156" t="n"/>
      <c r="U322" s="156" t="n"/>
      <c r="V322" s="156" t="inlineStr">
        <is>
          <t>PZS</t>
        </is>
      </c>
      <c r="W322" s="51" t="inlineStr">
        <is>
          <t>53103000</t>
        </is>
      </c>
      <c r="X322" s="156" t="n"/>
      <c r="Y322" s="54" t="n">
        <v>22.75</v>
      </c>
      <c r="Z322" s="54" t="n">
        <v>1649</v>
      </c>
      <c r="AA322" s="55">
        <f>IF(AND(A322="", B322="", E322=""), "", IF(AB322="", "Válido", IF((LEN(AB322)-LEN(SUBSTITUTE(AB322,"; ","")))/2+1&gt;(LEN(AB322)-LEN(SUBSTITUTE(AB322,"[Aviso]","")))/7, "Con Incidencias", "Válido")))</f>
        <v/>
      </c>
      <c r="AB322" s="56">
        <f>IF(AND(A322="", B322="", E322=""), "", TEXTJOIN("; ", TRUE, IF(OR(TRIM(A322&amp;"")="", ISNUMBER(SEARCH("FALTA", A322))), "UPC faltante/inválido", ""), IF(AND(A322&lt;&gt;"", IFERROR(_xlfn.XMATCH(A322,$A$2:$A$653,0,1)&lt;&gt;_xlfn.XMATCH(A322,$A$2:$A$653,0,-1),FALSE)), "Código de barras duplicado", ""), IF(AND(E322&lt;&gt;"", COUNTIF($E$2:$E$653, E322)&gt;1), "SKU duplicado", ""), IF(OR(J322="", J322=""), "[Aviso] División no capturada ()", IF(ISNA(MATCH(J322, Criterios!$A$123:$A$126, 0)), "División no válida", "")), IF(OR(K322="", K322=""), "[Aviso] Categoría no capturada ()", IF(ISNA(MATCH(K322, Criterios!$A$81:$A$120, 0)), "Categoría no válida", IF(AND(J322&lt;&gt;"", J322&lt;&gt;"", J322&lt;&gt;VLOOKUP(K322, Criterios!$A$81:$B$120, 2, FALSE)), "División no coincide con Categoría", ""))), IF(OR(L322="", L322=""), "[Aviso] Género no capturado ()", IF(ISNA(MATCH(L322, Criterios!$B$123:$B$127, 0)), "Género no válido", "")), IF(OR(N322="", N322=""), "[Aviso] Temporada no capturada ()", IF(ISNA(MATCH(N322, Criterios!$C$123:$C$128, 0)), "Temporada no válida", "")), IF(OR(O322="", O322=""), "[Aviso] Ciclo de vida no capturado ()", IF(ISNA(MATCH(O322, Criterios!$D$123:$D$124, 0)), "Ciclo de vida no válido", ""))))</f>
        <v/>
      </c>
      <c r="AC322" s="56" t="n"/>
      <c r="AD322" s="51" t="n">
        <v>8</v>
      </c>
      <c r="AE322" s="156" t="n"/>
      <c r="AF322" s="51" t="n">
        <v>8</v>
      </c>
      <c r="AG322" s="156" t="inlineStr">
        <is>
          <t>Nuevo – NetSuite con existencia</t>
        </is>
      </c>
      <c r="AH32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2" s="156" t="inlineStr">
        <is>
          <t>No</t>
        </is>
      </c>
      <c r="AJ322" s="156" t="n"/>
      <c r="AK322" s="155" t="inlineStr">
        <is>
          <t>G1522_Extraccion_Articulos_NetSuite_2026-09-30.xlsx: fila 43715</t>
        </is>
      </c>
      <c r="AL322" s="58" t="n"/>
      <c r="AM322" s="58" t="n"/>
      <c r="AN322" s="155" t="n"/>
      <c r="AO322" s="59" t="n"/>
      <c r="AP322" s="59" t="n"/>
      <c r="AQ322" s="59" t="n"/>
      <c r="AR322" s="155" t="n"/>
    </row>
    <row r="323">
      <c r="A323" s="50" t="inlineStr">
        <is>
          <t>5056658714252</t>
        </is>
      </c>
      <c r="B323" s="51" t="inlineStr">
        <is>
          <t>90929</t>
        </is>
      </c>
      <c r="C323" s="156" t="inlineStr">
        <is>
          <t>REFLO</t>
        </is>
      </c>
      <c r="D323" s="156" t="n"/>
      <c r="E323" s="156" t="n"/>
      <c r="F323" s="156" t="n"/>
      <c r="G323" s="156" t="n"/>
      <c r="H323" s="156" t="inlineStr">
        <is>
          <t>REFLO</t>
        </is>
      </c>
      <c r="I323" s="156" t="n"/>
      <c r="J323" s="156" t="n"/>
      <c r="K323" s="156" t="n"/>
      <c r="L323" s="156" t="n"/>
      <c r="M323" s="156" t="n"/>
      <c r="N323" s="156" t="n"/>
      <c r="O323" s="156" t="n"/>
      <c r="P323" s="156" t="n"/>
      <c r="Q323" s="156" t="n"/>
      <c r="R323" s="156" t="n"/>
      <c r="S323" s="156" t="n"/>
      <c r="T323" s="156" t="n"/>
      <c r="U323" s="156" t="n"/>
      <c r="V323" s="156" t="inlineStr">
        <is>
          <t>PZS</t>
        </is>
      </c>
      <c r="W323" s="51" t="inlineStr">
        <is>
          <t>53103000</t>
        </is>
      </c>
      <c r="X323" s="156" t="n"/>
      <c r="Y323" s="54" t="n">
        <v>22.75</v>
      </c>
      <c r="Z323" s="54" t="n">
        <v>1649</v>
      </c>
      <c r="AA323" s="55">
        <f>IF(AND(A323="", B323="", E323=""), "", IF(AB323="", "Válido", IF((LEN(AB323)-LEN(SUBSTITUTE(AB323,"; ","")))/2+1&gt;(LEN(AB323)-LEN(SUBSTITUTE(AB323,"[Aviso]","")))/7, "Con Incidencias", "Válido")))</f>
        <v/>
      </c>
      <c r="AB323" s="56">
        <f>IF(AND(A323="", B323="", E323=""), "", TEXTJOIN("; ", TRUE, IF(OR(TRIM(A323&amp;"")="", ISNUMBER(SEARCH("FALTA", A323))), "UPC faltante/inválido", ""), IF(AND(A323&lt;&gt;"", IFERROR(_xlfn.XMATCH(A323,$A$2:$A$653,0,1)&lt;&gt;_xlfn.XMATCH(A323,$A$2:$A$653,0,-1),FALSE)), "Código de barras duplicado", ""), IF(AND(E323&lt;&gt;"", COUNTIF($E$2:$E$653, E323)&gt;1), "SKU duplicado", ""), IF(OR(J323="", J323=""), "[Aviso] División no capturada ()", IF(ISNA(MATCH(J323, Criterios!$A$123:$A$126, 0)), "División no válida", "")), IF(OR(K323="", K323=""), "[Aviso] Categoría no capturada ()", IF(ISNA(MATCH(K323, Criterios!$A$81:$A$120, 0)), "Categoría no válida", IF(AND(J323&lt;&gt;"", J323&lt;&gt;"", J323&lt;&gt;VLOOKUP(K323, Criterios!$A$81:$B$120, 2, FALSE)), "División no coincide con Categoría", ""))), IF(OR(L323="", L323=""), "[Aviso] Género no capturado ()", IF(ISNA(MATCH(L323, Criterios!$B$123:$B$127, 0)), "Género no válido", "")), IF(OR(N323="", N323=""), "[Aviso] Temporada no capturada ()", IF(ISNA(MATCH(N323, Criterios!$C$123:$C$128, 0)), "Temporada no válida", "")), IF(OR(O323="", O323=""), "[Aviso] Ciclo de vida no capturado ()", IF(ISNA(MATCH(O323, Criterios!$D$123:$D$124, 0)), "Ciclo de vida no válido", ""))))</f>
        <v/>
      </c>
      <c r="AC323" s="56" t="n"/>
      <c r="AD323" s="51" t="n">
        <v>4</v>
      </c>
      <c r="AE323" s="156" t="n"/>
      <c r="AF323" s="51" t="n">
        <v>4</v>
      </c>
      <c r="AG323" s="156" t="inlineStr">
        <is>
          <t>Nuevo – NetSuite con existencia</t>
        </is>
      </c>
      <c r="AH32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3" s="156" t="inlineStr">
        <is>
          <t>No</t>
        </is>
      </c>
      <c r="AJ323" s="156" t="n"/>
      <c r="AK323" s="155" t="inlineStr">
        <is>
          <t>G1522_Extraccion_Articulos_NetSuite_2026-09-30.xlsx: fila 43716</t>
        </is>
      </c>
      <c r="AL323" s="58" t="n"/>
      <c r="AM323" s="58" t="n"/>
      <c r="AN323" s="155" t="n"/>
      <c r="AO323" s="59" t="n"/>
      <c r="AP323" s="59" t="n"/>
      <c r="AQ323" s="59" t="n"/>
      <c r="AR323" s="155" t="n"/>
    </row>
    <row r="324">
      <c r="A324" s="50" t="inlineStr">
        <is>
          <t>5056658709708</t>
        </is>
      </c>
      <c r="B324" s="51" t="inlineStr">
        <is>
          <t>90930</t>
        </is>
      </c>
      <c r="C324" s="156" t="inlineStr">
        <is>
          <t>REFLO</t>
        </is>
      </c>
      <c r="D324" s="156" t="n"/>
      <c r="E324" s="156" t="n"/>
      <c r="F324" s="156" t="n"/>
      <c r="G324" s="156" t="n"/>
      <c r="H324" s="156" t="inlineStr">
        <is>
          <t>REFLO</t>
        </is>
      </c>
      <c r="I324" s="156" t="n"/>
      <c r="J324" s="156" t="n"/>
      <c r="K324" s="156" t="n"/>
      <c r="L324" s="156" t="n"/>
      <c r="M324" s="156" t="n"/>
      <c r="N324" s="156" t="n"/>
      <c r="O324" s="156" t="n"/>
      <c r="P324" s="156" t="n"/>
      <c r="Q324" s="156" t="n"/>
      <c r="R324" s="156" t="n"/>
      <c r="S324" s="156" t="n"/>
      <c r="T324" s="156" t="n"/>
      <c r="U324" s="156" t="n"/>
      <c r="V324" s="156" t="inlineStr">
        <is>
          <t>PZS</t>
        </is>
      </c>
      <c r="W324" s="51" t="inlineStr">
        <is>
          <t>53103000</t>
        </is>
      </c>
      <c r="X324" s="156" t="n"/>
      <c r="Y324" s="54" t="n">
        <v>22.75</v>
      </c>
      <c r="Z324" s="54" t="n">
        <v>1649</v>
      </c>
      <c r="AA324" s="55">
        <f>IF(AND(A324="", B324="", E324=""), "", IF(AB324="", "Válido", IF((LEN(AB324)-LEN(SUBSTITUTE(AB324,"; ","")))/2+1&gt;(LEN(AB324)-LEN(SUBSTITUTE(AB324,"[Aviso]","")))/7, "Con Incidencias", "Válido")))</f>
        <v/>
      </c>
      <c r="AB324" s="56">
        <f>IF(AND(A324="", B324="", E324=""), "", TEXTJOIN("; ", TRUE, IF(OR(TRIM(A324&amp;"")="", ISNUMBER(SEARCH("FALTA", A324))), "UPC faltante/inválido", ""), IF(AND(A324&lt;&gt;"", IFERROR(_xlfn.XMATCH(A324,$A$2:$A$653,0,1)&lt;&gt;_xlfn.XMATCH(A324,$A$2:$A$653,0,-1),FALSE)), "Código de barras duplicado", ""), IF(AND(E324&lt;&gt;"", COUNTIF($E$2:$E$653, E324)&gt;1), "SKU duplicado", ""), IF(OR(J324="", J324=""), "[Aviso] División no capturada ()", IF(ISNA(MATCH(J324, Criterios!$A$123:$A$126, 0)), "División no válida", "")), IF(OR(K324="", K324=""), "[Aviso] Categoría no capturada ()", IF(ISNA(MATCH(K324, Criterios!$A$81:$A$120, 0)), "Categoría no válida", IF(AND(J324&lt;&gt;"", J324&lt;&gt;"", J324&lt;&gt;VLOOKUP(K324, Criterios!$A$81:$B$120, 2, FALSE)), "División no coincide con Categoría", ""))), IF(OR(L324="", L324=""), "[Aviso] Género no capturado ()", IF(ISNA(MATCH(L324, Criterios!$B$123:$B$127, 0)), "Género no válido", "")), IF(OR(N324="", N324=""), "[Aviso] Temporada no capturada ()", IF(ISNA(MATCH(N324, Criterios!$C$123:$C$128, 0)), "Temporada no válida", "")), IF(OR(O324="", O324=""), "[Aviso] Ciclo de vida no capturado ()", IF(ISNA(MATCH(O324, Criterios!$D$123:$D$124, 0)), "Ciclo de vida no válido", ""))))</f>
        <v/>
      </c>
      <c r="AC324" s="56" t="n"/>
      <c r="AD324" s="51" t="n">
        <v>0</v>
      </c>
      <c r="AE324" s="156" t="n"/>
      <c r="AF324" s="51" t="n">
        <v>0</v>
      </c>
      <c r="AG324" s="156" t="inlineStr">
        <is>
          <t>Nuevo – NetSuite sin existencia</t>
        </is>
      </c>
      <c r="AH32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4" s="156" t="inlineStr">
        <is>
          <t>No</t>
        </is>
      </c>
      <c r="AJ324" s="156" t="n"/>
      <c r="AK324" s="155" t="inlineStr">
        <is>
          <t>G1522_Extraccion_Articulos_NetSuite_2026-09-30.xlsx: fila 43717</t>
        </is>
      </c>
      <c r="AL324" s="58" t="n"/>
      <c r="AM324" s="58" t="n"/>
      <c r="AN324" s="155" t="n"/>
      <c r="AO324" s="59" t="n"/>
      <c r="AP324" s="59" t="n"/>
      <c r="AQ324" s="59" t="n"/>
      <c r="AR324" s="155" t="n"/>
    </row>
    <row r="325">
      <c r="A325" s="50" t="inlineStr">
        <is>
          <t>5056658709715</t>
        </is>
      </c>
      <c r="B325" s="51" t="inlineStr">
        <is>
          <t>90931</t>
        </is>
      </c>
      <c r="C325" s="156" t="inlineStr">
        <is>
          <t>REFLO</t>
        </is>
      </c>
      <c r="D325" s="156" t="n"/>
      <c r="E325" s="156" t="n"/>
      <c r="F325" s="156" t="n"/>
      <c r="G325" s="156" t="n"/>
      <c r="H325" s="156" t="inlineStr">
        <is>
          <t>REFLO</t>
        </is>
      </c>
      <c r="I325" s="156" t="n"/>
      <c r="J325" s="156" t="n"/>
      <c r="K325" s="156" t="n"/>
      <c r="L325" s="156" t="n"/>
      <c r="M325" s="156" t="n"/>
      <c r="N325" s="156" t="n"/>
      <c r="O325" s="156" t="n"/>
      <c r="P325" s="156" t="n"/>
      <c r="Q325" s="156" t="n"/>
      <c r="R325" s="156" t="n"/>
      <c r="S325" s="156" t="n"/>
      <c r="T325" s="156" t="n"/>
      <c r="U325" s="156" t="n"/>
      <c r="V325" s="156" t="inlineStr">
        <is>
          <t>PZS</t>
        </is>
      </c>
      <c r="W325" s="51" t="inlineStr">
        <is>
          <t>53103000</t>
        </is>
      </c>
      <c r="X325" s="156" t="n"/>
      <c r="Y325" s="54" t="n">
        <v>22.75</v>
      </c>
      <c r="Z325" s="54" t="n">
        <v>1649</v>
      </c>
      <c r="AA325" s="55">
        <f>IF(AND(A325="", B325="", E325=""), "", IF(AB325="", "Válido", IF((LEN(AB325)-LEN(SUBSTITUTE(AB325,"; ","")))/2+1&gt;(LEN(AB325)-LEN(SUBSTITUTE(AB325,"[Aviso]","")))/7, "Con Incidencias", "Válido")))</f>
        <v/>
      </c>
      <c r="AB325" s="56">
        <f>IF(AND(A325="", B325="", E325=""), "", TEXTJOIN("; ", TRUE, IF(OR(TRIM(A325&amp;"")="", ISNUMBER(SEARCH("FALTA", A325))), "UPC faltante/inválido", ""), IF(AND(A325&lt;&gt;"", IFERROR(_xlfn.XMATCH(A325,$A$2:$A$653,0,1)&lt;&gt;_xlfn.XMATCH(A325,$A$2:$A$653,0,-1),FALSE)), "Código de barras duplicado", ""), IF(AND(E325&lt;&gt;"", COUNTIF($E$2:$E$653, E325)&gt;1), "SKU duplicado", ""), IF(OR(J325="", J325=""), "[Aviso] División no capturada ()", IF(ISNA(MATCH(J325, Criterios!$A$123:$A$126, 0)), "División no válida", "")), IF(OR(K325="", K325=""), "[Aviso] Categoría no capturada ()", IF(ISNA(MATCH(K325, Criterios!$A$81:$A$120, 0)), "Categoría no válida", IF(AND(J325&lt;&gt;"", J325&lt;&gt;"", J325&lt;&gt;VLOOKUP(K325, Criterios!$A$81:$B$120, 2, FALSE)), "División no coincide con Categoría", ""))), IF(OR(L325="", L325=""), "[Aviso] Género no capturado ()", IF(ISNA(MATCH(L325, Criterios!$B$123:$B$127, 0)), "Género no válido", "")), IF(OR(N325="", N325=""), "[Aviso] Temporada no capturada ()", IF(ISNA(MATCH(N325, Criterios!$C$123:$C$128, 0)), "Temporada no válida", "")), IF(OR(O325="", O325=""), "[Aviso] Ciclo de vida no capturado ()", IF(ISNA(MATCH(O325, Criterios!$D$123:$D$124, 0)), "Ciclo de vida no válido", ""))))</f>
        <v/>
      </c>
      <c r="AC325" s="56" t="n"/>
      <c r="AD325" s="51" t="n">
        <v>0</v>
      </c>
      <c r="AE325" s="156" t="n"/>
      <c r="AF325" s="51" t="n">
        <v>0</v>
      </c>
      <c r="AG325" s="156" t="inlineStr">
        <is>
          <t>Nuevo – NetSuite sin existencia</t>
        </is>
      </c>
      <c r="AH32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5" s="156" t="inlineStr">
        <is>
          <t>No</t>
        </is>
      </c>
      <c r="AJ325" s="156" t="n"/>
      <c r="AK325" s="155" t="inlineStr">
        <is>
          <t>G1522_Extraccion_Articulos_NetSuite_2026-09-30.xlsx: fila 43718</t>
        </is>
      </c>
      <c r="AL325" s="58" t="n"/>
      <c r="AM325" s="58" t="n"/>
      <c r="AN325" s="155" t="n"/>
      <c r="AO325" s="59" t="n"/>
      <c r="AP325" s="59" t="n"/>
      <c r="AQ325" s="59" t="n"/>
      <c r="AR325" s="155" t="n"/>
    </row>
    <row r="326">
      <c r="A326" s="50" t="inlineStr">
        <is>
          <t>5056658709722</t>
        </is>
      </c>
      <c r="B326" s="51" t="inlineStr">
        <is>
          <t>90932</t>
        </is>
      </c>
      <c r="C326" s="156" t="inlineStr">
        <is>
          <t>REFLO</t>
        </is>
      </c>
      <c r="D326" s="156" t="n"/>
      <c r="E326" s="156" t="n"/>
      <c r="F326" s="156" t="n"/>
      <c r="G326" s="156" t="n"/>
      <c r="H326" s="156" t="inlineStr">
        <is>
          <t>REFLO</t>
        </is>
      </c>
      <c r="I326" s="156" t="n"/>
      <c r="J326" s="156" t="n"/>
      <c r="K326" s="156" t="n"/>
      <c r="L326" s="156" t="n"/>
      <c r="M326" s="156" t="n"/>
      <c r="N326" s="156" t="n"/>
      <c r="O326" s="156" t="n"/>
      <c r="P326" s="156" t="n"/>
      <c r="Q326" s="156" t="n"/>
      <c r="R326" s="156" t="n"/>
      <c r="S326" s="156" t="n"/>
      <c r="T326" s="156" t="n"/>
      <c r="U326" s="156" t="n"/>
      <c r="V326" s="156" t="inlineStr">
        <is>
          <t>PZS</t>
        </is>
      </c>
      <c r="W326" s="51" t="inlineStr">
        <is>
          <t>53103000</t>
        </is>
      </c>
      <c r="X326" s="156" t="n"/>
      <c r="Y326" s="54" t="n">
        <v>22.75</v>
      </c>
      <c r="Z326" s="54" t="n">
        <v>1649</v>
      </c>
      <c r="AA326" s="55">
        <f>IF(AND(A326="", B326="", E326=""), "", IF(AB326="", "Válido", IF((LEN(AB326)-LEN(SUBSTITUTE(AB326,"; ","")))/2+1&gt;(LEN(AB326)-LEN(SUBSTITUTE(AB326,"[Aviso]","")))/7, "Con Incidencias", "Válido")))</f>
        <v/>
      </c>
      <c r="AB326" s="56">
        <f>IF(AND(A326="", B326="", E326=""), "", TEXTJOIN("; ", TRUE, IF(OR(TRIM(A326&amp;"")="", ISNUMBER(SEARCH("FALTA", A326))), "UPC faltante/inválido", ""), IF(AND(A326&lt;&gt;"", IFERROR(_xlfn.XMATCH(A326,$A$2:$A$653,0,1)&lt;&gt;_xlfn.XMATCH(A326,$A$2:$A$653,0,-1),FALSE)), "Código de barras duplicado", ""), IF(AND(E326&lt;&gt;"", COUNTIF($E$2:$E$653, E326)&gt;1), "SKU duplicado", ""), IF(OR(J326="", J326=""), "[Aviso] División no capturada ()", IF(ISNA(MATCH(J326, Criterios!$A$123:$A$126, 0)), "División no válida", "")), IF(OR(K326="", K326=""), "[Aviso] Categoría no capturada ()", IF(ISNA(MATCH(K326, Criterios!$A$81:$A$120, 0)), "Categoría no válida", IF(AND(J326&lt;&gt;"", J326&lt;&gt;"", J326&lt;&gt;VLOOKUP(K326, Criterios!$A$81:$B$120, 2, FALSE)), "División no coincide con Categoría", ""))), IF(OR(L326="", L326=""), "[Aviso] Género no capturado ()", IF(ISNA(MATCH(L326, Criterios!$B$123:$B$127, 0)), "Género no válido", "")), IF(OR(N326="", N326=""), "[Aviso] Temporada no capturada ()", IF(ISNA(MATCH(N326, Criterios!$C$123:$C$128, 0)), "Temporada no válida", "")), IF(OR(O326="", O326=""), "[Aviso] Ciclo de vida no capturado ()", IF(ISNA(MATCH(O326, Criterios!$D$123:$D$124, 0)), "Ciclo de vida no válido", ""))))</f>
        <v/>
      </c>
      <c r="AC326" s="56" t="n"/>
      <c r="AD326" s="51" t="n">
        <v>0</v>
      </c>
      <c r="AE326" s="156" t="n"/>
      <c r="AF326" s="51" t="n">
        <v>0</v>
      </c>
      <c r="AG326" s="156" t="inlineStr">
        <is>
          <t>Nuevo – NetSuite sin existencia</t>
        </is>
      </c>
      <c r="AH32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6" s="156" t="inlineStr">
        <is>
          <t>No</t>
        </is>
      </c>
      <c r="AJ326" s="156" t="n"/>
      <c r="AK326" s="155" t="inlineStr">
        <is>
          <t>G1522_Extraccion_Articulos_NetSuite_2026-09-30.xlsx: fila 43719</t>
        </is>
      </c>
      <c r="AL326" s="58" t="n"/>
      <c r="AM326" s="58" t="n"/>
      <c r="AN326" s="155" t="n"/>
      <c r="AO326" s="59" t="n"/>
      <c r="AP326" s="59" t="n"/>
      <c r="AQ326" s="59" t="n"/>
      <c r="AR326" s="155" t="n"/>
    </row>
    <row r="327">
      <c r="A327" s="50" t="inlineStr">
        <is>
          <t>5056658709739</t>
        </is>
      </c>
      <c r="B327" s="51" t="inlineStr">
        <is>
          <t>90933</t>
        </is>
      </c>
      <c r="C327" s="156" t="inlineStr">
        <is>
          <t>REFLO</t>
        </is>
      </c>
      <c r="D327" s="156" t="n"/>
      <c r="E327" s="156" t="n"/>
      <c r="F327" s="156" t="n"/>
      <c r="G327" s="156" t="n"/>
      <c r="H327" s="156" t="inlineStr">
        <is>
          <t>REFLO</t>
        </is>
      </c>
      <c r="I327" s="156" t="n"/>
      <c r="J327" s="156" t="n"/>
      <c r="K327" s="156" t="n"/>
      <c r="L327" s="156" t="n"/>
      <c r="M327" s="156" t="n"/>
      <c r="N327" s="156" t="n"/>
      <c r="O327" s="156" t="n"/>
      <c r="P327" s="156" t="n"/>
      <c r="Q327" s="156" t="n"/>
      <c r="R327" s="156" t="n"/>
      <c r="S327" s="156" t="n"/>
      <c r="T327" s="156" t="n"/>
      <c r="U327" s="156" t="n"/>
      <c r="V327" s="156" t="inlineStr">
        <is>
          <t>PZS</t>
        </is>
      </c>
      <c r="W327" s="51" t="inlineStr">
        <is>
          <t>53103000</t>
        </is>
      </c>
      <c r="X327" s="156" t="n"/>
      <c r="Y327" s="54" t="n">
        <v>22.75</v>
      </c>
      <c r="Z327" s="54" t="n">
        <v>1649</v>
      </c>
      <c r="AA327" s="55">
        <f>IF(AND(A327="", B327="", E327=""), "", IF(AB327="", "Válido", IF((LEN(AB327)-LEN(SUBSTITUTE(AB327,"; ","")))/2+1&gt;(LEN(AB327)-LEN(SUBSTITUTE(AB327,"[Aviso]","")))/7, "Con Incidencias", "Válido")))</f>
        <v/>
      </c>
      <c r="AB327" s="56">
        <f>IF(AND(A327="", B327="", E327=""), "", TEXTJOIN("; ", TRUE, IF(OR(TRIM(A327&amp;"")="", ISNUMBER(SEARCH("FALTA", A327))), "UPC faltante/inválido", ""), IF(AND(A327&lt;&gt;"", IFERROR(_xlfn.XMATCH(A327,$A$2:$A$653,0,1)&lt;&gt;_xlfn.XMATCH(A327,$A$2:$A$653,0,-1),FALSE)), "Código de barras duplicado", ""), IF(AND(E327&lt;&gt;"", COUNTIF($E$2:$E$653, E327)&gt;1), "SKU duplicado", ""), IF(OR(J327="", J327=""), "[Aviso] División no capturada ()", IF(ISNA(MATCH(J327, Criterios!$A$123:$A$126, 0)), "División no válida", "")), IF(OR(K327="", K327=""), "[Aviso] Categoría no capturada ()", IF(ISNA(MATCH(K327, Criterios!$A$81:$A$120, 0)), "Categoría no válida", IF(AND(J327&lt;&gt;"", J327&lt;&gt;"", J327&lt;&gt;VLOOKUP(K327, Criterios!$A$81:$B$120, 2, FALSE)), "División no coincide con Categoría", ""))), IF(OR(L327="", L327=""), "[Aviso] Género no capturado ()", IF(ISNA(MATCH(L327, Criterios!$B$123:$B$127, 0)), "Género no válido", "")), IF(OR(N327="", N327=""), "[Aviso] Temporada no capturada ()", IF(ISNA(MATCH(N327, Criterios!$C$123:$C$128, 0)), "Temporada no válida", "")), IF(OR(O327="", O327=""), "[Aviso] Ciclo de vida no capturado ()", IF(ISNA(MATCH(O327, Criterios!$D$123:$D$124, 0)), "Ciclo de vida no válido", ""))))</f>
        <v/>
      </c>
      <c r="AC327" s="56" t="n"/>
      <c r="AD327" s="51" t="n">
        <v>0</v>
      </c>
      <c r="AE327" s="156" t="n"/>
      <c r="AF327" s="51" t="n">
        <v>0</v>
      </c>
      <c r="AG327" s="156" t="inlineStr">
        <is>
          <t>Nuevo – NetSuite sin existencia</t>
        </is>
      </c>
      <c r="AH32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7" s="156" t="inlineStr">
        <is>
          <t>No</t>
        </is>
      </c>
      <c r="AJ327" s="156" t="n"/>
      <c r="AK327" s="155" t="inlineStr">
        <is>
          <t>G1522_Extraccion_Articulos_NetSuite_2026-09-30.xlsx: fila 43720</t>
        </is>
      </c>
      <c r="AL327" s="58" t="n"/>
      <c r="AM327" s="58" t="n"/>
      <c r="AN327" s="155" t="n"/>
      <c r="AO327" s="59" t="n"/>
      <c r="AP327" s="59" t="n"/>
      <c r="AQ327" s="59" t="n"/>
      <c r="AR327" s="155" t="n"/>
    </row>
    <row r="328">
      <c r="A328" s="50" t="inlineStr">
        <is>
          <t>5056658709746</t>
        </is>
      </c>
      <c r="B328" s="51" t="inlineStr">
        <is>
          <t>90934</t>
        </is>
      </c>
      <c r="C328" s="156" t="inlineStr">
        <is>
          <t>REFLO</t>
        </is>
      </c>
      <c r="D328" s="156" t="n"/>
      <c r="E328" s="156" t="n"/>
      <c r="F328" s="156" t="n"/>
      <c r="G328" s="156" t="n"/>
      <c r="H328" s="156" t="inlineStr">
        <is>
          <t>REFLO</t>
        </is>
      </c>
      <c r="I328" s="156" t="n"/>
      <c r="J328" s="156" t="n"/>
      <c r="K328" s="156" t="n"/>
      <c r="L328" s="156" t="n"/>
      <c r="M328" s="156" t="n"/>
      <c r="N328" s="156" t="n"/>
      <c r="O328" s="156" t="n"/>
      <c r="P328" s="156" t="n"/>
      <c r="Q328" s="156" t="n"/>
      <c r="R328" s="156" t="n"/>
      <c r="S328" s="156" t="n"/>
      <c r="T328" s="156" t="n"/>
      <c r="U328" s="156" t="n"/>
      <c r="V328" s="156" t="inlineStr">
        <is>
          <t>PZS</t>
        </is>
      </c>
      <c r="W328" s="51" t="inlineStr">
        <is>
          <t>53103000</t>
        </is>
      </c>
      <c r="X328" s="156" t="n"/>
      <c r="Y328" s="54" t="n">
        <v>22.75</v>
      </c>
      <c r="Z328" s="54" t="n">
        <v>1649</v>
      </c>
      <c r="AA328" s="55">
        <f>IF(AND(A328="", B328="", E328=""), "", IF(AB328="", "Válido", IF((LEN(AB328)-LEN(SUBSTITUTE(AB328,"; ","")))/2+1&gt;(LEN(AB328)-LEN(SUBSTITUTE(AB328,"[Aviso]","")))/7, "Con Incidencias", "Válido")))</f>
        <v/>
      </c>
      <c r="AB328" s="56">
        <f>IF(AND(A328="", B328="", E328=""), "", TEXTJOIN("; ", TRUE, IF(OR(TRIM(A328&amp;"")="", ISNUMBER(SEARCH("FALTA", A328))), "UPC faltante/inválido", ""), IF(AND(A328&lt;&gt;"", IFERROR(_xlfn.XMATCH(A328,$A$2:$A$653,0,1)&lt;&gt;_xlfn.XMATCH(A328,$A$2:$A$653,0,-1),FALSE)), "Código de barras duplicado", ""), IF(AND(E328&lt;&gt;"", COUNTIF($E$2:$E$653, E328)&gt;1), "SKU duplicado", ""), IF(OR(J328="", J328=""), "[Aviso] División no capturada ()", IF(ISNA(MATCH(J328, Criterios!$A$123:$A$126, 0)), "División no válida", "")), IF(OR(K328="", K328=""), "[Aviso] Categoría no capturada ()", IF(ISNA(MATCH(K328, Criterios!$A$81:$A$120, 0)), "Categoría no válida", IF(AND(J328&lt;&gt;"", J328&lt;&gt;"", J328&lt;&gt;VLOOKUP(K328, Criterios!$A$81:$B$120, 2, FALSE)), "División no coincide con Categoría", ""))), IF(OR(L328="", L328=""), "[Aviso] Género no capturado ()", IF(ISNA(MATCH(L328, Criterios!$B$123:$B$127, 0)), "Género no válido", "")), IF(OR(N328="", N328=""), "[Aviso] Temporada no capturada ()", IF(ISNA(MATCH(N328, Criterios!$C$123:$C$128, 0)), "Temporada no válida", "")), IF(OR(O328="", O328=""), "[Aviso] Ciclo de vida no capturado ()", IF(ISNA(MATCH(O328, Criterios!$D$123:$D$124, 0)), "Ciclo de vida no válido", ""))))</f>
        <v/>
      </c>
      <c r="AC328" s="56" t="n"/>
      <c r="AD328" s="51" t="n">
        <v>0</v>
      </c>
      <c r="AE328" s="156" t="n"/>
      <c r="AF328" s="51" t="n">
        <v>0</v>
      </c>
      <c r="AG328" s="156" t="inlineStr">
        <is>
          <t>Nuevo – NetSuite sin existencia</t>
        </is>
      </c>
      <c r="AH32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8" s="156" t="inlineStr">
        <is>
          <t>No</t>
        </is>
      </c>
      <c r="AJ328" s="156" t="n"/>
      <c r="AK328" s="155" t="inlineStr">
        <is>
          <t>G1522_Extraccion_Articulos_NetSuite_2026-09-30.xlsx: fila 43721</t>
        </is>
      </c>
      <c r="AL328" s="58" t="n"/>
      <c r="AM328" s="58" t="n"/>
      <c r="AN328" s="155" t="n"/>
      <c r="AO328" s="59" t="n"/>
      <c r="AP328" s="59" t="n"/>
      <c r="AQ328" s="59" t="n"/>
      <c r="AR328" s="155" t="n"/>
    </row>
    <row r="329">
      <c r="A329" s="50" t="inlineStr">
        <is>
          <t>5056658714269</t>
        </is>
      </c>
      <c r="B329" s="51" t="inlineStr">
        <is>
          <t>90935</t>
        </is>
      </c>
      <c r="C329" s="156" t="inlineStr">
        <is>
          <t>REFLO</t>
        </is>
      </c>
      <c r="D329" s="156" t="n"/>
      <c r="E329" s="156" t="n"/>
      <c r="F329" s="156" t="n"/>
      <c r="G329" s="156" t="n"/>
      <c r="H329" s="156" t="inlineStr">
        <is>
          <t>REFLO</t>
        </is>
      </c>
      <c r="I329" s="156" t="n"/>
      <c r="J329" s="156" t="n"/>
      <c r="K329" s="156" t="n"/>
      <c r="L329" s="156" t="n"/>
      <c r="M329" s="156" t="n"/>
      <c r="N329" s="156" t="n"/>
      <c r="O329" s="156" t="n"/>
      <c r="P329" s="156" t="n"/>
      <c r="Q329" s="156" t="n"/>
      <c r="R329" s="156" t="n"/>
      <c r="S329" s="156" t="n"/>
      <c r="T329" s="156" t="n"/>
      <c r="U329" s="156" t="n"/>
      <c r="V329" s="156" t="inlineStr">
        <is>
          <t>PZS</t>
        </is>
      </c>
      <c r="W329" s="51" t="inlineStr">
        <is>
          <t>53103000</t>
        </is>
      </c>
      <c r="X329" s="156" t="n"/>
      <c r="Y329" s="54" t="n">
        <v>22.75</v>
      </c>
      <c r="Z329" s="54" t="n">
        <v>1649</v>
      </c>
      <c r="AA329" s="55">
        <f>IF(AND(A329="", B329="", E329=""), "", IF(AB329="", "Válido", IF((LEN(AB329)-LEN(SUBSTITUTE(AB329,"; ","")))/2+1&gt;(LEN(AB329)-LEN(SUBSTITUTE(AB329,"[Aviso]","")))/7, "Con Incidencias", "Válido")))</f>
        <v/>
      </c>
      <c r="AB329" s="56">
        <f>IF(AND(A329="", B329="", E329=""), "", TEXTJOIN("; ", TRUE, IF(OR(TRIM(A329&amp;"")="", ISNUMBER(SEARCH("FALTA", A329))), "UPC faltante/inválido", ""), IF(AND(A329&lt;&gt;"", IFERROR(_xlfn.XMATCH(A329,$A$2:$A$653,0,1)&lt;&gt;_xlfn.XMATCH(A329,$A$2:$A$653,0,-1),FALSE)), "Código de barras duplicado", ""), IF(AND(E329&lt;&gt;"", COUNTIF($E$2:$E$653, E329)&gt;1), "SKU duplicado", ""), IF(OR(J329="", J329=""), "[Aviso] División no capturada ()", IF(ISNA(MATCH(J329, Criterios!$A$123:$A$126, 0)), "División no válida", "")), IF(OR(K329="", K329=""), "[Aviso] Categoría no capturada ()", IF(ISNA(MATCH(K329, Criterios!$A$81:$A$120, 0)), "Categoría no válida", IF(AND(J329&lt;&gt;"", J329&lt;&gt;"", J329&lt;&gt;VLOOKUP(K329, Criterios!$A$81:$B$120, 2, FALSE)), "División no coincide con Categoría", ""))), IF(OR(L329="", L329=""), "[Aviso] Género no capturado ()", IF(ISNA(MATCH(L329, Criterios!$B$123:$B$127, 0)), "Género no válido", "")), IF(OR(N329="", N329=""), "[Aviso] Temporada no capturada ()", IF(ISNA(MATCH(N329, Criterios!$C$123:$C$128, 0)), "Temporada no válida", "")), IF(OR(O329="", O329=""), "[Aviso] Ciclo de vida no capturado ()", IF(ISNA(MATCH(O329, Criterios!$D$123:$D$124, 0)), "Ciclo de vida no válido", ""))))</f>
        <v/>
      </c>
      <c r="AC329" s="56" t="n"/>
      <c r="AD329" s="51" t="n">
        <v>2</v>
      </c>
      <c r="AE329" s="156" t="n"/>
      <c r="AF329" s="51" t="n">
        <v>2</v>
      </c>
      <c r="AG329" s="156" t="inlineStr">
        <is>
          <t>Nuevo – NetSuite con existencia</t>
        </is>
      </c>
      <c r="AH32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9" s="156" t="inlineStr">
        <is>
          <t>No</t>
        </is>
      </c>
      <c r="AJ329" s="156" t="n"/>
      <c r="AK329" s="155" t="inlineStr">
        <is>
          <t>G1522_Extraccion_Articulos_NetSuite_2026-09-30.xlsx: fila 43722</t>
        </is>
      </c>
      <c r="AL329" s="58" t="n"/>
      <c r="AM329" s="58" t="n"/>
      <c r="AN329" s="155" t="n"/>
      <c r="AO329" s="59" t="n"/>
      <c r="AP329" s="59" t="n"/>
      <c r="AQ329" s="59" t="n"/>
      <c r="AR329" s="155" t="n"/>
    </row>
    <row r="330">
      <c r="A330" s="50" t="inlineStr">
        <is>
          <t>5056658711749</t>
        </is>
      </c>
      <c r="B330" s="51" t="inlineStr">
        <is>
          <t>90996</t>
        </is>
      </c>
      <c r="C330" s="156" t="inlineStr">
        <is>
          <t>REFLO</t>
        </is>
      </c>
      <c r="D330" s="156" t="n"/>
      <c r="E330" s="156" t="n"/>
      <c r="F330" s="156" t="n"/>
      <c r="G330" s="156" t="n"/>
      <c r="H330" s="156" t="inlineStr">
        <is>
          <t>REFLO</t>
        </is>
      </c>
      <c r="I330" s="156" t="n"/>
      <c r="J330" s="156" t="n"/>
      <c r="K330" s="156" t="n"/>
      <c r="L330" s="156" t="n"/>
      <c r="M330" s="156" t="n"/>
      <c r="N330" s="156" t="n"/>
      <c r="O330" s="156" t="n"/>
      <c r="P330" s="156" t="n"/>
      <c r="Q330" s="156" t="n"/>
      <c r="R330" s="156" t="n"/>
      <c r="S330" s="156" t="n"/>
      <c r="T330" s="156" t="n"/>
      <c r="U330" s="156" t="n"/>
      <c r="V330" s="156" t="inlineStr">
        <is>
          <t>PZS</t>
        </is>
      </c>
      <c r="W330" s="51" t="inlineStr">
        <is>
          <t>53101500</t>
        </is>
      </c>
      <c r="X330" s="156" t="n"/>
      <c r="Y330" s="54" t="n">
        <v>22.75</v>
      </c>
      <c r="Z330" s="54" t="n">
        <v>1649</v>
      </c>
      <c r="AA330" s="55">
        <f>IF(AND(A330="", B330="", E330=""), "", IF(AB330="", "Válido", IF((LEN(AB330)-LEN(SUBSTITUTE(AB330,"; ","")))/2+1&gt;(LEN(AB330)-LEN(SUBSTITUTE(AB330,"[Aviso]","")))/7, "Con Incidencias", "Válido")))</f>
        <v/>
      </c>
      <c r="AB330" s="56">
        <f>IF(AND(A330="", B330="", E330=""), "", TEXTJOIN("; ", TRUE, IF(OR(TRIM(A330&amp;"")="", ISNUMBER(SEARCH("FALTA", A330))), "UPC faltante/inválido", ""), IF(AND(A330&lt;&gt;"", IFERROR(_xlfn.XMATCH(A330,$A$2:$A$653,0,1)&lt;&gt;_xlfn.XMATCH(A330,$A$2:$A$653,0,-1),FALSE)), "Código de barras duplicado", ""), IF(AND(E330&lt;&gt;"", COUNTIF($E$2:$E$653, E330)&gt;1), "SKU duplicado", ""), IF(OR(J330="", J330=""), "[Aviso] División no capturada ()", IF(ISNA(MATCH(J330, Criterios!$A$123:$A$126, 0)), "División no válida", "")), IF(OR(K330="", K330=""), "[Aviso] Categoría no capturada ()", IF(ISNA(MATCH(K330, Criterios!$A$81:$A$120, 0)), "Categoría no válida", IF(AND(J330&lt;&gt;"", J330&lt;&gt;"", J330&lt;&gt;VLOOKUP(K330, Criterios!$A$81:$B$120, 2, FALSE)), "División no coincide con Categoría", ""))), IF(OR(L330="", L330=""), "[Aviso] Género no capturado ()", IF(ISNA(MATCH(L330, Criterios!$B$123:$B$127, 0)), "Género no válido", "")), IF(OR(N330="", N330=""), "[Aviso] Temporada no capturada ()", IF(ISNA(MATCH(N330, Criterios!$C$123:$C$128, 0)), "Temporada no válida", "")), IF(OR(O330="", O330=""), "[Aviso] Ciclo de vida no capturado ()", IF(ISNA(MATCH(O330, Criterios!$D$123:$D$124, 0)), "Ciclo de vida no válido", ""))))</f>
        <v/>
      </c>
      <c r="AC330" s="56" t="n"/>
      <c r="AD330" s="51" t="n">
        <v>6</v>
      </c>
      <c r="AE330" s="156" t="n"/>
      <c r="AF330" s="51" t="n">
        <v>6</v>
      </c>
      <c r="AG330" s="156" t="inlineStr">
        <is>
          <t>Nuevo – NetSuite con existencia</t>
        </is>
      </c>
      <c r="AH33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0" s="156" t="inlineStr">
        <is>
          <t>No</t>
        </is>
      </c>
      <c r="AJ330" s="156" t="n"/>
      <c r="AK330" s="155" t="inlineStr">
        <is>
          <t>G1522_Extraccion_Articulos_NetSuite_2026-09-30.xlsx: fila 43751</t>
        </is>
      </c>
      <c r="AL330" s="58" t="n"/>
      <c r="AM330" s="58" t="n"/>
      <c r="AN330" s="155" t="n"/>
      <c r="AO330" s="59" t="n"/>
      <c r="AP330" s="59" t="n"/>
      <c r="AQ330" s="59" t="n"/>
      <c r="AR330" s="155" t="n"/>
    </row>
    <row r="331">
      <c r="A331" s="50" t="inlineStr">
        <is>
          <t>5056658711756</t>
        </is>
      </c>
      <c r="B331" s="51" t="inlineStr">
        <is>
          <t>90997</t>
        </is>
      </c>
      <c r="C331" s="156" t="inlineStr">
        <is>
          <t>REFLO</t>
        </is>
      </c>
      <c r="D331" s="156" t="n"/>
      <c r="E331" s="156" t="n"/>
      <c r="F331" s="156" t="n"/>
      <c r="G331" s="156" t="n"/>
      <c r="H331" s="156" t="inlineStr">
        <is>
          <t>REFLO</t>
        </is>
      </c>
      <c r="I331" s="156" t="n"/>
      <c r="J331" s="156" t="n"/>
      <c r="K331" s="156" t="n"/>
      <c r="L331" s="156" t="n"/>
      <c r="M331" s="156" t="n"/>
      <c r="N331" s="156" t="n"/>
      <c r="O331" s="156" t="n"/>
      <c r="P331" s="156" t="n"/>
      <c r="Q331" s="156" t="n"/>
      <c r="R331" s="156" t="n"/>
      <c r="S331" s="156" t="n"/>
      <c r="T331" s="156" t="n"/>
      <c r="U331" s="156" t="n"/>
      <c r="V331" s="156" t="inlineStr">
        <is>
          <t>PZS</t>
        </is>
      </c>
      <c r="W331" s="51" t="inlineStr">
        <is>
          <t>53101500</t>
        </is>
      </c>
      <c r="X331" s="156" t="n"/>
      <c r="Y331" s="54" t="n">
        <v>22.75</v>
      </c>
      <c r="Z331" s="54" t="n">
        <v>1649</v>
      </c>
      <c r="AA331" s="55">
        <f>IF(AND(A331="", B331="", E331=""), "", IF(AB331="", "Válido", IF((LEN(AB331)-LEN(SUBSTITUTE(AB331,"; ","")))/2+1&gt;(LEN(AB331)-LEN(SUBSTITUTE(AB331,"[Aviso]","")))/7, "Con Incidencias", "Válido")))</f>
        <v/>
      </c>
      <c r="AB331" s="56">
        <f>IF(AND(A331="", B331="", E331=""), "", TEXTJOIN("; ", TRUE, IF(OR(TRIM(A331&amp;"")="", ISNUMBER(SEARCH("FALTA", A331))), "UPC faltante/inválido", ""), IF(AND(A331&lt;&gt;"", IFERROR(_xlfn.XMATCH(A331,$A$2:$A$653,0,1)&lt;&gt;_xlfn.XMATCH(A331,$A$2:$A$653,0,-1),FALSE)), "Código de barras duplicado", ""), IF(AND(E331&lt;&gt;"", COUNTIF($E$2:$E$653, E331)&gt;1), "SKU duplicado", ""), IF(OR(J331="", J331=""), "[Aviso] División no capturada ()", IF(ISNA(MATCH(J331, Criterios!$A$123:$A$126, 0)), "División no válida", "")), IF(OR(K331="", K331=""), "[Aviso] Categoría no capturada ()", IF(ISNA(MATCH(K331, Criterios!$A$81:$A$120, 0)), "Categoría no válida", IF(AND(J331&lt;&gt;"", J331&lt;&gt;"", J331&lt;&gt;VLOOKUP(K331, Criterios!$A$81:$B$120, 2, FALSE)), "División no coincide con Categoría", ""))), IF(OR(L331="", L331=""), "[Aviso] Género no capturado ()", IF(ISNA(MATCH(L331, Criterios!$B$123:$B$127, 0)), "Género no válido", "")), IF(OR(N331="", N331=""), "[Aviso] Temporada no capturada ()", IF(ISNA(MATCH(N331, Criterios!$C$123:$C$128, 0)), "Temporada no válida", "")), IF(OR(O331="", O331=""), "[Aviso] Ciclo de vida no capturado ()", IF(ISNA(MATCH(O331, Criterios!$D$123:$D$124, 0)), "Ciclo de vida no válido", ""))))</f>
        <v/>
      </c>
      <c r="AC331" s="56" t="n"/>
      <c r="AD331" s="51" t="n">
        <v>11</v>
      </c>
      <c r="AE331" s="156" t="n"/>
      <c r="AF331" s="51" t="n">
        <v>11</v>
      </c>
      <c r="AG331" s="156" t="inlineStr">
        <is>
          <t>Nuevo – NetSuite con existencia</t>
        </is>
      </c>
      <c r="AH33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1" s="156" t="inlineStr">
        <is>
          <t>No</t>
        </is>
      </c>
      <c r="AJ331" s="156" t="n"/>
      <c r="AK331" s="155" t="inlineStr">
        <is>
          <t>G1522_Extraccion_Articulos_NetSuite_2026-09-30.xlsx: fila 43752</t>
        </is>
      </c>
      <c r="AL331" s="58" t="n"/>
      <c r="AM331" s="58" t="n"/>
      <c r="AN331" s="155" t="n"/>
      <c r="AO331" s="59" t="n"/>
      <c r="AP331" s="59" t="n"/>
      <c r="AQ331" s="59" t="n"/>
      <c r="AR331" s="155" t="n"/>
    </row>
    <row r="332">
      <c r="A332" s="50" t="inlineStr">
        <is>
          <t>5056658711763</t>
        </is>
      </c>
      <c r="B332" s="51" t="inlineStr">
        <is>
          <t>90998</t>
        </is>
      </c>
      <c r="C332" s="156" t="inlineStr">
        <is>
          <t>REFLO</t>
        </is>
      </c>
      <c r="D332" s="156" t="n"/>
      <c r="E332" s="156" t="n"/>
      <c r="F332" s="156" t="n"/>
      <c r="G332" s="156" t="n"/>
      <c r="H332" s="156" t="inlineStr">
        <is>
          <t>REFLO</t>
        </is>
      </c>
      <c r="I332" s="156" t="n"/>
      <c r="J332" s="156" t="n"/>
      <c r="K332" s="156" t="n"/>
      <c r="L332" s="156" t="n"/>
      <c r="M332" s="156" t="n"/>
      <c r="N332" s="156" t="n"/>
      <c r="O332" s="156" t="n"/>
      <c r="P332" s="156" t="n"/>
      <c r="Q332" s="156" t="n"/>
      <c r="R332" s="156" t="n"/>
      <c r="S332" s="156" t="n"/>
      <c r="T332" s="156" t="n"/>
      <c r="U332" s="156" t="n"/>
      <c r="V332" s="156" t="inlineStr">
        <is>
          <t>PZS</t>
        </is>
      </c>
      <c r="W332" s="51" t="inlineStr">
        <is>
          <t>53101500</t>
        </is>
      </c>
      <c r="X332" s="156" t="n"/>
      <c r="Y332" s="54" t="n">
        <v>22.75</v>
      </c>
      <c r="Z332" s="54" t="n">
        <v>1649</v>
      </c>
      <c r="AA332" s="55">
        <f>IF(AND(A332="", B332="", E332=""), "", IF(AB332="", "Válido", IF((LEN(AB332)-LEN(SUBSTITUTE(AB332,"; ","")))/2+1&gt;(LEN(AB332)-LEN(SUBSTITUTE(AB332,"[Aviso]","")))/7, "Con Incidencias", "Válido")))</f>
        <v/>
      </c>
      <c r="AB332" s="56">
        <f>IF(AND(A332="", B332="", E332=""), "", TEXTJOIN("; ", TRUE, IF(OR(TRIM(A332&amp;"")="", ISNUMBER(SEARCH("FALTA", A332))), "UPC faltante/inválido", ""), IF(AND(A332&lt;&gt;"", IFERROR(_xlfn.XMATCH(A332,$A$2:$A$653,0,1)&lt;&gt;_xlfn.XMATCH(A332,$A$2:$A$653,0,-1),FALSE)), "Código de barras duplicado", ""), IF(AND(E332&lt;&gt;"", COUNTIF($E$2:$E$653, E332)&gt;1), "SKU duplicado", ""), IF(OR(J332="", J332=""), "[Aviso] División no capturada ()", IF(ISNA(MATCH(J332, Criterios!$A$123:$A$126, 0)), "División no válida", "")), IF(OR(K332="", K332=""), "[Aviso] Categoría no capturada ()", IF(ISNA(MATCH(K332, Criterios!$A$81:$A$120, 0)), "Categoría no válida", IF(AND(J332&lt;&gt;"", J332&lt;&gt;"", J332&lt;&gt;VLOOKUP(K332, Criterios!$A$81:$B$120, 2, FALSE)), "División no coincide con Categoría", ""))), IF(OR(L332="", L332=""), "[Aviso] Género no capturado ()", IF(ISNA(MATCH(L332, Criterios!$B$123:$B$127, 0)), "Género no válido", "")), IF(OR(N332="", N332=""), "[Aviso] Temporada no capturada ()", IF(ISNA(MATCH(N332, Criterios!$C$123:$C$128, 0)), "Temporada no válida", "")), IF(OR(O332="", O332=""), "[Aviso] Ciclo de vida no capturado ()", IF(ISNA(MATCH(O332, Criterios!$D$123:$D$124, 0)), "Ciclo de vida no válido", ""))))</f>
        <v/>
      </c>
      <c r="AC332" s="56" t="n"/>
      <c r="AD332" s="51" t="n">
        <v>26</v>
      </c>
      <c r="AE332" s="156" t="n"/>
      <c r="AF332" s="51" t="n">
        <v>26</v>
      </c>
      <c r="AG332" s="156" t="inlineStr">
        <is>
          <t>Nuevo – NetSuite con existencia</t>
        </is>
      </c>
      <c r="AH33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2" s="156" t="inlineStr">
        <is>
          <t>No</t>
        </is>
      </c>
      <c r="AJ332" s="156" t="n"/>
      <c r="AK332" s="155" t="inlineStr">
        <is>
          <t>G1522_Extraccion_Articulos_NetSuite_2026-09-30.xlsx: fila 43753</t>
        </is>
      </c>
      <c r="AL332" s="58" t="n"/>
      <c r="AM332" s="58" t="n"/>
      <c r="AN332" s="155" t="n"/>
      <c r="AO332" s="59" t="n"/>
      <c r="AP332" s="59" t="n"/>
      <c r="AQ332" s="59" t="n"/>
      <c r="AR332" s="155" t="n"/>
    </row>
    <row r="333">
      <c r="A333" s="50" t="inlineStr">
        <is>
          <t>5056658711770</t>
        </is>
      </c>
      <c r="B333" s="51" t="inlineStr">
        <is>
          <t>90999</t>
        </is>
      </c>
      <c r="C333" s="156" t="inlineStr">
        <is>
          <t>REFLO</t>
        </is>
      </c>
      <c r="D333" s="156" t="n"/>
      <c r="E333" s="156" t="n"/>
      <c r="F333" s="156" t="n"/>
      <c r="G333" s="156" t="n"/>
      <c r="H333" s="156" t="inlineStr">
        <is>
          <t>REFLO</t>
        </is>
      </c>
      <c r="I333" s="156" t="n"/>
      <c r="J333" s="156" t="n"/>
      <c r="K333" s="156" t="n"/>
      <c r="L333" s="156" t="n"/>
      <c r="M333" s="156" t="n"/>
      <c r="N333" s="156" t="n"/>
      <c r="O333" s="156" t="n"/>
      <c r="P333" s="156" t="n"/>
      <c r="Q333" s="156" t="n"/>
      <c r="R333" s="156" t="n"/>
      <c r="S333" s="156" t="n"/>
      <c r="T333" s="156" t="n"/>
      <c r="U333" s="156" t="n"/>
      <c r="V333" s="156" t="inlineStr">
        <is>
          <t>PZS</t>
        </is>
      </c>
      <c r="W333" s="51" t="inlineStr">
        <is>
          <t>53101500</t>
        </is>
      </c>
      <c r="X333" s="156" t="n"/>
      <c r="Y333" s="54" t="n">
        <v>22.75</v>
      </c>
      <c r="Z333" s="54" t="n">
        <v>1649</v>
      </c>
      <c r="AA333" s="55">
        <f>IF(AND(A333="", B333="", E333=""), "", IF(AB333="", "Válido", IF((LEN(AB333)-LEN(SUBSTITUTE(AB333,"; ","")))/2+1&gt;(LEN(AB333)-LEN(SUBSTITUTE(AB333,"[Aviso]","")))/7, "Con Incidencias", "Válido")))</f>
        <v/>
      </c>
      <c r="AB333" s="56">
        <f>IF(AND(A333="", B333="", E333=""), "", TEXTJOIN("; ", TRUE, IF(OR(TRIM(A333&amp;"")="", ISNUMBER(SEARCH("FALTA", A333))), "UPC faltante/inválido", ""), IF(AND(A333&lt;&gt;"", IFERROR(_xlfn.XMATCH(A333,$A$2:$A$653,0,1)&lt;&gt;_xlfn.XMATCH(A333,$A$2:$A$653,0,-1),FALSE)), "Código de barras duplicado", ""), IF(AND(E333&lt;&gt;"", COUNTIF($E$2:$E$653, E333)&gt;1), "SKU duplicado", ""), IF(OR(J333="", J333=""), "[Aviso] División no capturada ()", IF(ISNA(MATCH(J333, Criterios!$A$123:$A$126, 0)), "División no válida", "")), IF(OR(K333="", K333=""), "[Aviso] Categoría no capturada ()", IF(ISNA(MATCH(K333, Criterios!$A$81:$A$120, 0)), "Categoría no válida", IF(AND(J333&lt;&gt;"", J333&lt;&gt;"", J333&lt;&gt;VLOOKUP(K333, Criterios!$A$81:$B$120, 2, FALSE)), "División no coincide con Categoría", ""))), IF(OR(L333="", L333=""), "[Aviso] Género no capturado ()", IF(ISNA(MATCH(L333, Criterios!$B$123:$B$127, 0)), "Género no válido", "")), IF(OR(N333="", N333=""), "[Aviso] Temporada no capturada ()", IF(ISNA(MATCH(N333, Criterios!$C$123:$C$128, 0)), "Temporada no válida", "")), IF(OR(O333="", O333=""), "[Aviso] Ciclo de vida no capturado ()", IF(ISNA(MATCH(O333, Criterios!$D$123:$D$124, 0)), "Ciclo de vida no válido", ""))))</f>
        <v/>
      </c>
      <c r="AC333" s="56" t="n"/>
      <c r="AD333" s="51" t="n">
        <v>26</v>
      </c>
      <c r="AE333" s="156" t="n"/>
      <c r="AF333" s="51" t="n">
        <v>26</v>
      </c>
      <c r="AG333" s="156" t="inlineStr">
        <is>
          <t>Nuevo – NetSuite con existencia</t>
        </is>
      </c>
      <c r="AH33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3" s="156" t="inlineStr">
        <is>
          <t>No</t>
        </is>
      </c>
      <c r="AJ333" s="156" t="n"/>
      <c r="AK333" s="155" t="inlineStr">
        <is>
          <t>G1522_Extraccion_Articulos_NetSuite_2026-09-30.xlsx: fila 43754</t>
        </is>
      </c>
      <c r="AL333" s="58" t="n"/>
      <c r="AM333" s="58" t="n"/>
      <c r="AN333" s="155" t="n"/>
      <c r="AO333" s="59" t="n"/>
      <c r="AP333" s="59" t="n"/>
      <c r="AQ333" s="59" t="n"/>
      <c r="AR333" s="155" t="n"/>
    </row>
    <row r="334">
      <c r="A334" s="50" t="inlineStr">
        <is>
          <t>5056658711787</t>
        </is>
      </c>
      <c r="B334" s="51" t="inlineStr">
        <is>
          <t>91000</t>
        </is>
      </c>
      <c r="C334" s="156" t="inlineStr">
        <is>
          <t>REFLO</t>
        </is>
      </c>
      <c r="D334" s="156" t="n"/>
      <c r="E334" s="156" t="n"/>
      <c r="F334" s="156" t="n"/>
      <c r="G334" s="156" t="n"/>
      <c r="H334" s="156" t="inlineStr">
        <is>
          <t>REFLO</t>
        </is>
      </c>
      <c r="I334" s="156" t="n"/>
      <c r="J334" s="156" t="n"/>
      <c r="K334" s="156" t="n"/>
      <c r="L334" s="156" t="n"/>
      <c r="M334" s="156" t="n"/>
      <c r="N334" s="156" t="n"/>
      <c r="O334" s="156" t="n"/>
      <c r="P334" s="156" t="n"/>
      <c r="Q334" s="156" t="n"/>
      <c r="R334" s="156" t="n"/>
      <c r="S334" s="156" t="n"/>
      <c r="T334" s="156" t="n"/>
      <c r="U334" s="156" t="n"/>
      <c r="V334" s="156" t="inlineStr">
        <is>
          <t>PZS</t>
        </is>
      </c>
      <c r="W334" s="51" t="inlineStr">
        <is>
          <t>53101500</t>
        </is>
      </c>
      <c r="X334" s="156" t="n"/>
      <c r="Y334" s="54" t="n">
        <v>22.75</v>
      </c>
      <c r="Z334" s="54" t="n">
        <v>1649</v>
      </c>
      <c r="AA334" s="55">
        <f>IF(AND(A334="", B334="", E334=""), "", IF(AB334="", "Válido", IF((LEN(AB334)-LEN(SUBSTITUTE(AB334,"; ","")))/2+1&gt;(LEN(AB334)-LEN(SUBSTITUTE(AB334,"[Aviso]","")))/7, "Con Incidencias", "Válido")))</f>
        <v/>
      </c>
      <c r="AB334" s="56">
        <f>IF(AND(A334="", B334="", E334=""), "", TEXTJOIN("; ", TRUE, IF(OR(TRIM(A334&amp;"")="", ISNUMBER(SEARCH("FALTA", A334))), "UPC faltante/inválido", ""), IF(AND(A334&lt;&gt;"", IFERROR(_xlfn.XMATCH(A334,$A$2:$A$653,0,1)&lt;&gt;_xlfn.XMATCH(A334,$A$2:$A$653,0,-1),FALSE)), "Código de barras duplicado", ""), IF(AND(E334&lt;&gt;"", COUNTIF($E$2:$E$653, E334)&gt;1), "SKU duplicado", ""), IF(OR(J334="", J334=""), "[Aviso] División no capturada ()", IF(ISNA(MATCH(J334, Criterios!$A$123:$A$126, 0)), "División no válida", "")), IF(OR(K334="", K334=""), "[Aviso] Categoría no capturada ()", IF(ISNA(MATCH(K334, Criterios!$A$81:$A$120, 0)), "Categoría no válida", IF(AND(J334&lt;&gt;"", J334&lt;&gt;"", J334&lt;&gt;VLOOKUP(K334, Criterios!$A$81:$B$120, 2, FALSE)), "División no coincide con Categoría", ""))), IF(OR(L334="", L334=""), "[Aviso] Género no capturado ()", IF(ISNA(MATCH(L334, Criterios!$B$123:$B$127, 0)), "Género no válido", "")), IF(OR(N334="", N334=""), "[Aviso] Temporada no capturada ()", IF(ISNA(MATCH(N334, Criterios!$C$123:$C$128, 0)), "Temporada no válida", "")), IF(OR(O334="", O334=""), "[Aviso] Ciclo de vida no capturado ()", IF(ISNA(MATCH(O334, Criterios!$D$123:$D$124, 0)), "Ciclo de vida no válido", ""))))</f>
        <v/>
      </c>
      <c r="AC334" s="56" t="n"/>
      <c r="AD334" s="51" t="n">
        <v>11</v>
      </c>
      <c r="AE334" s="156" t="n"/>
      <c r="AF334" s="51" t="n">
        <v>11</v>
      </c>
      <c r="AG334" s="156" t="inlineStr">
        <is>
          <t>Nuevo – NetSuite con existencia</t>
        </is>
      </c>
      <c r="AH33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4" s="156" t="inlineStr">
        <is>
          <t>No</t>
        </is>
      </c>
      <c r="AJ334" s="156" t="n"/>
      <c r="AK334" s="155" t="inlineStr">
        <is>
          <t>G1522_Extraccion_Articulos_NetSuite_2026-09-30.xlsx: fila 43755</t>
        </is>
      </c>
      <c r="AL334" s="58" t="n"/>
      <c r="AM334" s="58" t="n"/>
      <c r="AN334" s="155" t="n"/>
      <c r="AO334" s="59" t="n"/>
      <c r="AP334" s="59" t="n"/>
      <c r="AQ334" s="59" t="n"/>
      <c r="AR334" s="155" t="n"/>
    </row>
    <row r="335">
      <c r="A335" s="50" t="inlineStr">
        <is>
          <t>5056658713767</t>
        </is>
      </c>
      <c r="B335" s="51" t="inlineStr">
        <is>
          <t>91001</t>
        </is>
      </c>
      <c r="C335" s="156" t="inlineStr">
        <is>
          <t>REFLO</t>
        </is>
      </c>
      <c r="D335" s="156" t="n"/>
      <c r="E335" s="156" t="n"/>
      <c r="F335" s="156" t="n"/>
      <c r="G335" s="156" t="n"/>
      <c r="H335" s="156" t="inlineStr">
        <is>
          <t>REFLO</t>
        </is>
      </c>
      <c r="I335" s="156" t="n"/>
      <c r="J335" s="156" t="n"/>
      <c r="K335" s="156" t="n"/>
      <c r="L335" s="156" t="n"/>
      <c r="M335" s="156" t="n"/>
      <c r="N335" s="156" t="n"/>
      <c r="O335" s="156" t="n"/>
      <c r="P335" s="156" t="n"/>
      <c r="Q335" s="156" t="n"/>
      <c r="R335" s="156" t="n"/>
      <c r="S335" s="156" t="n"/>
      <c r="T335" s="156" t="n"/>
      <c r="U335" s="156" t="n"/>
      <c r="V335" s="156" t="inlineStr">
        <is>
          <t>PZS</t>
        </is>
      </c>
      <c r="W335" s="51" t="inlineStr">
        <is>
          <t>53101500</t>
        </is>
      </c>
      <c r="X335" s="156" t="n"/>
      <c r="Y335" s="54" t="n">
        <v>22.75</v>
      </c>
      <c r="Z335" s="54" t="n">
        <v>1649</v>
      </c>
      <c r="AA335" s="55">
        <f>IF(AND(A335="", B335="", E335=""), "", IF(AB335="", "Válido", IF((LEN(AB335)-LEN(SUBSTITUTE(AB335,"; ","")))/2+1&gt;(LEN(AB335)-LEN(SUBSTITUTE(AB335,"[Aviso]","")))/7, "Con Incidencias", "Válido")))</f>
        <v/>
      </c>
      <c r="AB335" s="56">
        <f>IF(AND(A335="", B335="", E335=""), "", TEXTJOIN("; ", TRUE, IF(OR(TRIM(A335&amp;"")="", ISNUMBER(SEARCH("FALTA", A335))), "UPC faltante/inválido", ""), IF(AND(A335&lt;&gt;"", IFERROR(_xlfn.XMATCH(A335,$A$2:$A$653,0,1)&lt;&gt;_xlfn.XMATCH(A335,$A$2:$A$653,0,-1),FALSE)), "Código de barras duplicado", ""), IF(AND(E335&lt;&gt;"", COUNTIF($E$2:$E$653, E335)&gt;1), "SKU duplicado", ""), IF(OR(J335="", J335=""), "[Aviso] División no capturada ()", IF(ISNA(MATCH(J335, Criterios!$A$123:$A$126, 0)), "División no válida", "")), IF(OR(K335="", K335=""), "[Aviso] Categoría no capturada ()", IF(ISNA(MATCH(K335, Criterios!$A$81:$A$120, 0)), "Categoría no válida", IF(AND(J335&lt;&gt;"", J335&lt;&gt;"", J335&lt;&gt;VLOOKUP(K335, Criterios!$A$81:$B$120, 2, FALSE)), "División no coincide con Categoría", ""))), IF(OR(L335="", L335=""), "[Aviso] Género no capturado ()", IF(ISNA(MATCH(L335, Criterios!$B$123:$B$127, 0)), "Género no válido", "")), IF(OR(N335="", N335=""), "[Aviso] Temporada no capturada ()", IF(ISNA(MATCH(N335, Criterios!$C$123:$C$128, 0)), "Temporada no válida", "")), IF(OR(O335="", O335=""), "[Aviso] Ciclo de vida no capturado ()", IF(ISNA(MATCH(O335, Criterios!$D$123:$D$124, 0)), "Ciclo de vida no válido", ""))))</f>
        <v/>
      </c>
      <c r="AC335" s="56" t="n"/>
      <c r="AD335" s="51" t="n">
        <v>9</v>
      </c>
      <c r="AE335" s="156" t="n"/>
      <c r="AF335" s="51" t="n">
        <v>9</v>
      </c>
      <c r="AG335" s="156" t="inlineStr">
        <is>
          <t>Nuevo – NetSuite con existencia</t>
        </is>
      </c>
      <c r="AH33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5" s="156" t="inlineStr">
        <is>
          <t>No</t>
        </is>
      </c>
      <c r="AJ335" s="156" t="n"/>
      <c r="AK335" s="155" t="inlineStr">
        <is>
          <t>G1522_Extraccion_Articulos_NetSuite_2026-09-30.xlsx: fila 43756</t>
        </is>
      </c>
      <c r="AL335" s="58" t="n"/>
      <c r="AM335" s="58" t="n"/>
      <c r="AN335" s="155" t="n"/>
      <c r="AO335" s="59" t="n"/>
      <c r="AP335" s="59" t="n"/>
      <c r="AQ335" s="59" t="n"/>
      <c r="AR335" s="155" t="n"/>
    </row>
    <row r="336">
      <c r="A336" s="50" t="inlineStr">
        <is>
          <t>5056658711800</t>
        </is>
      </c>
      <c r="B336" s="51" t="inlineStr">
        <is>
          <t>91002</t>
        </is>
      </c>
      <c r="C336" s="156" t="inlineStr">
        <is>
          <t>REFLO</t>
        </is>
      </c>
      <c r="D336" s="156" t="n"/>
      <c r="E336" s="156" t="n"/>
      <c r="F336" s="156" t="n"/>
      <c r="G336" s="156" t="n"/>
      <c r="H336" s="156" t="inlineStr">
        <is>
          <t>REFLO</t>
        </is>
      </c>
      <c r="I336" s="156" t="n"/>
      <c r="J336" s="156" t="n"/>
      <c r="K336" s="156" t="n"/>
      <c r="L336" s="156" t="n"/>
      <c r="M336" s="156" t="n"/>
      <c r="N336" s="156" t="n"/>
      <c r="O336" s="156" t="n"/>
      <c r="P336" s="156" t="n"/>
      <c r="Q336" s="156" t="n"/>
      <c r="R336" s="156" t="n"/>
      <c r="S336" s="156" t="n"/>
      <c r="T336" s="156" t="n"/>
      <c r="U336" s="156" t="n"/>
      <c r="V336" s="156" t="inlineStr">
        <is>
          <t>PZS</t>
        </is>
      </c>
      <c r="W336" s="51" t="inlineStr">
        <is>
          <t>53101500</t>
        </is>
      </c>
      <c r="X336" s="156" t="n"/>
      <c r="Y336" s="54" t="n">
        <v>22.75</v>
      </c>
      <c r="Z336" s="54" t="n">
        <v>1649</v>
      </c>
      <c r="AA336" s="55">
        <f>IF(AND(A336="", B336="", E336=""), "", IF(AB336="", "Válido", IF((LEN(AB336)-LEN(SUBSTITUTE(AB336,"; ","")))/2+1&gt;(LEN(AB336)-LEN(SUBSTITUTE(AB336,"[Aviso]","")))/7, "Con Incidencias", "Válido")))</f>
        <v/>
      </c>
      <c r="AB336" s="56">
        <f>IF(AND(A336="", B336="", E336=""), "", TEXTJOIN("; ", TRUE, IF(OR(TRIM(A336&amp;"")="", ISNUMBER(SEARCH("FALTA", A336))), "UPC faltante/inválido", ""), IF(AND(A336&lt;&gt;"", IFERROR(_xlfn.XMATCH(A336,$A$2:$A$653,0,1)&lt;&gt;_xlfn.XMATCH(A336,$A$2:$A$653,0,-1),FALSE)), "Código de barras duplicado", ""), IF(AND(E336&lt;&gt;"", COUNTIF($E$2:$E$653, E336)&gt;1), "SKU duplicado", ""), IF(OR(J336="", J336=""), "[Aviso] División no capturada ()", IF(ISNA(MATCH(J336, Criterios!$A$123:$A$126, 0)), "División no válida", "")), IF(OR(K336="", K336=""), "[Aviso] Categoría no capturada ()", IF(ISNA(MATCH(K336, Criterios!$A$81:$A$120, 0)), "Categoría no válida", IF(AND(J336&lt;&gt;"", J336&lt;&gt;"", J336&lt;&gt;VLOOKUP(K336, Criterios!$A$81:$B$120, 2, FALSE)), "División no coincide con Categoría", ""))), IF(OR(L336="", L336=""), "[Aviso] Género no capturado ()", IF(ISNA(MATCH(L336, Criterios!$B$123:$B$127, 0)), "Género no válido", "")), IF(OR(N336="", N336=""), "[Aviso] Temporada no capturada ()", IF(ISNA(MATCH(N336, Criterios!$C$123:$C$128, 0)), "Temporada no válida", "")), IF(OR(O336="", O336=""), "[Aviso] Ciclo de vida no capturado ()", IF(ISNA(MATCH(O336, Criterios!$D$123:$D$124, 0)), "Ciclo de vida no válido", ""))))</f>
        <v/>
      </c>
      <c r="AC336" s="56" t="n"/>
      <c r="AD336" s="51" t="n">
        <v>2</v>
      </c>
      <c r="AE336" s="156" t="n"/>
      <c r="AF336" s="51" t="n">
        <v>2</v>
      </c>
      <c r="AG336" s="156" t="inlineStr">
        <is>
          <t>Nuevo – NetSuite con existencia</t>
        </is>
      </c>
      <c r="AH33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6" s="156" t="inlineStr">
        <is>
          <t>No</t>
        </is>
      </c>
      <c r="AJ336" s="156" t="n"/>
      <c r="AK336" s="155" t="inlineStr">
        <is>
          <t>G1522_Extraccion_Articulos_NetSuite_2026-09-30.xlsx: fila 43757</t>
        </is>
      </c>
      <c r="AL336" s="58" t="n"/>
      <c r="AM336" s="58" t="n"/>
      <c r="AN336" s="155" t="n"/>
      <c r="AO336" s="59" t="n"/>
      <c r="AP336" s="59" t="n"/>
      <c r="AQ336" s="59" t="n"/>
      <c r="AR336" s="155" t="n"/>
    </row>
    <row r="337">
      <c r="A337" s="50" t="inlineStr">
        <is>
          <t>5056658711817</t>
        </is>
      </c>
      <c r="B337" s="51" t="inlineStr">
        <is>
          <t>91003</t>
        </is>
      </c>
      <c r="C337" s="156" t="inlineStr">
        <is>
          <t>REFLO</t>
        </is>
      </c>
      <c r="D337" s="156" t="n"/>
      <c r="E337" s="156" t="n"/>
      <c r="F337" s="156" t="n"/>
      <c r="G337" s="156" t="n"/>
      <c r="H337" s="156" t="inlineStr">
        <is>
          <t>REFLO</t>
        </is>
      </c>
      <c r="I337" s="156" t="n"/>
      <c r="J337" s="156" t="n"/>
      <c r="K337" s="156" t="n"/>
      <c r="L337" s="156" t="n"/>
      <c r="M337" s="156" t="n"/>
      <c r="N337" s="156" t="n"/>
      <c r="O337" s="156" t="n"/>
      <c r="P337" s="156" t="n"/>
      <c r="Q337" s="156" t="n"/>
      <c r="R337" s="156" t="n"/>
      <c r="S337" s="156" t="n"/>
      <c r="T337" s="156" t="n"/>
      <c r="U337" s="156" t="n"/>
      <c r="V337" s="156" t="inlineStr">
        <is>
          <t>PZS</t>
        </is>
      </c>
      <c r="W337" s="51" t="inlineStr">
        <is>
          <t>53101500</t>
        </is>
      </c>
      <c r="X337" s="156" t="n"/>
      <c r="Y337" s="54" t="n">
        <v>22.75</v>
      </c>
      <c r="Z337" s="54" t="n">
        <v>1649</v>
      </c>
      <c r="AA337" s="55">
        <f>IF(AND(A337="", B337="", E337=""), "", IF(AB337="", "Válido", IF((LEN(AB337)-LEN(SUBSTITUTE(AB337,"; ","")))/2+1&gt;(LEN(AB337)-LEN(SUBSTITUTE(AB337,"[Aviso]","")))/7, "Con Incidencias", "Válido")))</f>
        <v/>
      </c>
      <c r="AB337" s="56">
        <f>IF(AND(A337="", B337="", E337=""), "", TEXTJOIN("; ", TRUE, IF(OR(TRIM(A337&amp;"")="", ISNUMBER(SEARCH("FALTA", A337))), "UPC faltante/inválido", ""), IF(AND(A337&lt;&gt;"", IFERROR(_xlfn.XMATCH(A337,$A$2:$A$653,0,1)&lt;&gt;_xlfn.XMATCH(A337,$A$2:$A$653,0,-1),FALSE)), "Código de barras duplicado", ""), IF(AND(E337&lt;&gt;"", COUNTIF($E$2:$E$653, E337)&gt;1), "SKU duplicado", ""), IF(OR(J337="", J337=""), "[Aviso] División no capturada ()", IF(ISNA(MATCH(J337, Criterios!$A$123:$A$126, 0)), "División no válida", "")), IF(OR(K337="", K337=""), "[Aviso] Categoría no capturada ()", IF(ISNA(MATCH(K337, Criterios!$A$81:$A$120, 0)), "Categoría no válida", IF(AND(J337&lt;&gt;"", J337&lt;&gt;"", J337&lt;&gt;VLOOKUP(K337, Criterios!$A$81:$B$120, 2, FALSE)), "División no coincide con Categoría", ""))), IF(OR(L337="", L337=""), "[Aviso] Género no capturado ()", IF(ISNA(MATCH(L337, Criterios!$B$123:$B$127, 0)), "Género no válido", "")), IF(OR(N337="", N337=""), "[Aviso] Temporada no capturada ()", IF(ISNA(MATCH(N337, Criterios!$C$123:$C$128, 0)), "Temporada no válida", "")), IF(OR(O337="", O337=""), "[Aviso] Ciclo de vida no capturado ()", IF(ISNA(MATCH(O337, Criterios!$D$123:$D$124, 0)), "Ciclo de vida no válido", ""))))</f>
        <v/>
      </c>
      <c r="AC337" s="56" t="n"/>
      <c r="AD337" s="51" t="n">
        <v>6</v>
      </c>
      <c r="AE337" s="156" t="n"/>
      <c r="AF337" s="51" t="n">
        <v>6</v>
      </c>
      <c r="AG337" s="156" t="inlineStr">
        <is>
          <t>Nuevo – NetSuite con existencia</t>
        </is>
      </c>
      <c r="AH33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7" s="156" t="inlineStr">
        <is>
          <t>No</t>
        </is>
      </c>
      <c r="AJ337" s="156" t="n"/>
      <c r="AK337" s="155" t="inlineStr">
        <is>
          <t>G1522_Extraccion_Articulos_NetSuite_2026-09-30.xlsx: fila 43758</t>
        </is>
      </c>
      <c r="AL337" s="58" t="n"/>
      <c r="AM337" s="58" t="n"/>
      <c r="AN337" s="155" t="n"/>
      <c r="AO337" s="59" t="n"/>
      <c r="AP337" s="59" t="n"/>
      <c r="AQ337" s="59" t="n"/>
      <c r="AR337" s="155" t="n"/>
    </row>
    <row r="338">
      <c r="A338" s="50" t="inlineStr">
        <is>
          <t>5056658711824</t>
        </is>
      </c>
      <c r="B338" s="51" t="inlineStr">
        <is>
          <t>91004</t>
        </is>
      </c>
      <c r="C338" s="156" t="inlineStr">
        <is>
          <t>REFLO</t>
        </is>
      </c>
      <c r="D338" s="156" t="n"/>
      <c r="E338" s="156" t="n"/>
      <c r="F338" s="156" t="n"/>
      <c r="G338" s="156" t="n"/>
      <c r="H338" s="156" t="inlineStr">
        <is>
          <t>REFLO</t>
        </is>
      </c>
      <c r="I338" s="156" t="n"/>
      <c r="J338" s="156" t="n"/>
      <c r="K338" s="156" t="n"/>
      <c r="L338" s="156" t="n"/>
      <c r="M338" s="156" t="n"/>
      <c r="N338" s="156" t="n"/>
      <c r="O338" s="156" t="n"/>
      <c r="P338" s="156" t="n"/>
      <c r="Q338" s="156" t="n"/>
      <c r="R338" s="156" t="n"/>
      <c r="S338" s="156" t="n"/>
      <c r="T338" s="156" t="n"/>
      <c r="U338" s="156" t="n"/>
      <c r="V338" s="156" t="inlineStr">
        <is>
          <t>PZS</t>
        </is>
      </c>
      <c r="W338" s="51" t="inlineStr">
        <is>
          <t>53101500</t>
        </is>
      </c>
      <c r="X338" s="156" t="n"/>
      <c r="Y338" s="54" t="n">
        <v>22.75</v>
      </c>
      <c r="Z338" s="54" t="n">
        <v>1649</v>
      </c>
      <c r="AA338" s="55">
        <f>IF(AND(A338="", B338="", E338=""), "", IF(AB338="", "Válido", IF((LEN(AB338)-LEN(SUBSTITUTE(AB338,"; ","")))/2+1&gt;(LEN(AB338)-LEN(SUBSTITUTE(AB338,"[Aviso]","")))/7, "Con Incidencias", "Válido")))</f>
        <v/>
      </c>
      <c r="AB338" s="56">
        <f>IF(AND(A338="", B338="", E338=""), "", TEXTJOIN("; ", TRUE, IF(OR(TRIM(A338&amp;"")="", ISNUMBER(SEARCH("FALTA", A338))), "UPC faltante/inválido", ""), IF(AND(A338&lt;&gt;"", IFERROR(_xlfn.XMATCH(A338,$A$2:$A$653,0,1)&lt;&gt;_xlfn.XMATCH(A338,$A$2:$A$653,0,-1),FALSE)), "Código de barras duplicado", ""), IF(AND(E338&lt;&gt;"", COUNTIF($E$2:$E$653, E338)&gt;1), "SKU duplicado", ""), IF(OR(J338="", J338=""), "[Aviso] División no capturada ()", IF(ISNA(MATCH(J338, Criterios!$A$123:$A$126, 0)), "División no válida", "")), IF(OR(K338="", K338=""), "[Aviso] Categoría no capturada ()", IF(ISNA(MATCH(K338, Criterios!$A$81:$A$120, 0)), "Categoría no válida", IF(AND(J338&lt;&gt;"", J338&lt;&gt;"", J338&lt;&gt;VLOOKUP(K338, Criterios!$A$81:$B$120, 2, FALSE)), "División no coincide con Categoría", ""))), IF(OR(L338="", L338=""), "[Aviso] Género no capturado ()", IF(ISNA(MATCH(L338, Criterios!$B$123:$B$127, 0)), "Género no válido", "")), IF(OR(N338="", N338=""), "[Aviso] Temporada no capturada ()", IF(ISNA(MATCH(N338, Criterios!$C$123:$C$128, 0)), "Temporada no válida", "")), IF(OR(O338="", O338=""), "[Aviso] Ciclo de vida no capturado ()", IF(ISNA(MATCH(O338, Criterios!$D$123:$D$124, 0)), "Ciclo de vida no válido", ""))))</f>
        <v/>
      </c>
      <c r="AC338" s="56" t="n"/>
      <c r="AD338" s="51" t="n">
        <v>14</v>
      </c>
      <c r="AE338" s="156" t="n"/>
      <c r="AF338" s="51" t="n">
        <v>14</v>
      </c>
      <c r="AG338" s="156" t="inlineStr">
        <is>
          <t>Nuevo – NetSuite con existencia</t>
        </is>
      </c>
      <c r="AH33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8" s="156" t="inlineStr">
        <is>
          <t>No</t>
        </is>
      </c>
      <c r="AJ338" s="156" t="n"/>
      <c r="AK338" s="155" t="inlineStr">
        <is>
          <t>G1522_Extraccion_Articulos_NetSuite_2026-09-30.xlsx: fila 43759</t>
        </is>
      </c>
      <c r="AL338" s="58" t="n"/>
      <c r="AM338" s="58" t="n"/>
      <c r="AN338" s="155" t="n"/>
      <c r="AO338" s="59" t="n"/>
      <c r="AP338" s="59" t="n"/>
      <c r="AQ338" s="59" t="n"/>
      <c r="AR338" s="155" t="n"/>
    </row>
    <row r="339">
      <c r="A339" s="50" t="inlineStr">
        <is>
          <t>5056658711831</t>
        </is>
      </c>
      <c r="B339" s="51" t="inlineStr">
        <is>
          <t>91005</t>
        </is>
      </c>
      <c r="C339" s="156" t="inlineStr">
        <is>
          <t>REFLO</t>
        </is>
      </c>
      <c r="D339" s="156" t="n"/>
      <c r="E339" s="156" t="n"/>
      <c r="F339" s="156" t="n"/>
      <c r="G339" s="156" t="n"/>
      <c r="H339" s="156" t="inlineStr">
        <is>
          <t>REFLO</t>
        </is>
      </c>
      <c r="I339" s="156" t="n"/>
      <c r="J339" s="156" t="n"/>
      <c r="K339" s="156" t="n"/>
      <c r="L339" s="156" t="n"/>
      <c r="M339" s="156" t="n"/>
      <c r="N339" s="156" t="n"/>
      <c r="O339" s="156" t="n"/>
      <c r="P339" s="156" t="n"/>
      <c r="Q339" s="156" t="n"/>
      <c r="R339" s="156" t="n"/>
      <c r="S339" s="156" t="n"/>
      <c r="T339" s="156" t="n"/>
      <c r="U339" s="156" t="n"/>
      <c r="V339" s="156" t="inlineStr">
        <is>
          <t>PZS</t>
        </is>
      </c>
      <c r="W339" s="51" t="inlineStr">
        <is>
          <t>53101500</t>
        </is>
      </c>
      <c r="X339" s="156" t="n"/>
      <c r="Y339" s="54" t="n">
        <v>22.75</v>
      </c>
      <c r="Z339" s="54" t="n">
        <v>1649</v>
      </c>
      <c r="AA339" s="55">
        <f>IF(AND(A339="", B339="", E339=""), "", IF(AB339="", "Válido", IF((LEN(AB339)-LEN(SUBSTITUTE(AB339,"; ","")))/2+1&gt;(LEN(AB339)-LEN(SUBSTITUTE(AB339,"[Aviso]","")))/7, "Con Incidencias", "Válido")))</f>
        <v/>
      </c>
      <c r="AB339" s="56">
        <f>IF(AND(A339="", B339="", E339=""), "", TEXTJOIN("; ", TRUE, IF(OR(TRIM(A339&amp;"")="", ISNUMBER(SEARCH("FALTA", A339))), "UPC faltante/inválido", ""), IF(AND(A339&lt;&gt;"", IFERROR(_xlfn.XMATCH(A339,$A$2:$A$653,0,1)&lt;&gt;_xlfn.XMATCH(A339,$A$2:$A$653,0,-1),FALSE)), "Código de barras duplicado", ""), IF(AND(E339&lt;&gt;"", COUNTIF($E$2:$E$653, E339)&gt;1), "SKU duplicado", ""), IF(OR(J339="", J339=""), "[Aviso] División no capturada ()", IF(ISNA(MATCH(J339, Criterios!$A$123:$A$126, 0)), "División no válida", "")), IF(OR(K339="", K339=""), "[Aviso] Categoría no capturada ()", IF(ISNA(MATCH(K339, Criterios!$A$81:$A$120, 0)), "Categoría no válida", IF(AND(J339&lt;&gt;"", J339&lt;&gt;"", J339&lt;&gt;VLOOKUP(K339, Criterios!$A$81:$B$120, 2, FALSE)), "División no coincide con Categoría", ""))), IF(OR(L339="", L339=""), "[Aviso] Género no capturado ()", IF(ISNA(MATCH(L339, Criterios!$B$123:$B$127, 0)), "Género no válido", "")), IF(OR(N339="", N339=""), "[Aviso] Temporada no capturada ()", IF(ISNA(MATCH(N339, Criterios!$C$123:$C$128, 0)), "Temporada no válida", "")), IF(OR(O339="", O339=""), "[Aviso] Ciclo de vida no capturado ()", IF(ISNA(MATCH(O339, Criterios!$D$123:$D$124, 0)), "Ciclo de vida no válido", ""))))</f>
        <v/>
      </c>
      <c r="AC339" s="56" t="n"/>
      <c r="AD339" s="51" t="n">
        <v>14</v>
      </c>
      <c r="AE339" s="156" t="n"/>
      <c r="AF339" s="51" t="n">
        <v>14</v>
      </c>
      <c r="AG339" s="156" t="inlineStr">
        <is>
          <t>Nuevo – NetSuite con existencia</t>
        </is>
      </c>
      <c r="AH33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9" s="156" t="inlineStr">
        <is>
          <t>No</t>
        </is>
      </c>
      <c r="AJ339" s="156" t="n"/>
      <c r="AK339" s="155" t="inlineStr">
        <is>
          <t>G1522_Extraccion_Articulos_NetSuite_2026-09-30.xlsx: fila 43760</t>
        </is>
      </c>
      <c r="AL339" s="58" t="n"/>
      <c r="AM339" s="58" t="n"/>
      <c r="AN339" s="155" t="n"/>
      <c r="AO339" s="59" t="n"/>
      <c r="AP339" s="59" t="n"/>
      <c r="AQ339" s="59" t="n"/>
      <c r="AR339" s="155" t="n"/>
    </row>
    <row r="340">
      <c r="A340" s="50" t="inlineStr">
        <is>
          <t>5056658711848</t>
        </is>
      </c>
      <c r="B340" s="51" t="inlineStr">
        <is>
          <t>91006</t>
        </is>
      </c>
      <c r="C340" s="156" t="inlineStr">
        <is>
          <t>REFLO</t>
        </is>
      </c>
      <c r="D340" s="156" t="n"/>
      <c r="E340" s="156" t="n"/>
      <c r="F340" s="156" t="n"/>
      <c r="G340" s="156" t="n"/>
      <c r="H340" s="156" t="inlineStr">
        <is>
          <t>REFLO</t>
        </is>
      </c>
      <c r="I340" s="156" t="n"/>
      <c r="J340" s="156" t="n"/>
      <c r="K340" s="156" t="n"/>
      <c r="L340" s="156" t="n"/>
      <c r="M340" s="156" t="n"/>
      <c r="N340" s="156" t="n"/>
      <c r="O340" s="156" t="n"/>
      <c r="P340" s="156" t="n"/>
      <c r="Q340" s="156" t="n"/>
      <c r="R340" s="156" t="n"/>
      <c r="S340" s="156" t="n"/>
      <c r="T340" s="156" t="n"/>
      <c r="U340" s="156" t="n"/>
      <c r="V340" s="156" t="inlineStr">
        <is>
          <t>PZS</t>
        </is>
      </c>
      <c r="W340" s="51" t="inlineStr">
        <is>
          <t>53101500</t>
        </is>
      </c>
      <c r="X340" s="156" t="n"/>
      <c r="Y340" s="54" t="n">
        <v>22.75</v>
      </c>
      <c r="Z340" s="54" t="n">
        <v>1649</v>
      </c>
      <c r="AA340" s="55">
        <f>IF(AND(A340="", B340="", E340=""), "", IF(AB340="", "Válido", IF((LEN(AB340)-LEN(SUBSTITUTE(AB340,"; ","")))/2+1&gt;(LEN(AB340)-LEN(SUBSTITUTE(AB340,"[Aviso]","")))/7, "Con Incidencias", "Válido")))</f>
        <v/>
      </c>
      <c r="AB340" s="56">
        <f>IF(AND(A340="", B340="", E340=""), "", TEXTJOIN("; ", TRUE, IF(OR(TRIM(A340&amp;"")="", ISNUMBER(SEARCH("FALTA", A340))), "UPC faltante/inválido", ""), IF(AND(A340&lt;&gt;"", IFERROR(_xlfn.XMATCH(A340,$A$2:$A$653,0,1)&lt;&gt;_xlfn.XMATCH(A340,$A$2:$A$653,0,-1),FALSE)), "Código de barras duplicado", ""), IF(AND(E340&lt;&gt;"", COUNTIF($E$2:$E$653, E340)&gt;1), "SKU duplicado", ""), IF(OR(J340="", J340=""), "[Aviso] División no capturada ()", IF(ISNA(MATCH(J340, Criterios!$A$123:$A$126, 0)), "División no válida", "")), IF(OR(K340="", K340=""), "[Aviso] Categoría no capturada ()", IF(ISNA(MATCH(K340, Criterios!$A$81:$A$120, 0)), "Categoría no válida", IF(AND(J340&lt;&gt;"", J340&lt;&gt;"", J340&lt;&gt;VLOOKUP(K340, Criterios!$A$81:$B$120, 2, FALSE)), "División no coincide con Categoría", ""))), IF(OR(L340="", L340=""), "[Aviso] Género no capturado ()", IF(ISNA(MATCH(L340, Criterios!$B$123:$B$127, 0)), "Género no válido", "")), IF(OR(N340="", N340=""), "[Aviso] Temporada no capturada ()", IF(ISNA(MATCH(N340, Criterios!$C$123:$C$128, 0)), "Temporada no válida", "")), IF(OR(O340="", O340=""), "[Aviso] Ciclo de vida no capturado ()", IF(ISNA(MATCH(O340, Criterios!$D$123:$D$124, 0)), "Ciclo de vida no válido", ""))))</f>
        <v/>
      </c>
      <c r="AC340" s="56" t="n"/>
      <c r="AD340" s="51" t="n">
        <v>8</v>
      </c>
      <c r="AE340" s="156" t="n"/>
      <c r="AF340" s="51" t="n">
        <v>8</v>
      </c>
      <c r="AG340" s="156" t="inlineStr">
        <is>
          <t>Nuevo – NetSuite con existencia</t>
        </is>
      </c>
      <c r="AH34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0" s="156" t="inlineStr">
        <is>
          <t>No</t>
        </is>
      </c>
      <c r="AJ340" s="156" t="n"/>
      <c r="AK340" s="155" t="inlineStr">
        <is>
          <t>G1522_Extraccion_Articulos_NetSuite_2026-09-30.xlsx: fila 43761</t>
        </is>
      </c>
      <c r="AL340" s="58" t="n"/>
      <c r="AM340" s="58" t="n"/>
      <c r="AN340" s="155" t="n"/>
      <c r="AO340" s="59" t="n"/>
      <c r="AP340" s="59" t="n"/>
      <c r="AQ340" s="59" t="n"/>
      <c r="AR340" s="155" t="n"/>
    </row>
    <row r="341">
      <c r="A341" s="50" t="inlineStr">
        <is>
          <t>5056658713774</t>
        </is>
      </c>
      <c r="B341" s="51" t="inlineStr">
        <is>
          <t>91007</t>
        </is>
      </c>
      <c r="C341" s="156" t="inlineStr">
        <is>
          <t>REFLO</t>
        </is>
      </c>
      <c r="D341" s="156" t="n"/>
      <c r="E341" s="156" t="n"/>
      <c r="F341" s="156" t="n"/>
      <c r="G341" s="156" t="n"/>
      <c r="H341" s="156" t="inlineStr">
        <is>
          <t>REFLO</t>
        </is>
      </c>
      <c r="I341" s="156" t="n"/>
      <c r="J341" s="156" t="n"/>
      <c r="K341" s="156" t="n"/>
      <c r="L341" s="156" t="n"/>
      <c r="M341" s="156" t="n"/>
      <c r="N341" s="156" t="n"/>
      <c r="O341" s="156" t="n"/>
      <c r="P341" s="156" t="n"/>
      <c r="Q341" s="156" t="n"/>
      <c r="R341" s="156" t="n"/>
      <c r="S341" s="156" t="n"/>
      <c r="T341" s="156" t="n"/>
      <c r="U341" s="156" t="n"/>
      <c r="V341" s="156" t="inlineStr">
        <is>
          <t>PZS</t>
        </is>
      </c>
      <c r="W341" s="51" t="inlineStr">
        <is>
          <t>53101500</t>
        </is>
      </c>
      <c r="X341" s="156" t="n"/>
      <c r="Y341" s="54" t="n">
        <v>22.75</v>
      </c>
      <c r="Z341" s="54" t="n">
        <v>1649</v>
      </c>
      <c r="AA341" s="55">
        <f>IF(AND(A341="", B341="", E341=""), "", IF(AB341="", "Válido", IF((LEN(AB341)-LEN(SUBSTITUTE(AB341,"; ","")))/2+1&gt;(LEN(AB341)-LEN(SUBSTITUTE(AB341,"[Aviso]","")))/7, "Con Incidencias", "Válido")))</f>
        <v/>
      </c>
      <c r="AB341" s="56">
        <f>IF(AND(A341="", B341="", E341=""), "", TEXTJOIN("; ", TRUE, IF(OR(TRIM(A341&amp;"")="", ISNUMBER(SEARCH("FALTA", A341))), "UPC faltante/inválido", ""), IF(AND(A341&lt;&gt;"", IFERROR(_xlfn.XMATCH(A341,$A$2:$A$653,0,1)&lt;&gt;_xlfn.XMATCH(A341,$A$2:$A$653,0,-1),FALSE)), "Código de barras duplicado", ""), IF(AND(E341&lt;&gt;"", COUNTIF($E$2:$E$653, E341)&gt;1), "SKU duplicado", ""), IF(OR(J341="", J341=""), "[Aviso] División no capturada ()", IF(ISNA(MATCH(J341, Criterios!$A$123:$A$126, 0)), "División no válida", "")), IF(OR(K341="", K341=""), "[Aviso] Categoría no capturada ()", IF(ISNA(MATCH(K341, Criterios!$A$81:$A$120, 0)), "Categoría no válida", IF(AND(J341&lt;&gt;"", J341&lt;&gt;"", J341&lt;&gt;VLOOKUP(K341, Criterios!$A$81:$B$120, 2, FALSE)), "División no coincide con Categoría", ""))), IF(OR(L341="", L341=""), "[Aviso] Género no capturado ()", IF(ISNA(MATCH(L341, Criterios!$B$123:$B$127, 0)), "Género no válido", "")), IF(OR(N341="", N341=""), "[Aviso] Temporada no capturada ()", IF(ISNA(MATCH(N341, Criterios!$C$123:$C$128, 0)), "Temporada no válida", "")), IF(OR(O341="", O341=""), "[Aviso] Ciclo de vida no capturado ()", IF(ISNA(MATCH(O341, Criterios!$D$123:$D$124, 0)), "Ciclo de vida no válido", ""))))</f>
        <v/>
      </c>
      <c r="AC341" s="56" t="n"/>
      <c r="AD341" s="51" t="n">
        <v>3</v>
      </c>
      <c r="AE341" s="156" t="n"/>
      <c r="AF341" s="51" t="n">
        <v>3</v>
      </c>
      <c r="AG341" s="156" t="inlineStr">
        <is>
          <t>Nuevo – NetSuite con existencia</t>
        </is>
      </c>
      <c r="AH34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1" s="156" t="inlineStr">
        <is>
          <t>No</t>
        </is>
      </c>
      <c r="AJ341" s="156" t="n"/>
      <c r="AK341" s="155" t="inlineStr">
        <is>
          <t>G1522_Extraccion_Articulos_NetSuite_2026-09-30.xlsx: fila 43762</t>
        </is>
      </c>
      <c r="AL341" s="58" t="n"/>
      <c r="AM341" s="58" t="n"/>
      <c r="AN341" s="155" t="n"/>
      <c r="AO341" s="59" t="n"/>
      <c r="AP341" s="59" t="n"/>
      <c r="AQ341" s="59" t="n"/>
      <c r="AR341" s="155" t="n"/>
    </row>
    <row r="342">
      <c r="A342" s="50" t="inlineStr">
        <is>
          <t>5056658711862</t>
        </is>
      </c>
      <c r="B342" s="51" t="inlineStr">
        <is>
          <t>91008</t>
        </is>
      </c>
      <c r="C342" s="156" t="inlineStr">
        <is>
          <t>REFLO</t>
        </is>
      </c>
      <c r="D342" s="156" t="n"/>
      <c r="E342" s="156" t="n"/>
      <c r="F342" s="156" t="n"/>
      <c r="G342" s="156" t="n"/>
      <c r="H342" s="156" t="inlineStr">
        <is>
          <t>REFLO</t>
        </is>
      </c>
      <c r="I342" s="156" t="n"/>
      <c r="J342" s="156" t="n"/>
      <c r="K342" s="156" t="n"/>
      <c r="L342" s="156" t="n"/>
      <c r="M342" s="156" t="n"/>
      <c r="N342" s="156" t="n"/>
      <c r="O342" s="156" t="n"/>
      <c r="P342" s="156" t="n"/>
      <c r="Q342" s="156" t="n"/>
      <c r="R342" s="156" t="n"/>
      <c r="S342" s="156" t="n"/>
      <c r="T342" s="156" t="n"/>
      <c r="U342" s="156" t="n"/>
      <c r="V342" s="156" t="inlineStr">
        <is>
          <t>PZS</t>
        </is>
      </c>
      <c r="W342" s="51" t="inlineStr">
        <is>
          <t>53101500</t>
        </is>
      </c>
      <c r="X342" s="156" t="n"/>
      <c r="Y342" s="54" t="n">
        <v>22.75</v>
      </c>
      <c r="Z342" s="54" t="n">
        <v>1649</v>
      </c>
      <c r="AA342" s="55">
        <f>IF(AND(A342="", B342="", E342=""), "", IF(AB342="", "Válido", IF((LEN(AB342)-LEN(SUBSTITUTE(AB342,"; ","")))/2+1&gt;(LEN(AB342)-LEN(SUBSTITUTE(AB342,"[Aviso]","")))/7, "Con Incidencias", "Válido")))</f>
        <v/>
      </c>
      <c r="AB342" s="56">
        <f>IF(AND(A342="", B342="", E342=""), "", TEXTJOIN("; ", TRUE, IF(OR(TRIM(A342&amp;"")="", ISNUMBER(SEARCH("FALTA", A342))), "UPC faltante/inválido", ""), IF(AND(A342&lt;&gt;"", IFERROR(_xlfn.XMATCH(A342,$A$2:$A$653,0,1)&lt;&gt;_xlfn.XMATCH(A342,$A$2:$A$653,0,-1),FALSE)), "Código de barras duplicado", ""), IF(AND(E342&lt;&gt;"", COUNTIF($E$2:$E$653, E342)&gt;1), "SKU duplicado", ""), IF(OR(J342="", J342=""), "[Aviso] División no capturada ()", IF(ISNA(MATCH(J342, Criterios!$A$123:$A$126, 0)), "División no válida", "")), IF(OR(K342="", K342=""), "[Aviso] Categoría no capturada ()", IF(ISNA(MATCH(K342, Criterios!$A$81:$A$120, 0)), "Categoría no válida", IF(AND(J342&lt;&gt;"", J342&lt;&gt;"", J342&lt;&gt;VLOOKUP(K342, Criterios!$A$81:$B$120, 2, FALSE)), "División no coincide con Categoría", ""))), IF(OR(L342="", L342=""), "[Aviso] Género no capturado ()", IF(ISNA(MATCH(L342, Criterios!$B$123:$B$127, 0)), "Género no válido", "")), IF(OR(N342="", N342=""), "[Aviso] Temporada no capturada ()", IF(ISNA(MATCH(N342, Criterios!$C$123:$C$128, 0)), "Temporada no válida", "")), IF(OR(O342="", O342=""), "[Aviso] Ciclo de vida no capturado ()", IF(ISNA(MATCH(O342, Criterios!$D$123:$D$124, 0)), "Ciclo de vida no válido", ""))))</f>
        <v/>
      </c>
      <c r="AC342" s="56" t="n"/>
      <c r="AD342" s="51" t="n">
        <v>1</v>
      </c>
      <c r="AE342" s="156" t="n"/>
      <c r="AF342" s="51" t="n">
        <v>1</v>
      </c>
      <c r="AG342" s="156" t="inlineStr">
        <is>
          <t>Nuevo – NetSuite con existencia</t>
        </is>
      </c>
      <c r="AH34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2" s="156" t="inlineStr">
        <is>
          <t>No</t>
        </is>
      </c>
      <c r="AJ342" s="156" t="n"/>
      <c r="AK342" s="155" t="inlineStr">
        <is>
          <t>G1522_Extraccion_Articulos_NetSuite_2026-09-30.xlsx: fila 43763</t>
        </is>
      </c>
      <c r="AL342" s="58" t="n"/>
      <c r="AM342" s="58" t="n"/>
      <c r="AN342" s="155" t="n"/>
      <c r="AO342" s="59" t="n"/>
      <c r="AP342" s="59" t="n"/>
      <c r="AQ342" s="59" t="n"/>
      <c r="AR342" s="155" t="n"/>
    </row>
    <row r="343">
      <c r="A343" s="50" t="inlineStr">
        <is>
          <t>5056658711886</t>
        </is>
      </c>
      <c r="B343" s="51" t="inlineStr">
        <is>
          <t>91009</t>
        </is>
      </c>
      <c r="C343" s="156" t="inlineStr">
        <is>
          <t>REFLO</t>
        </is>
      </c>
      <c r="D343" s="156" t="n"/>
      <c r="E343" s="156" t="n"/>
      <c r="F343" s="156" t="n"/>
      <c r="G343" s="156" t="n"/>
      <c r="H343" s="156" t="inlineStr">
        <is>
          <t>REFLO</t>
        </is>
      </c>
      <c r="I343" s="156" t="n"/>
      <c r="J343" s="156" t="n"/>
      <c r="K343" s="156" t="n"/>
      <c r="L343" s="156" t="n"/>
      <c r="M343" s="156" t="n"/>
      <c r="N343" s="156" t="n"/>
      <c r="O343" s="156" t="n"/>
      <c r="P343" s="156" t="n"/>
      <c r="Q343" s="156" t="n"/>
      <c r="R343" s="156" t="n"/>
      <c r="S343" s="156" t="n"/>
      <c r="T343" s="156" t="n"/>
      <c r="U343" s="156" t="n"/>
      <c r="V343" s="156" t="inlineStr">
        <is>
          <t>PZS</t>
        </is>
      </c>
      <c r="W343" s="51" t="inlineStr">
        <is>
          <t>53101500</t>
        </is>
      </c>
      <c r="X343" s="156" t="n"/>
      <c r="Y343" s="54" t="n">
        <v>22.75</v>
      </c>
      <c r="Z343" s="54" t="n">
        <v>1649</v>
      </c>
      <c r="AA343" s="55">
        <f>IF(AND(A343="", B343="", E343=""), "", IF(AB343="", "Válido", IF((LEN(AB343)-LEN(SUBSTITUTE(AB343,"; ","")))/2+1&gt;(LEN(AB343)-LEN(SUBSTITUTE(AB343,"[Aviso]","")))/7, "Con Incidencias", "Válido")))</f>
        <v/>
      </c>
      <c r="AB343" s="56">
        <f>IF(AND(A343="", B343="", E343=""), "", TEXTJOIN("; ", TRUE, IF(OR(TRIM(A343&amp;"")="", ISNUMBER(SEARCH("FALTA", A343))), "UPC faltante/inválido", ""), IF(AND(A343&lt;&gt;"", IFERROR(_xlfn.XMATCH(A343,$A$2:$A$653,0,1)&lt;&gt;_xlfn.XMATCH(A343,$A$2:$A$653,0,-1),FALSE)), "Código de barras duplicado", ""), IF(AND(E343&lt;&gt;"", COUNTIF($E$2:$E$653, E343)&gt;1), "SKU duplicado", ""), IF(OR(J343="", J343=""), "[Aviso] División no capturada ()", IF(ISNA(MATCH(J343, Criterios!$A$123:$A$126, 0)), "División no válida", "")), IF(OR(K343="", K343=""), "[Aviso] Categoría no capturada ()", IF(ISNA(MATCH(K343, Criterios!$A$81:$A$120, 0)), "Categoría no válida", IF(AND(J343&lt;&gt;"", J343&lt;&gt;"", J343&lt;&gt;VLOOKUP(K343, Criterios!$A$81:$B$120, 2, FALSE)), "División no coincide con Categoría", ""))), IF(OR(L343="", L343=""), "[Aviso] Género no capturado ()", IF(ISNA(MATCH(L343, Criterios!$B$123:$B$127, 0)), "Género no válido", "")), IF(OR(N343="", N343=""), "[Aviso] Temporada no capturada ()", IF(ISNA(MATCH(N343, Criterios!$C$123:$C$128, 0)), "Temporada no válida", "")), IF(OR(O343="", O343=""), "[Aviso] Ciclo de vida no capturado ()", IF(ISNA(MATCH(O343, Criterios!$D$123:$D$124, 0)), "Ciclo de vida no válido", ""))))</f>
        <v/>
      </c>
      <c r="AC343" s="56" t="n"/>
      <c r="AD343" s="51" t="n">
        <v>5</v>
      </c>
      <c r="AE343" s="156" t="n"/>
      <c r="AF343" s="51" t="n">
        <v>5</v>
      </c>
      <c r="AG343" s="156" t="inlineStr">
        <is>
          <t>Nuevo – NetSuite con existencia</t>
        </is>
      </c>
      <c r="AH34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3" s="156" t="inlineStr">
        <is>
          <t>No</t>
        </is>
      </c>
      <c r="AJ343" s="156" t="n"/>
      <c r="AK343" s="155" t="inlineStr">
        <is>
          <t>G1522_Extraccion_Articulos_NetSuite_2026-09-30.xlsx: fila 43764</t>
        </is>
      </c>
      <c r="AL343" s="58" t="n"/>
      <c r="AM343" s="58" t="n"/>
      <c r="AN343" s="155" t="n"/>
      <c r="AO343" s="59" t="n"/>
      <c r="AP343" s="59" t="n"/>
      <c r="AQ343" s="59" t="n"/>
      <c r="AR343" s="155" t="n"/>
    </row>
    <row r="344">
      <c r="A344" s="50" t="inlineStr">
        <is>
          <t>5056658711893</t>
        </is>
      </c>
      <c r="B344" s="51" t="inlineStr">
        <is>
          <t>91010</t>
        </is>
      </c>
      <c r="C344" s="156" t="inlineStr">
        <is>
          <t>REFLO</t>
        </is>
      </c>
      <c r="D344" s="156" t="n"/>
      <c r="E344" s="156" t="n"/>
      <c r="F344" s="156" t="n"/>
      <c r="G344" s="156" t="n"/>
      <c r="H344" s="156" t="inlineStr">
        <is>
          <t>REFLO</t>
        </is>
      </c>
      <c r="I344" s="156" t="n"/>
      <c r="J344" s="156" t="n"/>
      <c r="K344" s="156" t="n"/>
      <c r="L344" s="156" t="n"/>
      <c r="M344" s="156" t="n"/>
      <c r="N344" s="156" t="n"/>
      <c r="O344" s="156" t="n"/>
      <c r="P344" s="156" t="n"/>
      <c r="Q344" s="156" t="n"/>
      <c r="R344" s="156" t="n"/>
      <c r="S344" s="156" t="n"/>
      <c r="T344" s="156" t="n"/>
      <c r="U344" s="156" t="n"/>
      <c r="V344" s="156" t="inlineStr">
        <is>
          <t>PZS</t>
        </is>
      </c>
      <c r="W344" s="51" t="inlineStr">
        <is>
          <t>53101500</t>
        </is>
      </c>
      <c r="X344" s="156" t="n"/>
      <c r="Y344" s="54" t="n">
        <v>22.75</v>
      </c>
      <c r="Z344" s="54" t="n">
        <v>1649</v>
      </c>
      <c r="AA344" s="55">
        <f>IF(AND(A344="", B344="", E344=""), "", IF(AB344="", "Válido", IF((LEN(AB344)-LEN(SUBSTITUTE(AB344,"; ","")))/2+1&gt;(LEN(AB344)-LEN(SUBSTITUTE(AB344,"[Aviso]","")))/7, "Con Incidencias", "Válido")))</f>
        <v/>
      </c>
      <c r="AB344" s="56">
        <f>IF(AND(A344="", B344="", E344=""), "", TEXTJOIN("; ", TRUE, IF(OR(TRIM(A344&amp;"")="", ISNUMBER(SEARCH("FALTA", A344))), "UPC faltante/inválido", ""), IF(AND(A344&lt;&gt;"", IFERROR(_xlfn.XMATCH(A344,$A$2:$A$653,0,1)&lt;&gt;_xlfn.XMATCH(A344,$A$2:$A$653,0,-1),FALSE)), "Código de barras duplicado", ""), IF(AND(E344&lt;&gt;"", COUNTIF($E$2:$E$653, E344)&gt;1), "SKU duplicado", ""), IF(OR(J344="", J344=""), "[Aviso] División no capturada ()", IF(ISNA(MATCH(J344, Criterios!$A$123:$A$126, 0)), "División no válida", "")), IF(OR(K344="", K344=""), "[Aviso] Categoría no capturada ()", IF(ISNA(MATCH(K344, Criterios!$A$81:$A$120, 0)), "Categoría no válida", IF(AND(J344&lt;&gt;"", J344&lt;&gt;"", J344&lt;&gt;VLOOKUP(K344, Criterios!$A$81:$B$120, 2, FALSE)), "División no coincide con Categoría", ""))), IF(OR(L344="", L344=""), "[Aviso] Género no capturado ()", IF(ISNA(MATCH(L344, Criterios!$B$123:$B$127, 0)), "Género no válido", "")), IF(OR(N344="", N344=""), "[Aviso] Temporada no capturada ()", IF(ISNA(MATCH(N344, Criterios!$C$123:$C$128, 0)), "Temporada no válida", "")), IF(OR(O344="", O344=""), "[Aviso] Ciclo de vida no capturado ()", IF(ISNA(MATCH(O344, Criterios!$D$123:$D$124, 0)), "Ciclo de vida no válido", ""))))</f>
        <v/>
      </c>
      <c r="AC344" s="56" t="n"/>
      <c r="AD344" s="51" t="n">
        <v>14</v>
      </c>
      <c r="AE344" s="156" t="n"/>
      <c r="AF344" s="51" t="n">
        <v>14</v>
      </c>
      <c r="AG344" s="156" t="inlineStr">
        <is>
          <t>Nuevo – NetSuite con existencia</t>
        </is>
      </c>
      <c r="AH34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4" s="156" t="inlineStr">
        <is>
          <t>No</t>
        </is>
      </c>
      <c r="AJ344" s="156" t="n"/>
      <c r="AK344" s="155" t="inlineStr">
        <is>
          <t>G1522_Extraccion_Articulos_NetSuite_2026-09-30.xlsx: fila 43765</t>
        </is>
      </c>
      <c r="AL344" s="58" t="n"/>
      <c r="AM344" s="58" t="n"/>
      <c r="AN344" s="155" t="n"/>
      <c r="AO344" s="59" t="n"/>
      <c r="AP344" s="59" t="n"/>
      <c r="AQ344" s="59" t="n"/>
      <c r="AR344" s="155" t="n"/>
    </row>
    <row r="345">
      <c r="A345" s="50" t="inlineStr">
        <is>
          <t>5056658711909</t>
        </is>
      </c>
      <c r="B345" s="51" t="inlineStr">
        <is>
          <t>91011</t>
        </is>
      </c>
      <c r="C345" s="156" t="inlineStr">
        <is>
          <t>REFLO</t>
        </is>
      </c>
      <c r="D345" s="156" t="n"/>
      <c r="E345" s="156" t="n"/>
      <c r="F345" s="156" t="n"/>
      <c r="G345" s="156" t="n"/>
      <c r="H345" s="156" t="inlineStr">
        <is>
          <t>REFLO</t>
        </is>
      </c>
      <c r="I345" s="156" t="n"/>
      <c r="J345" s="156" t="n"/>
      <c r="K345" s="156" t="n"/>
      <c r="L345" s="156" t="n"/>
      <c r="M345" s="156" t="n"/>
      <c r="N345" s="156" t="n"/>
      <c r="O345" s="156" t="n"/>
      <c r="P345" s="156" t="n"/>
      <c r="Q345" s="156" t="n"/>
      <c r="R345" s="156" t="n"/>
      <c r="S345" s="156" t="n"/>
      <c r="T345" s="156" t="n"/>
      <c r="U345" s="156" t="n"/>
      <c r="V345" s="156" t="inlineStr">
        <is>
          <t>PZS</t>
        </is>
      </c>
      <c r="W345" s="51" t="inlineStr">
        <is>
          <t>53101500</t>
        </is>
      </c>
      <c r="X345" s="156" t="n"/>
      <c r="Y345" s="54" t="n">
        <v>22.75</v>
      </c>
      <c r="Z345" s="54" t="n">
        <v>1649</v>
      </c>
      <c r="AA345" s="55">
        <f>IF(AND(A345="", B345="", E345=""), "", IF(AB345="", "Válido", IF((LEN(AB345)-LEN(SUBSTITUTE(AB345,"; ","")))/2+1&gt;(LEN(AB345)-LEN(SUBSTITUTE(AB345,"[Aviso]","")))/7, "Con Incidencias", "Válido")))</f>
        <v/>
      </c>
      <c r="AB345" s="56">
        <f>IF(AND(A345="", B345="", E345=""), "", TEXTJOIN("; ", TRUE, IF(OR(TRIM(A345&amp;"")="", ISNUMBER(SEARCH("FALTA", A345))), "UPC faltante/inválido", ""), IF(AND(A345&lt;&gt;"", IFERROR(_xlfn.XMATCH(A345,$A$2:$A$653,0,1)&lt;&gt;_xlfn.XMATCH(A345,$A$2:$A$653,0,-1),FALSE)), "Código de barras duplicado", ""), IF(AND(E345&lt;&gt;"", COUNTIF($E$2:$E$653, E345)&gt;1), "SKU duplicado", ""), IF(OR(J345="", J345=""), "[Aviso] División no capturada ()", IF(ISNA(MATCH(J345, Criterios!$A$123:$A$126, 0)), "División no válida", "")), IF(OR(K345="", K345=""), "[Aviso] Categoría no capturada ()", IF(ISNA(MATCH(K345, Criterios!$A$81:$A$120, 0)), "Categoría no válida", IF(AND(J345&lt;&gt;"", J345&lt;&gt;"", J345&lt;&gt;VLOOKUP(K345, Criterios!$A$81:$B$120, 2, FALSE)), "División no coincide con Categoría", ""))), IF(OR(L345="", L345=""), "[Aviso] Género no capturado ()", IF(ISNA(MATCH(L345, Criterios!$B$123:$B$127, 0)), "Género no válido", "")), IF(OR(N345="", N345=""), "[Aviso] Temporada no capturada ()", IF(ISNA(MATCH(N345, Criterios!$C$123:$C$128, 0)), "Temporada no válida", "")), IF(OR(O345="", O345=""), "[Aviso] Ciclo de vida no capturado ()", IF(ISNA(MATCH(O345, Criterios!$D$123:$D$124, 0)), "Ciclo de vida no válido", ""))))</f>
        <v/>
      </c>
      <c r="AC345" s="56" t="n"/>
      <c r="AD345" s="51" t="n">
        <v>6</v>
      </c>
      <c r="AE345" s="156" t="n"/>
      <c r="AF345" s="51" t="n">
        <v>6</v>
      </c>
      <c r="AG345" s="156" t="inlineStr">
        <is>
          <t>Nuevo – NetSuite con existencia</t>
        </is>
      </c>
      <c r="AH34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5" s="156" t="inlineStr">
        <is>
          <t>No</t>
        </is>
      </c>
      <c r="AJ345" s="156" t="n"/>
      <c r="AK345" s="155" t="inlineStr">
        <is>
          <t>G1522_Extraccion_Articulos_NetSuite_2026-09-30.xlsx: fila 43766</t>
        </is>
      </c>
      <c r="AL345" s="58" t="n"/>
      <c r="AM345" s="58" t="n"/>
      <c r="AN345" s="155" t="n"/>
      <c r="AO345" s="59" t="n"/>
      <c r="AP345" s="59" t="n"/>
      <c r="AQ345" s="59" t="n"/>
      <c r="AR345" s="155" t="n"/>
    </row>
    <row r="346">
      <c r="A346" s="50" t="inlineStr">
        <is>
          <t>5056658713781</t>
        </is>
      </c>
      <c r="B346" s="51" t="inlineStr">
        <is>
          <t>91012</t>
        </is>
      </c>
      <c r="C346" s="156" t="inlineStr">
        <is>
          <t>REFLO</t>
        </is>
      </c>
      <c r="D346" s="156" t="n"/>
      <c r="E346" s="156" t="n"/>
      <c r="F346" s="156" t="n"/>
      <c r="G346" s="156" t="n"/>
      <c r="H346" s="156" t="inlineStr">
        <is>
          <t>REFLO</t>
        </is>
      </c>
      <c r="I346" s="156" t="n"/>
      <c r="J346" s="156" t="n"/>
      <c r="K346" s="156" t="n"/>
      <c r="L346" s="156" t="n"/>
      <c r="M346" s="156" t="n"/>
      <c r="N346" s="156" t="n"/>
      <c r="O346" s="156" t="n"/>
      <c r="P346" s="156" t="n"/>
      <c r="Q346" s="156" t="n"/>
      <c r="R346" s="156" t="n"/>
      <c r="S346" s="156" t="n"/>
      <c r="T346" s="156" t="n"/>
      <c r="U346" s="156" t="n"/>
      <c r="V346" s="156" t="inlineStr">
        <is>
          <t>PZS</t>
        </is>
      </c>
      <c r="W346" s="51" t="inlineStr">
        <is>
          <t>53101500</t>
        </is>
      </c>
      <c r="X346" s="156" t="n"/>
      <c r="Y346" s="54" t="n">
        <v>22.75</v>
      </c>
      <c r="Z346" s="54" t="n">
        <v>1649</v>
      </c>
      <c r="AA346" s="55">
        <f>IF(AND(A346="", B346="", E346=""), "", IF(AB346="", "Válido", IF((LEN(AB346)-LEN(SUBSTITUTE(AB346,"; ","")))/2+1&gt;(LEN(AB346)-LEN(SUBSTITUTE(AB346,"[Aviso]","")))/7, "Con Incidencias", "Válido")))</f>
        <v/>
      </c>
      <c r="AB346" s="56">
        <f>IF(AND(A346="", B346="", E346=""), "", TEXTJOIN("; ", TRUE, IF(OR(TRIM(A346&amp;"")="", ISNUMBER(SEARCH("FALTA", A346))), "UPC faltante/inválido", ""), IF(AND(A346&lt;&gt;"", IFERROR(_xlfn.XMATCH(A346,$A$2:$A$653,0,1)&lt;&gt;_xlfn.XMATCH(A346,$A$2:$A$653,0,-1),FALSE)), "Código de barras duplicado", ""), IF(AND(E346&lt;&gt;"", COUNTIF($E$2:$E$653, E346)&gt;1), "SKU duplicado", ""), IF(OR(J346="", J346=""), "[Aviso] División no capturada ()", IF(ISNA(MATCH(J346, Criterios!$A$123:$A$126, 0)), "División no válida", "")), IF(OR(K346="", K346=""), "[Aviso] Categoría no capturada ()", IF(ISNA(MATCH(K346, Criterios!$A$81:$A$120, 0)), "Categoría no válida", IF(AND(J346&lt;&gt;"", J346&lt;&gt;"", J346&lt;&gt;VLOOKUP(K346, Criterios!$A$81:$B$120, 2, FALSE)), "División no coincide con Categoría", ""))), IF(OR(L346="", L346=""), "[Aviso] Género no capturado ()", IF(ISNA(MATCH(L346, Criterios!$B$123:$B$127, 0)), "Género no válido", "")), IF(OR(N346="", N346=""), "[Aviso] Temporada no capturada ()", IF(ISNA(MATCH(N346, Criterios!$C$123:$C$128, 0)), "Temporada no válida", "")), IF(OR(O346="", O346=""), "[Aviso] Ciclo de vida no capturado ()", IF(ISNA(MATCH(O346, Criterios!$D$123:$D$124, 0)), "Ciclo de vida no válido", ""))))</f>
        <v/>
      </c>
      <c r="AC346" s="56" t="n"/>
      <c r="AD346" s="51" t="n">
        <v>4</v>
      </c>
      <c r="AE346" s="156" t="n"/>
      <c r="AF346" s="51" t="n">
        <v>4</v>
      </c>
      <c r="AG346" s="156" t="inlineStr">
        <is>
          <t>Nuevo – NetSuite con existencia</t>
        </is>
      </c>
      <c r="AH34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6" s="156" t="inlineStr">
        <is>
          <t>No</t>
        </is>
      </c>
      <c r="AJ346" s="156" t="n"/>
      <c r="AK346" s="155" t="inlineStr">
        <is>
          <t>G1522_Extraccion_Articulos_NetSuite_2026-09-30.xlsx: fila 43767</t>
        </is>
      </c>
      <c r="AL346" s="58" t="n"/>
      <c r="AM346" s="58" t="n"/>
      <c r="AN346" s="155" t="n"/>
      <c r="AO346" s="59" t="n"/>
      <c r="AP346" s="59" t="n"/>
      <c r="AQ346" s="59" t="n"/>
      <c r="AR346" s="155" t="n"/>
    </row>
    <row r="347">
      <c r="A347" s="50" t="inlineStr">
        <is>
          <t>5056658711268</t>
        </is>
      </c>
      <c r="B347" s="51" t="inlineStr">
        <is>
          <t>91013</t>
        </is>
      </c>
      <c r="C347" s="156" t="inlineStr">
        <is>
          <t>REFLO</t>
        </is>
      </c>
      <c r="D347" s="156" t="n"/>
      <c r="E347" s="156" t="n"/>
      <c r="F347" s="156" t="n"/>
      <c r="G347" s="156" t="n"/>
      <c r="H347" s="156" t="inlineStr">
        <is>
          <t>REFLO</t>
        </is>
      </c>
      <c r="I347" s="156" t="n"/>
      <c r="J347" s="156" t="n"/>
      <c r="K347" s="156" t="n"/>
      <c r="L347" s="156" t="n"/>
      <c r="M347" s="156" t="n"/>
      <c r="N347" s="156" t="n"/>
      <c r="O347" s="156" t="n"/>
      <c r="P347" s="156" t="n"/>
      <c r="Q347" s="156" t="n"/>
      <c r="R347" s="156" t="n"/>
      <c r="S347" s="156" t="n"/>
      <c r="T347" s="156" t="n"/>
      <c r="U347" s="156" t="n"/>
      <c r="V347" s="156" t="inlineStr">
        <is>
          <t>PZS</t>
        </is>
      </c>
      <c r="W347" s="51" t="inlineStr">
        <is>
          <t>53101500</t>
        </is>
      </c>
      <c r="X347" s="156" t="n"/>
      <c r="Y347" s="54" t="n">
        <v>19.5</v>
      </c>
      <c r="Z347" s="54" t="n">
        <v>1449</v>
      </c>
      <c r="AA347" s="55">
        <f>IF(AND(A347="", B347="", E347=""), "", IF(AB347="", "Válido", IF((LEN(AB347)-LEN(SUBSTITUTE(AB347,"; ","")))/2+1&gt;(LEN(AB347)-LEN(SUBSTITUTE(AB347,"[Aviso]","")))/7, "Con Incidencias", "Válido")))</f>
        <v/>
      </c>
      <c r="AB347" s="56">
        <f>IF(AND(A347="", B347="", E347=""), "", TEXTJOIN("; ", TRUE, IF(OR(TRIM(A347&amp;"")="", ISNUMBER(SEARCH("FALTA", A347))), "UPC faltante/inválido", ""), IF(AND(A347&lt;&gt;"", IFERROR(_xlfn.XMATCH(A347,$A$2:$A$653,0,1)&lt;&gt;_xlfn.XMATCH(A347,$A$2:$A$653,0,-1),FALSE)), "Código de barras duplicado", ""), IF(AND(E347&lt;&gt;"", COUNTIF($E$2:$E$653, E347)&gt;1), "SKU duplicado", ""), IF(OR(J347="", J347=""), "[Aviso] División no capturada ()", IF(ISNA(MATCH(J347, Criterios!$A$123:$A$126, 0)), "División no válida", "")), IF(OR(K347="", K347=""), "[Aviso] Categoría no capturada ()", IF(ISNA(MATCH(K347, Criterios!$A$81:$A$120, 0)), "Categoría no válida", IF(AND(J347&lt;&gt;"", J347&lt;&gt;"", J347&lt;&gt;VLOOKUP(K347, Criterios!$A$81:$B$120, 2, FALSE)), "División no coincide con Categoría", ""))), IF(OR(L347="", L347=""), "[Aviso] Género no capturado ()", IF(ISNA(MATCH(L347, Criterios!$B$123:$B$127, 0)), "Género no válido", "")), IF(OR(N347="", N347=""), "[Aviso] Temporada no capturada ()", IF(ISNA(MATCH(N347, Criterios!$C$123:$C$128, 0)), "Temporada no válida", "")), IF(OR(O347="", O347=""), "[Aviso] Ciclo de vida no capturado ()", IF(ISNA(MATCH(O347, Criterios!$D$123:$D$124, 0)), "Ciclo de vida no válido", ""))))</f>
        <v/>
      </c>
      <c r="AC347" s="56" t="n"/>
      <c r="AD347" s="51" t="n">
        <v>1</v>
      </c>
      <c r="AE347" s="156" t="n"/>
      <c r="AF347" s="51" t="n">
        <v>1</v>
      </c>
      <c r="AG347" s="156" t="inlineStr">
        <is>
          <t>Nuevo – NetSuite con existencia</t>
        </is>
      </c>
      <c r="AH34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47" s="156" t="inlineStr">
        <is>
          <t>No</t>
        </is>
      </c>
      <c r="AJ347" s="156" t="n"/>
      <c r="AK347" s="155" t="inlineStr">
        <is>
          <t>G1522_Extraccion_Articulos_NetSuite_2026-09-30.xlsx: fila 43768</t>
        </is>
      </c>
      <c r="AL347" s="58" t="n"/>
      <c r="AM347" s="58" t="n"/>
      <c r="AN347" s="155" t="n"/>
      <c r="AO347" s="59" t="n"/>
      <c r="AP347" s="59" t="n"/>
      <c r="AQ347" s="59" t="n"/>
      <c r="AR347" s="155" t="n"/>
    </row>
    <row r="348">
      <c r="A348" s="50" t="inlineStr">
        <is>
          <t>5056658711275</t>
        </is>
      </c>
      <c r="B348" s="51" t="inlineStr">
        <is>
          <t>91014</t>
        </is>
      </c>
      <c r="C348" s="156" t="inlineStr">
        <is>
          <t>REFLO</t>
        </is>
      </c>
      <c r="D348" s="156" t="n"/>
      <c r="E348" s="156" t="n"/>
      <c r="F348" s="156" t="n"/>
      <c r="G348" s="156" t="n"/>
      <c r="H348" s="156" t="inlineStr">
        <is>
          <t>REFLO</t>
        </is>
      </c>
      <c r="I348" s="156" t="n"/>
      <c r="J348" s="156" t="n"/>
      <c r="K348" s="156" t="n"/>
      <c r="L348" s="156" t="n"/>
      <c r="M348" s="156" t="n"/>
      <c r="N348" s="156" t="n"/>
      <c r="O348" s="156" t="n"/>
      <c r="P348" s="156" t="n"/>
      <c r="Q348" s="156" t="n"/>
      <c r="R348" s="156" t="n"/>
      <c r="S348" s="156" t="n"/>
      <c r="T348" s="156" t="n"/>
      <c r="U348" s="156" t="n"/>
      <c r="V348" s="156" t="inlineStr">
        <is>
          <t>PZS</t>
        </is>
      </c>
      <c r="W348" s="51" t="inlineStr">
        <is>
          <t>53101500</t>
        </is>
      </c>
      <c r="X348" s="156" t="n"/>
      <c r="Y348" s="54" t="n">
        <v>19.5</v>
      </c>
      <c r="Z348" s="54" t="n">
        <v>1449</v>
      </c>
      <c r="AA348" s="55">
        <f>IF(AND(A348="", B348="", E348=""), "", IF(AB348="", "Válido", IF((LEN(AB348)-LEN(SUBSTITUTE(AB348,"; ","")))/2+1&gt;(LEN(AB348)-LEN(SUBSTITUTE(AB348,"[Aviso]","")))/7, "Con Incidencias", "Válido")))</f>
        <v/>
      </c>
      <c r="AB348" s="56">
        <f>IF(AND(A348="", B348="", E348=""), "", TEXTJOIN("; ", TRUE, IF(OR(TRIM(A348&amp;"")="", ISNUMBER(SEARCH("FALTA", A348))), "UPC faltante/inválido", ""), IF(AND(A348&lt;&gt;"", IFERROR(_xlfn.XMATCH(A348,$A$2:$A$653,0,1)&lt;&gt;_xlfn.XMATCH(A348,$A$2:$A$653,0,-1),FALSE)), "Código de barras duplicado", ""), IF(AND(E348&lt;&gt;"", COUNTIF($E$2:$E$653, E348)&gt;1), "SKU duplicado", ""), IF(OR(J348="", J348=""), "[Aviso] División no capturada ()", IF(ISNA(MATCH(J348, Criterios!$A$123:$A$126, 0)), "División no válida", "")), IF(OR(K348="", K348=""), "[Aviso] Categoría no capturada ()", IF(ISNA(MATCH(K348, Criterios!$A$81:$A$120, 0)), "Categoría no válida", IF(AND(J348&lt;&gt;"", J348&lt;&gt;"", J348&lt;&gt;VLOOKUP(K348, Criterios!$A$81:$B$120, 2, FALSE)), "División no coincide con Categoría", ""))), IF(OR(L348="", L348=""), "[Aviso] Género no capturado ()", IF(ISNA(MATCH(L348, Criterios!$B$123:$B$127, 0)), "Género no válido", "")), IF(OR(N348="", N348=""), "[Aviso] Temporada no capturada ()", IF(ISNA(MATCH(N348, Criterios!$C$123:$C$128, 0)), "Temporada no válida", "")), IF(OR(O348="", O348=""), "[Aviso] Ciclo de vida no capturado ()", IF(ISNA(MATCH(O348, Criterios!$D$123:$D$124, 0)), "Ciclo de vida no válido", ""))))</f>
        <v/>
      </c>
      <c r="AC348" s="56" t="n"/>
      <c r="AD348" s="51" t="n">
        <v>1</v>
      </c>
      <c r="AE348" s="156" t="n"/>
      <c r="AF348" s="51" t="n">
        <v>1</v>
      </c>
      <c r="AG348" s="156" t="inlineStr">
        <is>
          <t>Nuevo – NetSuite con existencia</t>
        </is>
      </c>
      <c r="AH34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48" s="156" t="inlineStr">
        <is>
          <t>No</t>
        </is>
      </c>
      <c r="AJ348" s="156" t="n"/>
      <c r="AK348" s="155" t="inlineStr">
        <is>
          <t>G1522_Extraccion_Articulos_NetSuite_2026-09-30.xlsx: fila 43769</t>
        </is>
      </c>
      <c r="AL348" s="58" t="n"/>
      <c r="AM348" s="58" t="n"/>
      <c r="AN348" s="155" t="n"/>
      <c r="AO348" s="59" t="n"/>
      <c r="AP348" s="59" t="n"/>
      <c r="AQ348" s="59" t="n"/>
      <c r="AR348" s="155" t="n"/>
    </row>
    <row r="349">
      <c r="A349" s="50" t="inlineStr">
        <is>
          <t>5056658711282</t>
        </is>
      </c>
      <c r="B349" s="51" t="inlineStr">
        <is>
          <t>91015</t>
        </is>
      </c>
      <c r="C349" s="156" t="inlineStr">
        <is>
          <t>REFLO</t>
        </is>
      </c>
      <c r="D349" s="156" t="n"/>
      <c r="E349" s="156" t="n"/>
      <c r="F349" s="156" t="n"/>
      <c r="G349" s="156" t="n"/>
      <c r="H349" s="156" t="inlineStr">
        <is>
          <t>REFLO</t>
        </is>
      </c>
      <c r="I349" s="156" t="n"/>
      <c r="J349" s="156" t="n"/>
      <c r="K349" s="156" t="n"/>
      <c r="L349" s="156" t="n"/>
      <c r="M349" s="156" t="n"/>
      <c r="N349" s="156" t="n"/>
      <c r="O349" s="156" t="n"/>
      <c r="P349" s="156" t="n"/>
      <c r="Q349" s="156" t="n"/>
      <c r="R349" s="156" t="n"/>
      <c r="S349" s="156" t="n"/>
      <c r="T349" s="156" t="n"/>
      <c r="U349" s="156" t="n"/>
      <c r="V349" s="156" t="inlineStr">
        <is>
          <t>PZS</t>
        </is>
      </c>
      <c r="W349" s="51" t="inlineStr">
        <is>
          <t>53101500</t>
        </is>
      </c>
      <c r="X349" s="156" t="n"/>
      <c r="Y349" s="54" t="n">
        <v>19.5</v>
      </c>
      <c r="Z349" s="54" t="n">
        <v>1449</v>
      </c>
      <c r="AA349" s="55">
        <f>IF(AND(A349="", B349="", E349=""), "", IF(AB349="", "Válido", IF((LEN(AB349)-LEN(SUBSTITUTE(AB349,"; ","")))/2+1&gt;(LEN(AB349)-LEN(SUBSTITUTE(AB349,"[Aviso]","")))/7, "Con Incidencias", "Válido")))</f>
        <v/>
      </c>
      <c r="AB349" s="56">
        <f>IF(AND(A349="", B349="", E349=""), "", TEXTJOIN("; ", TRUE, IF(OR(TRIM(A349&amp;"")="", ISNUMBER(SEARCH("FALTA", A349))), "UPC faltante/inválido", ""), IF(AND(A349&lt;&gt;"", IFERROR(_xlfn.XMATCH(A349,$A$2:$A$653,0,1)&lt;&gt;_xlfn.XMATCH(A349,$A$2:$A$653,0,-1),FALSE)), "Código de barras duplicado", ""), IF(AND(E349&lt;&gt;"", COUNTIF($E$2:$E$653, E349)&gt;1), "SKU duplicado", ""), IF(OR(J349="", J349=""), "[Aviso] División no capturada ()", IF(ISNA(MATCH(J349, Criterios!$A$123:$A$126, 0)), "División no válida", "")), IF(OR(K349="", K349=""), "[Aviso] Categoría no capturada ()", IF(ISNA(MATCH(K349, Criterios!$A$81:$A$120, 0)), "Categoría no válida", IF(AND(J349&lt;&gt;"", J349&lt;&gt;"", J349&lt;&gt;VLOOKUP(K349, Criterios!$A$81:$B$120, 2, FALSE)), "División no coincide con Categoría", ""))), IF(OR(L349="", L349=""), "[Aviso] Género no capturado ()", IF(ISNA(MATCH(L349, Criterios!$B$123:$B$127, 0)), "Género no válido", "")), IF(OR(N349="", N349=""), "[Aviso] Temporada no capturada ()", IF(ISNA(MATCH(N349, Criterios!$C$123:$C$128, 0)), "Temporada no válida", "")), IF(OR(O349="", O349=""), "[Aviso] Ciclo de vida no capturado ()", IF(ISNA(MATCH(O349, Criterios!$D$123:$D$124, 0)), "Ciclo de vida no válido", ""))))</f>
        <v/>
      </c>
      <c r="AC349" s="56" t="n"/>
      <c r="AD349" s="51" t="n">
        <v>12</v>
      </c>
      <c r="AE349" s="156" t="n"/>
      <c r="AF349" s="51" t="n">
        <v>12</v>
      </c>
      <c r="AG349" s="156" t="inlineStr">
        <is>
          <t>Nuevo – NetSuite con existencia</t>
        </is>
      </c>
      <c r="AH34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49" s="156" t="inlineStr">
        <is>
          <t>No</t>
        </is>
      </c>
      <c r="AJ349" s="156" t="n"/>
      <c r="AK349" s="155" t="inlineStr">
        <is>
          <t>G1522_Extraccion_Articulos_NetSuite_2026-09-30.xlsx: fila 43770</t>
        </is>
      </c>
      <c r="AL349" s="58" t="n"/>
      <c r="AM349" s="58" t="n"/>
      <c r="AN349" s="155" t="n"/>
      <c r="AO349" s="59" t="n"/>
      <c r="AP349" s="59" t="n"/>
      <c r="AQ349" s="59" t="n"/>
      <c r="AR349" s="155" t="n"/>
    </row>
    <row r="350">
      <c r="A350" s="50" t="inlineStr">
        <is>
          <t>5056658711299</t>
        </is>
      </c>
      <c r="B350" s="51" t="inlineStr">
        <is>
          <t>91016</t>
        </is>
      </c>
      <c r="C350" s="156" t="inlineStr">
        <is>
          <t>REFLO</t>
        </is>
      </c>
      <c r="D350" s="156" t="n"/>
      <c r="E350" s="156" t="n"/>
      <c r="F350" s="156" t="n"/>
      <c r="G350" s="156" t="n"/>
      <c r="H350" s="156" t="inlineStr">
        <is>
          <t>REFLO</t>
        </is>
      </c>
      <c r="I350" s="156" t="n"/>
      <c r="J350" s="156" t="n"/>
      <c r="K350" s="156" t="n"/>
      <c r="L350" s="156" t="n"/>
      <c r="M350" s="156" t="n"/>
      <c r="N350" s="156" t="n"/>
      <c r="O350" s="156" t="n"/>
      <c r="P350" s="156" t="n"/>
      <c r="Q350" s="156" t="n"/>
      <c r="R350" s="156" t="n"/>
      <c r="S350" s="156" t="n"/>
      <c r="T350" s="156" t="n"/>
      <c r="U350" s="156" t="n"/>
      <c r="V350" s="156" t="inlineStr">
        <is>
          <t>PZS</t>
        </is>
      </c>
      <c r="W350" s="51" t="inlineStr">
        <is>
          <t>53101500</t>
        </is>
      </c>
      <c r="X350" s="156" t="n"/>
      <c r="Y350" s="54" t="n">
        <v>19.5</v>
      </c>
      <c r="Z350" s="54" t="n">
        <v>1449</v>
      </c>
      <c r="AA350" s="55">
        <f>IF(AND(A350="", B350="", E350=""), "", IF(AB350="", "Válido", IF((LEN(AB350)-LEN(SUBSTITUTE(AB350,"; ","")))/2+1&gt;(LEN(AB350)-LEN(SUBSTITUTE(AB350,"[Aviso]","")))/7, "Con Incidencias", "Válido")))</f>
        <v/>
      </c>
      <c r="AB350" s="56">
        <f>IF(AND(A350="", B350="", E350=""), "", TEXTJOIN("; ", TRUE, IF(OR(TRIM(A350&amp;"")="", ISNUMBER(SEARCH("FALTA", A350))), "UPC faltante/inválido", ""), IF(AND(A350&lt;&gt;"", IFERROR(_xlfn.XMATCH(A350,$A$2:$A$653,0,1)&lt;&gt;_xlfn.XMATCH(A350,$A$2:$A$653,0,-1),FALSE)), "Código de barras duplicado", ""), IF(AND(E350&lt;&gt;"", COUNTIF($E$2:$E$653, E350)&gt;1), "SKU duplicado", ""), IF(OR(J350="", J350=""), "[Aviso] División no capturada ()", IF(ISNA(MATCH(J350, Criterios!$A$123:$A$126, 0)), "División no válida", "")), IF(OR(K350="", K350=""), "[Aviso] Categoría no capturada ()", IF(ISNA(MATCH(K350, Criterios!$A$81:$A$120, 0)), "Categoría no válida", IF(AND(J350&lt;&gt;"", J350&lt;&gt;"", J350&lt;&gt;VLOOKUP(K350, Criterios!$A$81:$B$120, 2, FALSE)), "División no coincide con Categoría", ""))), IF(OR(L350="", L350=""), "[Aviso] Género no capturado ()", IF(ISNA(MATCH(L350, Criterios!$B$123:$B$127, 0)), "Género no válido", "")), IF(OR(N350="", N350=""), "[Aviso] Temporada no capturada ()", IF(ISNA(MATCH(N350, Criterios!$C$123:$C$128, 0)), "Temporada no válida", "")), IF(OR(O350="", O350=""), "[Aviso] Ciclo de vida no capturado ()", IF(ISNA(MATCH(O350, Criterios!$D$123:$D$124, 0)), "Ciclo de vida no válido", ""))))</f>
        <v/>
      </c>
      <c r="AC350" s="56" t="n"/>
      <c r="AD350" s="51" t="n">
        <v>13</v>
      </c>
      <c r="AE350" s="156" t="n"/>
      <c r="AF350" s="51" t="n">
        <v>13</v>
      </c>
      <c r="AG350" s="156" t="inlineStr">
        <is>
          <t>Nuevo – NetSuite con existencia</t>
        </is>
      </c>
      <c r="AH35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0" s="156" t="inlineStr">
        <is>
          <t>No</t>
        </is>
      </c>
      <c r="AJ350" s="156" t="n"/>
      <c r="AK350" s="155" t="inlineStr">
        <is>
          <t>G1522_Extraccion_Articulos_NetSuite_2026-09-30.xlsx: fila 43771</t>
        </is>
      </c>
      <c r="AL350" s="58" t="n"/>
      <c r="AM350" s="58" t="n"/>
      <c r="AN350" s="155" t="n"/>
      <c r="AO350" s="59" t="n"/>
      <c r="AP350" s="59" t="n"/>
      <c r="AQ350" s="59" t="n"/>
      <c r="AR350" s="155" t="n"/>
    </row>
    <row r="351">
      <c r="A351" s="50" t="inlineStr">
        <is>
          <t>5056658711305</t>
        </is>
      </c>
      <c r="B351" s="51" t="inlineStr">
        <is>
          <t>91017</t>
        </is>
      </c>
      <c r="C351" s="156" t="inlineStr">
        <is>
          <t>REFLO</t>
        </is>
      </c>
      <c r="D351" s="156" t="n"/>
      <c r="E351" s="156" t="n"/>
      <c r="F351" s="156" t="n"/>
      <c r="G351" s="156" t="n"/>
      <c r="H351" s="156" t="inlineStr">
        <is>
          <t>REFLO</t>
        </is>
      </c>
      <c r="I351" s="156" t="n"/>
      <c r="J351" s="156" t="n"/>
      <c r="K351" s="156" t="n"/>
      <c r="L351" s="156" t="n"/>
      <c r="M351" s="156" t="n"/>
      <c r="N351" s="156" t="n"/>
      <c r="O351" s="156" t="n"/>
      <c r="P351" s="156" t="n"/>
      <c r="Q351" s="156" t="n"/>
      <c r="R351" s="156" t="n"/>
      <c r="S351" s="156" t="n"/>
      <c r="T351" s="156" t="n"/>
      <c r="U351" s="156" t="n"/>
      <c r="V351" s="156" t="inlineStr">
        <is>
          <t>PZS</t>
        </is>
      </c>
      <c r="W351" s="51" t="inlineStr">
        <is>
          <t>53101500</t>
        </is>
      </c>
      <c r="X351" s="156" t="n"/>
      <c r="Y351" s="54" t="n">
        <v>19.5</v>
      </c>
      <c r="Z351" s="54" t="n">
        <v>1449</v>
      </c>
      <c r="AA351" s="55">
        <f>IF(AND(A351="", B351="", E351=""), "", IF(AB351="", "Válido", IF((LEN(AB351)-LEN(SUBSTITUTE(AB351,"; ","")))/2+1&gt;(LEN(AB351)-LEN(SUBSTITUTE(AB351,"[Aviso]","")))/7, "Con Incidencias", "Válido")))</f>
        <v/>
      </c>
      <c r="AB351" s="56">
        <f>IF(AND(A351="", B351="", E351=""), "", TEXTJOIN("; ", TRUE, IF(OR(TRIM(A351&amp;"")="", ISNUMBER(SEARCH("FALTA", A351))), "UPC faltante/inválido", ""), IF(AND(A351&lt;&gt;"", IFERROR(_xlfn.XMATCH(A351,$A$2:$A$653,0,1)&lt;&gt;_xlfn.XMATCH(A351,$A$2:$A$653,0,-1),FALSE)), "Código de barras duplicado", ""), IF(AND(E351&lt;&gt;"", COUNTIF($E$2:$E$653, E351)&gt;1), "SKU duplicado", ""), IF(OR(J351="", J351=""), "[Aviso] División no capturada ()", IF(ISNA(MATCH(J351, Criterios!$A$123:$A$126, 0)), "División no válida", "")), IF(OR(K351="", K351=""), "[Aviso] Categoría no capturada ()", IF(ISNA(MATCH(K351, Criterios!$A$81:$A$120, 0)), "Categoría no válida", IF(AND(J351&lt;&gt;"", J351&lt;&gt;"", J351&lt;&gt;VLOOKUP(K351, Criterios!$A$81:$B$120, 2, FALSE)), "División no coincide con Categoría", ""))), IF(OR(L351="", L351=""), "[Aviso] Género no capturado ()", IF(ISNA(MATCH(L351, Criterios!$B$123:$B$127, 0)), "Género no válido", "")), IF(OR(N351="", N351=""), "[Aviso] Temporada no capturada ()", IF(ISNA(MATCH(N351, Criterios!$C$123:$C$128, 0)), "Temporada no válida", "")), IF(OR(O351="", O351=""), "[Aviso] Ciclo de vida no capturado ()", IF(ISNA(MATCH(O351, Criterios!$D$123:$D$124, 0)), "Ciclo de vida no válido", ""))))</f>
        <v/>
      </c>
      <c r="AC351" s="56" t="n"/>
      <c r="AD351" s="51" t="n">
        <v>8</v>
      </c>
      <c r="AE351" s="156" t="n"/>
      <c r="AF351" s="51" t="n">
        <v>8</v>
      </c>
      <c r="AG351" s="156" t="inlineStr">
        <is>
          <t>Nuevo – NetSuite con existencia</t>
        </is>
      </c>
      <c r="AH35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1" s="156" t="inlineStr">
        <is>
          <t>No</t>
        </is>
      </c>
      <c r="AJ351" s="156" t="n"/>
      <c r="AK351" s="155" t="inlineStr">
        <is>
          <t>G1522_Extraccion_Articulos_NetSuite_2026-09-30.xlsx: fila 43772</t>
        </is>
      </c>
      <c r="AL351" s="58" t="n"/>
      <c r="AM351" s="58" t="n"/>
      <c r="AN351" s="155" t="n"/>
      <c r="AO351" s="59" t="n"/>
      <c r="AP351" s="59" t="n"/>
      <c r="AQ351" s="59" t="n"/>
      <c r="AR351" s="155" t="n"/>
    </row>
    <row r="352">
      <c r="A352" s="50" t="inlineStr">
        <is>
          <t>5056658713798</t>
        </is>
      </c>
      <c r="B352" s="51" t="inlineStr">
        <is>
          <t>91018</t>
        </is>
      </c>
      <c r="C352" s="156" t="inlineStr">
        <is>
          <t>REFLO</t>
        </is>
      </c>
      <c r="D352" s="156" t="n"/>
      <c r="E352" s="156" t="n"/>
      <c r="F352" s="156" t="n"/>
      <c r="G352" s="156" t="n"/>
      <c r="H352" s="156" t="inlineStr">
        <is>
          <t>REFLO</t>
        </is>
      </c>
      <c r="I352" s="156" t="n"/>
      <c r="J352" s="156" t="n"/>
      <c r="K352" s="156" t="n"/>
      <c r="L352" s="156" t="n"/>
      <c r="M352" s="156" t="n"/>
      <c r="N352" s="156" t="n"/>
      <c r="O352" s="156" t="n"/>
      <c r="P352" s="156" t="n"/>
      <c r="Q352" s="156" t="n"/>
      <c r="R352" s="156" t="n"/>
      <c r="S352" s="156" t="n"/>
      <c r="T352" s="156" t="n"/>
      <c r="U352" s="156" t="n"/>
      <c r="V352" s="156" t="inlineStr">
        <is>
          <t>PZS</t>
        </is>
      </c>
      <c r="W352" s="51" t="inlineStr">
        <is>
          <t>53101500</t>
        </is>
      </c>
      <c r="X352" s="156" t="n"/>
      <c r="Y352" s="54" t="n">
        <v>19.5</v>
      </c>
      <c r="Z352" s="54" t="n">
        <v>1449</v>
      </c>
      <c r="AA352" s="55">
        <f>IF(AND(A352="", B352="", E352=""), "", IF(AB352="", "Válido", IF((LEN(AB352)-LEN(SUBSTITUTE(AB352,"; ","")))/2+1&gt;(LEN(AB352)-LEN(SUBSTITUTE(AB352,"[Aviso]","")))/7, "Con Incidencias", "Válido")))</f>
        <v/>
      </c>
      <c r="AB352" s="56">
        <f>IF(AND(A352="", B352="", E352=""), "", TEXTJOIN("; ", TRUE, IF(OR(TRIM(A352&amp;"")="", ISNUMBER(SEARCH("FALTA", A352))), "UPC faltante/inválido", ""), IF(AND(A352&lt;&gt;"", IFERROR(_xlfn.XMATCH(A352,$A$2:$A$653,0,1)&lt;&gt;_xlfn.XMATCH(A352,$A$2:$A$653,0,-1),FALSE)), "Código de barras duplicado", ""), IF(AND(E352&lt;&gt;"", COUNTIF($E$2:$E$653, E352)&gt;1), "SKU duplicado", ""), IF(OR(J352="", J352=""), "[Aviso] División no capturada ()", IF(ISNA(MATCH(J352, Criterios!$A$123:$A$126, 0)), "División no válida", "")), IF(OR(K352="", K352=""), "[Aviso] Categoría no capturada ()", IF(ISNA(MATCH(K352, Criterios!$A$81:$A$120, 0)), "Categoría no válida", IF(AND(J352&lt;&gt;"", J352&lt;&gt;"", J352&lt;&gt;VLOOKUP(K352, Criterios!$A$81:$B$120, 2, FALSE)), "División no coincide con Categoría", ""))), IF(OR(L352="", L352=""), "[Aviso] Género no capturado ()", IF(ISNA(MATCH(L352, Criterios!$B$123:$B$127, 0)), "Género no válido", "")), IF(OR(N352="", N352=""), "[Aviso] Temporada no capturada ()", IF(ISNA(MATCH(N352, Criterios!$C$123:$C$128, 0)), "Temporada no válida", "")), IF(OR(O352="", O352=""), "[Aviso] Ciclo de vida no capturado ()", IF(ISNA(MATCH(O352, Criterios!$D$123:$D$124, 0)), "Ciclo de vida no válido", ""))))</f>
        <v/>
      </c>
      <c r="AC352" s="56" t="n"/>
      <c r="AD352" s="51" t="n">
        <v>1</v>
      </c>
      <c r="AE352" s="156" t="n"/>
      <c r="AF352" s="51" t="n">
        <v>1</v>
      </c>
      <c r="AG352" s="156" t="inlineStr">
        <is>
          <t>Nuevo – NetSuite con existencia</t>
        </is>
      </c>
      <c r="AH35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2" s="156" t="inlineStr">
        <is>
          <t>No</t>
        </is>
      </c>
      <c r="AJ352" s="156" t="n"/>
      <c r="AK352" s="155" t="inlineStr">
        <is>
          <t>G1522_Extraccion_Articulos_NetSuite_2026-09-30.xlsx: fila 43773</t>
        </is>
      </c>
      <c r="AL352" s="58" t="n"/>
      <c r="AM352" s="58" t="n"/>
      <c r="AN352" s="155" t="n"/>
      <c r="AO352" s="59" t="n"/>
      <c r="AP352" s="59" t="n"/>
      <c r="AQ352" s="59" t="n"/>
      <c r="AR352" s="155" t="n"/>
    </row>
    <row r="353">
      <c r="A353" s="50" t="inlineStr">
        <is>
          <t>5056658711329</t>
        </is>
      </c>
      <c r="B353" s="51" t="inlineStr">
        <is>
          <t>91019</t>
        </is>
      </c>
      <c r="C353" s="156" t="inlineStr">
        <is>
          <t>REFLO</t>
        </is>
      </c>
      <c r="D353" s="156" t="n"/>
      <c r="E353" s="156" t="n"/>
      <c r="F353" s="156" t="n"/>
      <c r="G353" s="156" t="n"/>
      <c r="H353" s="156" t="inlineStr">
        <is>
          <t>REFLO</t>
        </is>
      </c>
      <c r="I353" s="156" t="n"/>
      <c r="J353" s="156" t="n"/>
      <c r="K353" s="156" t="n"/>
      <c r="L353" s="156" t="n"/>
      <c r="M353" s="156" t="n"/>
      <c r="N353" s="156" t="n"/>
      <c r="O353" s="156" t="n"/>
      <c r="P353" s="156" t="n"/>
      <c r="Q353" s="156" t="n"/>
      <c r="R353" s="156" t="n"/>
      <c r="S353" s="156" t="n"/>
      <c r="T353" s="156" t="n"/>
      <c r="U353" s="156" t="n"/>
      <c r="V353" s="156" t="inlineStr">
        <is>
          <t>PZS</t>
        </is>
      </c>
      <c r="W353" s="51" t="inlineStr">
        <is>
          <t>53101500</t>
        </is>
      </c>
      <c r="X353" s="156" t="n"/>
      <c r="Y353" s="54" t="n">
        <v>19.5</v>
      </c>
      <c r="Z353" s="54" t="n">
        <v>1449</v>
      </c>
      <c r="AA353" s="55">
        <f>IF(AND(A353="", B353="", E353=""), "", IF(AB353="", "Válido", IF((LEN(AB353)-LEN(SUBSTITUTE(AB353,"; ","")))/2+1&gt;(LEN(AB353)-LEN(SUBSTITUTE(AB353,"[Aviso]","")))/7, "Con Incidencias", "Válido")))</f>
        <v/>
      </c>
      <c r="AB353" s="56">
        <f>IF(AND(A353="", B353="", E353=""), "", TEXTJOIN("; ", TRUE, IF(OR(TRIM(A353&amp;"")="", ISNUMBER(SEARCH("FALTA", A353))), "UPC faltante/inválido", ""), IF(AND(A353&lt;&gt;"", IFERROR(_xlfn.XMATCH(A353,$A$2:$A$653,0,1)&lt;&gt;_xlfn.XMATCH(A353,$A$2:$A$653,0,-1),FALSE)), "Código de barras duplicado", ""), IF(AND(E353&lt;&gt;"", COUNTIF($E$2:$E$653, E353)&gt;1), "SKU duplicado", ""), IF(OR(J353="", J353=""), "[Aviso] División no capturada ()", IF(ISNA(MATCH(J353, Criterios!$A$123:$A$126, 0)), "División no válida", "")), IF(OR(K353="", K353=""), "[Aviso] Categoría no capturada ()", IF(ISNA(MATCH(K353, Criterios!$A$81:$A$120, 0)), "Categoría no válida", IF(AND(J353&lt;&gt;"", J353&lt;&gt;"", J353&lt;&gt;VLOOKUP(K353, Criterios!$A$81:$B$120, 2, FALSE)), "División no coincide con Categoría", ""))), IF(OR(L353="", L353=""), "[Aviso] Género no capturado ()", IF(ISNA(MATCH(L353, Criterios!$B$123:$B$127, 0)), "Género no válido", "")), IF(OR(N353="", N353=""), "[Aviso] Temporada no capturada ()", IF(ISNA(MATCH(N353, Criterios!$C$123:$C$128, 0)), "Temporada no válida", "")), IF(OR(O353="", O353=""), "[Aviso] Ciclo de vida no capturado ()", IF(ISNA(MATCH(O353, Criterios!$D$123:$D$124, 0)), "Ciclo de vida no válido", ""))))</f>
        <v/>
      </c>
      <c r="AC353" s="56" t="n"/>
      <c r="AD353" s="51" t="n">
        <v>6</v>
      </c>
      <c r="AE353" s="156" t="n"/>
      <c r="AF353" s="51" t="n">
        <v>6</v>
      </c>
      <c r="AG353" s="156" t="inlineStr">
        <is>
          <t>Nuevo – NetSuite con existencia</t>
        </is>
      </c>
      <c r="AH35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3" s="156" t="inlineStr">
        <is>
          <t>No</t>
        </is>
      </c>
      <c r="AJ353" s="156" t="n"/>
      <c r="AK353" s="155" t="inlineStr">
        <is>
          <t>G1522_Extraccion_Articulos_NetSuite_2026-09-30.xlsx: fila 43774</t>
        </is>
      </c>
      <c r="AL353" s="58" t="n"/>
      <c r="AM353" s="58" t="n"/>
      <c r="AN353" s="155" t="n"/>
      <c r="AO353" s="59" t="n"/>
      <c r="AP353" s="59" t="n"/>
      <c r="AQ353" s="59" t="n"/>
      <c r="AR353" s="155" t="n"/>
    </row>
    <row r="354">
      <c r="A354" s="50" t="inlineStr">
        <is>
          <t>5056658711336</t>
        </is>
      </c>
      <c r="B354" s="51" t="inlineStr">
        <is>
          <t>91020</t>
        </is>
      </c>
      <c r="C354" s="156" t="inlineStr">
        <is>
          <t>REFLO</t>
        </is>
      </c>
      <c r="D354" s="156" t="n"/>
      <c r="E354" s="156" t="n"/>
      <c r="F354" s="156" t="n"/>
      <c r="G354" s="156" t="n"/>
      <c r="H354" s="156" t="inlineStr">
        <is>
          <t>REFLO</t>
        </is>
      </c>
      <c r="I354" s="156" t="n"/>
      <c r="J354" s="156" t="n"/>
      <c r="K354" s="156" t="n"/>
      <c r="L354" s="156" t="n"/>
      <c r="M354" s="156" t="n"/>
      <c r="N354" s="156" t="n"/>
      <c r="O354" s="156" t="n"/>
      <c r="P354" s="156" t="n"/>
      <c r="Q354" s="156" t="n"/>
      <c r="R354" s="156" t="n"/>
      <c r="S354" s="156" t="n"/>
      <c r="T354" s="156" t="n"/>
      <c r="U354" s="156" t="n"/>
      <c r="V354" s="156" t="inlineStr">
        <is>
          <t>PZS</t>
        </is>
      </c>
      <c r="W354" s="51" t="inlineStr">
        <is>
          <t>53101500</t>
        </is>
      </c>
      <c r="X354" s="156" t="n"/>
      <c r="Y354" s="54" t="n">
        <v>19.5</v>
      </c>
      <c r="Z354" s="54" t="n">
        <v>1449</v>
      </c>
      <c r="AA354" s="55">
        <f>IF(AND(A354="", B354="", E354=""), "", IF(AB354="", "Válido", IF((LEN(AB354)-LEN(SUBSTITUTE(AB354,"; ","")))/2+1&gt;(LEN(AB354)-LEN(SUBSTITUTE(AB354,"[Aviso]","")))/7, "Con Incidencias", "Válido")))</f>
        <v/>
      </c>
      <c r="AB354" s="56">
        <f>IF(AND(A354="", B354="", E354=""), "", TEXTJOIN("; ", TRUE, IF(OR(TRIM(A354&amp;"")="", ISNUMBER(SEARCH("FALTA", A354))), "UPC faltante/inválido", ""), IF(AND(A354&lt;&gt;"", IFERROR(_xlfn.XMATCH(A354,$A$2:$A$653,0,1)&lt;&gt;_xlfn.XMATCH(A354,$A$2:$A$653,0,-1),FALSE)), "Código de barras duplicado", ""), IF(AND(E354&lt;&gt;"", COUNTIF($E$2:$E$653, E354)&gt;1), "SKU duplicado", ""), IF(OR(J354="", J354=""), "[Aviso] División no capturada ()", IF(ISNA(MATCH(J354, Criterios!$A$123:$A$126, 0)), "División no válida", "")), IF(OR(K354="", K354=""), "[Aviso] Categoría no capturada ()", IF(ISNA(MATCH(K354, Criterios!$A$81:$A$120, 0)), "Categoría no válida", IF(AND(J354&lt;&gt;"", J354&lt;&gt;"", J354&lt;&gt;VLOOKUP(K354, Criterios!$A$81:$B$120, 2, FALSE)), "División no coincide con Categoría", ""))), IF(OR(L354="", L354=""), "[Aviso] Género no capturado ()", IF(ISNA(MATCH(L354, Criterios!$B$123:$B$127, 0)), "Género no válido", "")), IF(OR(N354="", N354=""), "[Aviso] Temporada no capturada ()", IF(ISNA(MATCH(N354, Criterios!$C$123:$C$128, 0)), "Temporada no válida", "")), IF(OR(O354="", O354=""), "[Aviso] Ciclo de vida no capturado ()", IF(ISNA(MATCH(O354, Criterios!$D$123:$D$124, 0)), "Ciclo de vida no válido", ""))))</f>
        <v/>
      </c>
      <c r="AC354" s="56" t="n"/>
      <c r="AD354" s="51" t="n">
        <v>12</v>
      </c>
      <c r="AE354" s="156" t="n"/>
      <c r="AF354" s="51" t="n">
        <v>12</v>
      </c>
      <c r="AG354" s="156" t="inlineStr">
        <is>
          <t>Nuevo – NetSuite con existencia</t>
        </is>
      </c>
      <c r="AH35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4" s="156" t="inlineStr">
        <is>
          <t>No</t>
        </is>
      </c>
      <c r="AJ354" s="156" t="n"/>
      <c r="AK354" s="155" t="inlineStr">
        <is>
          <t>G1522_Extraccion_Articulos_NetSuite_2026-09-30.xlsx: fila 43775</t>
        </is>
      </c>
      <c r="AL354" s="58" t="n"/>
      <c r="AM354" s="58" t="n"/>
      <c r="AN354" s="155" t="n"/>
      <c r="AO354" s="59" t="n"/>
      <c r="AP354" s="59" t="n"/>
      <c r="AQ354" s="59" t="n"/>
      <c r="AR354" s="155" t="n"/>
    </row>
    <row r="355">
      <c r="A355" s="50" t="inlineStr">
        <is>
          <t>5056658711343</t>
        </is>
      </c>
      <c r="B355" s="51" t="inlineStr">
        <is>
          <t>91021</t>
        </is>
      </c>
      <c r="C355" s="156" t="inlineStr">
        <is>
          <t>REFLO</t>
        </is>
      </c>
      <c r="D355" s="156" t="n"/>
      <c r="E355" s="156" t="n"/>
      <c r="F355" s="156" t="n"/>
      <c r="G355" s="156" t="n"/>
      <c r="H355" s="156" t="inlineStr">
        <is>
          <t>REFLO</t>
        </is>
      </c>
      <c r="I355" s="156" t="n"/>
      <c r="J355" s="156" t="n"/>
      <c r="K355" s="156" t="n"/>
      <c r="L355" s="156" t="n"/>
      <c r="M355" s="156" t="n"/>
      <c r="N355" s="156" t="n"/>
      <c r="O355" s="156" t="n"/>
      <c r="P355" s="156" t="n"/>
      <c r="Q355" s="156" t="n"/>
      <c r="R355" s="156" t="n"/>
      <c r="S355" s="156" t="n"/>
      <c r="T355" s="156" t="n"/>
      <c r="U355" s="156" t="n"/>
      <c r="V355" s="156" t="inlineStr">
        <is>
          <t>PZS</t>
        </is>
      </c>
      <c r="W355" s="51" t="inlineStr">
        <is>
          <t>53101500</t>
        </is>
      </c>
      <c r="X355" s="156" t="n"/>
      <c r="Y355" s="54" t="n">
        <v>19.5</v>
      </c>
      <c r="Z355" s="54" t="n">
        <v>1449</v>
      </c>
      <c r="AA355" s="55">
        <f>IF(AND(A355="", B355="", E355=""), "", IF(AB355="", "Válido", IF((LEN(AB355)-LEN(SUBSTITUTE(AB355,"; ","")))/2+1&gt;(LEN(AB355)-LEN(SUBSTITUTE(AB355,"[Aviso]","")))/7, "Con Incidencias", "Válido")))</f>
        <v/>
      </c>
      <c r="AB355" s="56">
        <f>IF(AND(A355="", B355="", E355=""), "", TEXTJOIN("; ", TRUE, IF(OR(TRIM(A355&amp;"")="", ISNUMBER(SEARCH("FALTA", A355))), "UPC faltante/inválido", ""), IF(AND(A355&lt;&gt;"", IFERROR(_xlfn.XMATCH(A355,$A$2:$A$653,0,1)&lt;&gt;_xlfn.XMATCH(A355,$A$2:$A$653,0,-1),FALSE)), "Código de barras duplicado", ""), IF(AND(E355&lt;&gt;"", COUNTIF($E$2:$E$653, E355)&gt;1), "SKU duplicado", ""), IF(OR(J355="", J355=""), "[Aviso] División no capturada ()", IF(ISNA(MATCH(J355, Criterios!$A$123:$A$126, 0)), "División no válida", "")), IF(OR(K355="", K355=""), "[Aviso] Categoría no capturada ()", IF(ISNA(MATCH(K355, Criterios!$A$81:$A$120, 0)), "Categoría no válida", IF(AND(J355&lt;&gt;"", J355&lt;&gt;"", J355&lt;&gt;VLOOKUP(K355, Criterios!$A$81:$B$120, 2, FALSE)), "División no coincide con Categoría", ""))), IF(OR(L355="", L355=""), "[Aviso] Género no capturado ()", IF(ISNA(MATCH(L355, Criterios!$B$123:$B$127, 0)), "Género no válido", "")), IF(OR(N355="", N355=""), "[Aviso] Temporada no capturada ()", IF(ISNA(MATCH(N355, Criterios!$C$123:$C$128, 0)), "Temporada no válida", "")), IF(OR(O355="", O355=""), "[Aviso] Ciclo de vida no capturado ()", IF(ISNA(MATCH(O355, Criterios!$D$123:$D$124, 0)), "Ciclo de vida no válido", ""))))</f>
        <v/>
      </c>
      <c r="AC355" s="56" t="n"/>
      <c r="AD355" s="51" t="n">
        <v>21</v>
      </c>
      <c r="AE355" s="156" t="n"/>
      <c r="AF355" s="51" t="n">
        <v>21</v>
      </c>
      <c r="AG355" s="156" t="inlineStr">
        <is>
          <t>Nuevo – NetSuite con existencia</t>
        </is>
      </c>
      <c r="AH35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5" s="156" t="inlineStr">
        <is>
          <t>No</t>
        </is>
      </c>
      <c r="AJ355" s="156" t="n"/>
      <c r="AK355" s="155" t="inlineStr">
        <is>
          <t>G1522_Extraccion_Articulos_NetSuite_2026-09-30.xlsx: fila 43776</t>
        </is>
      </c>
      <c r="AL355" s="58" t="n"/>
      <c r="AM355" s="58" t="n"/>
      <c r="AN355" s="155" t="n"/>
      <c r="AO355" s="59" t="n"/>
      <c r="AP355" s="59" t="n"/>
      <c r="AQ355" s="59" t="n"/>
      <c r="AR355" s="155" t="n"/>
    </row>
    <row r="356">
      <c r="A356" s="50" t="inlineStr">
        <is>
          <t>5056658711350</t>
        </is>
      </c>
      <c r="B356" s="51" t="inlineStr">
        <is>
          <t>91022</t>
        </is>
      </c>
      <c r="C356" s="156" t="inlineStr">
        <is>
          <t>REFLO</t>
        </is>
      </c>
      <c r="D356" s="156" t="n"/>
      <c r="E356" s="156" t="n"/>
      <c r="F356" s="156" t="n"/>
      <c r="G356" s="156" t="n"/>
      <c r="H356" s="156" t="inlineStr">
        <is>
          <t>REFLO</t>
        </is>
      </c>
      <c r="I356" s="156" t="n"/>
      <c r="J356" s="156" t="n"/>
      <c r="K356" s="156" t="n"/>
      <c r="L356" s="156" t="n"/>
      <c r="M356" s="156" t="n"/>
      <c r="N356" s="156" t="n"/>
      <c r="O356" s="156" t="n"/>
      <c r="P356" s="156" t="n"/>
      <c r="Q356" s="156" t="n"/>
      <c r="R356" s="156" t="n"/>
      <c r="S356" s="156" t="n"/>
      <c r="T356" s="156" t="n"/>
      <c r="U356" s="156" t="n"/>
      <c r="V356" s="156" t="inlineStr">
        <is>
          <t>PZS</t>
        </is>
      </c>
      <c r="W356" s="51" t="inlineStr">
        <is>
          <t>53101500</t>
        </is>
      </c>
      <c r="X356" s="156" t="n"/>
      <c r="Y356" s="54" t="n">
        <v>19.5</v>
      </c>
      <c r="Z356" s="54" t="n">
        <v>1449</v>
      </c>
      <c r="AA356" s="55">
        <f>IF(AND(A356="", B356="", E356=""), "", IF(AB356="", "Válido", IF((LEN(AB356)-LEN(SUBSTITUTE(AB356,"; ","")))/2+1&gt;(LEN(AB356)-LEN(SUBSTITUTE(AB356,"[Aviso]","")))/7, "Con Incidencias", "Válido")))</f>
        <v/>
      </c>
      <c r="AB356" s="56">
        <f>IF(AND(A356="", B356="", E356=""), "", TEXTJOIN("; ", TRUE, IF(OR(TRIM(A356&amp;"")="", ISNUMBER(SEARCH("FALTA", A356))), "UPC faltante/inválido", ""), IF(AND(A356&lt;&gt;"", IFERROR(_xlfn.XMATCH(A356,$A$2:$A$653,0,1)&lt;&gt;_xlfn.XMATCH(A356,$A$2:$A$653,0,-1),FALSE)), "Código de barras duplicado", ""), IF(AND(E356&lt;&gt;"", COUNTIF($E$2:$E$653, E356)&gt;1), "SKU duplicado", ""), IF(OR(J356="", J356=""), "[Aviso] División no capturada ()", IF(ISNA(MATCH(J356, Criterios!$A$123:$A$126, 0)), "División no válida", "")), IF(OR(K356="", K356=""), "[Aviso] Categoría no capturada ()", IF(ISNA(MATCH(K356, Criterios!$A$81:$A$120, 0)), "Categoría no válida", IF(AND(J356&lt;&gt;"", J356&lt;&gt;"", J356&lt;&gt;VLOOKUP(K356, Criterios!$A$81:$B$120, 2, FALSE)), "División no coincide con Categoría", ""))), IF(OR(L356="", L356=""), "[Aviso] Género no capturado ()", IF(ISNA(MATCH(L356, Criterios!$B$123:$B$127, 0)), "Género no válido", "")), IF(OR(N356="", N356=""), "[Aviso] Temporada no capturada ()", IF(ISNA(MATCH(N356, Criterios!$C$123:$C$128, 0)), "Temporada no válida", "")), IF(OR(O356="", O356=""), "[Aviso] Ciclo de vida no capturado ()", IF(ISNA(MATCH(O356, Criterios!$D$123:$D$124, 0)), "Ciclo de vida no válido", ""))))</f>
        <v/>
      </c>
      <c r="AC356" s="56" t="n"/>
      <c r="AD356" s="51" t="n">
        <v>18</v>
      </c>
      <c r="AE356" s="156" t="n"/>
      <c r="AF356" s="51" t="n">
        <v>18</v>
      </c>
      <c r="AG356" s="156" t="inlineStr">
        <is>
          <t>Nuevo – NetSuite con existencia</t>
        </is>
      </c>
      <c r="AH35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6" s="156" t="inlineStr">
        <is>
          <t>No</t>
        </is>
      </c>
      <c r="AJ356" s="156" t="n"/>
      <c r="AK356" s="155" t="inlineStr">
        <is>
          <t>G1522_Extraccion_Articulos_NetSuite_2026-09-30.xlsx: fila 43777</t>
        </is>
      </c>
      <c r="AL356" s="58" t="n"/>
      <c r="AM356" s="58" t="n"/>
      <c r="AN356" s="155" t="n"/>
      <c r="AO356" s="59" t="n"/>
      <c r="AP356" s="59" t="n"/>
      <c r="AQ356" s="59" t="n"/>
      <c r="AR356" s="155" t="n"/>
    </row>
    <row r="357">
      <c r="A357" s="50" t="inlineStr">
        <is>
          <t>5056658711428</t>
        </is>
      </c>
      <c r="B357" s="51" t="inlineStr">
        <is>
          <t>91027</t>
        </is>
      </c>
      <c r="C357" s="156" t="inlineStr">
        <is>
          <t>REFLO</t>
        </is>
      </c>
      <c r="D357" s="156" t="n"/>
      <c r="E357" s="156" t="n"/>
      <c r="F357" s="156" t="n"/>
      <c r="G357" s="156" t="n"/>
      <c r="H357" s="156" t="inlineStr">
        <is>
          <t>REFLO</t>
        </is>
      </c>
      <c r="I357" s="156" t="n"/>
      <c r="J357" s="156" t="n"/>
      <c r="K357" s="156" t="n"/>
      <c r="L357" s="156" t="n"/>
      <c r="M357" s="156" t="n"/>
      <c r="N357" s="156" t="n"/>
      <c r="O357" s="156" t="n"/>
      <c r="P357" s="156" t="n"/>
      <c r="Q357" s="156" t="n"/>
      <c r="R357" s="156" t="n"/>
      <c r="S357" s="156" t="n"/>
      <c r="T357" s="156" t="n"/>
      <c r="U357" s="156" t="n"/>
      <c r="V357" s="156" t="inlineStr">
        <is>
          <t>PZS</t>
        </is>
      </c>
      <c r="W357" s="51" t="inlineStr">
        <is>
          <t>53101500</t>
        </is>
      </c>
      <c r="X357" s="156" t="n"/>
      <c r="Y357" s="54" t="n">
        <v>19.5</v>
      </c>
      <c r="Z357" s="54" t="n">
        <v>1449</v>
      </c>
      <c r="AA357" s="55">
        <f>IF(AND(A357="", B357="", E357=""), "", IF(AB357="", "Válido", IF((LEN(AB357)-LEN(SUBSTITUTE(AB357,"; ","")))/2+1&gt;(LEN(AB357)-LEN(SUBSTITUTE(AB357,"[Aviso]","")))/7, "Con Incidencias", "Válido")))</f>
        <v/>
      </c>
      <c r="AB357" s="56">
        <f>IF(AND(A357="", B357="", E357=""), "", TEXTJOIN("; ", TRUE, IF(OR(TRIM(A357&amp;"")="", ISNUMBER(SEARCH("FALTA", A357))), "UPC faltante/inválido", ""), IF(AND(A357&lt;&gt;"", IFERROR(_xlfn.XMATCH(A357,$A$2:$A$653,0,1)&lt;&gt;_xlfn.XMATCH(A357,$A$2:$A$653,0,-1),FALSE)), "Código de barras duplicado", ""), IF(AND(E357&lt;&gt;"", COUNTIF($E$2:$E$653, E357)&gt;1), "SKU duplicado", ""), IF(OR(J357="", J357=""), "[Aviso] División no capturada ()", IF(ISNA(MATCH(J357, Criterios!$A$123:$A$126, 0)), "División no válida", "")), IF(OR(K357="", K357=""), "[Aviso] Categoría no capturada ()", IF(ISNA(MATCH(K357, Criterios!$A$81:$A$120, 0)), "Categoría no válida", IF(AND(J357&lt;&gt;"", J357&lt;&gt;"", J357&lt;&gt;VLOOKUP(K357, Criterios!$A$81:$B$120, 2, FALSE)), "División no coincide con Categoría", ""))), IF(OR(L357="", L357=""), "[Aviso] Género no capturado ()", IF(ISNA(MATCH(L357, Criterios!$B$123:$B$127, 0)), "Género no válido", "")), IF(OR(N357="", N357=""), "[Aviso] Temporada no capturada ()", IF(ISNA(MATCH(N357, Criterios!$C$123:$C$128, 0)), "Temporada no válida", "")), IF(OR(O357="", O357=""), "[Aviso] Ciclo de vida no capturado ()", IF(ISNA(MATCH(O357, Criterios!$D$123:$D$124, 0)), "Ciclo de vida no válido", ""))))</f>
        <v/>
      </c>
      <c r="AC357" s="56" t="n"/>
      <c r="AD357" s="51" t="n">
        <v>8</v>
      </c>
      <c r="AE357" s="156" t="n"/>
      <c r="AF357" s="51" t="n">
        <v>8</v>
      </c>
      <c r="AG357" s="156" t="inlineStr">
        <is>
          <t>Nuevo – NetSuite con existencia</t>
        </is>
      </c>
      <c r="AH35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7" s="156" t="inlineStr">
        <is>
          <t>No</t>
        </is>
      </c>
      <c r="AJ357" s="156" t="n"/>
      <c r="AK357" s="155" t="inlineStr">
        <is>
          <t>G1522_Extraccion_Articulos_NetSuite_2026-09-30.xlsx: fila 43782</t>
        </is>
      </c>
      <c r="AL357" s="58" t="n"/>
      <c r="AM357" s="58" t="n"/>
      <c r="AN357" s="155" t="n"/>
      <c r="AO357" s="59" t="n"/>
      <c r="AP357" s="59" t="n"/>
      <c r="AQ357" s="59" t="n"/>
      <c r="AR357" s="155" t="n"/>
    </row>
    <row r="358">
      <c r="A358" s="50" t="inlineStr">
        <is>
          <t>5056658713811</t>
        </is>
      </c>
      <c r="B358" s="51" t="inlineStr">
        <is>
          <t>91028</t>
        </is>
      </c>
      <c r="C358" s="156" t="inlineStr">
        <is>
          <t>REFLO</t>
        </is>
      </c>
      <c r="D358" s="156" t="n"/>
      <c r="E358" s="156" t="n"/>
      <c r="F358" s="156" t="n"/>
      <c r="G358" s="156" t="n"/>
      <c r="H358" s="156" t="inlineStr">
        <is>
          <t>REFLO</t>
        </is>
      </c>
      <c r="I358" s="156" t="n"/>
      <c r="J358" s="156" t="n"/>
      <c r="K358" s="156" t="n"/>
      <c r="L358" s="156" t="n"/>
      <c r="M358" s="156" t="n"/>
      <c r="N358" s="156" t="n"/>
      <c r="O358" s="156" t="n"/>
      <c r="P358" s="156" t="n"/>
      <c r="Q358" s="156" t="n"/>
      <c r="R358" s="156" t="n"/>
      <c r="S358" s="156" t="n"/>
      <c r="T358" s="156" t="n"/>
      <c r="U358" s="156" t="n"/>
      <c r="V358" s="156" t="inlineStr">
        <is>
          <t>PZS</t>
        </is>
      </c>
      <c r="W358" s="51" t="inlineStr">
        <is>
          <t>53101500</t>
        </is>
      </c>
      <c r="X358" s="156" t="n"/>
      <c r="Y358" s="54" t="n">
        <v>19.5</v>
      </c>
      <c r="Z358" s="54" t="n">
        <v>1449</v>
      </c>
      <c r="AA358" s="55">
        <f>IF(AND(A358="", B358="", E358=""), "", IF(AB358="", "Válido", IF((LEN(AB358)-LEN(SUBSTITUTE(AB358,"; ","")))/2+1&gt;(LEN(AB358)-LEN(SUBSTITUTE(AB358,"[Aviso]","")))/7, "Con Incidencias", "Válido")))</f>
        <v/>
      </c>
      <c r="AB358" s="56">
        <f>IF(AND(A358="", B358="", E358=""), "", TEXTJOIN("; ", TRUE, IF(OR(TRIM(A358&amp;"")="", ISNUMBER(SEARCH("FALTA", A358))), "UPC faltante/inválido", ""), IF(AND(A358&lt;&gt;"", IFERROR(_xlfn.XMATCH(A358,$A$2:$A$653,0,1)&lt;&gt;_xlfn.XMATCH(A358,$A$2:$A$653,0,-1),FALSE)), "Código de barras duplicado", ""), IF(AND(E358&lt;&gt;"", COUNTIF($E$2:$E$653, E358)&gt;1), "SKU duplicado", ""), IF(OR(J358="", J358=""), "[Aviso] División no capturada ()", IF(ISNA(MATCH(J358, Criterios!$A$123:$A$126, 0)), "División no válida", "")), IF(OR(K358="", K358=""), "[Aviso] Categoría no capturada ()", IF(ISNA(MATCH(K358, Criterios!$A$81:$A$120, 0)), "Categoría no válida", IF(AND(J358&lt;&gt;"", J358&lt;&gt;"", J358&lt;&gt;VLOOKUP(K358, Criterios!$A$81:$B$120, 2, FALSE)), "División no coincide con Categoría", ""))), IF(OR(L358="", L358=""), "[Aviso] Género no capturado ()", IF(ISNA(MATCH(L358, Criterios!$B$123:$B$127, 0)), "Género no válido", "")), IF(OR(N358="", N358=""), "[Aviso] Temporada no capturada ()", IF(ISNA(MATCH(N358, Criterios!$C$123:$C$128, 0)), "Temporada no válida", "")), IF(OR(O358="", O358=""), "[Aviso] Ciclo de vida no capturado ()", IF(ISNA(MATCH(O358, Criterios!$D$123:$D$124, 0)), "Ciclo de vida no válido", ""))))</f>
        <v/>
      </c>
      <c r="AC358" s="56" t="n"/>
      <c r="AD358" s="51" t="n">
        <v>4</v>
      </c>
      <c r="AE358" s="156" t="n"/>
      <c r="AF358" s="51" t="n">
        <v>4</v>
      </c>
      <c r="AG358" s="156" t="inlineStr">
        <is>
          <t>Nuevo – NetSuite con existencia</t>
        </is>
      </c>
      <c r="AH35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8" s="156" t="inlineStr">
        <is>
          <t>No</t>
        </is>
      </c>
      <c r="AJ358" s="156" t="n"/>
      <c r="AK358" s="155" t="inlineStr">
        <is>
          <t>G1522_Extraccion_Articulos_NetSuite_2026-09-30.xlsx: fila 43783</t>
        </is>
      </c>
      <c r="AL358" s="58" t="n"/>
      <c r="AM358" s="58" t="n"/>
      <c r="AN358" s="155" t="n"/>
      <c r="AO358" s="59" t="n"/>
      <c r="AP358" s="59" t="n"/>
      <c r="AQ358" s="59" t="n"/>
      <c r="AR358" s="155" t="n"/>
    </row>
    <row r="359">
      <c r="A359" s="50" t="inlineStr">
        <is>
          <t>5056658709340</t>
        </is>
      </c>
      <c r="B359" s="51" t="inlineStr">
        <is>
          <t>91029</t>
        </is>
      </c>
      <c r="C359" s="156" t="inlineStr">
        <is>
          <t>REFLO</t>
        </is>
      </c>
      <c r="D359" s="156" t="n"/>
      <c r="E359" s="156" t="n"/>
      <c r="F359" s="156" t="n"/>
      <c r="G359" s="156" t="n"/>
      <c r="H359" s="156" t="inlineStr">
        <is>
          <t>REFLO</t>
        </is>
      </c>
      <c r="I359" s="156" t="n"/>
      <c r="J359" s="156" t="n"/>
      <c r="K359" s="156" t="n"/>
      <c r="L359" s="156" t="n"/>
      <c r="M359" s="156" t="n"/>
      <c r="N359" s="156" t="n"/>
      <c r="O359" s="156" t="n"/>
      <c r="P359" s="156" t="n"/>
      <c r="Q359" s="156" t="n"/>
      <c r="R359" s="156" t="n"/>
      <c r="S359" s="156" t="n"/>
      <c r="T359" s="156" t="n"/>
      <c r="U359" s="156" t="n"/>
      <c r="V359" s="156" t="inlineStr">
        <is>
          <t>PZS</t>
        </is>
      </c>
      <c r="W359" s="51" t="inlineStr">
        <is>
          <t>53103000</t>
        </is>
      </c>
      <c r="X359" s="156" t="n"/>
      <c r="Y359" s="54" t="n">
        <v>16.9</v>
      </c>
      <c r="Z359" s="54" t="n">
        <v>1249</v>
      </c>
      <c r="AA359" s="55">
        <f>IF(AND(A359="", B359="", E359=""), "", IF(AB359="", "Válido", IF((LEN(AB359)-LEN(SUBSTITUTE(AB359,"; ","")))/2+1&gt;(LEN(AB359)-LEN(SUBSTITUTE(AB359,"[Aviso]","")))/7, "Con Incidencias", "Válido")))</f>
        <v/>
      </c>
      <c r="AB359" s="56">
        <f>IF(AND(A359="", B359="", E359=""), "", TEXTJOIN("; ", TRUE, IF(OR(TRIM(A359&amp;"")="", ISNUMBER(SEARCH("FALTA", A359))), "UPC faltante/inválido", ""), IF(AND(A359&lt;&gt;"", IFERROR(_xlfn.XMATCH(A359,$A$2:$A$653,0,1)&lt;&gt;_xlfn.XMATCH(A359,$A$2:$A$653,0,-1),FALSE)), "Código de barras duplicado", ""), IF(AND(E359&lt;&gt;"", COUNTIF($E$2:$E$653, E359)&gt;1), "SKU duplicado", ""), IF(OR(J359="", J359=""), "[Aviso] División no capturada ()", IF(ISNA(MATCH(J359, Criterios!$A$123:$A$126, 0)), "División no válida", "")), IF(OR(K359="", K359=""), "[Aviso] Categoría no capturada ()", IF(ISNA(MATCH(K359, Criterios!$A$81:$A$120, 0)), "Categoría no válida", IF(AND(J359&lt;&gt;"", J359&lt;&gt;"", J359&lt;&gt;VLOOKUP(K359, Criterios!$A$81:$B$120, 2, FALSE)), "División no coincide con Categoría", ""))), IF(OR(L359="", L359=""), "[Aviso] Género no capturado ()", IF(ISNA(MATCH(L359, Criterios!$B$123:$B$127, 0)), "Género no válido", "")), IF(OR(N359="", N359=""), "[Aviso] Temporada no capturada ()", IF(ISNA(MATCH(N359, Criterios!$C$123:$C$128, 0)), "Temporada no válida", "")), IF(OR(O359="", O359=""), "[Aviso] Ciclo de vida no capturado ()", IF(ISNA(MATCH(O359, Criterios!$D$123:$D$124, 0)), "Ciclo de vida no válido", ""))))</f>
        <v/>
      </c>
      <c r="AC359" s="56" t="n"/>
      <c r="AD359" s="51" t="n">
        <v>4</v>
      </c>
      <c r="AE359" s="156" t="n"/>
      <c r="AF359" s="51" t="n">
        <v>4</v>
      </c>
      <c r="AG359" s="156" t="inlineStr">
        <is>
          <t>Nuevo – NetSuite con existencia</t>
        </is>
      </c>
      <c r="AH35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59" s="156" t="inlineStr">
        <is>
          <t>No</t>
        </is>
      </c>
      <c r="AJ359" s="156" t="n"/>
      <c r="AK359" s="155" t="inlineStr">
        <is>
          <t>G1522_Extraccion_Articulos_NetSuite_2026-09-30.xlsx: fila 43784</t>
        </is>
      </c>
      <c r="AL359" s="58" t="n"/>
      <c r="AM359" s="58" t="n"/>
      <c r="AN359" s="155" t="n"/>
      <c r="AO359" s="59" t="n"/>
      <c r="AP359" s="59" t="n"/>
      <c r="AQ359" s="59" t="n"/>
      <c r="AR359" s="155" t="n"/>
    </row>
    <row r="360">
      <c r="A360" s="50" t="inlineStr">
        <is>
          <t>5056658709357</t>
        </is>
      </c>
      <c r="B360" s="51" t="inlineStr">
        <is>
          <t>91030</t>
        </is>
      </c>
      <c r="C360" s="156" t="inlineStr">
        <is>
          <t>REFLO</t>
        </is>
      </c>
      <c r="D360" s="156" t="n"/>
      <c r="E360" s="156" t="n"/>
      <c r="F360" s="156" t="n"/>
      <c r="G360" s="156" t="n"/>
      <c r="H360" s="156" t="inlineStr">
        <is>
          <t>REFLO</t>
        </is>
      </c>
      <c r="I360" s="156" t="n"/>
      <c r="J360" s="156" t="n"/>
      <c r="K360" s="156" t="n"/>
      <c r="L360" s="156" t="n"/>
      <c r="M360" s="156" t="n"/>
      <c r="N360" s="156" t="n"/>
      <c r="O360" s="156" t="n"/>
      <c r="P360" s="156" t="n"/>
      <c r="Q360" s="156" t="n"/>
      <c r="R360" s="156" t="n"/>
      <c r="S360" s="156" t="n"/>
      <c r="T360" s="156" t="n"/>
      <c r="U360" s="156" t="n"/>
      <c r="V360" s="156" t="inlineStr">
        <is>
          <t>PZS</t>
        </is>
      </c>
      <c r="W360" s="51" t="inlineStr">
        <is>
          <t>53103000</t>
        </is>
      </c>
      <c r="X360" s="156" t="n"/>
      <c r="Y360" s="54" t="n">
        <v>16.9</v>
      </c>
      <c r="Z360" s="54" t="n">
        <v>1249</v>
      </c>
      <c r="AA360" s="55">
        <f>IF(AND(A360="", B360="", E360=""), "", IF(AB360="", "Válido", IF((LEN(AB360)-LEN(SUBSTITUTE(AB360,"; ","")))/2+1&gt;(LEN(AB360)-LEN(SUBSTITUTE(AB360,"[Aviso]","")))/7, "Con Incidencias", "Válido")))</f>
        <v/>
      </c>
      <c r="AB360" s="56">
        <f>IF(AND(A360="", B360="", E360=""), "", TEXTJOIN("; ", TRUE, IF(OR(TRIM(A360&amp;"")="", ISNUMBER(SEARCH("FALTA", A360))), "UPC faltante/inválido", ""), IF(AND(A360&lt;&gt;"", IFERROR(_xlfn.XMATCH(A360,$A$2:$A$653,0,1)&lt;&gt;_xlfn.XMATCH(A360,$A$2:$A$653,0,-1),FALSE)), "Código de barras duplicado", ""), IF(AND(E360&lt;&gt;"", COUNTIF($E$2:$E$653, E360)&gt;1), "SKU duplicado", ""), IF(OR(J360="", J360=""), "[Aviso] División no capturada ()", IF(ISNA(MATCH(J360, Criterios!$A$123:$A$126, 0)), "División no válida", "")), IF(OR(K360="", K360=""), "[Aviso] Categoría no capturada ()", IF(ISNA(MATCH(K360, Criterios!$A$81:$A$120, 0)), "Categoría no válida", IF(AND(J360&lt;&gt;"", J360&lt;&gt;"", J360&lt;&gt;VLOOKUP(K360, Criterios!$A$81:$B$120, 2, FALSE)), "División no coincide con Categoría", ""))), IF(OR(L360="", L360=""), "[Aviso] Género no capturado ()", IF(ISNA(MATCH(L360, Criterios!$B$123:$B$127, 0)), "Género no válido", "")), IF(OR(N360="", N360=""), "[Aviso] Temporada no capturada ()", IF(ISNA(MATCH(N360, Criterios!$C$123:$C$128, 0)), "Temporada no válida", "")), IF(OR(O360="", O360=""), "[Aviso] Ciclo de vida no capturado ()", IF(ISNA(MATCH(O360, Criterios!$D$123:$D$124, 0)), "Ciclo de vida no válido", ""))))</f>
        <v/>
      </c>
      <c r="AC360" s="56" t="n"/>
      <c r="AD360" s="51" t="n">
        <v>8</v>
      </c>
      <c r="AE360" s="156" t="n"/>
      <c r="AF360" s="51" t="n">
        <v>8</v>
      </c>
      <c r="AG360" s="156" t="inlineStr">
        <is>
          <t>Nuevo – NetSuite con existencia</t>
        </is>
      </c>
      <c r="AH36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60" s="156" t="inlineStr">
        <is>
          <t>No</t>
        </is>
      </c>
      <c r="AJ360" s="156" t="n"/>
      <c r="AK360" s="155" t="inlineStr">
        <is>
          <t>G1522_Extraccion_Articulos_NetSuite_2026-09-30.xlsx: fila 43785</t>
        </is>
      </c>
      <c r="AL360" s="58" t="n"/>
      <c r="AM360" s="58" t="n"/>
      <c r="AN360" s="155" t="n"/>
      <c r="AO360" s="59" t="n"/>
      <c r="AP360" s="59" t="n"/>
      <c r="AQ360" s="59" t="n"/>
      <c r="AR360" s="155" t="n"/>
    </row>
    <row r="361">
      <c r="A361" s="50" t="inlineStr">
        <is>
          <t>5056658709364</t>
        </is>
      </c>
      <c r="B361" s="51" t="inlineStr">
        <is>
          <t>91031</t>
        </is>
      </c>
      <c r="C361" s="156" t="inlineStr">
        <is>
          <t>REFLO</t>
        </is>
      </c>
      <c r="D361" s="156" t="n"/>
      <c r="E361" s="156" t="n"/>
      <c r="F361" s="156" t="n"/>
      <c r="G361" s="156" t="n"/>
      <c r="H361" s="156" t="inlineStr">
        <is>
          <t>REFLO</t>
        </is>
      </c>
      <c r="I361" s="156" t="n"/>
      <c r="J361" s="156" t="n"/>
      <c r="K361" s="156" t="n"/>
      <c r="L361" s="156" t="n"/>
      <c r="M361" s="156" t="n"/>
      <c r="N361" s="156" t="n"/>
      <c r="O361" s="156" t="n"/>
      <c r="P361" s="156" t="n"/>
      <c r="Q361" s="156" t="n"/>
      <c r="R361" s="156" t="n"/>
      <c r="S361" s="156" t="n"/>
      <c r="T361" s="156" t="n"/>
      <c r="U361" s="156" t="n"/>
      <c r="V361" s="156" t="inlineStr">
        <is>
          <t>PZS</t>
        </is>
      </c>
      <c r="W361" s="51" t="inlineStr">
        <is>
          <t>53103000</t>
        </is>
      </c>
      <c r="X361" s="156" t="n"/>
      <c r="Y361" s="54" t="n">
        <v>16.9</v>
      </c>
      <c r="Z361" s="54" t="n">
        <v>1249</v>
      </c>
      <c r="AA361" s="55">
        <f>IF(AND(A361="", B361="", E361=""), "", IF(AB361="", "Válido", IF((LEN(AB361)-LEN(SUBSTITUTE(AB361,"; ","")))/2+1&gt;(LEN(AB361)-LEN(SUBSTITUTE(AB361,"[Aviso]","")))/7, "Con Incidencias", "Válido")))</f>
        <v/>
      </c>
      <c r="AB361" s="56">
        <f>IF(AND(A361="", B361="", E361=""), "", TEXTJOIN("; ", TRUE, IF(OR(TRIM(A361&amp;"")="", ISNUMBER(SEARCH("FALTA", A361))), "UPC faltante/inválido", ""), IF(AND(A361&lt;&gt;"", IFERROR(_xlfn.XMATCH(A361,$A$2:$A$653,0,1)&lt;&gt;_xlfn.XMATCH(A361,$A$2:$A$653,0,-1),FALSE)), "Código de barras duplicado", ""), IF(AND(E361&lt;&gt;"", COUNTIF($E$2:$E$653, E361)&gt;1), "SKU duplicado", ""), IF(OR(J361="", J361=""), "[Aviso] División no capturada ()", IF(ISNA(MATCH(J361, Criterios!$A$123:$A$126, 0)), "División no válida", "")), IF(OR(K361="", K361=""), "[Aviso] Categoría no capturada ()", IF(ISNA(MATCH(K361, Criterios!$A$81:$A$120, 0)), "Categoría no válida", IF(AND(J361&lt;&gt;"", J361&lt;&gt;"", J361&lt;&gt;VLOOKUP(K361, Criterios!$A$81:$B$120, 2, FALSE)), "División no coincide con Categoría", ""))), IF(OR(L361="", L361=""), "[Aviso] Género no capturado ()", IF(ISNA(MATCH(L361, Criterios!$B$123:$B$127, 0)), "Género no válido", "")), IF(OR(N361="", N361=""), "[Aviso] Temporada no capturada ()", IF(ISNA(MATCH(N361, Criterios!$C$123:$C$128, 0)), "Temporada no válida", "")), IF(OR(O361="", O361=""), "[Aviso] Ciclo de vida no capturado ()", IF(ISNA(MATCH(O361, Criterios!$D$123:$D$124, 0)), "Ciclo de vida no válido", ""))))</f>
        <v/>
      </c>
      <c r="AC361" s="56" t="n"/>
      <c r="AD361" s="51" t="n">
        <v>16</v>
      </c>
      <c r="AE361" s="156" t="n"/>
      <c r="AF361" s="51" t="n">
        <v>16</v>
      </c>
      <c r="AG361" s="156" t="inlineStr">
        <is>
          <t>Nuevo – NetSuite con existencia</t>
        </is>
      </c>
      <c r="AH36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61" s="156" t="inlineStr">
        <is>
          <t>No</t>
        </is>
      </c>
      <c r="AJ361" s="156" t="n"/>
      <c r="AK361" s="155" t="inlineStr">
        <is>
          <t>G1522_Extraccion_Articulos_NetSuite_2026-09-30.xlsx: fila 43786</t>
        </is>
      </c>
      <c r="AL361" s="58" t="n"/>
      <c r="AM361" s="58" t="n"/>
      <c r="AN361" s="155" t="n"/>
      <c r="AO361" s="59" t="n"/>
      <c r="AP361" s="59" t="n"/>
      <c r="AQ361" s="59" t="n"/>
      <c r="AR361" s="155" t="n"/>
    </row>
    <row r="362">
      <c r="A362" s="50" t="inlineStr">
        <is>
          <t>5056658709371</t>
        </is>
      </c>
      <c r="B362" s="51" t="inlineStr">
        <is>
          <t>91032</t>
        </is>
      </c>
      <c r="C362" s="156" t="inlineStr">
        <is>
          <t>REFLO</t>
        </is>
      </c>
      <c r="D362" s="156" t="n"/>
      <c r="E362" s="156" t="n"/>
      <c r="F362" s="156" t="n"/>
      <c r="G362" s="156" t="n"/>
      <c r="H362" s="156" t="inlineStr">
        <is>
          <t>REFLO</t>
        </is>
      </c>
      <c r="I362" s="156" t="n"/>
      <c r="J362" s="156" t="n"/>
      <c r="K362" s="156" t="n"/>
      <c r="L362" s="156" t="n"/>
      <c r="M362" s="156" t="n"/>
      <c r="N362" s="156" t="n"/>
      <c r="O362" s="156" t="n"/>
      <c r="P362" s="156" t="n"/>
      <c r="Q362" s="156" t="n"/>
      <c r="R362" s="156" t="n"/>
      <c r="S362" s="156" t="n"/>
      <c r="T362" s="156" t="n"/>
      <c r="U362" s="156" t="n"/>
      <c r="V362" s="156" t="inlineStr">
        <is>
          <t>PZS</t>
        </is>
      </c>
      <c r="W362" s="51" t="inlineStr">
        <is>
          <t>53103000</t>
        </is>
      </c>
      <c r="X362" s="156" t="n"/>
      <c r="Y362" s="54" t="n">
        <v>16.9</v>
      </c>
      <c r="Z362" s="54" t="n">
        <v>1249</v>
      </c>
      <c r="AA362" s="55">
        <f>IF(AND(A362="", B362="", E362=""), "", IF(AB362="", "Válido", IF((LEN(AB362)-LEN(SUBSTITUTE(AB362,"; ","")))/2+1&gt;(LEN(AB362)-LEN(SUBSTITUTE(AB362,"[Aviso]","")))/7, "Con Incidencias", "Válido")))</f>
        <v/>
      </c>
      <c r="AB362" s="56">
        <f>IF(AND(A362="", B362="", E362=""), "", TEXTJOIN("; ", TRUE, IF(OR(TRIM(A362&amp;"")="", ISNUMBER(SEARCH("FALTA", A362))), "UPC faltante/inválido", ""), IF(AND(A362&lt;&gt;"", IFERROR(_xlfn.XMATCH(A362,$A$2:$A$653,0,1)&lt;&gt;_xlfn.XMATCH(A362,$A$2:$A$653,0,-1),FALSE)), "Código de barras duplicado", ""), IF(AND(E362&lt;&gt;"", COUNTIF($E$2:$E$653, E362)&gt;1), "SKU duplicado", ""), IF(OR(J362="", J362=""), "[Aviso] División no capturada ()", IF(ISNA(MATCH(J362, Criterios!$A$123:$A$126, 0)), "División no válida", "")), IF(OR(K362="", K362=""), "[Aviso] Categoría no capturada ()", IF(ISNA(MATCH(K362, Criterios!$A$81:$A$120, 0)), "Categoría no válida", IF(AND(J362&lt;&gt;"", J362&lt;&gt;"", J362&lt;&gt;VLOOKUP(K362, Criterios!$A$81:$B$120, 2, FALSE)), "División no coincide con Categoría", ""))), IF(OR(L362="", L362=""), "[Aviso] Género no capturado ()", IF(ISNA(MATCH(L362, Criterios!$B$123:$B$127, 0)), "Género no válido", "")), IF(OR(N362="", N362=""), "[Aviso] Temporada no capturada ()", IF(ISNA(MATCH(N362, Criterios!$C$123:$C$128, 0)), "Temporada no válida", "")), IF(OR(O362="", O362=""), "[Aviso] Ciclo de vida no capturado ()", IF(ISNA(MATCH(O362, Criterios!$D$123:$D$124, 0)), "Ciclo de vida no válido", ""))))</f>
        <v/>
      </c>
      <c r="AC362" s="56" t="n"/>
      <c r="AD362" s="51" t="n">
        <v>16</v>
      </c>
      <c r="AE362" s="156" t="n"/>
      <c r="AF362" s="51" t="n">
        <v>16</v>
      </c>
      <c r="AG362" s="156" t="inlineStr">
        <is>
          <t>Nuevo – NetSuite con existencia</t>
        </is>
      </c>
      <c r="AH36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62" s="156" t="inlineStr">
        <is>
          <t>No</t>
        </is>
      </c>
      <c r="AJ362" s="156" t="n"/>
      <c r="AK362" s="155" t="inlineStr">
        <is>
          <t>G1522_Extraccion_Articulos_NetSuite_2026-09-30.xlsx: fila 43787</t>
        </is>
      </c>
      <c r="AL362" s="58" t="n"/>
      <c r="AM362" s="58" t="n"/>
      <c r="AN362" s="155" t="n"/>
      <c r="AO362" s="59" t="n"/>
      <c r="AP362" s="59" t="n"/>
      <c r="AQ362" s="59" t="n"/>
      <c r="AR362" s="155" t="n"/>
    </row>
    <row r="363">
      <c r="A363" s="50" t="inlineStr">
        <is>
          <t>5056658709388</t>
        </is>
      </c>
      <c r="B363" s="51" t="inlineStr">
        <is>
          <t>91033</t>
        </is>
      </c>
      <c r="C363" s="156" t="inlineStr">
        <is>
          <t>REFLO</t>
        </is>
      </c>
      <c r="D363" s="156" t="n"/>
      <c r="E363" s="156" t="n"/>
      <c r="F363" s="156" t="n"/>
      <c r="G363" s="156" t="n"/>
      <c r="H363" s="156" t="inlineStr">
        <is>
          <t>REFLO</t>
        </is>
      </c>
      <c r="I363" s="156" t="n"/>
      <c r="J363" s="156" t="n"/>
      <c r="K363" s="156" t="n"/>
      <c r="L363" s="156" t="n"/>
      <c r="M363" s="156" t="n"/>
      <c r="N363" s="156" t="n"/>
      <c r="O363" s="156" t="n"/>
      <c r="P363" s="156" t="n"/>
      <c r="Q363" s="156" t="n"/>
      <c r="R363" s="156" t="n"/>
      <c r="S363" s="156" t="n"/>
      <c r="T363" s="156" t="n"/>
      <c r="U363" s="156" t="n"/>
      <c r="V363" s="156" t="inlineStr">
        <is>
          <t>PZS</t>
        </is>
      </c>
      <c r="W363" s="51" t="inlineStr">
        <is>
          <t>53103000</t>
        </is>
      </c>
      <c r="X363" s="156" t="n"/>
      <c r="Y363" s="54" t="n">
        <v>16.9</v>
      </c>
      <c r="Z363" s="54" t="n">
        <v>1249</v>
      </c>
      <c r="AA363" s="55">
        <f>IF(AND(A363="", B363="", E363=""), "", IF(AB363="", "Válido", IF((LEN(AB363)-LEN(SUBSTITUTE(AB363,"; ","")))/2+1&gt;(LEN(AB363)-LEN(SUBSTITUTE(AB363,"[Aviso]","")))/7, "Con Incidencias", "Válido")))</f>
        <v/>
      </c>
      <c r="AB363" s="56">
        <f>IF(AND(A363="", B363="", E363=""), "", TEXTJOIN("; ", TRUE, IF(OR(TRIM(A363&amp;"")="", ISNUMBER(SEARCH("FALTA", A363))), "UPC faltante/inválido", ""), IF(AND(A363&lt;&gt;"", IFERROR(_xlfn.XMATCH(A363,$A$2:$A$653,0,1)&lt;&gt;_xlfn.XMATCH(A363,$A$2:$A$653,0,-1),FALSE)), "Código de barras duplicado", ""), IF(AND(E363&lt;&gt;"", COUNTIF($E$2:$E$653, E363)&gt;1), "SKU duplicado", ""), IF(OR(J363="", J363=""), "[Aviso] División no capturada ()", IF(ISNA(MATCH(J363, Criterios!$A$123:$A$126, 0)), "División no válida", "")), IF(OR(K363="", K363=""), "[Aviso] Categoría no capturada ()", IF(ISNA(MATCH(K363, Criterios!$A$81:$A$120, 0)), "Categoría no válida", IF(AND(J363&lt;&gt;"", J363&lt;&gt;"", J363&lt;&gt;VLOOKUP(K363, Criterios!$A$81:$B$120, 2, FALSE)), "División no coincide con Categoría", ""))), IF(OR(L363="", L363=""), "[Aviso] Género no capturado ()", IF(ISNA(MATCH(L363, Criterios!$B$123:$B$127, 0)), "Género no válido", "")), IF(OR(N363="", N363=""), "[Aviso] Temporada no capturada ()", IF(ISNA(MATCH(N363, Criterios!$C$123:$C$128, 0)), "Temporada no válida", "")), IF(OR(O363="", O363=""), "[Aviso] Ciclo de vida no capturado ()", IF(ISNA(MATCH(O363, Criterios!$D$123:$D$124, 0)), "Ciclo de vida no válido", ""))))</f>
        <v/>
      </c>
      <c r="AC363" s="56" t="n"/>
      <c r="AD363" s="51" t="n">
        <v>8</v>
      </c>
      <c r="AE363" s="156" t="n"/>
      <c r="AF363" s="51" t="n">
        <v>8</v>
      </c>
      <c r="AG363" s="156" t="inlineStr">
        <is>
          <t>Nuevo – NetSuite con existencia</t>
        </is>
      </c>
      <c r="AH36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63" s="156" t="inlineStr">
        <is>
          <t>No</t>
        </is>
      </c>
      <c r="AJ363" s="156" t="n"/>
      <c r="AK363" s="155" t="inlineStr">
        <is>
          <t>G1522_Extraccion_Articulos_NetSuite_2026-09-30.xlsx: fila 43788</t>
        </is>
      </c>
      <c r="AL363" s="58" t="n"/>
      <c r="AM363" s="58" t="n"/>
      <c r="AN363" s="155" t="n"/>
      <c r="AO363" s="59" t="n"/>
      <c r="AP363" s="59" t="n"/>
      <c r="AQ363" s="59" t="n"/>
      <c r="AR363" s="155" t="n"/>
    </row>
    <row r="364">
      <c r="A364" s="50" t="inlineStr">
        <is>
          <t>5056658714108</t>
        </is>
      </c>
      <c r="B364" s="51" t="inlineStr">
        <is>
          <t>91034</t>
        </is>
      </c>
      <c r="C364" s="156" t="inlineStr">
        <is>
          <t>REFLO</t>
        </is>
      </c>
      <c r="D364" s="156" t="n"/>
      <c r="E364" s="156" t="n"/>
      <c r="F364" s="156" t="n"/>
      <c r="G364" s="156" t="n"/>
      <c r="H364" s="156" t="inlineStr">
        <is>
          <t>REFLO</t>
        </is>
      </c>
      <c r="I364" s="156" t="n"/>
      <c r="J364" s="156" t="n"/>
      <c r="K364" s="156" t="n"/>
      <c r="L364" s="156" t="n"/>
      <c r="M364" s="156" t="n"/>
      <c r="N364" s="156" t="n"/>
      <c r="O364" s="156" t="n"/>
      <c r="P364" s="156" t="n"/>
      <c r="Q364" s="156" t="n"/>
      <c r="R364" s="156" t="n"/>
      <c r="S364" s="156" t="n"/>
      <c r="T364" s="156" t="n"/>
      <c r="U364" s="156" t="n"/>
      <c r="V364" s="156" t="inlineStr">
        <is>
          <t>PZS</t>
        </is>
      </c>
      <c r="W364" s="51" t="inlineStr">
        <is>
          <t>53103000</t>
        </is>
      </c>
      <c r="X364" s="156" t="n"/>
      <c r="Y364" s="54" t="n">
        <v>16.9</v>
      </c>
      <c r="Z364" s="54" t="n">
        <v>1249</v>
      </c>
      <c r="AA364" s="55">
        <f>IF(AND(A364="", B364="", E364=""), "", IF(AB364="", "Válido", IF((LEN(AB364)-LEN(SUBSTITUTE(AB364,"; ","")))/2+1&gt;(LEN(AB364)-LEN(SUBSTITUTE(AB364,"[Aviso]","")))/7, "Con Incidencias", "Válido")))</f>
        <v/>
      </c>
      <c r="AB364" s="56">
        <f>IF(AND(A364="", B364="", E364=""), "", TEXTJOIN("; ", TRUE, IF(OR(TRIM(A364&amp;"")="", ISNUMBER(SEARCH("FALTA", A364))), "UPC faltante/inválido", ""), IF(AND(A364&lt;&gt;"", IFERROR(_xlfn.XMATCH(A364,$A$2:$A$653,0,1)&lt;&gt;_xlfn.XMATCH(A364,$A$2:$A$653,0,-1),FALSE)), "Código de barras duplicado", ""), IF(AND(E364&lt;&gt;"", COUNTIF($E$2:$E$653, E364)&gt;1), "SKU duplicado", ""), IF(OR(J364="", J364=""), "[Aviso] División no capturada ()", IF(ISNA(MATCH(J364, Criterios!$A$123:$A$126, 0)), "División no válida", "")), IF(OR(K364="", K364=""), "[Aviso] Categoría no capturada ()", IF(ISNA(MATCH(K364, Criterios!$A$81:$A$120, 0)), "Categoría no válida", IF(AND(J364&lt;&gt;"", J364&lt;&gt;"", J364&lt;&gt;VLOOKUP(K364, Criterios!$A$81:$B$120, 2, FALSE)), "División no coincide con Categoría", ""))), IF(OR(L364="", L364=""), "[Aviso] Género no capturado ()", IF(ISNA(MATCH(L364, Criterios!$B$123:$B$127, 0)), "Género no válido", "")), IF(OR(N364="", N364=""), "[Aviso] Temporada no capturada ()", IF(ISNA(MATCH(N364, Criterios!$C$123:$C$128, 0)), "Temporada no válida", "")), IF(OR(O364="", O364=""), "[Aviso] Ciclo de vida no capturado ()", IF(ISNA(MATCH(O364, Criterios!$D$123:$D$124, 0)), "Ciclo de vida no válido", ""))))</f>
        <v/>
      </c>
      <c r="AC364" s="56" t="n"/>
      <c r="AD364" s="51" t="n">
        <v>3</v>
      </c>
      <c r="AE364" s="156" t="n"/>
      <c r="AF364" s="51" t="n">
        <v>3</v>
      </c>
      <c r="AG364" s="156" t="inlineStr">
        <is>
          <t>Nuevo – NetSuite con existencia</t>
        </is>
      </c>
      <c r="AH36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364" s="156" t="inlineStr">
        <is>
          <t>No</t>
        </is>
      </c>
      <c r="AJ364" s="156" t="n"/>
      <c r="AK364" s="155" t="inlineStr">
        <is>
          <t>G1522_Extraccion_Articulos_NetSuite_2026-09-30.xlsx: fila 43789</t>
        </is>
      </c>
      <c r="AL364" s="58" t="n"/>
      <c r="AM364" s="58" t="n"/>
      <c r="AN364" s="155" t="n"/>
      <c r="AO364" s="59" t="n"/>
      <c r="AP364" s="59" t="n"/>
      <c r="AQ364" s="59" t="n"/>
      <c r="AR364" s="155" t="n"/>
    </row>
    <row r="365">
      <c r="A365" s="50" t="inlineStr">
        <is>
          <t>5056658709586</t>
        </is>
      </c>
      <c r="B365" s="51" t="inlineStr">
        <is>
          <t>91035</t>
        </is>
      </c>
      <c r="C365" s="156" t="inlineStr">
        <is>
          <t>REFLO</t>
        </is>
      </c>
      <c r="D365" s="156" t="n"/>
      <c r="E365" s="156" t="n"/>
      <c r="F365" s="156" t="n"/>
      <c r="G365" s="156" t="n"/>
      <c r="H365" s="156" t="inlineStr">
        <is>
          <t>REFLO</t>
        </is>
      </c>
      <c r="I365" s="156" t="n"/>
      <c r="J365" s="156" t="n"/>
      <c r="K365" s="156" t="n"/>
      <c r="L365" s="156" t="n"/>
      <c r="M365" s="156" t="n"/>
      <c r="N365" s="156" t="n"/>
      <c r="O365" s="156" t="n"/>
      <c r="P365" s="156" t="n"/>
      <c r="Q365" s="156" t="n"/>
      <c r="R365" s="156" t="n"/>
      <c r="S365" s="156" t="n"/>
      <c r="T365" s="156" t="n"/>
      <c r="U365" s="156" t="n"/>
      <c r="V365" s="156" t="inlineStr">
        <is>
          <t>PZS</t>
        </is>
      </c>
      <c r="W365" s="51" t="inlineStr">
        <is>
          <t>53103000</t>
        </is>
      </c>
      <c r="X365" s="156" t="n"/>
      <c r="Y365" s="54" t="n">
        <v>22.75</v>
      </c>
      <c r="Z365" s="54" t="n">
        <v>1649</v>
      </c>
      <c r="AA365" s="55">
        <f>IF(AND(A365="", B365="", E365=""), "", IF(AB365="", "Válido", IF((LEN(AB365)-LEN(SUBSTITUTE(AB365,"; ","")))/2+1&gt;(LEN(AB365)-LEN(SUBSTITUTE(AB365,"[Aviso]","")))/7, "Con Incidencias", "Válido")))</f>
        <v/>
      </c>
      <c r="AB365" s="56">
        <f>IF(AND(A365="", B365="", E365=""), "", TEXTJOIN("; ", TRUE, IF(OR(TRIM(A365&amp;"")="", ISNUMBER(SEARCH("FALTA", A365))), "UPC faltante/inválido", ""), IF(AND(A365&lt;&gt;"", IFERROR(_xlfn.XMATCH(A365,$A$2:$A$653,0,1)&lt;&gt;_xlfn.XMATCH(A365,$A$2:$A$653,0,-1),FALSE)), "Código de barras duplicado", ""), IF(AND(E365&lt;&gt;"", COUNTIF($E$2:$E$653, E365)&gt;1), "SKU duplicado", ""), IF(OR(J365="", J365=""), "[Aviso] División no capturada ()", IF(ISNA(MATCH(J365, Criterios!$A$123:$A$126, 0)), "División no válida", "")), IF(OR(K365="", K365=""), "[Aviso] Categoría no capturada ()", IF(ISNA(MATCH(K365, Criterios!$A$81:$A$120, 0)), "Categoría no válida", IF(AND(J365&lt;&gt;"", J365&lt;&gt;"", J365&lt;&gt;VLOOKUP(K365, Criterios!$A$81:$B$120, 2, FALSE)), "División no coincide con Categoría", ""))), IF(OR(L365="", L365=""), "[Aviso] Género no capturado ()", IF(ISNA(MATCH(L365, Criterios!$B$123:$B$127, 0)), "Género no válido", "")), IF(OR(N365="", N365=""), "[Aviso] Temporada no capturada ()", IF(ISNA(MATCH(N365, Criterios!$C$123:$C$128, 0)), "Temporada no válida", "")), IF(OR(O365="", O365=""), "[Aviso] Ciclo de vida no capturado ()", IF(ISNA(MATCH(O365, Criterios!$D$123:$D$124, 0)), "Ciclo de vida no válido", ""))))</f>
        <v/>
      </c>
      <c r="AC365" s="56" t="n"/>
      <c r="AD365" s="51" t="n">
        <v>1</v>
      </c>
      <c r="AE365" s="156" t="n"/>
      <c r="AF365" s="51" t="n">
        <v>1</v>
      </c>
      <c r="AG365" s="156" t="inlineStr">
        <is>
          <t>Nuevo – NetSuite con existencia</t>
        </is>
      </c>
      <c r="AH36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5" s="156" t="inlineStr">
        <is>
          <t>No</t>
        </is>
      </c>
      <c r="AJ365" s="156" t="n"/>
      <c r="AK365" s="155" t="inlineStr">
        <is>
          <t>G1522_Extraccion_Articulos_NetSuite_2026-09-30.xlsx: fila 43790</t>
        </is>
      </c>
      <c r="AL365" s="58" t="n"/>
      <c r="AM365" s="58" t="n"/>
      <c r="AN365" s="155" t="n"/>
      <c r="AO365" s="59" t="n"/>
      <c r="AP365" s="59" t="n"/>
      <c r="AQ365" s="59" t="n"/>
      <c r="AR365" s="155" t="n"/>
    </row>
    <row r="366">
      <c r="A366" s="50" t="inlineStr">
        <is>
          <t>5056658709593</t>
        </is>
      </c>
      <c r="B366" s="51" t="inlineStr">
        <is>
          <t>91036</t>
        </is>
      </c>
      <c r="C366" s="156" t="inlineStr">
        <is>
          <t>REFLO</t>
        </is>
      </c>
      <c r="D366" s="156" t="n"/>
      <c r="E366" s="156" t="n"/>
      <c r="F366" s="156" t="n"/>
      <c r="G366" s="156" t="n"/>
      <c r="H366" s="156" t="inlineStr">
        <is>
          <t>REFLO</t>
        </is>
      </c>
      <c r="I366" s="156" t="n"/>
      <c r="J366" s="156" t="n"/>
      <c r="K366" s="156" t="n"/>
      <c r="L366" s="156" t="n"/>
      <c r="M366" s="156" t="n"/>
      <c r="N366" s="156" t="n"/>
      <c r="O366" s="156" t="n"/>
      <c r="P366" s="156" t="n"/>
      <c r="Q366" s="156" t="n"/>
      <c r="R366" s="156" t="n"/>
      <c r="S366" s="156" t="n"/>
      <c r="T366" s="156" t="n"/>
      <c r="U366" s="156" t="n"/>
      <c r="V366" s="156" t="inlineStr">
        <is>
          <t>PZS</t>
        </is>
      </c>
      <c r="W366" s="51" t="inlineStr">
        <is>
          <t>53103000</t>
        </is>
      </c>
      <c r="X366" s="156" t="n"/>
      <c r="Y366" s="54" t="n">
        <v>22.75</v>
      </c>
      <c r="Z366" s="54" t="n">
        <v>1649</v>
      </c>
      <c r="AA366" s="55">
        <f>IF(AND(A366="", B366="", E366=""), "", IF(AB366="", "Válido", IF((LEN(AB366)-LEN(SUBSTITUTE(AB366,"; ","")))/2+1&gt;(LEN(AB366)-LEN(SUBSTITUTE(AB366,"[Aviso]","")))/7, "Con Incidencias", "Válido")))</f>
        <v/>
      </c>
      <c r="AB366" s="56">
        <f>IF(AND(A366="", B366="", E366=""), "", TEXTJOIN("; ", TRUE, IF(OR(TRIM(A366&amp;"")="", ISNUMBER(SEARCH("FALTA", A366))), "UPC faltante/inválido", ""), IF(AND(A366&lt;&gt;"", IFERROR(_xlfn.XMATCH(A366,$A$2:$A$653,0,1)&lt;&gt;_xlfn.XMATCH(A366,$A$2:$A$653,0,-1),FALSE)), "Código de barras duplicado", ""), IF(AND(E366&lt;&gt;"", COUNTIF($E$2:$E$653, E366)&gt;1), "SKU duplicado", ""), IF(OR(J366="", J366=""), "[Aviso] División no capturada ()", IF(ISNA(MATCH(J366, Criterios!$A$123:$A$126, 0)), "División no válida", "")), IF(OR(K366="", K366=""), "[Aviso] Categoría no capturada ()", IF(ISNA(MATCH(K366, Criterios!$A$81:$A$120, 0)), "Categoría no válida", IF(AND(J366&lt;&gt;"", J366&lt;&gt;"", J366&lt;&gt;VLOOKUP(K366, Criterios!$A$81:$B$120, 2, FALSE)), "División no coincide con Categoría", ""))), IF(OR(L366="", L366=""), "[Aviso] Género no capturado ()", IF(ISNA(MATCH(L366, Criterios!$B$123:$B$127, 0)), "Género no válido", "")), IF(OR(N366="", N366=""), "[Aviso] Temporada no capturada ()", IF(ISNA(MATCH(N366, Criterios!$C$123:$C$128, 0)), "Temporada no válida", "")), IF(OR(O366="", O366=""), "[Aviso] Ciclo de vida no capturado ()", IF(ISNA(MATCH(O366, Criterios!$D$123:$D$124, 0)), "Ciclo de vida no válido", ""))))</f>
        <v/>
      </c>
      <c r="AC366" s="56" t="n"/>
      <c r="AD366" s="51" t="n">
        <v>1</v>
      </c>
      <c r="AE366" s="156" t="n"/>
      <c r="AF366" s="51" t="n">
        <v>1</v>
      </c>
      <c r="AG366" s="156" t="inlineStr">
        <is>
          <t>Nuevo – NetSuite con existencia</t>
        </is>
      </c>
      <c r="AH36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6" s="156" t="inlineStr">
        <is>
          <t>No</t>
        </is>
      </c>
      <c r="AJ366" s="156" t="n"/>
      <c r="AK366" s="155" t="inlineStr">
        <is>
          <t>G1522_Extraccion_Articulos_NetSuite_2026-09-30.xlsx: fila 43791</t>
        </is>
      </c>
      <c r="AL366" s="58" t="n"/>
      <c r="AM366" s="58" t="n"/>
      <c r="AN366" s="155" t="n"/>
      <c r="AO366" s="59" t="n"/>
      <c r="AP366" s="59" t="n"/>
      <c r="AQ366" s="59" t="n"/>
      <c r="AR366" s="155" t="n"/>
    </row>
    <row r="367">
      <c r="A367" s="50" t="inlineStr">
        <is>
          <t>5056658709609</t>
        </is>
      </c>
      <c r="B367" s="51" t="inlineStr">
        <is>
          <t>91037</t>
        </is>
      </c>
      <c r="C367" s="156" t="inlineStr">
        <is>
          <t>REFLO</t>
        </is>
      </c>
      <c r="D367" s="156" t="n"/>
      <c r="E367" s="156" t="n"/>
      <c r="F367" s="156" t="n"/>
      <c r="G367" s="156" t="n"/>
      <c r="H367" s="156" t="inlineStr">
        <is>
          <t>REFLO</t>
        </is>
      </c>
      <c r="I367" s="156" t="n"/>
      <c r="J367" s="156" t="n"/>
      <c r="K367" s="156" t="n"/>
      <c r="L367" s="156" t="n"/>
      <c r="M367" s="156" t="n"/>
      <c r="N367" s="156" t="n"/>
      <c r="O367" s="156" t="n"/>
      <c r="P367" s="156" t="n"/>
      <c r="Q367" s="156" t="n"/>
      <c r="R367" s="156" t="n"/>
      <c r="S367" s="156" t="n"/>
      <c r="T367" s="156" t="n"/>
      <c r="U367" s="156" t="n"/>
      <c r="V367" s="156" t="inlineStr">
        <is>
          <t>PZS</t>
        </is>
      </c>
      <c r="W367" s="51" t="inlineStr">
        <is>
          <t>53103000</t>
        </is>
      </c>
      <c r="X367" s="156" t="n"/>
      <c r="Y367" s="54" t="n">
        <v>22.75</v>
      </c>
      <c r="Z367" s="54" t="n">
        <v>1649</v>
      </c>
      <c r="AA367" s="55">
        <f>IF(AND(A367="", B367="", E367=""), "", IF(AB367="", "Válido", IF((LEN(AB367)-LEN(SUBSTITUTE(AB367,"; ","")))/2+1&gt;(LEN(AB367)-LEN(SUBSTITUTE(AB367,"[Aviso]","")))/7, "Con Incidencias", "Válido")))</f>
        <v/>
      </c>
      <c r="AB367" s="56">
        <f>IF(AND(A367="", B367="", E367=""), "", TEXTJOIN("; ", TRUE, IF(OR(TRIM(A367&amp;"")="", ISNUMBER(SEARCH("FALTA", A367))), "UPC faltante/inválido", ""), IF(AND(A367&lt;&gt;"", IFERROR(_xlfn.XMATCH(A367,$A$2:$A$653,0,1)&lt;&gt;_xlfn.XMATCH(A367,$A$2:$A$653,0,-1),FALSE)), "Código de barras duplicado", ""), IF(AND(E367&lt;&gt;"", COUNTIF($E$2:$E$653, E367)&gt;1), "SKU duplicado", ""), IF(OR(J367="", J367=""), "[Aviso] División no capturada ()", IF(ISNA(MATCH(J367, Criterios!$A$123:$A$126, 0)), "División no válida", "")), IF(OR(K367="", K367=""), "[Aviso] Categoría no capturada ()", IF(ISNA(MATCH(K367, Criterios!$A$81:$A$120, 0)), "Categoría no válida", IF(AND(J367&lt;&gt;"", J367&lt;&gt;"", J367&lt;&gt;VLOOKUP(K367, Criterios!$A$81:$B$120, 2, FALSE)), "División no coincide con Categoría", ""))), IF(OR(L367="", L367=""), "[Aviso] Género no capturado ()", IF(ISNA(MATCH(L367, Criterios!$B$123:$B$127, 0)), "Género no válido", "")), IF(OR(N367="", N367=""), "[Aviso] Temporada no capturada ()", IF(ISNA(MATCH(N367, Criterios!$C$123:$C$128, 0)), "Temporada no válida", "")), IF(OR(O367="", O367=""), "[Aviso] Ciclo de vida no capturado ()", IF(ISNA(MATCH(O367, Criterios!$D$123:$D$124, 0)), "Ciclo de vida no válido", ""))))</f>
        <v/>
      </c>
      <c r="AC367" s="56" t="n"/>
      <c r="AD367" s="51" t="n">
        <v>11</v>
      </c>
      <c r="AE367" s="156" t="n"/>
      <c r="AF367" s="51" t="n">
        <v>11</v>
      </c>
      <c r="AG367" s="156" t="inlineStr">
        <is>
          <t>Nuevo – NetSuite con existencia</t>
        </is>
      </c>
      <c r="AH36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7" s="156" t="inlineStr">
        <is>
          <t>No</t>
        </is>
      </c>
      <c r="AJ367" s="156" t="n"/>
      <c r="AK367" s="155" t="inlineStr">
        <is>
          <t>G1522_Extraccion_Articulos_NetSuite_2026-09-30.xlsx: fila 43792</t>
        </is>
      </c>
      <c r="AL367" s="58" t="n"/>
      <c r="AM367" s="58" t="n"/>
      <c r="AN367" s="155" t="n"/>
      <c r="AO367" s="59" t="n"/>
      <c r="AP367" s="59" t="n"/>
      <c r="AQ367" s="59" t="n"/>
      <c r="AR367" s="155" t="n"/>
    </row>
    <row r="368">
      <c r="A368" s="50" t="inlineStr">
        <is>
          <t>5056658709616</t>
        </is>
      </c>
      <c r="B368" s="51" t="inlineStr">
        <is>
          <t>91038</t>
        </is>
      </c>
      <c r="C368" s="156" t="inlineStr">
        <is>
          <t>REFLO</t>
        </is>
      </c>
      <c r="D368" s="156" t="n"/>
      <c r="E368" s="156" t="n"/>
      <c r="F368" s="156" t="n"/>
      <c r="G368" s="156" t="n"/>
      <c r="H368" s="156" t="inlineStr">
        <is>
          <t>REFLO</t>
        </is>
      </c>
      <c r="I368" s="156" t="n"/>
      <c r="J368" s="156" t="n"/>
      <c r="K368" s="156" t="n"/>
      <c r="L368" s="156" t="n"/>
      <c r="M368" s="156" t="n"/>
      <c r="N368" s="156" t="n"/>
      <c r="O368" s="156" t="n"/>
      <c r="P368" s="156" t="n"/>
      <c r="Q368" s="156" t="n"/>
      <c r="R368" s="156" t="n"/>
      <c r="S368" s="156" t="n"/>
      <c r="T368" s="156" t="n"/>
      <c r="U368" s="156" t="n"/>
      <c r="V368" s="156" t="inlineStr">
        <is>
          <t>PZS</t>
        </is>
      </c>
      <c r="W368" s="51" t="inlineStr">
        <is>
          <t>53103000</t>
        </is>
      </c>
      <c r="X368" s="156" t="n"/>
      <c r="Y368" s="54" t="n">
        <v>22.75</v>
      </c>
      <c r="Z368" s="54" t="n">
        <v>1649</v>
      </c>
      <c r="AA368" s="55">
        <f>IF(AND(A368="", B368="", E368=""), "", IF(AB368="", "Válido", IF((LEN(AB368)-LEN(SUBSTITUTE(AB368,"; ","")))/2+1&gt;(LEN(AB368)-LEN(SUBSTITUTE(AB368,"[Aviso]","")))/7, "Con Incidencias", "Válido")))</f>
        <v/>
      </c>
      <c r="AB368" s="56">
        <f>IF(AND(A368="", B368="", E368=""), "", TEXTJOIN("; ", TRUE, IF(OR(TRIM(A368&amp;"")="", ISNUMBER(SEARCH("FALTA", A368))), "UPC faltante/inválido", ""), IF(AND(A368&lt;&gt;"", IFERROR(_xlfn.XMATCH(A368,$A$2:$A$653,0,1)&lt;&gt;_xlfn.XMATCH(A368,$A$2:$A$653,0,-1),FALSE)), "Código de barras duplicado", ""), IF(AND(E368&lt;&gt;"", COUNTIF($E$2:$E$653, E368)&gt;1), "SKU duplicado", ""), IF(OR(J368="", J368=""), "[Aviso] División no capturada ()", IF(ISNA(MATCH(J368, Criterios!$A$123:$A$126, 0)), "División no válida", "")), IF(OR(K368="", K368=""), "[Aviso] Categoría no capturada ()", IF(ISNA(MATCH(K368, Criterios!$A$81:$A$120, 0)), "Categoría no válida", IF(AND(J368&lt;&gt;"", J368&lt;&gt;"", J368&lt;&gt;VLOOKUP(K368, Criterios!$A$81:$B$120, 2, FALSE)), "División no coincide con Categoría", ""))), IF(OR(L368="", L368=""), "[Aviso] Género no capturado ()", IF(ISNA(MATCH(L368, Criterios!$B$123:$B$127, 0)), "Género no válido", "")), IF(OR(N368="", N368=""), "[Aviso] Temporada no capturada ()", IF(ISNA(MATCH(N368, Criterios!$C$123:$C$128, 0)), "Temporada no válida", "")), IF(OR(O368="", O368=""), "[Aviso] Ciclo de vida no capturado ()", IF(ISNA(MATCH(O368, Criterios!$D$123:$D$124, 0)), "Ciclo de vida no válido", ""))))</f>
        <v/>
      </c>
      <c r="AC368" s="56" t="n"/>
      <c r="AD368" s="51" t="n">
        <v>13</v>
      </c>
      <c r="AE368" s="156" t="n"/>
      <c r="AF368" s="51" t="n">
        <v>13</v>
      </c>
      <c r="AG368" s="156" t="inlineStr">
        <is>
          <t>Nuevo – NetSuite con existencia</t>
        </is>
      </c>
      <c r="AH36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8" s="156" t="inlineStr">
        <is>
          <t>No</t>
        </is>
      </c>
      <c r="AJ368" s="156" t="n"/>
      <c r="AK368" s="155" t="inlineStr">
        <is>
          <t>G1522_Extraccion_Articulos_NetSuite_2026-09-30.xlsx: fila 43793</t>
        </is>
      </c>
      <c r="AL368" s="58" t="n"/>
      <c r="AM368" s="58" t="n"/>
      <c r="AN368" s="155" t="n"/>
      <c r="AO368" s="59" t="n"/>
      <c r="AP368" s="59" t="n"/>
      <c r="AQ368" s="59" t="n"/>
      <c r="AR368" s="155" t="n"/>
    </row>
    <row r="369">
      <c r="A369" s="50" t="inlineStr">
        <is>
          <t>5056658709623</t>
        </is>
      </c>
      <c r="B369" s="51" t="inlineStr">
        <is>
          <t>91039</t>
        </is>
      </c>
      <c r="C369" s="156" t="inlineStr">
        <is>
          <t>REFLO</t>
        </is>
      </c>
      <c r="D369" s="156" t="n"/>
      <c r="E369" s="156" t="n"/>
      <c r="F369" s="156" t="n"/>
      <c r="G369" s="156" t="n"/>
      <c r="H369" s="156" t="inlineStr">
        <is>
          <t>REFLO</t>
        </is>
      </c>
      <c r="I369" s="156" t="n"/>
      <c r="J369" s="156" t="n"/>
      <c r="K369" s="156" t="n"/>
      <c r="L369" s="156" t="n"/>
      <c r="M369" s="156" t="n"/>
      <c r="N369" s="156" t="n"/>
      <c r="O369" s="156" t="n"/>
      <c r="P369" s="156" t="n"/>
      <c r="Q369" s="156" t="n"/>
      <c r="R369" s="156" t="n"/>
      <c r="S369" s="156" t="n"/>
      <c r="T369" s="156" t="n"/>
      <c r="U369" s="156" t="n"/>
      <c r="V369" s="156" t="inlineStr">
        <is>
          <t>PZS</t>
        </is>
      </c>
      <c r="W369" s="51" t="inlineStr">
        <is>
          <t>53103000</t>
        </is>
      </c>
      <c r="X369" s="156" t="n"/>
      <c r="Y369" s="54" t="n">
        <v>22.75</v>
      </c>
      <c r="Z369" s="54" t="n">
        <v>1649</v>
      </c>
      <c r="AA369" s="55">
        <f>IF(AND(A369="", B369="", E369=""), "", IF(AB369="", "Válido", IF((LEN(AB369)-LEN(SUBSTITUTE(AB369,"; ","")))/2+1&gt;(LEN(AB369)-LEN(SUBSTITUTE(AB369,"[Aviso]","")))/7, "Con Incidencias", "Válido")))</f>
        <v/>
      </c>
      <c r="AB369" s="56">
        <f>IF(AND(A369="", B369="", E369=""), "", TEXTJOIN("; ", TRUE, IF(OR(TRIM(A369&amp;"")="", ISNUMBER(SEARCH("FALTA", A369))), "UPC faltante/inválido", ""), IF(AND(A369&lt;&gt;"", IFERROR(_xlfn.XMATCH(A369,$A$2:$A$653,0,1)&lt;&gt;_xlfn.XMATCH(A369,$A$2:$A$653,0,-1),FALSE)), "Código de barras duplicado", ""), IF(AND(E369&lt;&gt;"", COUNTIF($E$2:$E$653, E369)&gt;1), "SKU duplicado", ""), IF(OR(J369="", J369=""), "[Aviso] División no capturada ()", IF(ISNA(MATCH(J369, Criterios!$A$123:$A$126, 0)), "División no válida", "")), IF(OR(K369="", K369=""), "[Aviso] Categoría no capturada ()", IF(ISNA(MATCH(K369, Criterios!$A$81:$A$120, 0)), "Categoría no válida", IF(AND(J369&lt;&gt;"", J369&lt;&gt;"", J369&lt;&gt;VLOOKUP(K369, Criterios!$A$81:$B$120, 2, FALSE)), "División no coincide con Categoría", ""))), IF(OR(L369="", L369=""), "[Aviso] Género no capturado ()", IF(ISNA(MATCH(L369, Criterios!$B$123:$B$127, 0)), "Género no válido", "")), IF(OR(N369="", N369=""), "[Aviso] Temporada no capturada ()", IF(ISNA(MATCH(N369, Criterios!$C$123:$C$128, 0)), "Temporada no válida", "")), IF(OR(O369="", O369=""), "[Aviso] Ciclo de vida no capturado ()", IF(ISNA(MATCH(O369, Criterios!$D$123:$D$124, 0)), "Ciclo de vida no válido", ""))))</f>
        <v/>
      </c>
      <c r="AC369" s="56" t="n"/>
      <c r="AD369" s="51" t="n">
        <v>7</v>
      </c>
      <c r="AE369" s="156" t="n"/>
      <c r="AF369" s="51" t="n">
        <v>7</v>
      </c>
      <c r="AG369" s="156" t="inlineStr">
        <is>
          <t>Nuevo – NetSuite con existencia</t>
        </is>
      </c>
      <c r="AH36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9" s="156" t="inlineStr">
        <is>
          <t>No</t>
        </is>
      </c>
      <c r="AJ369" s="156" t="n"/>
      <c r="AK369" s="155" t="inlineStr">
        <is>
          <t>G1522_Extraccion_Articulos_NetSuite_2026-09-30.xlsx: fila 43794</t>
        </is>
      </c>
      <c r="AL369" s="58" t="n"/>
      <c r="AM369" s="58" t="n"/>
      <c r="AN369" s="155" t="n"/>
      <c r="AO369" s="59" t="n"/>
      <c r="AP369" s="59" t="n"/>
      <c r="AQ369" s="59" t="n"/>
      <c r="AR369" s="155" t="n"/>
    </row>
    <row r="370">
      <c r="A370" s="50" t="inlineStr">
        <is>
          <t>5056658714245</t>
        </is>
      </c>
      <c r="B370" s="51" t="inlineStr">
        <is>
          <t>91040</t>
        </is>
      </c>
      <c r="C370" s="156" t="inlineStr">
        <is>
          <t>REFLO</t>
        </is>
      </c>
      <c r="D370" s="156" t="n"/>
      <c r="E370" s="156" t="n"/>
      <c r="F370" s="156" t="n"/>
      <c r="G370" s="156" t="n"/>
      <c r="H370" s="156" t="inlineStr">
        <is>
          <t>REFLO</t>
        </is>
      </c>
      <c r="I370" s="156" t="n"/>
      <c r="J370" s="156" t="n"/>
      <c r="K370" s="156" t="n"/>
      <c r="L370" s="156" t="n"/>
      <c r="M370" s="156" t="n"/>
      <c r="N370" s="156" t="n"/>
      <c r="O370" s="156" t="n"/>
      <c r="P370" s="156" t="n"/>
      <c r="Q370" s="156" t="n"/>
      <c r="R370" s="156" t="n"/>
      <c r="S370" s="156" t="n"/>
      <c r="T370" s="156" t="n"/>
      <c r="U370" s="156" t="n"/>
      <c r="V370" s="156" t="inlineStr">
        <is>
          <t>PZS</t>
        </is>
      </c>
      <c r="W370" s="51" t="inlineStr">
        <is>
          <t>53103000</t>
        </is>
      </c>
      <c r="X370" s="156" t="n"/>
      <c r="Y370" s="54" t="n">
        <v>22.75</v>
      </c>
      <c r="Z370" s="54" t="n">
        <v>1649</v>
      </c>
      <c r="AA370" s="55">
        <f>IF(AND(A370="", B370="", E370=""), "", IF(AB370="", "Válido", IF((LEN(AB370)-LEN(SUBSTITUTE(AB370,"; ","")))/2+1&gt;(LEN(AB370)-LEN(SUBSTITUTE(AB370,"[Aviso]","")))/7, "Con Incidencias", "Válido")))</f>
        <v/>
      </c>
      <c r="AB370" s="56">
        <f>IF(AND(A370="", B370="", E370=""), "", TEXTJOIN("; ", TRUE, IF(OR(TRIM(A370&amp;"")="", ISNUMBER(SEARCH("FALTA", A370))), "UPC faltante/inválido", ""), IF(AND(A370&lt;&gt;"", IFERROR(_xlfn.XMATCH(A370,$A$2:$A$653,0,1)&lt;&gt;_xlfn.XMATCH(A370,$A$2:$A$653,0,-1),FALSE)), "Código de barras duplicado", ""), IF(AND(E370&lt;&gt;"", COUNTIF($E$2:$E$653, E370)&gt;1), "SKU duplicado", ""), IF(OR(J370="", J370=""), "[Aviso] División no capturada ()", IF(ISNA(MATCH(J370, Criterios!$A$123:$A$126, 0)), "División no válida", "")), IF(OR(K370="", K370=""), "[Aviso] Categoría no capturada ()", IF(ISNA(MATCH(K370, Criterios!$A$81:$A$120, 0)), "Categoría no válida", IF(AND(J370&lt;&gt;"", J370&lt;&gt;"", J370&lt;&gt;VLOOKUP(K370, Criterios!$A$81:$B$120, 2, FALSE)), "División no coincide con Categoría", ""))), IF(OR(L370="", L370=""), "[Aviso] Género no capturado ()", IF(ISNA(MATCH(L370, Criterios!$B$123:$B$127, 0)), "Género no válido", "")), IF(OR(N370="", N370=""), "[Aviso] Temporada no capturada ()", IF(ISNA(MATCH(N370, Criterios!$C$123:$C$128, 0)), "Temporada no válida", "")), IF(OR(O370="", O370=""), "[Aviso] Ciclo de vida no capturado ()", IF(ISNA(MATCH(O370, Criterios!$D$123:$D$124, 0)), "Ciclo de vida no válido", ""))))</f>
        <v/>
      </c>
      <c r="AC370" s="56" t="n"/>
      <c r="AD370" s="51" t="n">
        <v>2</v>
      </c>
      <c r="AE370" s="156" t="n"/>
      <c r="AF370" s="51" t="n">
        <v>2</v>
      </c>
      <c r="AG370" s="156" t="inlineStr">
        <is>
          <t>Nuevo – NetSuite con existencia</t>
        </is>
      </c>
      <c r="AH37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0" s="156" t="inlineStr">
        <is>
          <t>No</t>
        </is>
      </c>
      <c r="AJ370" s="156" t="n"/>
      <c r="AK370" s="155" t="inlineStr">
        <is>
          <t>G1522_Extraccion_Articulos_NetSuite_2026-09-30.xlsx: fila 43795</t>
        </is>
      </c>
      <c r="AL370" s="58" t="n"/>
      <c r="AM370" s="58" t="n"/>
      <c r="AN370" s="155" t="n"/>
      <c r="AO370" s="59" t="n"/>
      <c r="AP370" s="59" t="n"/>
      <c r="AQ370" s="59" t="n"/>
      <c r="AR370" s="155" t="n"/>
    </row>
    <row r="371">
      <c r="A371" s="50" t="inlineStr">
        <is>
          <t>5056658709760</t>
        </is>
      </c>
      <c r="B371" s="51" t="inlineStr">
        <is>
          <t>91041</t>
        </is>
      </c>
      <c r="C371" s="156" t="inlineStr">
        <is>
          <t>REFLO</t>
        </is>
      </c>
      <c r="D371" s="156" t="n"/>
      <c r="E371" s="156" t="n"/>
      <c r="F371" s="156" t="n"/>
      <c r="G371" s="156" t="n"/>
      <c r="H371" s="156" t="inlineStr">
        <is>
          <t>REFLO</t>
        </is>
      </c>
      <c r="I371" s="156" t="n"/>
      <c r="J371" s="156" t="n"/>
      <c r="K371" s="156" t="n"/>
      <c r="L371" s="156" t="n"/>
      <c r="M371" s="156" t="n"/>
      <c r="N371" s="156" t="n"/>
      <c r="O371" s="156" t="n"/>
      <c r="P371" s="156" t="n"/>
      <c r="Q371" s="156" t="n"/>
      <c r="R371" s="156" t="n"/>
      <c r="S371" s="156" t="n"/>
      <c r="T371" s="156" t="n"/>
      <c r="U371" s="156" t="n"/>
      <c r="V371" s="156" t="inlineStr">
        <is>
          <t>PZS</t>
        </is>
      </c>
      <c r="W371" s="51" t="inlineStr">
        <is>
          <t>53103000</t>
        </is>
      </c>
      <c r="X371" s="156" t="n"/>
      <c r="Y371" s="54" t="n">
        <v>22.75</v>
      </c>
      <c r="Z371" s="54" t="n">
        <v>1649</v>
      </c>
      <c r="AA371" s="55">
        <f>IF(AND(A371="", B371="", E371=""), "", IF(AB371="", "Válido", IF((LEN(AB371)-LEN(SUBSTITUTE(AB371,"; ","")))/2+1&gt;(LEN(AB371)-LEN(SUBSTITUTE(AB371,"[Aviso]","")))/7, "Con Incidencias", "Válido")))</f>
        <v/>
      </c>
      <c r="AB371" s="56">
        <f>IF(AND(A371="", B371="", E371=""), "", TEXTJOIN("; ", TRUE, IF(OR(TRIM(A371&amp;"")="", ISNUMBER(SEARCH("FALTA", A371))), "UPC faltante/inválido", ""), IF(AND(A371&lt;&gt;"", IFERROR(_xlfn.XMATCH(A371,$A$2:$A$653,0,1)&lt;&gt;_xlfn.XMATCH(A371,$A$2:$A$653,0,-1),FALSE)), "Código de barras duplicado", ""), IF(AND(E371&lt;&gt;"", COUNTIF($E$2:$E$653, E371)&gt;1), "SKU duplicado", ""), IF(OR(J371="", J371=""), "[Aviso] División no capturada ()", IF(ISNA(MATCH(J371, Criterios!$A$123:$A$126, 0)), "División no válida", "")), IF(OR(K371="", K371=""), "[Aviso] Categoría no capturada ()", IF(ISNA(MATCH(K371, Criterios!$A$81:$A$120, 0)), "Categoría no válida", IF(AND(J371&lt;&gt;"", J371&lt;&gt;"", J371&lt;&gt;VLOOKUP(K371, Criterios!$A$81:$B$120, 2, FALSE)), "División no coincide con Categoría", ""))), IF(OR(L371="", L371=""), "[Aviso] Género no capturado ()", IF(ISNA(MATCH(L371, Criterios!$B$123:$B$127, 0)), "Género no válido", "")), IF(OR(N371="", N371=""), "[Aviso] Temporada no capturada ()", IF(ISNA(MATCH(N371, Criterios!$C$123:$C$128, 0)), "Temporada no válida", "")), IF(OR(O371="", O371=""), "[Aviso] Ciclo de vida no capturado ()", IF(ISNA(MATCH(O371, Criterios!$D$123:$D$124, 0)), "Ciclo de vida no válido", ""))))</f>
        <v/>
      </c>
      <c r="AC371" s="56" t="n"/>
      <c r="AD371" s="51" t="n">
        <v>1</v>
      </c>
      <c r="AE371" s="156" t="n"/>
      <c r="AF371" s="51" t="n">
        <v>1</v>
      </c>
      <c r="AG371" s="156" t="inlineStr">
        <is>
          <t>Nuevo – NetSuite con existencia</t>
        </is>
      </c>
      <c r="AH37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1" s="156" t="inlineStr">
        <is>
          <t>No</t>
        </is>
      </c>
      <c r="AJ371" s="156" t="n"/>
      <c r="AK371" s="155" t="inlineStr">
        <is>
          <t>G1522_Extraccion_Articulos_NetSuite_2026-09-30.xlsx: fila 43796</t>
        </is>
      </c>
      <c r="AL371" s="58" t="n"/>
      <c r="AM371" s="58" t="n"/>
      <c r="AN371" s="155" t="n"/>
      <c r="AO371" s="59" t="n"/>
      <c r="AP371" s="59" t="n"/>
      <c r="AQ371" s="59" t="n"/>
      <c r="AR371" s="155" t="n"/>
    </row>
    <row r="372">
      <c r="A372" s="50" t="inlineStr">
        <is>
          <t>5056658709777</t>
        </is>
      </c>
      <c r="B372" s="51" t="inlineStr">
        <is>
          <t>91042</t>
        </is>
      </c>
      <c r="C372" s="156" t="inlineStr">
        <is>
          <t>REFLO</t>
        </is>
      </c>
      <c r="D372" s="156" t="n"/>
      <c r="E372" s="156" t="n"/>
      <c r="F372" s="156" t="n"/>
      <c r="G372" s="156" t="n"/>
      <c r="H372" s="156" t="inlineStr">
        <is>
          <t>REFLO</t>
        </is>
      </c>
      <c r="I372" s="156" t="n"/>
      <c r="J372" s="156" t="n"/>
      <c r="K372" s="156" t="n"/>
      <c r="L372" s="156" t="n"/>
      <c r="M372" s="156" t="n"/>
      <c r="N372" s="156" t="n"/>
      <c r="O372" s="156" t="n"/>
      <c r="P372" s="156" t="n"/>
      <c r="Q372" s="156" t="n"/>
      <c r="R372" s="156" t="n"/>
      <c r="S372" s="156" t="n"/>
      <c r="T372" s="156" t="n"/>
      <c r="U372" s="156" t="n"/>
      <c r="V372" s="156" t="inlineStr">
        <is>
          <t>PZS</t>
        </is>
      </c>
      <c r="W372" s="51" t="inlineStr">
        <is>
          <t>53103000</t>
        </is>
      </c>
      <c r="X372" s="156" t="n"/>
      <c r="Y372" s="54" t="n">
        <v>22.75</v>
      </c>
      <c r="Z372" s="54" t="n">
        <v>1649</v>
      </c>
      <c r="AA372" s="55">
        <f>IF(AND(A372="", B372="", E372=""), "", IF(AB372="", "Válido", IF((LEN(AB372)-LEN(SUBSTITUTE(AB372,"; ","")))/2+1&gt;(LEN(AB372)-LEN(SUBSTITUTE(AB372,"[Aviso]","")))/7, "Con Incidencias", "Válido")))</f>
        <v/>
      </c>
      <c r="AB372" s="56">
        <f>IF(AND(A372="", B372="", E372=""), "", TEXTJOIN("; ", TRUE, IF(OR(TRIM(A372&amp;"")="", ISNUMBER(SEARCH("FALTA", A372))), "UPC faltante/inválido", ""), IF(AND(A372&lt;&gt;"", IFERROR(_xlfn.XMATCH(A372,$A$2:$A$653,0,1)&lt;&gt;_xlfn.XMATCH(A372,$A$2:$A$653,0,-1),FALSE)), "Código de barras duplicado", ""), IF(AND(E372&lt;&gt;"", COUNTIF($E$2:$E$653, E372)&gt;1), "SKU duplicado", ""), IF(OR(J372="", J372=""), "[Aviso] División no capturada ()", IF(ISNA(MATCH(J372, Criterios!$A$123:$A$126, 0)), "División no válida", "")), IF(OR(K372="", K372=""), "[Aviso] Categoría no capturada ()", IF(ISNA(MATCH(K372, Criterios!$A$81:$A$120, 0)), "Categoría no válida", IF(AND(J372&lt;&gt;"", J372&lt;&gt;"", J372&lt;&gt;VLOOKUP(K372, Criterios!$A$81:$B$120, 2, FALSE)), "División no coincide con Categoría", ""))), IF(OR(L372="", L372=""), "[Aviso] Género no capturado ()", IF(ISNA(MATCH(L372, Criterios!$B$123:$B$127, 0)), "Género no válido", "")), IF(OR(N372="", N372=""), "[Aviso] Temporada no capturada ()", IF(ISNA(MATCH(N372, Criterios!$C$123:$C$128, 0)), "Temporada no válida", "")), IF(OR(O372="", O372=""), "[Aviso] Ciclo de vida no capturado ()", IF(ISNA(MATCH(O372, Criterios!$D$123:$D$124, 0)), "Ciclo de vida no válido", ""))))</f>
        <v/>
      </c>
      <c r="AC372" s="56" t="n"/>
      <c r="AD372" s="51" t="n">
        <v>0</v>
      </c>
      <c r="AE372" s="156" t="n"/>
      <c r="AF372" s="51" t="n">
        <v>0</v>
      </c>
      <c r="AG372" s="156" t="inlineStr">
        <is>
          <t>Nuevo – NetSuite sin existencia</t>
        </is>
      </c>
      <c r="AH37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2" s="156" t="inlineStr">
        <is>
          <t>No</t>
        </is>
      </c>
      <c r="AJ372" s="156" t="n"/>
      <c r="AK372" s="155" t="inlineStr">
        <is>
          <t>G1522_Extraccion_Articulos_NetSuite_2026-09-30.xlsx: fila 43797</t>
        </is>
      </c>
      <c r="AL372" s="58" t="n"/>
      <c r="AM372" s="58" t="n"/>
      <c r="AN372" s="155" t="n"/>
      <c r="AO372" s="59" t="n"/>
      <c r="AP372" s="59" t="n"/>
      <c r="AQ372" s="59" t="n"/>
      <c r="AR372" s="155" t="n"/>
    </row>
    <row r="373">
      <c r="A373" s="50" t="inlineStr">
        <is>
          <t>5056658709784</t>
        </is>
      </c>
      <c r="B373" s="51" t="inlineStr">
        <is>
          <t>91043</t>
        </is>
      </c>
      <c r="C373" s="156" t="inlineStr">
        <is>
          <t>REFLO</t>
        </is>
      </c>
      <c r="D373" s="156" t="n"/>
      <c r="E373" s="156" t="n"/>
      <c r="F373" s="156" t="n"/>
      <c r="G373" s="156" t="n"/>
      <c r="H373" s="156" t="inlineStr">
        <is>
          <t>REFLO</t>
        </is>
      </c>
      <c r="I373" s="156" t="n"/>
      <c r="J373" s="156" t="n"/>
      <c r="K373" s="156" t="n"/>
      <c r="L373" s="156" t="n"/>
      <c r="M373" s="156" t="n"/>
      <c r="N373" s="156" t="n"/>
      <c r="O373" s="156" t="n"/>
      <c r="P373" s="156" t="n"/>
      <c r="Q373" s="156" t="n"/>
      <c r="R373" s="156" t="n"/>
      <c r="S373" s="156" t="n"/>
      <c r="T373" s="156" t="n"/>
      <c r="U373" s="156" t="n"/>
      <c r="V373" s="156" t="inlineStr">
        <is>
          <t>PZS</t>
        </is>
      </c>
      <c r="W373" s="51" t="inlineStr">
        <is>
          <t>53103000</t>
        </is>
      </c>
      <c r="X373" s="156" t="n"/>
      <c r="Y373" s="54" t="n">
        <v>22.75</v>
      </c>
      <c r="Z373" s="54" t="n">
        <v>1649</v>
      </c>
      <c r="AA373" s="55">
        <f>IF(AND(A373="", B373="", E373=""), "", IF(AB373="", "Válido", IF((LEN(AB373)-LEN(SUBSTITUTE(AB373,"; ","")))/2+1&gt;(LEN(AB373)-LEN(SUBSTITUTE(AB373,"[Aviso]","")))/7, "Con Incidencias", "Válido")))</f>
        <v/>
      </c>
      <c r="AB373" s="56">
        <f>IF(AND(A373="", B373="", E373=""), "", TEXTJOIN("; ", TRUE, IF(OR(TRIM(A373&amp;"")="", ISNUMBER(SEARCH("FALTA", A373))), "UPC faltante/inválido", ""), IF(AND(A373&lt;&gt;"", IFERROR(_xlfn.XMATCH(A373,$A$2:$A$653,0,1)&lt;&gt;_xlfn.XMATCH(A373,$A$2:$A$653,0,-1),FALSE)), "Código de barras duplicado", ""), IF(AND(E373&lt;&gt;"", COUNTIF($E$2:$E$653, E373)&gt;1), "SKU duplicado", ""), IF(OR(J373="", J373=""), "[Aviso] División no capturada ()", IF(ISNA(MATCH(J373, Criterios!$A$123:$A$126, 0)), "División no válida", "")), IF(OR(K373="", K373=""), "[Aviso] Categoría no capturada ()", IF(ISNA(MATCH(K373, Criterios!$A$81:$A$120, 0)), "Categoría no válida", IF(AND(J373&lt;&gt;"", J373&lt;&gt;"", J373&lt;&gt;VLOOKUP(K373, Criterios!$A$81:$B$120, 2, FALSE)), "División no coincide con Categoría", ""))), IF(OR(L373="", L373=""), "[Aviso] Género no capturado ()", IF(ISNA(MATCH(L373, Criterios!$B$123:$B$127, 0)), "Género no válido", "")), IF(OR(N373="", N373=""), "[Aviso] Temporada no capturada ()", IF(ISNA(MATCH(N373, Criterios!$C$123:$C$128, 0)), "Temporada no válida", "")), IF(OR(O373="", O373=""), "[Aviso] Ciclo de vida no capturado ()", IF(ISNA(MATCH(O373, Criterios!$D$123:$D$124, 0)), "Ciclo de vida no válido", ""))))</f>
        <v/>
      </c>
      <c r="AC373" s="56" t="n"/>
      <c r="AD373" s="51" t="n">
        <v>9</v>
      </c>
      <c r="AE373" s="156" t="n"/>
      <c r="AF373" s="51" t="n">
        <v>9</v>
      </c>
      <c r="AG373" s="156" t="inlineStr">
        <is>
          <t>Nuevo – NetSuite con existencia</t>
        </is>
      </c>
      <c r="AH37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3" s="156" t="inlineStr">
        <is>
          <t>No</t>
        </is>
      </c>
      <c r="AJ373" s="156" t="n"/>
      <c r="AK373" s="155" t="inlineStr">
        <is>
          <t>G1522_Extraccion_Articulos_NetSuite_2026-09-30.xlsx: fila 43798</t>
        </is>
      </c>
      <c r="AL373" s="58" t="n"/>
      <c r="AM373" s="58" t="n"/>
      <c r="AN373" s="155" t="n"/>
      <c r="AO373" s="59" t="n"/>
      <c r="AP373" s="59" t="n"/>
      <c r="AQ373" s="59" t="n"/>
      <c r="AR373" s="155" t="n"/>
    </row>
    <row r="374">
      <c r="A374" s="50" t="inlineStr">
        <is>
          <t>5056658709791</t>
        </is>
      </c>
      <c r="B374" s="51" t="inlineStr">
        <is>
          <t>91044</t>
        </is>
      </c>
      <c r="C374" s="156" t="inlineStr">
        <is>
          <t>REFLO</t>
        </is>
      </c>
      <c r="D374" s="156" t="n"/>
      <c r="E374" s="156" t="n"/>
      <c r="F374" s="156" t="n"/>
      <c r="G374" s="156" t="n"/>
      <c r="H374" s="156" t="inlineStr">
        <is>
          <t>REFLO</t>
        </is>
      </c>
      <c r="I374" s="156" t="n"/>
      <c r="J374" s="156" t="n"/>
      <c r="K374" s="156" t="n"/>
      <c r="L374" s="156" t="n"/>
      <c r="M374" s="156" t="n"/>
      <c r="N374" s="156" t="n"/>
      <c r="O374" s="156" t="n"/>
      <c r="P374" s="156" t="n"/>
      <c r="Q374" s="156" t="n"/>
      <c r="R374" s="156" t="n"/>
      <c r="S374" s="156" t="n"/>
      <c r="T374" s="156" t="n"/>
      <c r="U374" s="156" t="n"/>
      <c r="V374" s="156" t="inlineStr">
        <is>
          <t>PZS</t>
        </is>
      </c>
      <c r="W374" s="51" t="inlineStr">
        <is>
          <t>53103000</t>
        </is>
      </c>
      <c r="X374" s="156" t="n"/>
      <c r="Y374" s="54" t="n">
        <v>22.75</v>
      </c>
      <c r="Z374" s="54" t="n">
        <v>1649</v>
      </c>
      <c r="AA374" s="55">
        <f>IF(AND(A374="", B374="", E374=""), "", IF(AB374="", "Válido", IF((LEN(AB374)-LEN(SUBSTITUTE(AB374,"; ","")))/2+1&gt;(LEN(AB374)-LEN(SUBSTITUTE(AB374,"[Aviso]","")))/7, "Con Incidencias", "Válido")))</f>
        <v/>
      </c>
      <c r="AB374" s="56">
        <f>IF(AND(A374="", B374="", E374=""), "", TEXTJOIN("; ", TRUE, IF(OR(TRIM(A374&amp;"")="", ISNUMBER(SEARCH("FALTA", A374))), "UPC faltante/inválido", ""), IF(AND(A374&lt;&gt;"", IFERROR(_xlfn.XMATCH(A374,$A$2:$A$653,0,1)&lt;&gt;_xlfn.XMATCH(A374,$A$2:$A$653,0,-1),FALSE)), "Código de barras duplicado", ""), IF(AND(E374&lt;&gt;"", COUNTIF($E$2:$E$653, E374)&gt;1), "SKU duplicado", ""), IF(OR(J374="", J374=""), "[Aviso] División no capturada ()", IF(ISNA(MATCH(J374, Criterios!$A$123:$A$126, 0)), "División no válida", "")), IF(OR(K374="", K374=""), "[Aviso] Categoría no capturada ()", IF(ISNA(MATCH(K374, Criterios!$A$81:$A$120, 0)), "Categoría no válida", IF(AND(J374&lt;&gt;"", J374&lt;&gt;"", J374&lt;&gt;VLOOKUP(K374, Criterios!$A$81:$B$120, 2, FALSE)), "División no coincide con Categoría", ""))), IF(OR(L374="", L374=""), "[Aviso] Género no capturado ()", IF(ISNA(MATCH(L374, Criterios!$B$123:$B$127, 0)), "Género no válido", "")), IF(OR(N374="", N374=""), "[Aviso] Temporada no capturada ()", IF(ISNA(MATCH(N374, Criterios!$C$123:$C$128, 0)), "Temporada no válida", "")), IF(OR(O374="", O374=""), "[Aviso] Ciclo de vida no capturado ()", IF(ISNA(MATCH(O374, Criterios!$D$123:$D$124, 0)), "Ciclo de vida no válido", ""))))</f>
        <v/>
      </c>
      <c r="AC374" s="56" t="n"/>
      <c r="AD374" s="51" t="n">
        <v>12</v>
      </c>
      <c r="AE374" s="156" t="n"/>
      <c r="AF374" s="51" t="n">
        <v>12</v>
      </c>
      <c r="AG374" s="156" t="inlineStr">
        <is>
          <t>Nuevo – NetSuite con existencia</t>
        </is>
      </c>
      <c r="AH37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4" s="156" t="inlineStr">
        <is>
          <t>No</t>
        </is>
      </c>
      <c r="AJ374" s="156" t="n"/>
      <c r="AK374" s="155" t="inlineStr">
        <is>
          <t>G1522_Extraccion_Articulos_NetSuite_2026-09-30.xlsx: fila 43799</t>
        </is>
      </c>
      <c r="AL374" s="58" t="n"/>
      <c r="AM374" s="58" t="n"/>
      <c r="AN374" s="155" t="n"/>
      <c r="AO374" s="59" t="n"/>
      <c r="AP374" s="59" t="n"/>
      <c r="AQ374" s="59" t="n"/>
      <c r="AR374" s="155" t="n"/>
    </row>
    <row r="375">
      <c r="A375" s="50" t="inlineStr">
        <is>
          <t>5056658709807</t>
        </is>
      </c>
      <c r="B375" s="51" t="inlineStr">
        <is>
          <t>91045</t>
        </is>
      </c>
      <c r="C375" s="156" t="inlineStr">
        <is>
          <t>REFLO</t>
        </is>
      </c>
      <c r="D375" s="156" t="n"/>
      <c r="E375" s="156" t="n"/>
      <c r="F375" s="156" t="n"/>
      <c r="G375" s="156" t="n"/>
      <c r="H375" s="156" t="inlineStr">
        <is>
          <t>REFLO</t>
        </is>
      </c>
      <c r="I375" s="156" t="n"/>
      <c r="J375" s="156" t="n"/>
      <c r="K375" s="156" t="n"/>
      <c r="L375" s="156" t="n"/>
      <c r="M375" s="156" t="n"/>
      <c r="N375" s="156" t="n"/>
      <c r="O375" s="156" t="n"/>
      <c r="P375" s="156" t="n"/>
      <c r="Q375" s="156" t="n"/>
      <c r="R375" s="156" t="n"/>
      <c r="S375" s="156" t="n"/>
      <c r="T375" s="156" t="n"/>
      <c r="U375" s="156" t="n"/>
      <c r="V375" s="156" t="inlineStr">
        <is>
          <t>PZS</t>
        </is>
      </c>
      <c r="W375" s="51" t="inlineStr">
        <is>
          <t>53103000</t>
        </is>
      </c>
      <c r="X375" s="156" t="n"/>
      <c r="Y375" s="54" t="n">
        <v>22.75</v>
      </c>
      <c r="Z375" s="54" t="n">
        <v>1649</v>
      </c>
      <c r="AA375" s="55">
        <f>IF(AND(A375="", B375="", E375=""), "", IF(AB375="", "Válido", IF((LEN(AB375)-LEN(SUBSTITUTE(AB375,"; ","")))/2+1&gt;(LEN(AB375)-LEN(SUBSTITUTE(AB375,"[Aviso]","")))/7, "Con Incidencias", "Válido")))</f>
        <v/>
      </c>
      <c r="AB375" s="56">
        <f>IF(AND(A375="", B375="", E375=""), "", TEXTJOIN("; ", TRUE, IF(OR(TRIM(A375&amp;"")="", ISNUMBER(SEARCH("FALTA", A375))), "UPC faltante/inválido", ""), IF(AND(A375&lt;&gt;"", IFERROR(_xlfn.XMATCH(A375,$A$2:$A$653,0,1)&lt;&gt;_xlfn.XMATCH(A375,$A$2:$A$653,0,-1),FALSE)), "Código de barras duplicado", ""), IF(AND(E375&lt;&gt;"", COUNTIF($E$2:$E$653, E375)&gt;1), "SKU duplicado", ""), IF(OR(J375="", J375=""), "[Aviso] División no capturada ()", IF(ISNA(MATCH(J375, Criterios!$A$123:$A$126, 0)), "División no válida", "")), IF(OR(K375="", K375=""), "[Aviso] Categoría no capturada ()", IF(ISNA(MATCH(K375, Criterios!$A$81:$A$120, 0)), "Categoría no válida", IF(AND(J375&lt;&gt;"", J375&lt;&gt;"", J375&lt;&gt;VLOOKUP(K375, Criterios!$A$81:$B$120, 2, FALSE)), "División no coincide con Categoría", ""))), IF(OR(L375="", L375=""), "[Aviso] Género no capturado ()", IF(ISNA(MATCH(L375, Criterios!$B$123:$B$127, 0)), "Género no válido", "")), IF(OR(N375="", N375=""), "[Aviso] Temporada no capturada ()", IF(ISNA(MATCH(N375, Criterios!$C$123:$C$128, 0)), "Temporada no válida", "")), IF(OR(O375="", O375=""), "[Aviso] Ciclo de vida no capturado ()", IF(ISNA(MATCH(O375, Criterios!$D$123:$D$124, 0)), "Ciclo de vida no válido", ""))))</f>
        <v/>
      </c>
      <c r="AC375" s="56" t="n"/>
      <c r="AD375" s="51" t="n">
        <v>7</v>
      </c>
      <c r="AE375" s="156" t="n"/>
      <c r="AF375" s="51" t="n">
        <v>7</v>
      </c>
      <c r="AG375" s="156" t="inlineStr">
        <is>
          <t>Nuevo – NetSuite con existencia</t>
        </is>
      </c>
      <c r="AH37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5" s="156" t="inlineStr">
        <is>
          <t>No</t>
        </is>
      </c>
      <c r="AJ375" s="156" t="n"/>
      <c r="AK375" s="155" t="inlineStr">
        <is>
          <t>G1522_Extraccion_Articulos_NetSuite_2026-09-30.xlsx: fila 43800</t>
        </is>
      </c>
      <c r="AL375" s="58" t="n"/>
      <c r="AM375" s="58" t="n"/>
      <c r="AN375" s="155" t="n"/>
      <c r="AO375" s="59" t="n"/>
      <c r="AP375" s="59" t="n"/>
      <c r="AQ375" s="59" t="n"/>
      <c r="AR375" s="155" t="n"/>
    </row>
    <row r="376">
      <c r="A376" s="50" t="inlineStr">
        <is>
          <t>5056658714276</t>
        </is>
      </c>
      <c r="B376" s="51" t="inlineStr">
        <is>
          <t>91046</t>
        </is>
      </c>
      <c r="C376" s="156" t="inlineStr">
        <is>
          <t>REFLO</t>
        </is>
      </c>
      <c r="D376" s="156" t="n"/>
      <c r="E376" s="156" t="n"/>
      <c r="F376" s="156" t="n"/>
      <c r="G376" s="156" t="n"/>
      <c r="H376" s="156" t="inlineStr">
        <is>
          <t>REFLO</t>
        </is>
      </c>
      <c r="I376" s="156" t="n"/>
      <c r="J376" s="156" t="n"/>
      <c r="K376" s="156" t="n"/>
      <c r="L376" s="156" t="n"/>
      <c r="M376" s="156" t="n"/>
      <c r="N376" s="156" t="n"/>
      <c r="O376" s="156" t="n"/>
      <c r="P376" s="156" t="n"/>
      <c r="Q376" s="156" t="n"/>
      <c r="R376" s="156" t="n"/>
      <c r="S376" s="156" t="n"/>
      <c r="T376" s="156" t="n"/>
      <c r="U376" s="156" t="n"/>
      <c r="V376" s="156" t="inlineStr">
        <is>
          <t>PZS</t>
        </is>
      </c>
      <c r="W376" s="51" t="inlineStr">
        <is>
          <t>53103000</t>
        </is>
      </c>
      <c r="X376" s="156" t="n"/>
      <c r="Y376" s="54" t="n">
        <v>22.75</v>
      </c>
      <c r="Z376" s="54" t="n">
        <v>1649</v>
      </c>
      <c r="AA376" s="55">
        <f>IF(AND(A376="", B376="", E376=""), "", IF(AB376="", "Válido", IF((LEN(AB376)-LEN(SUBSTITUTE(AB376,"; ","")))/2+1&gt;(LEN(AB376)-LEN(SUBSTITUTE(AB376,"[Aviso]","")))/7, "Con Incidencias", "Válido")))</f>
        <v/>
      </c>
      <c r="AB376" s="56">
        <f>IF(AND(A376="", B376="", E376=""), "", TEXTJOIN("; ", TRUE, IF(OR(TRIM(A376&amp;"")="", ISNUMBER(SEARCH("FALTA", A376))), "UPC faltante/inválido", ""), IF(AND(A376&lt;&gt;"", IFERROR(_xlfn.XMATCH(A376,$A$2:$A$653,0,1)&lt;&gt;_xlfn.XMATCH(A376,$A$2:$A$653,0,-1),FALSE)), "Código de barras duplicado", ""), IF(AND(E376&lt;&gt;"", COUNTIF($E$2:$E$653, E376)&gt;1), "SKU duplicado", ""), IF(OR(J376="", J376=""), "[Aviso] División no capturada ()", IF(ISNA(MATCH(J376, Criterios!$A$123:$A$126, 0)), "División no válida", "")), IF(OR(K376="", K376=""), "[Aviso] Categoría no capturada ()", IF(ISNA(MATCH(K376, Criterios!$A$81:$A$120, 0)), "Categoría no válida", IF(AND(J376&lt;&gt;"", J376&lt;&gt;"", J376&lt;&gt;VLOOKUP(K376, Criterios!$A$81:$B$120, 2, FALSE)), "División no coincide con Categoría", ""))), IF(OR(L376="", L376=""), "[Aviso] Género no capturado ()", IF(ISNA(MATCH(L376, Criterios!$B$123:$B$127, 0)), "Género no válido", "")), IF(OR(N376="", N376=""), "[Aviso] Temporada no capturada ()", IF(ISNA(MATCH(N376, Criterios!$C$123:$C$128, 0)), "Temporada no válida", "")), IF(OR(O376="", O376=""), "[Aviso] Ciclo de vida no capturado ()", IF(ISNA(MATCH(O376, Criterios!$D$123:$D$124, 0)), "Ciclo de vida no válido", ""))))</f>
        <v/>
      </c>
      <c r="AC376" s="56" t="n"/>
      <c r="AD376" s="51" t="n">
        <v>4</v>
      </c>
      <c r="AE376" s="156" t="n"/>
      <c r="AF376" s="51" t="n">
        <v>4</v>
      </c>
      <c r="AG376" s="156" t="inlineStr">
        <is>
          <t>Nuevo – NetSuite con existencia</t>
        </is>
      </c>
      <c r="AH37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6" s="156" t="inlineStr">
        <is>
          <t>No</t>
        </is>
      </c>
      <c r="AJ376" s="156" t="n"/>
      <c r="AK376" s="155" t="inlineStr">
        <is>
          <t>G1522_Extraccion_Articulos_NetSuite_2026-09-30.xlsx: fila 43801</t>
        </is>
      </c>
      <c r="AL376" s="58" t="n"/>
      <c r="AM376" s="58" t="n"/>
      <c r="AN376" s="155" t="n"/>
      <c r="AO376" s="59" t="n"/>
      <c r="AP376" s="59" t="n"/>
      <c r="AQ376" s="59" t="n"/>
      <c r="AR376" s="155" t="n"/>
    </row>
    <row r="377">
      <c r="A377" s="50" t="inlineStr">
        <is>
          <t>5056658709821</t>
        </is>
      </c>
      <c r="B377" s="51" t="inlineStr">
        <is>
          <t>91047</t>
        </is>
      </c>
      <c r="C377" s="156" t="inlineStr">
        <is>
          <t>REFLO</t>
        </is>
      </c>
      <c r="D377" s="156" t="n"/>
      <c r="E377" s="156" t="n"/>
      <c r="F377" s="156" t="n"/>
      <c r="G377" s="156" t="n"/>
      <c r="H377" s="156" t="inlineStr">
        <is>
          <t>REFLO</t>
        </is>
      </c>
      <c r="I377" s="156" t="n"/>
      <c r="J377" s="156" t="n"/>
      <c r="K377" s="156" t="n"/>
      <c r="L377" s="156" t="n"/>
      <c r="M377" s="156" t="n"/>
      <c r="N377" s="156" t="n"/>
      <c r="O377" s="156" t="n"/>
      <c r="P377" s="156" t="n"/>
      <c r="Q377" s="156" t="n"/>
      <c r="R377" s="156" t="n"/>
      <c r="S377" s="156" t="n"/>
      <c r="T377" s="156" t="n"/>
      <c r="U377" s="156" t="n"/>
      <c r="V377" s="156" t="inlineStr">
        <is>
          <t>PZS</t>
        </is>
      </c>
      <c r="W377" s="51" t="inlineStr">
        <is>
          <t>53103000</t>
        </is>
      </c>
      <c r="X377" s="156" t="n"/>
      <c r="Y377" s="54" t="n">
        <v>22.75</v>
      </c>
      <c r="Z377" s="54" t="n">
        <v>1649</v>
      </c>
      <c r="AA377" s="55">
        <f>IF(AND(A377="", B377="", E377=""), "", IF(AB377="", "Válido", IF((LEN(AB377)-LEN(SUBSTITUTE(AB377,"; ","")))/2+1&gt;(LEN(AB377)-LEN(SUBSTITUTE(AB377,"[Aviso]","")))/7, "Con Incidencias", "Válido")))</f>
        <v/>
      </c>
      <c r="AB377" s="56">
        <f>IF(AND(A377="", B377="", E377=""), "", TEXTJOIN("; ", TRUE, IF(OR(TRIM(A377&amp;"")="", ISNUMBER(SEARCH("FALTA", A377))), "UPC faltante/inválido", ""), IF(AND(A377&lt;&gt;"", IFERROR(_xlfn.XMATCH(A377,$A$2:$A$653,0,1)&lt;&gt;_xlfn.XMATCH(A377,$A$2:$A$653,0,-1),FALSE)), "Código de barras duplicado", ""), IF(AND(E377&lt;&gt;"", COUNTIF($E$2:$E$653, E377)&gt;1), "SKU duplicado", ""), IF(OR(J377="", J377=""), "[Aviso] División no capturada ()", IF(ISNA(MATCH(J377, Criterios!$A$123:$A$126, 0)), "División no válida", "")), IF(OR(K377="", K377=""), "[Aviso] Categoría no capturada ()", IF(ISNA(MATCH(K377, Criterios!$A$81:$A$120, 0)), "Categoría no válida", IF(AND(J377&lt;&gt;"", J377&lt;&gt;"", J377&lt;&gt;VLOOKUP(K377, Criterios!$A$81:$B$120, 2, FALSE)), "División no coincide con Categoría", ""))), IF(OR(L377="", L377=""), "[Aviso] Género no capturado ()", IF(ISNA(MATCH(L377, Criterios!$B$123:$B$127, 0)), "Género no válido", "")), IF(OR(N377="", N377=""), "[Aviso] Temporada no capturada ()", IF(ISNA(MATCH(N377, Criterios!$C$123:$C$128, 0)), "Temporada no válida", "")), IF(OR(O377="", O377=""), "[Aviso] Ciclo de vida no capturado ()", IF(ISNA(MATCH(O377, Criterios!$D$123:$D$124, 0)), "Ciclo de vida no válido", ""))))</f>
        <v/>
      </c>
      <c r="AC377" s="56" t="n"/>
      <c r="AD377" s="51" t="n">
        <v>0</v>
      </c>
      <c r="AE377" s="156" t="n"/>
      <c r="AF377" s="51" t="n">
        <v>0</v>
      </c>
      <c r="AG377" s="156" t="inlineStr">
        <is>
          <t>Nuevo – NetSuite sin existencia</t>
        </is>
      </c>
      <c r="AH37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7" s="156" t="inlineStr">
        <is>
          <t>No</t>
        </is>
      </c>
      <c r="AJ377" s="156" t="n"/>
      <c r="AK377" s="155" t="inlineStr">
        <is>
          <t>G1522_Extraccion_Articulos_NetSuite_2026-09-30.xlsx: fila 43802</t>
        </is>
      </c>
      <c r="AL377" s="58" t="n"/>
      <c r="AM377" s="58" t="n"/>
      <c r="AN377" s="155" t="n"/>
      <c r="AO377" s="59" t="n"/>
      <c r="AP377" s="59" t="n"/>
      <c r="AQ377" s="59" t="n"/>
      <c r="AR377" s="155" t="n"/>
    </row>
    <row r="378">
      <c r="A378" s="50" t="inlineStr">
        <is>
          <t>5056658709838</t>
        </is>
      </c>
      <c r="B378" s="51" t="inlineStr">
        <is>
          <t>91048</t>
        </is>
      </c>
      <c r="C378" s="156" t="inlineStr">
        <is>
          <t>REFLO</t>
        </is>
      </c>
      <c r="D378" s="156" t="n"/>
      <c r="E378" s="156" t="n"/>
      <c r="F378" s="156" t="n"/>
      <c r="G378" s="156" t="n"/>
      <c r="H378" s="156" t="inlineStr">
        <is>
          <t>REFLO</t>
        </is>
      </c>
      <c r="I378" s="156" t="n"/>
      <c r="J378" s="156" t="n"/>
      <c r="K378" s="156" t="n"/>
      <c r="L378" s="156" t="n"/>
      <c r="M378" s="156" t="n"/>
      <c r="N378" s="156" t="n"/>
      <c r="O378" s="156" t="n"/>
      <c r="P378" s="156" t="n"/>
      <c r="Q378" s="156" t="n"/>
      <c r="R378" s="156" t="n"/>
      <c r="S378" s="156" t="n"/>
      <c r="T378" s="156" t="n"/>
      <c r="U378" s="156" t="n"/>
      <c r="V378" s="156" t="inlineStr">
        <is>
          <t>PZS</t>
        </is>
      </c>
      <c r="W378" s="51" t="inlineStr">
        <is>
          <t>53103000</t>
        </is>
      </c>
      <c r="X378" s="156" t="n"/>
      <c r="Y378" s="54" t="n">
        <v>22.75</v>
      </c>
      <c r="Z378" s="54" t="n">
        <v>1649</v>
      </c>
      <c r="AA378" s="55">
        <f>IF(AND(A378="", B378="", E378=""), "", IF(AB378="", "Válido", IF((LEN(AB378)-LEN(SUBSTITUTE(AB378,"; ","")))/2+1&gt;(LEN(AB378)-LEN(SUBSTITUTE(AB378,"[Aviso]","")))/7, "Con Incidencias", "Válido")))</f>
        <v/>
      </c>
      <c r="AB378" s="56">
        <f>IF(AND(A378="", B378="", E378=""), "", TEXTJOIN("; ", TRUE, IF(OR(TRIM(A378&amp;"")="", ISNUMBER(SEARCH("FALTA", A378))), "UPC faltante/inválido", ""), IF(AND(A378&lt;&gt;"", IFERROR(_xlfn.XMATCH(A378,$A$2:$A$653,0,1)&lt;&gt;_xlfn.XMATCH(A378,$A$2:$A$653,0,-1),FALSE)), "Código de barras duplicado", ""), IF(AND(E378&lt;&gt;"", COUNTIF($E$2:$E$653, E378)&gt;1), "SKU duplicado", ""), IF(OR(J378="", J378=""), "[Aviso] División no capturada ()", IF(ISNA(MATCH(J378, Criterios!$A$123:$A$126, 0)), "División no válida", "")), IF(OR(K378="", K378=""), "[Aviso] Categoría no capturada ()", IF(ISNA(MATCH(K378, Criterios!$A$81:$A$120, 0)), "Categoría no válida", IF(AND(J378&lt;&gt;"", J378&lt;&gt;"", J378&lt;&gt;VLOOKUP(K378, Criterios!$A$81:$B$120, 2, FALSE)), "División no coincide con Categoría", ""))), IF(OR(L378="", L378=""), "[Aviso] Género no capturado ()", IF(ISNA(MATCH(L378, Criterios!$B$123:$B$127, 0)), "Género no válido", "")), IF(OR(N378="", N378=""), "[Aviso] Temporada no capturada ()", IF(ISNA(MATCH(N378, Criterios!$C$123:$C$128, 0)), "Temporada no válida", "")), IF(OR(O378="", O378=""), "[Aviso] Ciclo de vida no capturado ()", IF(ISNA(MATCH(O378, Criterios!$D$123:$D$124, 0)), "Ciclo de vida no válido", ""))))</f>
        <v/>
      </c>
      <c r="AC378" s="56" t="n"/>
      <c r="AD378" s="51" t="n">
        <v>0</v>
      </c>
      <c r="AE378" s="156" t="n"/>
      <c r="AF378" s="51" t="n">
        <v>0</v>
      </c>
      <c r="AG378" s="156" t="inlineStr">
        <is>
          <t>Nuevo – NetSuite sin existencia</t>
        </is>
      </c>
      <c r="AH37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8" s="156" t="inlineStr">
        <is>
          <t>No</t>
        </is>
      </c>
      <c r="AJ378" s="156" t="n"/>
      <c r="AK378" s="155" t="inlineStr">
        <is>
          <t>G1522_Extraccion_Articulos_NetSuite_2026-09-30.xlsx: fila 43803</t>
        </is>
      </c>
      <c r="AL378" s="58" t="n"/>
      <c r="AM378" s="58" t="n"/>
      <c r="AN378" s="155" t="n"/>
      <c r="AO378" s="59" t="n"/>
      <c r="AP378" s="59" t="n"/>
      <c r="AQ378" s="59" t="n"/>
      <c r="AR378" s="155" t="n"/>
    </row>
    <row r="379">
      <c r="A379" s="50" t="inlineStr">
        <is>
          <t>5056658709845</t>
        </is>
      </c>
      <c r="B379" s="51" t="inlineStr">
        <is>
          <t>91049</t>
        </is>
      </c>
      <c r="C379" s="156" t="inlineStr">
        <is>
          <t>REFLO</t>
        </is>
      </c>
      <c r="D379" s="156" t="n"/>
      <c r="E379" s="156" t="n"/>
      <c r="F379" s="156" t="n"/>
      <c r="G379" s="156" t="n"/>
      <c r="H379" s="156" t="inlineStr">
        <is>
          <t>REFLO</t>
        </is>
      </c>
      <c r="I379" s="156" t="n"/>
      <c r="J379" s="156" t="n"/>
      <c r="K379" s="156" t="n"/>
      <c r="L379" s="156" t="n"/>
      <c r="M379" s="156" t="n"/>
      <c r="N379" s="156" t="n"/>
      <c r="O379" s="156" t="n"/>
      <c r="P379" s="156" t="n"/>
      <c r="Q379" s="156" t="n"/>
      <c r="R379" s="156" t="n"/>
      <c r="S379" s="156" t="n"/>
      <c r="T379" s="156" t="n"/>
      <c r="U379" s="156" t="n"/>
      <c r="V379" s="156" t="inlineStr">
        <is>
          <t>PZS</t>
        </is>
      </c>
      <c r="W379" s="51" t="inlineStr">
        <is>
          <t>53103000</t>
        </is>
      </c>
      <c r="X379" s="156" t="n"/>
      <c r="Y379" s="54" t="n">
        <v>22.75</v>
      </c>
      <c r="Z379" s="54" t="n">
        <v>1649</v>
      </c>
      <c r="AA379" s="55">
        <f>IF(AND(A379="", B379="", E379=""), "", IF(AB379="", "Válido", IF((LEN(AB379)-LEN(SUBSTITUTE(AB379,"; ","")))/2+1&gt;(LEN(AB379)-LEN(SUBSTITUTE(AB379,"[Aviso]","")))/7, "Con Incidencias", "Válido")))</f>
        <v/>
      </c>
      <c r="AB379" s="56">
        <f>IF(AND(A379="", B379="", E379=""), "", TEXTJOIN("; ", TRUE, IF(OR(TRIM(A379&amp;"")="", ISNUMBER(SEARCH("FALTA", A379))), "UPC faltante/inválido", ""), IF(AND(A379&lt;&gt;"", IFERROR(_xlfn.XMATCH(A379,$A$2:$A$653,0,1)&lt;&gt;_xlfn.XMATCH(A379,$A$2:$A$653,0,-1),FALSE)), "Código de barras duplicado", ""), IF(AND(E379&lt;&gt;"", COUNTIF($E$2:$E$653, E379)&gt;1), "SKU duplicado", ""), IF(OR(J379="", J379=""), "[Aviso] División no capturada ()", IF(ISNA(MATCH(J379, Criterios!$A$123:$A$126, 0)), "División no válida", "")), IF(OR(K379="", K379=""), "[Aviso] Categoría no capturada ()", IF(ISNA(MATCH(K379, Criterios!$A$81:$A$120, 0)), "Categoría no válida", IF(AND(J379&lt;&gt;"", J379&lt;&gt;"", J379&lt;&gt;VLOOKUP(K379, Criterios!$A$81:$B$120, 2, FALSE)), "División no coincide con Categoría", ""))), IF(OR(L379="", L379=""), "[Aviso] Género no capturado ()", IF(ISNA(MATCH(L379, Criterios!$B$123:$B$127, 0)), "Género no válido", "")), IF(OR(N379="", N379=""), "[Aviso] Temporada no capturada ()", IF(ISNA(MATCH(N379, Criterios!$C$123:$C$128, 0)), "Temporada no válida", "")), IF(OR(O379="", O379=""), "[Aviso] Ciclo de vida no capturado ()", IF(ISNA(MATCH(O379, Criterios!$D$123:$D$124, 0)), "Ciclo de vida no válido", ""))))</f>
        <v/>
      </c>
      <c r="AC379" s="56" t="n"/>
      <c r="AD379" s="51" t="n">
        <v>4</v>
      </c>
      <c r="AE379" s="156" t="n"/>
      <c r="AF379" s="51" t="n">
        <v>4</v>
      </c>
      <c r="AG379" s="156" t="inlineStr">
        <is>
          <t>Nuevo – NetSuite con existencia</t>
        </is>
      </c>
      <c r="AH37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9" s="156" t="inlineStr">
        <is>
          <t>No</t>
        </is>
      </c>
      <c r="AJ379" s="156" t="n"/>
      <c r="AK379" s="155" t="inlineStr">
        <is>
          <t>G1522_Extraccion_Articulos_NetSuite_2026-09-30.xlsx: fila 43804</t>
        </is>
      </c>
      <c r="AL379" s="58" t="n"/>
      <c r="AM379" s="58" t="n"/>
      <c r="AN379" s="155" t="n"/>
      <c r="AO379" s="59" t="n"/>
      <c r="AP379" s="59" t="n"/>
      <c r="AQ379" s="59" t="n"/>
      <c r="AR379" s="155" t="n"/>
    </row>
    <row r="380">
      <c r="A380" s="50" t="inlineStr">
        <is>
          <t>5056658709852</t>
        </is>
      </c>
      <c r="B380" s="51" t="inlineStr">
        <is>
          <t>91050</t>
        </is>
      </c>
      <c r="C380" s="156" t="inlineStr">
        <is>
          <t>REFLO</t>
        </is>
      </c>
      <c r="D380" s="156" t="n"/>
      <c r="E380" s="156" t="n"/>
      <c r="F380" s="156" t="n"/>
      <c r="G380" s="156" t="n"/>
      <c r="H380" s="156" t="inlineStr">
        <is>
          <t>REFLO</t>
        </is>
      </c>
      <c r="I380" s="156" t="n"/>
      <c r="J380" s="156" t="n"/>
      <c r="K380" s="156" t="n"/>
      <c r="L380" s="156" t="n"/>
      <c r="M380" s="156" t="n"/>
      <c r="N380" s="156" t="n"/>
      <c r="O380" s="156" t="n"/>
      <c r="P380" s="156" t="n"/>
      <c r="Q380" s="156" t="n"/>
      <c r="R380" s="156" t="n"/>
      <c r="S380" s="156" t="n"/>
      <c r="T380" s="156" t="n"/>
      <c r="U380" s="156" t="n"/>
      <c r="V380" s="156" t="inlineStr">
        <is>
          <t>PZS</t>
        </is>
      </c>
      <c r="W380" s="51" t="inlineStr">
        <is>
          <t>53103000</t>
        </is>
      </c>
      <c r="X380" s="156" t="n"/>
      <c r="Y380" s="54" t="n">
        <v>22.75</v>
      </c>
      <c r="Z380" s="54" t="n">
        <v>1649</v>
      </c>
      <c r="AA380" s="55">
        <f>IF(AND(A380="", B380="", E380=""), "", IF(AB380="", "Válido", IF((LEN(AB380)-LEN(SUBSTITUTE(AB380,"; ","")))/2+1&gt;(LEN(AB380)-LEN(SUBSTITUTE(AB380,"[Aviso]","")))/7, "Con Incidencias", "Válido")))</f>
        <v/>
      </c>
      <c r="AB380" s="56">
        <f>IF(AND(A380="", B380="", E380=""), "", TEXTJOIN("; ", TRUE, IF(OR(TRIM(A380&amp;"")="", ISNUMBER(SEARCH("FALTA", A380))), "UPC faltante/inválido", ""), IF(AND(A380&lt;&gt;"", IFERROR(_xlfn.XMATCH(A380,$A$2:$A$653,0,1)&lt;&gt;_xlfn.XMATCH(A380,$A$2:$A$653,0,-1),FALSE)), "Código de barras duplicado", ""), IF(AND(E380&lt;&gt;"", COUNTIF($E$2:$E$653, E380)&gt;1), "SKU duplicado", ""), IF(OR(J380="", J380=""), "[Aviso] División no capturada ()", IF(ISNA(MATCH(J380, Criterios!$A$123:$A$126, 0)), "División no válida", "")), IF(OR(K380="", K380=""), "[Aviso] Categoría no capturada ()", IF(ISNA(MATCH(K380, Criterios!$A$81:$A$120, 0)), "Categoría no válida", IF(AND(J380&lt;&gt;"", J380&lt;&gt;"", J380&lt;&gt;VLOOKUP(K380, Criterios!$A$81:$B$120, 2, FALSE)), "División no coincide con Categoría", ""))), IF(OR(L380="", L380=""), "[Aviso] Género no capturado ()", IF(ISNA(MATCH(L380, Criterios!$B$123:$B$127, 0)), "Género no válido", "")), IF(OR(N380="", N380=""), "[Aviso] Temporada no capturada ()", IF(ISNA(MATCH(N380, Criterios!$C$123:$C$128, 0)), "Temporada no válida", "")), IF(OR(O380="", O380=""), "[Aviso] Ciclo de vida no capturado ()", IF(ISNA(MATCH(O380, Criterios!$D$123:$D$124, 0)), "Ciclo de vida no válido", ""))))</f>
        <v/>
      </c>
      <c r="AC380" s="56" t="n"/>
      <c r="AD380" s="51" t="n">
        <v>6</v>
      </c>
      <c r="AE380" s="156" t="n"/>
      <c r="AF380" s="51" t="n">
        <v>6</v>
      </c>
      <c r="AG380" s="156" t="inlineStr">
        <is>
          <t>Nuevo – NetSuite con existencia</t>
        </is>
      </c>
      <c r="AH38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0" s="156" t="inlineStr">
        <is>
          <t>No</t>
        </is>
      </c>
      <c r="AJ380" s="156" t="n"/>
      <c r="AK380" s="155" t="inlineStr">
        <is>
          <t>G1522_Extraccion_Articulos_NetSuite_2026-09-30.xlsx: fila 43805</t>
        </is>
      </c>
      <c r="AL380" s="58" t="n"/>
      <c r="AM380" s="58" t="n"/>
      <c r="AN380" s="155" t="n"/>
      <c r="AO380" s="59" t="n"/>
      <c r="AP380" s="59" t="n"/>
      <c r="AQ380" s="59" t="n"/>
      <c r="AR380" s="155" t="n"/>
    </row>
    <row r="381">
      <c r="A381" s="50" t="inlineStr">
        <is>
          <t>5056658709869</t>
        </is>
      </c>
      <c r="B381" s="51" t="inlineStr">
        <is>
          <t>91051</t>
        </is>
      </c>
      <c r="C381" s="156" t="inlineStr">
        <is>
          <t>REFLO</t>
        </is>
      </c>
      <c r="D381" s="156" t="n"/>
      <c r="E381" s="156" t="n"/>
      <c r="F381" s="156" t="n"/>
      <c r="G381" s="156" t="n"/>
      <c r="H381" s="156" t="inlineStr">
        <is>
          <t>REFLO</t>
        </is>
      </c>
      <c r="I381" s="156" t="n"/>
      <c r="J381" s="156" t="n"/>
      <c r="K381" s="156" t="n"/>
      <c r="L381" s="156" t="n"/>
      <c r="M381" s="156" t="n"/>
      <c r="N381" s="156" t="n"/>
      <c r="O381" s="156" t="n"/>
      <c r="P381" s="156" t="n"/>
      <c r="Q381" s="156" t="n"/>
      <c r="R381" s="156" t="n"/>
      <c r="S381" s="156" t="n"/>
      <c r="T381" s="156" t="n"/>
      <c r="U381" s="156" t="n"/>
      <c r="V381" s="156" t="inlineStr">
        <is>
          <t>PZS</t>
        </is>
      </c>
      <c r="W381" s="51" t="inlineStr">
        <is>
          <t>53103000</t>
        </is>
      </c>
      <c r="X381" s="156" t="n"/>
      <c r="Y381" s="54" t="n">
        <v>22.75</v>
      </c>
      <c r="Z381" s="54" t="n">
        <v>1649</v>
      </c>
      <c r="AA381" s="55">
        <f>IF(AND(A381="", B381="", E381=""), "", IF(AB381="", "Válido", IF((LEN(AB381)-LEN(SUBSTITUTE(AB381,"; ","")))/2+1&gt;(LEN(AB381)-LEN(SUBSTITUTE(AB381,"[Aviso]","")))/7, "Con Incidencias", "Válido")))</f>
        <v/>
      </c>
      <c r="AB381" s="56">
        <f>IF(AND(A381="", B381="", E381=""), "", TEXTJOIN("; ", TRUE, IF(OR(TRIM(A381&amp;"")="", ISNUMBER(SEARCH("FALTA", A381))), "UPC faltante/inválido", ""), IF(AND(A381&lt;&gt;"", IFERROR(_xlfn.XMATCH(A381,$A$2:$A$653,0,1)&lt;&gt;_xlfn.XMATCH(A381,$A$2:$A$653,0,-1),FALSE)), "Código de barras duplicado", ""), IF(AND(E381&lt;&gt;"", COUNTIF($E$2:$E$653, E381)&gt;1), "SKU duplicado", ""), IF(OR(J381="", J381=""), "[Aviso] División no capturada ()", IF(ISNA(MATCH(J381, Criterios!$A$123:$A$126, 0)), "División no válida", "")), IF(OR(K381="", K381=""), "[Aviso] Categoría no capturada ()", IF(ISNA(MATCH(K381, Criterios!$A$81:$A$120, 0)), "Categoría no válida", IF(AND(J381&lt;&gt;"", J381&lt;&gt;"", J381&lt;&gt;VLOOKUP(K381, Criterios!$A$81:$B$120, 2, FALSE)), "División no coincide con Categoría", ""))), IF(OR(L381="", L381=""), "[Aviso] Género no capturado ()", IF(ISNA(MATCH(L381, Criterios!$B$123:$B$127, 0)), "Género no válido", "")), IF(OR(N381="", N381=""), "[Aviso] Temporada no capturada ()", IF(ISNA(MATCH(N381, Criterios!$C$123:$C$128, 0)), "Temporada no válida", "")), IF(OR(O381="", O381=""), "[Aviso] Ciclo de vida no capturado ()", IF(ISNA(MATCH(O381, Criterios!$D$123:$D$124, 0)), "Ciclo de vida no válido", ""))))</f>
        <v/>
      </c>
      <c r="AC381" s="56" t="n"/>
      <c r="AD381" s="51" t="n">
        <v>4</v>
      </c>
      <c r="AE381" s="156" t="n"/>
      <c r="AF381" s="51" t="n">
        <v>4</v>
      </c>
      <c r="AG381" s="156" t="inlineStr">
        <is>
          <t>Nuevo – NetSuite con existencia</t>
        </is>
      </c>
      <c r="AH38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1" s="156" t="inlineStr">
        <is>
          <t>No</t>
        </is>
      </c>
      <c r="AJ381" s="156" t="n"/>
      <c r="AK381" s="155" t="inlineStr">
        <is>
          <t>G1522_Extraccion_Articulos_NetSuite_2026-09-30.xlsx: fila 43806</t>
        </is>
      </c>
      <c r="AL381" s="58" t="n"/>
      <c r="AM381" s="58" t="n"/>
      <c r="AN381" s="155" t="n"/>
      <c r="AO381" s="59" t="n"/>
      <c r="AP381" s="59" t="n"/>
      <c r="AQ381" s="59" t="n"/>
      <c r="AR381" s="155" t="n"/>
    </row>
    <row r="382">
      <c r="A382" s="50" t="inlineStr">
        <is>
          <t>5056658714283</t>
        </is>
      </c>
      <c r="B382" s="51" t="inlineStr">
        <is>
          <t>91052</t>
        </is>
      </c>
      <c r="C382" s="156" t="inlineStr">
        <is>
          <t>REFLO</t>
        </is>
      </c>
      <c r="D382" s="156" t="n"/>
      <c r="E382" s="156" t="n"/>
      <c r="F382" s="156" t="n"/>
      <c r="G382" s="156" t="n"/>
      <c r="H382" s="156" t="inlineStr">
        <is>
          <t>REFLO</t>
        </is>
      </c>
      <c r="I382" s="156" t="n"/>
      <c r="J382" s="156" t="n"/>
      <c r="K382" s="156" t="n"/>
      <c r="L382" s="156" t="n"/>
      <c r="M382" s="156" t="n"/>
      <c r="N382" s="156" t="n"/>
      <c r="O382" s="156" t="n"/>
      <c r="P382" s="156" t="n"/>
      <c r="Q382" s="156" t="n"/>
      <c r="R382" s="156" t="n"/>
      <c r="S382" s="156" t="n"/>
      <c r="T382" s="156" t="n"/>
      <c r="U382" s="156" t="n"/>
      <c r="V382" s="156" t="inlineStr">
        <is>
          <t>PZS</t>
        </is>
      </c>
      <c r="W382" s="51" t="inlineStr">
        <is>
          <t>53103000</t>
        </is>
      </c>
      <c r="X382" s="156" t="n"/>
      <c r="Y382" s="54" t="n">
        <v>22.75</v>
      </c>
      <c r="Z382" s="54" t="n">
        <v>1649</v>
      </c>
      <c r="AA382" s="55">
        <f>IF(AND(A382="", B382="", E382=""), "", IF(AB382="", "Válido", IF((LEN(AB382)-LEN(SUBSTITUTE(AB382,"; ","")))/2+1&gt;(LEN(AB382)-LEN(SUBSTITUTE(AB382,"[Aviso]","")))/7, "Con Incidencias", "Válido")))</f>
        <v/>
      </c>
      <c r="AB382" s="56">
        <f>IF(AND(A382="", B382="", E382=""), "", TEXTJOIN("; ", TRUE, IF(OR(TRIM(A382&amp;"")="", ISNUMBER(SEARCH("FALTA", A382))), "UPC faltante/inválido", ""), IF(AND(A382&lt;&gt;"", IFERROR(_xlfn.XMATCH(A382,$A$2:$A$653,0,1)&lt;&gt;_xlfn.XMATCH(A382,$A$2:$A$653,0,-1),FALSE)), "Código de barras duplicado", ""), IF(AND(E382&lt;&gt;"", COUNTIF($E$2:$E$653, E382)&gt;1), "SKU duplicado", ""), IF(OR(J382="", J382=""), "[Aviso] División no capturada ()", IF(ISNA(MATCH(J382, Criterios!$A$123:$A$126, 0)), "División no válida", "")), IF(OR(K382="", K382=""), "[Aviso] Categoría no capturada ()", IF(ISNA(MATCH(K382, Criterios!$A$81:$A$120, 0)), "Categoría no válida", IF(AND(J382&lt;&gt;"", J382&lt;&gt;"", J382&lt;&gt;VLOOKUP(K382, Criterios!$A$81:$B$120, 2, FALSE)), "División no coincide con Categoría", ""))), IF(OR(L382="", L382=""), "[Aviso] Género no capturado ()", IF(ISNA(MATCH(L382, Criterios!$B$123:$B$127, 0)), "Género no válido", "")), IF(OR(N382="", N382=""), "[Aviso] Temporada no capturada ()", IF(ISNA(MATCH(N382, Criterios!$C$123:$C$128, 0)), "Temporada no válida", "")), IF(OR(O382="", O382=""), "[Aviso] Ciclo de vida no capturado ()", IF(ISNA(MATCH(O382, Criterios!$D$123:$D$124, 0)), "Ciclo de vida no válido", ""))))</f>
        <v/>
      </c>
      <c r="AC382" s="56" t="n"/>
      <c r="AD382" s="51" t="n">
        <v>2</v>
      </c>
      <c r="AE382" s="156" t="n"/>
      <c r="AF382" s="51" t="n">
        <v>2</v>
      </c>
      <c r="AG382" s="156" t="inlineStr">
        <is>
          <t>Nuevo – NetSuite con existencia</t>
        </is>
      </c>
      <c r="AH38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2" s="156" t="inlineStr">
        <is>
          <t>No</t>
        </is>
      </c>
      <c r="AJ382" s="156" t="n"/>
      <c r="AK382" s="155" t="inlineStr">
        <is>
          <t>G1522_Extraccion_Articulos_NetSuite_2026-09-30.xlsx: fila 43807</t>
        </is>
      </c>
      <c r="AL382" s="58" t="n"/>
      <c r="AM382" s="58" t="n"/>
      <c r="AN382" s="155" t="n"/>
      <c r="AO382" s="59" t="n"/>
      <c r="AP382" s="59" t="n"/>
      <c r="AQ382" s="59" t="n"/>
      <c r="AR382" s="155" t="n"/>
    </row>
    <row r="383">
      <c r="A383" s="50" t="inlineStr">
        <is>
          <t>5056658712784</t>
        </is>
      </c>
      <c r="B383" s="51" t="inlineStr">
        <is>
          <t>91053</t>
        </is>
      </c>
      <c r="C383" s="156" t="inlineStr">
        <is>
          <t>REFLO</t>
        </is>
      </c>
      <c r="D383" s="156" t="n"/>
      <c r="E383" s="156" t="n"/>
      <c r="F383" s="156" t="n"/>
      <c r="G383" s="156" t="n"/>
      <c r="H383" s="156" t="inlineStr">
        <is>
          <t>REFLO</t>
        </is>
      </c>
      <c r="I383" s="156" t="n"/>
      <c r="J383" s="156" t="n"/>
      <c r="K383" s="156" t="n"/>
      <c r="L383" s="156" t="n"/>
      <c r="M383" s="156" t="n"/>
      <c r="N383" s="156" t="n"/>
      <c r="O383" s="156" t="n"/>
      <c r="P383" s="156" t="n"/>
      <c r="Q383" s="156" t="n"/>
      <c r="R383" s="156" t="n"/>
      <c r="S383" s="156" t="n"/>
      <c r="T383" s="156" t="n"/>
      <c r="U383" s="156" t="n"/>
      <c r="V383" s="156" t="inlineStr">
        <is>
          <t>PZS</t>
        </is>
      </c>
      <c r="W383" s="51" t="inlineStr">
        <is>
          <t>53103000</t>
        </is>
      </c>
      <c r="X383" s="156" t="n"/>
      <c r="Y383" s="54" t="n">
        <v>22.75</v>
      </c>
      <c r="Z383" s="54" t="n">
        <v>1649</v>
      </c>
      <c r="AA383" s="55">
        <f>IF(AND(A383="", B383="", E383=""), "", IF(AB383="", "Válido", IF((LEN(AB383)-LEN(SUBSTITUTE(AB383,"; ","")))/2+1&gt;(LEN(AB383)-LEN(SUBSTITUTE(AB383,"[Aviso]","")))/7, "Con Incidencias", "Válido")))</f>
        <v/>
      </c>
      <c r="AB383" s="56">
        <f>IF(AND(A383="", B383="", E383=""), "", TEXTJOIN("; ", TRUE, IF(OR(TRIM(A383&amp;"")="", ISNUMBER(SEARCH("FALTA", A383))), "UPC faltante/inválido", ""), IF(AND(A383&lt;&gt;"", IFERROR(_xlfn.XMATCH(A383,$A$2:$A$653,0,1)&lt;&gt;_xlfn.XMATCH(A383,$A$2:$A$653,0,-1),FALSE)), "Código de barras duplicado", ""), IF(AND(E383&lt;&gt;"", COUNTIF($E$2:$E$653, E383)&gt;1), "SKU duplicado", ""), IF(OR(J383="", J383=""), "[Aviso] División no capturada ()", IF(ISNA(MATCH(J383, Criterios!$A$123:$A$126, 0)), "División no válida", "")), IF(OR(K383="", K383=""), "[Aviso] Categoría no capturada ()", IF(ISNA(MATCH(K383, Criterios!$A$81:$A$120, 0)), "Categoría no válida", IF(AND(J383&lt;&gt;"", J383&lt;&gt;"", J383&lt;&gt;VLOOKUP(K383, Criterios!$A$81:$B$120, 2, FALSE)), "División no coincide con Categoría", ""))), IF(OR(L383="", L383=""), "[Aviso] Género no capturado ()", IF(ISNA(MATCH(L383, Criterios!$B$123:$B$127, 0)), "Género no válido", "")), IF(OR(N383="", N383=""), "[Aviso] Temporada no capturada ()", IF(ISNA(MATCH(N383, Criterios!$C$123:$C$128, 0)), "Temporada no válida", "")), IF(OR(O383="", O383=""), "[Aviso] Ciclo de vida no capturado ()", IF(ISNA(MATCH(O383, Criterios!$D$123:$D$124, 0)), "Ciclo de vida no válido", ""))))</f>
        <v/>
      </c>
      <c r="AC383" s="56" t="n"/>
      <c r="AD383" s="51" t="n">
        <v>1</v>
      </c>
      <c r="AE383" s="156" t="n"/>
      <c r="AF383" s="51" t="n">
        <v>1</v>
      </c>
      <c r="AG383" s="156" t="inlineStr">
        <is>
          <t>Nuevo – NetSuite con existencia</t>
        </is>
      </c>
      <c r="AH38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3" s="156" t="inlineStr">
        <is>
          <t>No</t>
        </is>
      </c>
      <c r="AJ383" s="156" t="n"/>
      <c r="AK383" s="155" t="inlineStr">
        <is>
          <t>G1522_Extraccion_Articulos_NetSuite_2026-09-30.xlsx: fila 43808</t>
        </is>
      </c>
      <c r="AL383" s="58" t="n"/>
      <c r="AM383" s="58" t="n"/>
      <c r="AN383" s="155" t="n"/>
      <c r="AO383" s="59" t="n"/>
      <c r="AP383" s="59" t="n"/>
      <c r="AQ383" s="59" t="n"/>
      <c r="AR383" s="155" t="n"/>
    </row>
    <row r="384">
      <c r="A384" s="50" t="inlineStr">
        <is>
          <t>5056658712791</t>
        </is>
      </c>
      <c r="B384" s="51" t="inlineStr">
        <is>
          <t>91054</t>
        </is>
      </c>
      <c r="C384" s="156" t="inlineStr">
        <is>
          <t>REFLO</t>
        </is>
      </c>
      <c r="D384" s="156" t="n"/>
      <c r="E384" s="156" t="n"/>
      <c r="F384" s="156" t="n"/>
      <c r="G384" s="156" t="n"/>
      <c r="H384" s="156" t="inlineStr">
        <is>
          <t>REFLO</t>
        </is>
      </c>
      <c r="I384" s="156" t="n"/>
      <c r="J384" s="156" t="n"/>
      <c r="K384" s="156" t="n"/>
      <c r="L384" s="156" t="n"/>
      <c r="M384" s="156" t="n"/>
      <c r="N384" s="156" t="n"/>
      <c r="O384" s="156" t="n"/>
      <c r="P384" s="156" t="n"/>
      <c r="Q384" s="156" t="n"/>
      <c r="R384" s="156" t="n"/>
      <c r="S384" s="156" t="n"/>
      <c r="T384" s="156" t="n"/>
      <c r="U384" s="156" t="n"/>
      <c r="V384" s="156" t="inlineStr">
        <is>
          <t>PZS</t>
        </is>
      </c>
      <c r="W384" s="51" t="inlineStr">
        <is>
          <t>53103000</t>
        </is>
      </c>
      <c r="X384" s="156" t="n"/>
      <c r="Y384" s="54" t="n">
        <v>22.75</v>
      </c>
      <c r="Z384" s="54" t="n">
        <v>1649</v>
      </c>
      <c r="AA384" s="55">
        <f>IF(AND(A384="", B384="", E384=""), "", IF(AB384="", "Válido", IF((LEN(AB384)-LEN(SUBSTITUTE(AB384,"; ","")))/2+1&gt;(LEN(AB384)-LEN(SUBSTITUTE(AB384,"[Aviso]","")))/7, "Con Incidencias", "Válido")))</f>
        <v/>
      </c>
      <c r="AB384" s="56">
        <f>IF(AND(A384="", B384="", E384=""), "", TEXTJOIN("; ", TRUE, IF(OR(TRIM(A384&amp;"")="", ISNUMBER(SEARCH("FALTA", A384))), "UPC faltante/inválido", ""), IF(AND(A384&lt;&gt;"", IFERROR(_xlfn.XMATCH(A384,$A$2:$A$653,0,1)&lt;&gt;_xlfn.XMATCH(A384,$A$2:$A$653,0,-1),FALSE)), "Código de barras duplicado", ""), IF(AND(E384&lt;&gt;"", COUNTIF($E$2:$E$653, E384)&gt;1), "SKU duplicado", ""), IF(OR(J384="", J384=""), "[Aviso] División no capturada ()", IF(ISNA(MATCH(J384, Criterios!$A$123:$A$126, 0)), "División no válida", "")), IF(OR(K384="", K384=""), "[Aviso] Categoría no capturada ()", IF(ISNA(MATCH(K384, Criterios!$A$81:$A$120, 0)), "Categoría no válida", IF(AND(J384&lt;&gt;"", J384&lt;&gt;"", J384&lt;&gt;VLOOKUP(K384, Criterios!$A$81:$B$120, 2, FALSE)), "División no coincide con Categoría", ""))), IF(OR(L384="", L384=""), "[Aviso] Género no capturado ()", IF(ISNA(MATCH(L384, Criterios!$B$123:$B$127, 0)), "Género no válido", "")), IF(OR(N384="", N384=""), "[Aviso] Temporada no capturada ()", IF(ISNA(MATCH(N384, Criterios!$C$123:$C$128, 0)), "Temporada no válida", "")), IF(OR(O384="", O384=""), "[Aviso] Ciclo de vida no capturado ()", IF(ISNA(MATCH(O384, Criterios!$D$123:$D$124, 0)), "Ciclo de vida no válido", ""))))</f>
        <v/>
      </c>
      <c r="AC384" s="56" t="n"/>
      <c r="AD384" s="51" t="n">
        <v>1</v>
      </c>
      <c r="AE384" s="156" t="n"/>
      <c r="AF384" s="51" t="n">
        <v>1</v>
      </c>
      <c r="AG384" s="156" t="inlineStr">
        <is>
          <t>Nuevo – NetSuite con existencia</t>
        </is>
      </c>
      <c r="AH38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4" s="156" t="inlineStr">
        <is>
          <t>No</t>
        </is>
      </c>
      <c r="AJ384" s="156" t="n"/>
      <c r="AK384" s="155" t="inlineStr">
        <is>
          <t>G1522_Extraccion_Articulos_NetSuite_2026-09-30.xlsx: fila 43809</t>
        </is>
      </c>
      <c r="AL384" s="58" t="n"/>
      <c r="AM384" s="58" t="n"/>
      <c r="AN384" s="155" t="n"/>
      <c r="AO384" s="59" t="n"/>
      <c r="AP384" s="59" t="n"/>
      <c r="AQ384" s="59" t="n"/>
      <c r="AR384" s="155" t="n"/>
    </row>
    <row r="385">
      <c r="A385" s="50" t="inlineStr">
        <is>
          <t>5056658712807</t>
        </is>
      </c>
      <c r="B385" s="51" t="inlineStr">
        <is>
          <t>91055</t>
        </is>
      </c>
      <c r="C385" s="156" t="inlineStr">
        <is>
          <t>REFLO</t>
        </is>
      </c>
      <c r="D385" s="156" t="n"/>
      <c r="E385" s="156" t="n"/>
      <c r="F385" s="156" t="n"/>
      <c r="G385" s="156" t="n"/>
      <c r="H385" s="156" t="inlineStr">
        <is>
          <t>REFLO</t>
        </is>
      </c>
      <c r="I385" s="156" t="n"/>
      <c r="J385" s="156" t="n"/>
      <c r="K385" s="156" t="n"/>
      <c r="L385" s="156" t="n"/>
      <c r="M385" s="156" t="n"/>
      <c r="N385" s="156" t="n"/>
      <c r="O385" s="156" t="n"/>
      <c r="P385" s="156" t="n"/>
      <c r="Q385" s="156" t="n"/>
      <c r="R385" s="156" t="n"/>
      <c r="S385" s="156" t="n"/>
      <c r="T385" s="156" t="n"/>
      <c r="U385" s="156" t="n"/>
      <c r="V385" s="156" t="inlineStr">
        <is>
          <t>PZS</t>
        </is>
      </c>
      <c r="W385" s="51" t="inlineStr">
        <is>
          <t>53103000</t>
        </is>
      </c>
      <c r="X385" s="156" t="n"/>
      <c r="Y385" s="54" t="n">
        <v>22.75</v>
      </c>
      <c r="Z385" s="54" t="n">
        <v>1649</v>
      </c>
      <c r="AA385" s="55">
        <f>IF(AND(A385="", B385="", E385=""), "", IF(AB385="", "Válido", IF((LEN(AB385)-LEN(SUBSTITUTE(AB385,"; ","")))/2+1&gt;(LEN(AB385)-LEN(SUBSTITUTE(AB385,"[Aviso]","")))/7, "Con Incidencias", "Válido")))</f>
        <v/>
      </c>
      <c r="AB385" s="56">
        <f>IF(AND(A385="", B385="", E385=""), "", TEXTJOIN("; ", TRUE, IF(OR(TRIM(A385&amp;"")="", ISNUMBER(SEARCH("FALTA", A385))), "UPC faltante/inválido", ""), IF(AND(A385&lt;&gt;"", IFERROR(_xlfn.XMATCH(A385,$A$2:$A$653,0,1)&lt;&gt;_xlfn.XMATCH(A385,$A$2:$A$653,0,-1),FALSE)), "Código de barras duplicado", ""), IF(AND(E385&lt;&gt;"", COUNTIF($E$2:$E$653, E385)&gt;1), "SKU duplicado", ""), IF(OR(J385="", J385=""), "[Aviso] División no capturada ()", IF(ISNA(MATCH(J385, Criterios!$A$123:$A$126, 0)), "División no válida", "")), IF(OR(K385="", K385=""), "[Aviso] Categoría no capturada ()", IF(ISNA(MATCH(K385, Criterios!$A$81:$A$120, 0)), "Categoría no válida", IF(AND(J385&lt;&gt;"", J385&lt;&gt;"", J385&lt;&gt;VLOOKUP(K385, Criterios!$A$81:$B$120, 2, FALSE)), "División no coincide con Categoría", ""))), IF(OR(L385="", L385=""), "[Aviso] Género no capturado ()", IF(ISNA(MATCH(L385, Criterios!$B$123:$B$127, 0)), "Género no válido", "")), IF(OR(N385="", N385=""), "[Aviso] Temporada no capturada ()", IF(ISNA(MATCH(N385, Criterios!$C$123:$C$128, 0)), "Temporada no válida", "")), IF(OR(O385="", O385=""), "[Aviso] Ciclo de vida no capturado ()", IF(ISNA(MATCH(O385, Criterios!$D$123:$D$124, 0)), "Ciclo de vida no válido", ""))))</f>
        <v/>
      </c>
      <c r="AC385" s="56" t="n"/>
      <c r="AD385" s="51" t="n">
        <v>10</v>
      </c>
      <c r="AE385" s="156" t="n"/>
      <c r="AF385" s="51" t="n">
        <v>10</v>
      </c>
      <c r="AG385" s="156" t="inlineStr">
        <is>
          <t>Nuevo – NetSuite con existencia</t>
        </is>
      </c>
      <c r="AH38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5" s="156" t="inlineStr">
        <is>
          <t>No</t>
        </is>
      </c>
      <c r="AJ385" s="156" t="n"/>
      <c r="AK385" s="155" t="inlineStr">
        <is>
          <t>G1522_Extraccion_Articulos_NetSuite_2026-09-30.xlsx: fila 43810</t>
        </is>
      </c>
      <c r="AL385" s="58" t="n"/>
      <c r="AM385" s="58" t="n"/>
      <c r="AN385" s="155" t="n"/>
      <c r="AO385" s="59" t="n"/>
      <c r="AP385" s="59" t="n"/>
      <c r="AQ385" s="59" t="n"/>
      <c r="AR385" s="155" t="n"/>
    </row>
    <row r="386">
      <c r="A386" s="50" t="inlineStr">
        <is>
          <t>5056658712814</t>
        </is>
      </c>
      <c r="B386" s="51" t="inlineStr">
        <is>
          <t>91056</t>
        </is>
      </c>
      <c r="C386" s="156" t="inlineStr">
        <is>
          <t>REFLO</t>
        </is>
      </c>
      <c r="D386" s="156" t="n"/>
      <c r="E386" s="156" t="n"/>
      <c r="F386" s="156" t="n"/>
      <c r="G386" s="156" t="n"/>
      <c r="H386" s="156" t="inlineStr">
        <is>
          <t>REFLO</t>
        </is>
      </c>
      <c r="I386" s="156" t="n"/>
      <c r="J386" s="156" t="n"/>
      <c r="K386" s="156" t="n"/>
      <c r="L386" s="156" t="n"/>
      <c r="M386" s="156" t="n"/>
      <c r="N386" s="156" t="n"/>
      <c r="O386" s="156" t="n"/>
      <c r="P386" s="156" t="n"/>
      <c r="Q386" s="156" t="n"/>
      <c r="R386" s="156" t="n"/>
      <c r="S386" s="156" t="n"/>
      <c r="T386" s="156" t="n"/>
      <c r="U386" s="156" t="n"/>
      <c r="V386" s="156" t="inlineStr">
        <is>
          <t>PZS</t>
        </is>
      </c>
      <c r="W386" s="51" t="inlineStr">
        <is>
          <t>53103000</t>
        </is>
      </c>
      <c r="X386" s="156" t="n"/>
      <c r="Y386" s="54" t="n">
        <v>22.75</v>
      </c>
      <c r="Z386" s="54" t="n">
        <v>1649</v>
      </c>
      <c r="AA386" s="55">
        <f>IF(AND(A386="", B386="", E386=""), "", IF(AB386="", "Válido", IF((LEN(AB386)-LEN(SUBSTITUTE(AB386,"; ","")))/2+1&gt;(LEN(AB386)-LEN(SUBSTITUTE(AB386,"[Aviso]","")))/7, "Con Incidencias", "Válido")))</f>
        <v/>
      </c>
      <c r="AB386" s="56">
        <f>IF(AND(A386="", B386="", E386=""), "", TEXTJOIN("; ", TRUE, IF(OR(TRIM(A386&amp;"")="", ISNUMBER(SEARCH("FALTA", A386))), "UPC faltante/inválido", ""), IF(AND(A386&lt;&gt;"", IFERROR(_xlfn.XMATCH(A386,$A$2:$A$653,0,1)&lt;&gt;_xlfn.XMATCH(A386,$A$2:$A$653,0,-1),FALSE)), "Código de barras duplicado", ""), IF(AND(E386&lt;&gt;"", COUNTIF($E$2:$E$653, E386)&gt;1), "SKU duplicado", ""), IF(OR(J386="", J386=""), "[Aviso] División no capturada ()", IF(ISNA(MATCH(J386, Criterios!$A$123:$A$126, 0)), "División no válida", "")), IF(OR(K386="", K386=""), "[Aviso] Categoría no capturada ()", IF(ISNA(MATCH(K386, Criterios!$A$81:$A$120, 0)), "Categoría no válida", IF(AND(J386&lt;&gt;"", J386&lt;&gt;"", J386&lt;&gt;VLOOKUP(K386, Criterios!$A$81:$B$120, 2, FALSE)), "División no coincide con Categoría", ""))), IF(OR(L386="", L386=""), "[Aviso] Género no capturado ()", IF(ISNA(MATCH(L386, Criterios!$B$123:$B$127, 0)), "Género no válido", "")), IF(OR(N386="", N386=""), "[Aviso] Temporada no capturada ()", IF(ISNA(MATCH(N386, Criterios!$C$123:$C$128, 0)), "Temporada no válida", "")), IF(OR(O386="", O386=""), "[Aviso] Ciclo de vida no capturado ()", IF(ISNA(MATCH(O386, Criterios!$D$123:$D$124, 0)), "Ciclo de vida no válido", ""))))</f>
        <v/>
      </c>
      <c r="AC386" s="56" t="n"/>
      <c r="AD386" s="51" t="n">
        <v>11</v>
      </c>
      <c r="AE386" s="156" t="n"/>
      <c r="AF386" s="51" t="n">
        <v>11</v>
      </c>
      <c r="AG386" s="156" t="inlineStr">
        <is>
          <t>Nuevo – NetSuite con existencia</t>
        </is>
      </c>
      <c r="AH38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6" s="156" t="inlineStr">
        <is>
          <t>No</t>
        </is>
      </c>
      <c r="AJ386" s="156" t="n"/>
      <c r="AK386" s="155" t="inlineStr">
        <is>
          <t>G1522_Extraccion_Articulos_NetSuite_2026-09-30.xlsx: fila 43811</t>
        </is>
      </c>
      <c r="AL386" s="58" t="n"/>
      <c r="AM386" s="58" t="n"/>
      <c r="AN386" s="155" t="n"/>
      <c r="AO386" s="59" t="n"/>
      <c r="AP386" s="59" t="n"/>
      <c r="AQ386" s="59" t="n"/>
      <c r="AR386" s="155" t="n"/>
    </row>
    <row r="387">
      <c r="A387" s="50" t="inlineStr">
        <is>
          <t>5056658712821</t>
        </is>
      </c>
      <c r="B387" s="51" t="inlineStr">
        <is>
          <t>91057</t>
        </is>
      </c>
      <c r="C387" s="156" t="inlineStr">
        <is>
          <t>REFLO</t>
        </is>
      </c>
      <c r="D387" s="156" t="n"/>
      <c r="E387" s="156" t="n"/>
      <c r="F387" s="156" t="n"/>
      <c r="G387" s="156" t="n"/>
      <c r="H387" s="156" t="inlineStr">
        <is>
          <t>REFLO</t>
        </is>
      </c>
      <c r="I387" s="156" t="n"/>
      <c r="J387" s="156" t="n"/>
      <c r="K387" s="156" t="n"/>
      <c r="L387" s="156" t="n"/>
      <c r="M387" s="156" t="n"/>
      <c r="N387" s="156" t="n"/>
      <c r="O387" s="156" t="n"/>
      <c r="P387" s="156" t="n"/>
      <c r="Q387" s="156" t="n"/>
      <c r="R387" s="156" t="n"/>
      <c r="S387" s="156" t="n"/>
      <c r="T387" s="156" t="n"/>
      <c r="U387" s="156" t="n"/>
      <c r="V387" s="156" t="inlineStr">
        <is>
          <t>PZS</t>
        </is>
      </c>
      <c r="W387" s="51" t="inlineStr">
        <is>
          <t>53103000</t>
        </is>
      </c>
      <c r="X387" s="156" t="n"/>
      <c r="Y387" s="54" t="n">
        <v>22.75</v>
      </c>
      <c r="Z387" s="54" t="n">
        <v>1649</v>
      </c>
      <c r="AA387" s="55">
        <f>IF(AND(A387="", B387="", E387=""), "", IF(AB387="", "Válido", IF((LEN(AB387)-LEN(SUBSTITUTE(AB387,"; ","")))/2+1&gt;(LEN(AB387)-LEN(SUBSTITUTE(AB387,"[Aviso]","")))/7, "Con Incidencias", "Válido")))</f>
        <v/>
      </c>
      <c r="AB387" s="56">
        <f>IF(AND(A387="", B387="", E387=""), "", TEXTJOIN("; ", TRUE, IF(OR(TRIM(A387&amp;"")="", ISNUMBER(SEARCH("FALTA", A387))), "UPC faltante/inválido", ""), IF(AND(A387&lt;&gt;"", IFERROR(_xlfn.XMATCH(A387,$A$2:$A$653,0,1)&lt;&gt;_xlfn.XMATCH(A387,$A$2:$A$653,0,-1),FALSE)), "Código de barras duplicado", ""), IF(AND(E387&lt;&gt;"", COUNTIF($E$2:$E$653, E387)&gt;1), "SKU duplicado", ""), IF(OR(J387="", J387=""), "[Aviso] División no capturada ()", IF(ISNA(MATCH(J387, Criterios!$A$123:$A$126, 0)), "División no válida", "")), IF(OR(K387="", K387=""), "[Aviso] Categoría no capturada ()", IF(ISNA(MATCH(K387, Criterios!$A$81:$A$120, 0)), "Categoría no válida", IF(AND(J387&lt;&gt;"", J387&lt;&gt;"", J387&lt;&gt;VLOOKUP(K387, Criterios!$A$81:$B$120, 2, FALSE)), "División no coincide con Categoría", ""))), IF(OR(L387="", L387=""), "[Aviso] Género no capturado ()", IF(ISNA(MATCH(L387, Criterios!$B$123:$B$127, 0)), "Género no válido", "")), IF(OR(N387="", N387=""), "[Aviso] Temporada no capturada ()", IF(ISNA(MATCH(N387, Criterios!$C$123:$C$128, 0)), "Temporada no válida", "")), IF(OR(O387="", O387=""), "[Aviso] Ciclo de vida no capturado ()", IF(ISNA(MATCH(O387, Criterios!$D$123:$D$124, 0)), "Ciclo de vida no válido", ""))))</f>
        <v/>
      </c>
      <c r="AC387" s="56" t="n"/>
      <c r="AD387" s="51" t="n">
        <v>7</v>
      </c>
      <c r="AE387" s="156" t="n"/>
      <c r="AF387" s="51" t="n">
        <v>7</v>
      </c>
      <c r="AG387" s="156" t="inlineStr">
        <is>
          <t>Nuevo – NetSuite con existencia</t>
        </is>
      </c>
      <c r="AH38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7" s="156" t="inlineStr">
        <is>
          <t>No</t>
        </is>
      </c>
      <c r="AJ387" s="156" t="n"/>
      <c r="AK387" s="155" t="inlineStr">
        <is>
          <t>G1522_Extraccion_Articulos_NetSuite_2026-09-30.xlsx: fila 43812</t>
        </is>
      </c>
      <c r="AL387" s="58" t="n"/>
      <c r="AM387" s="58" t="n"/>
      <c r="AN387" s="155" t="n"/>
      <c r="AO387" s="59" t="n"/>
      <c r="AP387" s="59" t="n"/>
      <c r="AQ387" s="59" t="n"/>
      <c r="AR387" s="155" t="n"/>
    </row>
    <row r="388">
      <c r="A388" s="50" t="inlineStr">
        <is>
          <t>5056658714290</t>
        </is>
      </c>
      <c r="B388" s="51" t="inlineStr">
        <is>
          <t>91058</t>
        </is>
      </c>
      <c r="C388" s="156" t="inlineStr">
        <is>
          <t>REFLO</t>
        </is>
      </c>
      <c r="D388" s="156" t="n"/>
      <c r="E388" s="156" t="n"/>
      <c r="F388" s="156" t="n"/>
      <c r="G388" s="156" t="n"/>
      <c r="H388" s="156" t="inlineStr">
        <is>
          <t>REFLO</t>
        </is>
      </c>
      <c r="I388" s="156" t="n"/>
      <c r="J388" s="156" t="n"/>
      <c r="K388" s="156" t="n"/>
      <c r="L388" s="156" t="n"/>
      <c r="M388" s="156" t="n"/>
      <c r="N388" s="156" t="n"/>
      <c r="O388" s="156" t="n"/>
      <c r="P388" s="156" t="n"/>
      <c r="Q388" s="156" t="n"/>
      <c r="R388" s="156" t="n"/>
      <c r="S388" s="156" t="n"/>
      <c r="T388" s="156" t="n"/>
      <c r="U388" s="156" t="n"/>
      <c r="V388" s="156" t="inlineStr">
        <is>
          <t>PZS</t>
        </is>
      </c>
      <c r="W388" s="51" t="inlineStr">
        <is>
          <t>53103000</t>
        </is>
      </c>
      <c r="X388" s="156" t="n"/>
      <c r="Y388" s="54" t="n">
        <v>22.75</v>
      </c>
      <c r="Z388" s="54" t="n">
        <v>1649</v>
      </c>
      <c r="AA388" s="55">
        <f>IF(AND(A388="", B388="", E388=""), "", IF(AB388="", "Válido", IF((LEN(AB388)-LEN(SUBSTITUTE(AB388,"; ","")))/2+1&gt;(LEN(AB388)-LEN(SUBSTITUTE(AB388,"[Aviso]","")))/7, "Con Incidencias", "Válido")))</f>
        <v/>
      </c>
      <c r="AB388" s="56">
        <f>IF(AND(A388="", B388="", E388=""), "", TEXTJOIN("; ", TRUE, IF(OR(TRIM(A388&amp;"")="", ISNUMBER(SEARCH("FALTA", A388))), "UPC faltante/inválido", ""), IF(AND(A388&lt;&gt;"", IFERROR(_xlfn.XMATCH(A388,$A$2:$A$653,0,1)&lt;&gt;_xlfn.XMATCH(A388,$A$2:$A$653,0,-1),FALSE)), "Código de barras duplicado", ""), IF(AND(E388&lt;&gt;"", COUNTIF($E$2:$E$653, E388)&gt;1), "SKU duplicado", ""), IF(OR(J388="", J388=""), "[Aviso] División no capturada ()", IF(ISNA(MATCH(J388, Criterios!$A$123:$A$126, 0)), "División no válida", "")), IF(OR(K388="", K388=""), "[Aviso] Categoría no capturada ()", IF(ISNA(MATCH(K388, Criterios!$A$81:$A$120, 0)), "Categoría no válida", IF(AND(J388&lt;&gt;"", J388&lt;&gt;"", J388&lt;&gt;VLOOKUP(K388, Criterios!$A$81:$B$120, 2, FALSE)), "División no coincide con Categoría", ""))), IF(OR(L388="", L388=""), "[Aviso] Género no capturado ()", IF(ISNA(MATCH(L388, Criterios!$B$123:$B$127, 0)), "Género no válido", "")), IF(OR(N388="", N388=""), "[Aviso] Temporada no capturada ()", IF(ISNA(MATCH(N388, Criterios!$C$123:$C$128, 0)), "Temporada no válida", "")), IF(OR(O388="", O388=""), "[Aviso] Ciclo de vida no capturado ()", IF(ISNA(MATCH(O388, Criterios!$D$123:$D$124, 0)), "Ciclo de vida no válido", ""))))</f>
        <v/>
      </c>
      <c r="AC388" s="56" t="n"/>
      <c r="AD388" s="51" t="n">
        <v>3</v>
      </c>
      <c r="AE388" s="156" t="n"/>
      <c r="AF388" s="51" t="n">
        <v>3</v>
      </c>
      <c r="AG388" s="156" t="inlineStr">
        <is>
          <t>Nuevo – NetSuite con existencia</t>
        </is>
      </c>
      <c r="AH38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8" s="156" t="inlineStr">
        <is>
          <t>No</t>
        </is>
      </c>
      <c r="AJ388" s="156" t="n"/>
      <c r="AK388" s="155" t="inlineStr">
        <is>
          <t>G1522_Extraccion_Articulos_NetSuite_2026-09-30.xlsx: fila 43813</t>
        </is>
      </c>
      <c r="AL388" s="58" t="n"/>
      <c r="AM388" s="58" t="n"/>
      <c r="AN388" s="155" t="n"/>
      <c r="AO388" s="59" t="n"/>
      <c r="AP388" s="59" t="n"/>
      <c r="AQ388" s="59" t="n"/>
      <c r="AR388" s="155" t="n"/>
    </row>
    <row r="389">
      <c r="A389" s="50" t="inlineStr">
        <is>
          <t>5056658709883</t>
        </is>
      </c>
      <c r="B389" s="51" t="inlineStr">
        <is>
          <t>91059</t>
        </is>
      </c>
      <c r="C389" s="156" t="inlineStr">
        <is>
          <t>REFLO</t>
        </is>
      </c>
      <c r="D389" s="156" t="n"/>
      <c r="E389" s="156" t="n"/>
      <c r="F389" s="156" t="n"/>
      <c r="G389" s="156" t="n"/>
      <c r="H389" s="156" t="inlineStr">
        <is>
          <t>REFLO</t>
        </is>
      </c>
      <c r="I389" s="156" t="n"/>
      <c r="J389" s="156" t="n"/>
      <c r="K389" s="156" t="n"/>
      <c r="L389" s="156" t="n"/>
      <c r="M389" s="156" t="n"/>
      <c r="N389" s="156" t="n"/>
      <c r="O389" s="156" t="n"/>
      <c r="P389" s="156" t="n"/>
      <c r="Q389" s="156" t="n"/>
      <c r="R389" s="156" t="n"/>
      <c r="S389" s="156" t="n"/>
      <c r="T389" s="156" t="n"/>
      <c r="U389" s="156" t="n"/>
      <c r="V389" s="156" t="inlineStr">
        <is>
          <t>PZS</t>
        </is>
      </c>
      <c r="W389" s="51" t="inlineStr">
        <is>
          <t>53103000</t>
        </is>
      </c>
      <c r="X389" s="156" t="n"/>
      <c r="Y389" s="54" t="n">
        <v>26</v>
      </c>
      <c r="Z389" s="54" t="n">
        <v>1899</v>
      </c>
      <c r="AA389" s="55">
        <f>IF(AND(A389="", B389="", E389=""), "", IF(AB389="", "Válido", IF((LEN(AB389)-LEN(SUBSTITUTE(AB389,"; ","")))/2+1&gt;(LEN(AB389)-LEN(SUBSTITUTE(AB389,"[Aviso]","")))/7, "Con Incidencias", "Válido")))</f>
        <v/>
      </c>
      <c r="AB389" s="56">
        <f>IF(AND(A389="", B389="", E389=""), "", TEXTJOIN("; ", TRUE, IF(OR(TRIM(A389&amp;"")="", ISNUMBER(SEARCH("FALTA", A389))), "UPC faltante/inválido", ""), IF(AND(A389&lt;&gt;"", IFERROR(_xlfn.XMATCH(A389,$A$2:$A$653,0,1)&lt;&gt;_xlfn.XMATCH(A389,$A$2:$A$653,0,-1),FALSE)), "Código de barras duplicado", ""), IF(AND(E389&lt;&gt;"", COUNTIF($E$2:$E$653, E389)&gt;1), "SKU duplicado", ""), IF(OR(J389="", J389=""), "[Aviso] División no capturada ()", IF(ISNA(MATCH(J389, Criterios!$A$123:$A$126, 0)), "División no válida", "")), IF(OR(K389="", K389=""), "[Aviso] Categoría no capturada ()", IF(ISNA(MATCH(K389, Criterios!$A$81:$A$120, 0)), "Categoría no válida", IF(AND(J389&lt;&gt;"", J389&lt;&gt;"", J389&lt;&gt;VLOOKUP(K389, Criterios!$A$81:$B$120, 2, FALSE)), "División no coincide con Categoría", ""))), IF(OR(L389="", L389=""), "[Aviso] Género no capturado ()", IF(ISNA(MATCH(L389, Criterios!$B$123:$B$127, 0)), "Género no válido", "")), IF(OR(N389="", N389=""), "[Aviso] Temporada no capturada ()", IF(ISNA(MATCH(N389, Criterios!$C$123:$C$128, 0)), "Temporada no válida", "")), IF(OR(O389="", O389=""), "[Aviso] Ciclo de vida no capturado ()", IF(ISNA(MATCH(O389, Criterios!$D$123:$D$124, 0)), "Ciclo de vida no válido", ""))))</f>
        <v/>
      </c>
      <c r="AC389" s="56" t="n"/>
      <c r="AD389" s="51" t="n">
        <v>0</v>
      </c>
      <c r="AE389" s="156" t="n"/>
      <c r="AF389" s="51" t="n">
        <v>0</v>
      </c>
      <c r="AG389" s="156" t="inlineStr">
        <is>
          <t>Nuevo – NetSuite sin existencia</t>
        </is>
      </c>
      <c r="AH38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9" s="156" t="inlineStr">
        <is>
          <t>No</t>
        </is>
      </c>
      <c r="AJ389" s="156" t="n"/>
      <c r="AK389" s="155" t="inlineStr">
        <is>
          <t>G1522_Extraccion_Articulos_NetSuite_2026-09-30.xlsx: fila 43814</t>
        </is>
      </c>
      <c r="AL389" s="58" t="n"/>
      <c r="AM389" s="58" t="n"/>
      <c r="AN389" s="155" t="n"/>
      <c r="AO389" s="59" t="n"/>
      <c r="AP389" s="59" t="n"/>
      <c r="AQ389" s="59" t="n"/>
      <c r="AR389" s="155" t="n"/>
    </row>
    <row r="390">
      <c r="A390" s="50" t="inlineStr">
        <is>
          <t>5056658709890</t>
        </is>
      </c>
      <c r="B390" s="51" t="inlineStr">
        <is>
          <t>91060</t>
        </is>
      </c>
      <c r="C390" s="156" t="inlineStr">
        <is>
          <t>REFLO</t>
        </is>
      </c>
      <c r="D390" s="156" t="n"/>
      <c r="E390" s="156" t="n"/>
      <c r="F390" s="156" t="n"/>
      <c r="G390" s="156" t="n"/>
      <c r="H390" s="156" t="inlineStr">
        <is>
          <t>REFLO</t>
        </is>
      </c>
      <c r="I390" s="156" t="n"/>
      <c r="J390" s="156" t="n"/>
      <c r="K390" s="156" t="n"/>
      <c r="L390" s="156" t="n"/>
      <c r="M390" s="156" t="n"/>
      <c r="N390" s="156" t="n"/>
      <c r="O390" s="156" t="n"/>
      <c r="P390" s="156" t="n"/>
      <c r="Q390" s="156" t="n"/>
      <c r="R390" s="156" t="n"/>
      <c r="S390" s="156" t="n"/>
      <c r="T390" s="156" t="n"/>
      <c r="U390" s="156" t="n"/>
      <c r="V390" s="156" t="inlineStr">
        <is>
          <t>PZS</t>
        </is>
      </c>
      <c r="W390" s="51" t="inlineStr">
        <is>
          <t>53103000</t>
        </is>
      </c>
      <c r="X390" s="156" t="n"/>
      <c r="Y390" s="54" t="n">
        <v>26</v>
      </c>
      <c r="Z390" s="54" t="n">
        <v>1899</v>
      </c>
      <c r="AA390" s="55">
        <f>IF(AND(A390="", B390="", E390=""), "", IF(AB390="", "Válido", IF((LEN(AB390)-LEN(SUBSTITUTE(AB390,"; ","")))/2+1&gt;(LEN(AB390)-LEN(SUBSTITUTE(AB390,"[Aviso]","")))/7, "Con Incidencias", "Válido")))</f>
        <v/>
      </c>
      <c r="AB390" s="56">
        <f>IF(AND(A390="", B390="", E390=""), "", TEXTJOIN("; ", TRUE, IF(OR(TRIM(A390&amp;"")="", ISNUMBER(SEARCH("FALTA", A390))), "UPC faltante/inválido", ""), IF(AND(A390&lt;&gt;"", IFERROR(_xlfn.XMATCH(A390,$A$2:$A$653,0,1)&lt;&gt;_xlfn.XMATCH(A390,$A$2:$A$653,0,-1),FALSE)), "Código de barras duplicado", ""), IF(AND(E390&lt;&gt;"", COUNTIF($E$2:$E$653, E390)&gt;1), "SKU duplicado", ""), IF(OR(J390="", J390=""), "[Aviso] División no capturada ()", IF(ISNA(MATCH(J390, Criterios!$A$123:$A$126, 0)), "División no válida", "")), IF(OR(K390="", K390=""), "[Aviso] Categoría no capturada ()", IF(ISNA(MATCH(K390, Criterios!$A$81:$A$120, 0)), "Categoría no válida", IF(AND(J390&lt;&gt;"", J390&lt;&gt;"", J390&lt;&gt;VLOOKUP(K390, Criterios!$A$81:$B$120, 2, FALSE)), "División no coincide con Categoría", ""))), IF(OR(L390="", L390=""), "[Aviso] Género no capturado ()", IF(ISNA(MATCH(L390, Criterios!$B$123:$B$127, 0)), "Género no válido", "")), IF(OR(N390="", N390=""), "[Aviso] Temporada no capturada ()", IF(ISNA(MATCH(N390, Criterios!$C$123:$C$128, 0)), "Temporada no válida", "")), IF(OR(O390="", O390=""), "[Aviso] Ciclo de vida no capturado ()", IF(ISNA(MATCH(O390, Criterios!$D$123:$D$124, 0)), "Ciclo de vida no válido", ""))))</f>
        <v/>
      </c>
      <c r="AC390" s="56" t="n"/>
      <c r="AD390" s="51" t="n">
        <v>0</v>
      </c>
      <c r="AE390" s="156" t="n"/>
      <c r="AF390" s="51" t="n">
        <v>0</v>
      </c>
      <c r="AG390" s="156" t="inlineStr">
        <is>
          <t>Nuevo – NetSuite sin existencia</t>
        </is>
      </c>
      <c r="AH39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0" s="156" t="inlineStr">
        <is>
          <t>No</t>
        </is>
      </c>
      <c r="AJ390" s="156" t="n"/>
      <c r="AK390" s="155" t="inlineStr">
        <is>
          <t>G1522_Extraccion_Articulos_NetSuite_2026-09-30.xlsx: fila 43815</t>
        </is>
      </c>
      <c r="AL390" s="58" t="n"/>
      <c r="AM390" s="58" t="n"/>
      <c r="AN390" s="155" t="n"/>
      <c r="AO390" s="59" t="n"/>
      <c r="AP390" s="59" t="n"/>
      <c r="AQ390" s="59" t="n"/>
      <c r="AR390" s="155" t="n"/>
    </row>
    <row r="391">
      <c r="A391" s="50" t="inlineStr">
        <is>
          <t>5056658709906</t>
        </is>
      </c>
      <c r="B391" s="51" t="inlineStr">
        <is>
          <t>91061</t>
        </is>
      </c>
      <c r="C391" s="156" t="inlineStr">
        <is>
          <t>REFLO</t>
        </is>
      </c>
      <c r="D391" s="156" t="n"/>
      <c r="E391" s="156" t="n"/>
      <c r="F391" s="156" t="n"/>
      <c r="G391" s="156" t="n"/>
      <c r="H391" s="156" t="inlineStr">
        <is>
          <t>REFLO</t>
        </is>
      </c>
      <c r="I391" s="156" t="n"/>
      <c r="J391" s="156" t="n"/>
      <c r="K391" s="156" t="n"/>
      <c r="L391" s="156" t="n"/>
      <c r="M391" s="156" t="n"/>
      <c r="N391" s="156" t="n"/>
      <c r="O391" s="156" t="n"/>
      <c r="P391" s="156" t="n"/>
      <c r="Q391" s="156" t="n"/>
      <c r="R391" s="156" t="n"/>
      <c r="S391" s="156" t="n"/>
      <c r="T391" s="156" t="n"/>
      <c r="U391" s="156" t="n"/>
      <c r="V391" s="156" t="inlineStr">
        <is>
          <t>PZS</t>
        </is>
      </c>
      <c r="W391" s="51" t="inlineStr">
        <is>
          <t>53103000</t>
        </is>
      </c>
      <c r="X391" s="156" t="n"/>
      <c r="Y391" s="54" t="n">
        <v>26</v>
      </c>
      <c r="Z391" s="54" t="n">
        <v>1899</v>
      </c>
      <c r="AA391" s="55">
        <f>IF(AND(A391="", B391="", E391=""), "", IF(AB391="", "Válido", IF((LEN(AB391)-LEN(SUBSTITUTE(AB391,"; ","")))/2+1&gt;(LEN(AB391)-LEN(SUBSTITUTE(AB391,"[Aviso]","")))/7, "Con Incidencias", "Válido")))</f>
        <v/>
      </c>
      <c r="AB391" s="56">
        <f>IF(AND(A391="", B391="", E391=""), "", TEXTJOIN("; ", TRUE, IF(OR(TRIM(A391&amp;"")="", ISNUMBER(SEARCH("FALTA", A391))), "UPC faltante/inválido", ""), IF(AND(A391&lt;&gt;"", IFERROR(_xlfn.XMATCH(A391,$A$2:$A$653,0,1)&lt;&gt;_xlfn.XMATCH(A391,$A$2:$A$653,0,-1),FALSE)), "Código de barras duplicado", ""), IF(AND(E391&lt;&gt;"", COUNTIF($E$2:$E$653, E391)&gt;1), "SKU duplicado", ""), IF(OR(J391="", J391=""), "[Aviso] División no capturada ()", IF(ISNA(MATCH(J391, Criterios!$A$123:$A$126, 0)), "División no válida", "")), IF(OR(K391="", K391=""), "[Aviso] Categoría no capturada ()", IF(ISNA(MATCH(K391, Criterios!$A$81:$A$120, 0)), "Categoría no válida", IF(AND(J391&lt;&gt;"", J391&lt;&gt;"", J391&lt;&gt;VLOOKUP(K391, Criterios!$A$81:$B$120, 2, FALSE)), "División no coincide con Categoría", ""))), IF(OR(L391="", L391=""), "[Aviso] Género no capturado ()", IF(ISNA(MATCH(L391, Criterios!$B$123:$B$127, 0)), "Género no válido", "")), IF(OR(N391="", N391=""), "[Aviso] Temporada no capturada ()", IF(ISNA(MATCH(N391, Criterios!$C$123:$C$128, 0)), "Temporada no válida", "")), IF(OR(O391="", O391=""), "[Aviso] Ciclo de vida no capturado ()", IF(ISNA(MATCH(O391, Criterios!$D$123:$D$124, 0)), "Ciclo de vida no válido", ""))))</f>
        <v/>
      </c>
      <c r="AC391" s="56" t="n"/>
      <c r="AD391" s="51" t="n">
        <v>9</v>
      </c>
      <c r="AE391" s="156" t="n"/>
      <c r="AF391" s="51" t="n">
        <v>9</v>
      </c>
      <c r="AG391" s="156" t="inlineStr">
        <is>
          <t>Nuevo – NetSuite con existencia</t>
        </is>
      </c>
      <c r="AH39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1" s="156" t="inlineStr">
        <is>
          <t>No</t>
        </is>
      </c>
      <c r="AJ391" s="156" t="n"/>
      <c r="AK391" s="155" t="inlineStr">
        <is>
          <t>G1522_Extraccion_Articulos_NetSuite_2026-09-30.xlsx: fila 43816</t>
        </is>
      </c>
      <c r="AL391" s="58" t="n"/>
      <c r="AM391" s="58" t="n"/>
      <c r="AN391" s="155" t="n"/>
      <c r="AO391" s="59" t="n"/>
      <c r="AP391" s="59" t="n"/>
      <c r="AQ391" s="59" t="n"/>
      <c r="AR391" s="155" t="n"/>
    </row>
    <row r="392">
      <c r="A392" s="50" t="inlineStr">
        <is>
          <t>5056658709913</t>
        </is>
      </c>
      <c r="B392" s="51" t="inlineStr">
        <is>
          <t>91062</t>
        </is>
      </c>
      <c r="C392" s="156" t="inlineStr">
        <is>
          <t>REFLO</t>
        </is>
      </c>
      <c r="D392" s="156" t="n"/>
      <c r="E392" s="156" t="n"/>
      <c r="F392" s="156" t="n"/>
      <c r="G392" s="156" t="n"/>
      <c r="H392" s="156" t="inlineStr">
        <is>
          <t>REFLO</t>
        </is>
      </c>
      <c r="I392" s="156" t="n"/>
      <c r="J392" s="156" t="n"/>
      <c r="K392" s="156" t="n"/>
      <c r="L392" s="156" t="n"/>
      <c r="M392" s="156" t="n"/>
      <c r="N392" s="156" t="n"/>
      <c r="O392" s="156" t="n"/>
      <c r="P392" s="156" t="n"/>
      <c r="Q392" s="156" t="n"/>
      <c r="R392" s="156" t="n"/>
      <c r="S392" s="156" t="n"/>
      <c r="T392" s="156" t="n"/>
      <c r="U392" s="156" t="n"/>
      <c r="V392" s="156" t="inlineStr">
        <is>
          <t>PZS</t>
        </is>
      </c>
      <c r="W392" s="51" t="inlineStr">
        <is>
          <t>53103000</t>
        </is>
      </c>
      <c r="X392" s="156" t="n"/>
      <c r="Y392" s="54" t="n">
        <v>26</v>
      </c>
      <c r="Z392" s="54" t="n">
        <v>1899</v>
      </c>
      <c r="AA392" s="55">
        <f>IF(AND(A392="", B392="", E392=""), "", IF(AB392="", "Válido", IF((LEN(AB392)-LEN(SUBSTITUTE(AB392,"; ","")))/2+1&gt;(LEN(AB392)-LEN(SUBSTITUTE(AB392,"[Aviso]","")))/7, "Con Incidencias", "Válido")))</f>
        <v/>
      </c>
      <c r="AB392" s="56">
        <f>IF(AND(A392="", B392="", E392=""), "", TEXTJOIN("; ", TRUE, IF(OR(TRIM(A392&amp;"")="", ISNUMBER(SEARCH("FALTA", A392))), "UPC faltante/inválido", ""), IF(AND(A392&lt;&gt;"", IFERROR(_xlfn.XMATCH(A392,$A$2:$A$653,0,1)&lt;&gt;_xlfn.XMATCH(A392,$A$2:$A$653,0,-1),FALSE)), "Código de barras duplicado", ""), IF(AND(E392&lt;&gt;"", COUNTIF($E$2:$E$653, E392)&gt;1), "SKU duplicado", ""), IF(OR(J392="", J392=""), "[Aviso] División no capturada ()", IF(ISNA(MATCH(J392, Criterios!$A$123:$A$126, 0)), "División no válida", "")), IF(OR(K392="", K392=""), "[Aviso] Categoría no capturada ()", IF(ISNA(MATCH(K392, Criterios!$A$81:$A$120, 0)), "Categoría no válida", IF(AND(J392&lt;&gt;"", J392&lt;&gt;"", J392&lt;&gt;VLOOKUP(K392, Criterios!$A$81:$B$120, 2, FALSE)), "División no coincide con Categoría", ""))), IF(OR(L392="", L392=""), "[Aviso] Género no capturado ()", IF(ISNA(MATCH(L392, Criterios!$B$123:$B$127, 0)), "Género no válido", "")), IF(OR(N392="", N392=""), "[Aviso] Temporada no capturada ()", IF(ISNA(MATCH(N392, Criterios!$C$123:$C$128, 0)), "Temporada no válida", "")), IF(OR(O392="", O392=""), "[Aviso] Ciclo de vida no capturado ()", IF(ISNA(MATCH(O392, Criterios!$D$123:$D$124, 0)), "Ciclo de vida no válido", ""))))</f>
        <v/>
      </c>
      <c r="AC392" s="56" t="n"/>
      <c r="AD392" s="51" t="n">
        <v>12</v>
      </c>
      <c r="AE392" s="156" t="n"/>
      <c r="AF392" s="51" t="n">
        <v>12</v>
      </c>
      <c r="AG392" s="156" t="inlineStr">
        <is>
          <t>Nuevo – NetSuite con existencia</t>
        </is>
      </c>
      <c r="AH39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2" s="156" t="inlineStr">
        <is>
          <t>No</t>
        </is>
      </c>
      <c r="AJ392" s="156" t="n"/>
      <c r="AK392" s="155" t="inlineStr">
        <is>
          <t>G1522_Extraccion_Articulos_NetSuite_2026-09-30.xlsx: fila 43817</t>
        </is>
      </c>
      <c r="AL392" s="58" t="n"/>
      <c r="AM392" s="58" t="n"/>
      <c r="AN392" s="155" t="n"/>
      <c r="AO392" s="59" t="n"/>
      <c r="AP392" s="59" t="n"/>
      <c r="AQ392" s="59" t="n"/>
      <c r="AR392" s="155" t="n"/>
    </row>
    <row r="393">
      <c r="A393" s="50" t="inlineStr">
        <is>
          <t>5056658709920</t>
        </is>
      </c>
      <c r="B393" s="51" t="inlineStr">
        <is>
          <t>91063</t>
        </is>
      </c>
      <c r="C393" s="156" t="inlineStr">
        <is>
          <t>REFLO</t>
        </is>
      </c>
      <c r="D393" s="156" t="n"/>
      <c r="E393" s="156" t="n"/>
      <c r="F393" s="156" t="n"/>
      <c r="G393" s="156" t="n"/>
      <c r="H393" s="156" t="inlineStr">
        <is>
          <t>REFLO</t>
        </is>
      </c>
      <c r="I393" s="156" t="n"/>
      <c r="J393" s="156" t="n"/>
      <c r="K393" s="156" t="n"/>
      <c r="L393" s="156" t="n"/>
      <c r="M393" s="156" t="n"/>
      <c r="N393" s="156" t="n"/>
      <c r="O393" s="156" t="n"/>
      <c r="P393" s="156" t="n"/>
      <c r="Q393" s="156" t="n"/>
      <c r="R393" s="156" t="n"/>
      <c r="S393" s="156" t="n"/>
      <c r="T393" s="156" t="n"/>
      <c r="U393" s="156" t="n"/>
      <c r="V393" s="156" t="inlineStr">
        <is>
          <t>PZS</t>
        </is>
      </c>
      <c r="W393" s="51" t="inlineStr">
        <is>
          <t>53103000</t>
        </is>
      </c>
      <c r="X393" s="156" t="n"/>
      <c r="Y393" s="54" t="n">
        <v>26</v>
      </c>
      <c r="Z393" s="54" t="n">
        <v>1899</v>
      </c>
      <c r="AA393" s="55">
        <f>IF(AND(A393="", B393="", E393=""), "", IF(AB393="", "Válido", IF((LEN(AB393)-LEN(SUBSTITUTE(AB393,"; ","")))/2+1&gt;(LEN(AB393)-LEN(SUBSTITUTE(AB393,"[Aviso]","")))/7, "Con Incidencias", "Válido")))</f>
        <v/>
      </c>
      <c r="AB393" s="56">
        <f>IF(AND(A393="", B393="", E393=""), "", TEXTJOIN("; ", TRUE, IF(OR(TRIM(A393&amp;"")="", ISNUMBER(SEARCH("FALTA", A393))), "UPC faltante/inválido", ""), IF(AND(A393&lt;&gt;"", IFERROR(_xlfn.XMATCH(A393,$A$2:$A$653,0,1)&lt;&gt;_xlfn.XMATCH(A393,$A$2:$A$653,0,-1),FALSE)), "Código de barras duplicado", ""), IF(AND(E393&lt;&gt;"", COUNTIF($E$2:$E$653, E393)&gt;1), "SKU duplicado", ""), IF(OR(J393="", J393=""), "[Aviso] División no capturada ()", IF(ISNA(MATCH(J393, Criterios!$A$123:$A$126, 0)), "División no válida", "")), IF(OR(K393="", K393=""), "[Aviso] Categoría no capturada ()", IF(ISNA(MATCH(K393, Criterios!$A$81:$A$120, 0)), "Categoría no válida", IF(AND(J393&lt;&gt;"", J393&lt;&gt;"", J393&lt;&gt;VLOOKUP(K393, Criterios!$A$81:$B$120, 2, FALSE)), "División no coincide con Categoría", ""))), IF(OR(L393="", L393=""), "[Aviso] Género no capturado ()", IF(ISNA(MATCH(L393, Criterios!$B$123:$B$127, 0)), "Género no válido", "")), IF(OR(N393="", N393=""), "[Aviso] Temporada no capturada ()", IF(ISNA(MATCH(N393, Criterios!$C$123:$C$128, 0)), "Temporada no válida", "")), IF(OR(O393="", O393=""), "[Aviso] Ciclo de vida no capturado ()", IF(ISNA(MATCH(O393, Criterios!$D$123:$D$124, 0)), "Ciclo de vida no válido", ""))))</f>
        <v/>
      </c>
      <c r="AC393" s="56" t="n"/>
      <c r="AD393" s="51" t="n">
        <v>8</v>
      </c>
      <c r="AE393" s="156" t="n"/>
      <c r="AF393" s="51" t="n">
        <v>8</v>
      </c>
      <c r="AG393" s="156" t="inlineStr">
        <is>
          <t>Nuevo – NetSuite con existencia</t>
        </is>
      </c>
      <c r="AH39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3" s="156" t="inlineStr">
        <is>
          <t>No</t>
        </is>
      </c>
      <c r="AJ393" s="156" t="n"/>
      <c r="AK393" s="155" t="inlineStr">
        <is>
          <t>G1522_Extraccion_Articulos_NetSuite_2026-09-30.xlsx: fila 43818</t>
        </is>
      </c>
      <c r="AL393" s="58" t="n"/>
      <c r="AM393" s="58" t="n"/>
      <c r="AN393" s="155" t="n"/>
      <c r="AO393" s="59" t="n"/>
      <c r="AP393" s="59" t="n"/>
      <c r="AQ393" s="59" t="n"/>
      <c r="AR393" s="155" t="n"/>
    </row>
    <row r="394">
      <c r="A394" s="50" t="inlineStr">
        <is>
          <t>5056658714306</t>
        </is>
      </c>
      <c r="B394" s="51" t="inlineStr">
        <is>
          <t>91064</t>
        </is>
      </c>
      <c r="C394" s="156" t="inlineStr">
        <is>
          <t>REFLO</t>
        </is>
      </c>
      <c r="D394" s="156" t="n"/>
      <c r="E394" s="156" t="n"/>
      <c r="F394" s="156" t="n"/>
      <c r="G394" s="156" t="n"/>
      <c r="H394" s="156" t="inlineStr">
        <is>
          <t>REFLO</t>
        </is>
      </c>
      <c r="I394" s="156" t="n"/>
      <c r="J394" s="156" t="n"/>
      <c r="K394" s="156" t="n"/>
      <c r="L394" s="156" t="n"/>
      <c r="M394" s="156" t="n"/>
      <c r="N394" s="156" t="n"/>
      <c r="O394" s="156" t="n"/>
      <c r="P394" s="156" t="n"/>
      <c r="Q394" s="156" t="n"/>
      <c r="R394" s="156" t="n"/>
      <c r="S394" s="156" t="n"/>
      <c r="T394" s="156" t="n"/>
      <c r="U394" s="156" t="n"/>
      <c r="V394" s="156" t="inlineStr">
        <is>
          <t>PZS</t>
        </is>
      </c>
      <c r="W394" s="51" t="inlineStr">
        <is>
          <t>53103000</t>
        </is>
      </c>
      <c r="X394" s="156" t="n"/>
      <c r="Y394" s="54" t="n">
        <v>26</v>
      </c>
      <c r="Z394" s="54" t="n">
        <v>1899</v>
      </c>
      <c r="AA394" s="55">
        <f>IF(AND(A394="", B394="", E394=""), "", IF(AB394="", "Válido", IF((LEN(AB394)-LEN(SUBSTITUTE(AB394,"; ","")))/2+1&gt;(LEN(AB394)-LEN(SUBSTITUTE(AB394,"[Aviso]","")))/7, "Con Incidencias", "Válido")))</f>
        <v/>
      </c>
      <c r="AB394" s="56">
        <f>IF(AND(A394="", B394="", E394=""), "", TEXTJOIN("; ", TRUE, IF(OR(TRIM(A394&amp;"")="", ISNUMBER(SEARCH("FALTA", A394))), "UPC faltante/inválido", ""), IF(AND(A394&lt;&gt;"", IFERROR(_xlfn.XMATCH(A394,$A$2:$A$653,0,1)&lt;&gt;_xlfn.XMATCH(A394,$A$2:$A$653,0,-1),FALSE)), "Código de barras duplicado", ""), IF(AND(E394&lt;&gt;"", COUNTIF($E$2:$E$653, E394)&gt;1), "SKU duplicado", ""), IF(OR(J394="", J394=""), "[Aviso] División no capturada ()", IF(ISNA(MATCH(J394, Criterios!$A$123:$A$126, 0)), "División no válida", "")), IF(OR(K394="", K394=""), "[Aviso] Categoría no capturada ()", IF(ISNA(MATCH(K394, Criterios!$A$81:$A$120, 0)), "Categoría no válida", IF(AND(J394&lt;&gt;"", J394&lt;&gt;"", J394&lt;&gt;VLOOKUP(K394, Criterios!$A$81:$B$120, 2, FALSE)), "División no coincide con Categoría", ""))), IF(OR(L394="", L394=""), "[Aviso] Género no capturado ()", IF(ISNA(MATCH(L394, Criterios!$B$123:$B$127, 0)), "Género no válido", "")), IF(OR(N394="", N394=""), "[Aviso] Temporada no capturada ()", IF(ISNA(MATCH(N394, Criterios!$C$123:$C$128, 0)), "Temporada no válida", "")), IF(OR(O394="", O394=""), "[Aviso] Ciclo de vida no capturado ()", IF(ISNA(MATCH(O394, Criterios!$D$123:$D$124, 0)), "Ciclo de vida no válido", ""))))</f>
        <v/>
      </c>
      <c r="AC394" s="56" t="n"/>
      <c r="AD394" s="51" t="n">
        <v>4</v>
      </c>
      <c r="AE394" s="156" t="n"/>
      <c r="AF394" s="51" t="n">
        <v>4</v>
      </c>
      <c r="AG394" s="156" t="inlineStr">
        <is>
          <t>Nuevo – NetSuite con existencia</t>
        </is>
      </c>
      <c r="AH39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4" s="156" t="inlineStr">
        <is>
          <t>No</t>
        </is>
      </c>
      <c r="AJ394" s="156" t="n"/>
      <c r="AK394" s="155" t="inlineStr">
        <is>
          <t>G1522_Extraccion_Articulos_NetSuite_2026-09-30.xlsx: fila 43819</t>
        </is>
      </c>
      <c r="AL394" s="58" t="n"/>
      <c r="AM394" s="58" t="n"/>
      <c r="AN394" s="155" t="n"/>
      <c r="AO394" s="59" t="n"/>
      <c r="AP394" s="59" t="n"/>
      <c r="AQ394" s="59" t="n"/>
      <c r="AR394" s="155" t="n"/>
    </row>
    <row r="395">
      <c r="A395" s="50" t="inlineStr">
        <is>
          <t>5056658709944</t>
        </is>
      </c>
      <c r="B395" s="51" t="inlineStr">
        <is>
          <t>91065</t>
        </is>
      </c>
      <c r="C395" s="156" t="inlineStr">
        <is>
          <t>REFLO</t>
        </is>
      </c>
      <c r="D395" s="156" t="n"/>
      <c r="E395" s="156" t="n"/>
      <c r="F395" s="156" t="n"/>
      <c r="G395" s="156" t="n"/>
      <c r="H395" s="156" t="inlineStr">
        <is>
          <t>REFLO</t>
        </is>
      </c>
      <c r="I395" s="156" t="n"/>
      <c r="J395" s="156" t="n"/>
      <c r="K395" s="156" t="n"/>
      <c r="L395" s="156" t="n"/>
      <c r="M395" s="156" t="n"/>
      <c r="N395" s="156" t="n"/>
      <c r="O395" s="156" t="n"/>
      <c r="P395" s="156" t="n"/>
      <c r="Q395" s="156" t="n"/>
      <c r="R395" s="156" t="n"/>
      <c r="S395" s="156" t="n"/>
      <c r="T395" s="156" t="n"/>
      <c r="U395" s="156" t="n"/>
      <c r="V395" s="156" t="inlineStr">
        <is>
          <t>PZS</t>
        </is>
      </c>
      <c r="W395" s="51" t="inlineStr">
        <is>
          <t>53103000</t>
        </is>
      </c>
      <c r="X395" s="156" t="n"/>
      <c r="Y395" s="54" t="n">
        <v>26</v>
      </c>
      <c r="Z395" s="54" t="n">
        <v>1899</v>
      </c>
      <c r="AA395" s="55">
        <f>IF(AND(A395="", B395="", E395=""), "", IF(AB395="", "Válido", IF((LEN(AB395)-LEN(SUBSTITUTE(AB395,"; ","")))/2+1&gt;(LEN(AB395)-LEN(SUBSTITUTE(AB395,"[Aviso]","")))/7, "Con Incidencias", "Válido")))</f>
        <v/>
      </c>
      <c r="AB395" s="56">
        <f>IF(AND(A395="", B395="", E395=""), "", TEXTJOIN("; ", TRUE, IF(OR(TRIM(A395&amp;"")="", ISNUMBER(SEARCH("FALTA", A395))), "UPC faltante/inválido", ""), IF(AND(A395&lt;&gt;"", IFERROR(_xlfn.XMATCH(A395,$A$2:$A$653,0,1)&lt;&gt;_xlfn.XMATCH(A395,$A$2:$A$653,0,-1),FALSE)), "Código de barras duplicado", ""), IF(AND(E395&lt;&gt;"", COUNTIF($E$2:$E$653, E395)&gt;1), "SKU duplicado", ""), IF(OR(J395="", J395=""), "[Aviso] División no capturada ()", IF(ISNA(MATCH(J395, Criterios!$A$123:$A$126, 0)), "División no válida", "")), IF(OR(K395="", K395=""), "[Aviso] Categoría no capturada ()", IF(ISNA(MATCH(K395, Criterios!$A$81:$A$120, 0)), "Categoría no válida", IF(AND(J395&lt;&gt;"", J395&lt;&gt;"", J395&lt;&gt;VLOOKUP(K395, Criterios!$A$81:$B$120, 2, FALSE)), "División no coincide con Categoría", ""))), IF(OR(L395="", L395=""), "[Aviso] Género no capturado ()", IF(ISNA(MATCH(L395, Criterios!$B$123:$B$127, 0)), "Género no válido", "")), IF(OR(N395="", N395=""), "[Aviso] Temporada no capturada ()", IF(ISNA(MATCH(N395, Criterios!$C$123:$C$128, 0)), "Temporada no válida", "")), IF(OR(O395="", O395=""), "[Aviso] Ciclo de vida no capturado ()", IF(ISNA(MATCH(O395, Criterios!$D$123:$D$124, 0)), "Ciclo de vida no válido", ""))))</f>
        <v/>
      </c>
      <c r="AC395" s="56" t="n"/>
      <c r="AD395" s="51" t="n">
        <v>0</v>
      </c>
      <c r="AE395" s="156" t="n"/>
      <c r="AF395" s="51" t="n">
        <v>0</v>
      </c>
      <c r="AG395" s="156" t="inlineStr">
        <is>
          <t>Nuevo – NetSuite sin existencia</t>
        </is>
      </c>
      <c r="AH39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5" s="156" t="inlineStr">
        <is>
          <t>No</t>
        </is>
      </c>
      <c r="AJ395" s="156" t="n"/>
      <c r="AK395" s="155" t="inlineStr">
        <is>
          <t>G1522_Extraccion_Articulos_NetSuite_2026-09-30.xlsx: fila 43820</t>
        </is>
      </c>
      <c r="AL395" s="58" t="n"/>
      <c r="AM395" s="58" t="n"/>
      <c r="AN395" s="155" t="n"/>
      <c r="AO395" s="59" t="n"/>
      <c r="AP395" s="59" t="n"/>
      <c r="AQ395" s="59" t="n"/>
      <c r="AR395" s="155" t="n"/>
    </row>
    <row r="396">
      <c r="A396" s="50" t="inlineStr">
        <is>
          <t>5056658709951</t>
        </is>
      </c>
      <c r="B396" s="51" t="inlineStr">
        <is>
          <t>91066</t>
        </is>
      </c>
      <c r="C396" s="156" t="inlineStr">
        <is>
          <t>REFLO</t>
        </is>
      </c>
      <c r="D396" s="156" t="n"/>
      <c r="E396" s="156" t="n"/>
      <c r="F396" s="156" t="n"/>
      <c r="G396" s="156" t="n"/>
      <c r="H396" s="156" t="inlineStr">
        <is>
          <t>REFLO</t>
        </is>
      </c>
      <c r="I396" s="156" t="n"/>
      <c r="J396" s="156" t="n"/>
      <c r="K396" s="156" t="n"/>
      <c r="L396" s="156" t="n"/>
      <c r="M396" s="156" t="n"/>
      <c r="N396" s="156" t="n"/>
      <c r="O396" s="156" t="n"/>
      <c r="P396" s="156" t="n"/>
      <c r="Q396" s="156" t="n"/>
      <c r="R396" s="156" t="n"/>
      <c r="S396" s="156" t="n"/>
      <c r="T396" s="156" t="n"/>
      <c r="U396" s="156" t="n"/>
      <c r="V396" s="156" t="inlineStr">
        <is>
          <t>PZS</t>
        </is>
      </c>
      <c r="W396" s="51" t="inlineStr">
        <is>
          <t>53103000</t>
        </is>
      </c>
      <c r="X396" s="156" t="n"/>
      <c r="Y396" s="54" t="n">
        <v>26</v>
      </c>
      <c r="Z396" s="54" t="n">
        <v>1899</v>
      </c>
      <c r="AA396" s="55">
        <f>IF(AND(A396="", B396="", E396=""), "", IF(AB396="", "Válido", IF((LEN(AB396)-LEN(SUBSTITUTE(AB396,"; ","")))/2+1&gt;(LEN(AB396)-LEN(SUBSTITUTE(AB396,"[Aviso]","")))/7, "Con Incidencias", "Válido")))</f>
        <v/>
      </c>
      <c r="AB396" s="56">
        <f>IF(AND(A396="", B396="", E396=""), "", TEXTJOIN("; ", TRUE, IF(OR(TRIM(A396&amp;"")="", ISNUMBER(SEARCH("FALTA", A396))), "UPC faltante/inválido", ""), IF(AND(A396&lt;&gt;"", IFERROR(_xlfn.XMATCH(A396,$A$2:$A$653,0,1)&lt;&gt;_xlfn.XMATCH(A396,$A$2:$A$653,0,-1),FALSE)), "Código de barras duplicado", ""), IF(AND(E396&lt;&gt;"", COUNTIF($E$2:$E$653, E396)&gt;1), "SKU duplicado", ""), IF(OR(J396="", J396=""), "[Aviso] División no capturada ()", IF(ISNA(MATCH(J396, Criterios!$A$123:$A$126, 0)), "División no válida", "")), IF(OR(K396="", K396=""), "[Aviso] Categoría no capturada ()", IF(ISNA(MATCH(K396, Criterios!$A$81:$A$120, 0)), "Categoría no válida", IF(AND(J396&lt;&gt;"", J396&lt;&gt;"", J396&lt;&gt;VLOOKUP(K396, Criterios!$A$81:$B$120, 2, FALSE)), "División no coincide con Categoría", ""))), IF(OR(L396="", L396=""), "[Aviso] Género no capturado ()", IF(ISNA(MATCH(L396, Criterios!$B$123:$B$127, 0)), "Género no válido", "")), IF(OR(N396="", N396=""), "[Aviso] Temporada no capturada ()", IF(ISNA(MATCH(N396, Criterios!$C$123:$C$128, 0)), "Temporada no válida", "")), IF(OR(O396="", O396=""), "[Aviso] Ciclo de vida no capturado ()", IF(ISNA(MATCH(O396, Criterios!$D$123:$D$124, 0)), "Ciclo de vida no válido", ""))))</f>
        <v/>
      </c>
      <c r="AC396" s="56" t="n"/>
      <c r="AD396" s="51" t="n">
        <v>0</v>
      </c>
      <c r="AE396" s="156" t="n"/>
      <c r="AF396" s="51" t="n">
        <v>0</v>
      </c>
      <c r="AG396" s="156" t="inlineStr">
        <is>
          <t>Nuevo – NetSuite sin existencia</t>
        </is>
      </c>
      <c r="AH39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6" s="156" t="inlineStr">
        <is>
          <t>No</t>
        </is>
      </c>
      <c r="AJ396" s="156" t="n"/>
      <c r="AK396" s="155" t="inlineStr">
        <is>
          <t>G1522_Extraccion_Articulos_NetSuite_2026-09-30.xlsx: fila 43821</t>
        </is>
      </c>
      <c r="AL396" s="58" t="n"/>
      <c r="AM396" s="58" t="n"/>
      <c r="AN396" s="155" t="n"/>
      <c r="AO396" s="59" t="n"/>
      <c r="AP396" s="59" t="n"/>
      <c r="AQ396" s="59" t="n"/>
      <c r="AR396" s="155" t="n"/>
    </row>
    <row r="397">
      <c r="A397" s="50" t="inlineStr">
        <is>
          <t>5056658709968</t>
        </is>
      </c>
      <c r="B397" s="51" t="inlineStr">
        <is>
          <t>91067</t>
        </is>
      </c>
      <c r="C397" s="156" t="inlineStr">
        <is>
          <t>REFLO</t>
        </is>
      </c>
      <c r="D397" s="156" t="n"/>
      <c r="E397" s="156" t="n"/>
      <c r="F397" s="156" t="n"/>
      <c r="G397" s="156" t="n"/>
      <c r="H397" s="156" t="inlineStr">
        <is>
          <t>REFLO</t>
        </is>
      </c>
      <c r="I397" s="156" t="n"/>
      <c r="J397" s="156" t="n"/>
      <c r="K397" s="156" t="n"/>
      <c r="L397" s="156" t="n"/>
      <c r="M397" s="156" t="n"/>
      <c r="N397" s="156" t="n"/>
      <c r="O397" s="156" t="n"/>
      <c r="P397" s="156" t="n"/>
      <c r="Q397" s="156" t="n"/>
      <c r="R397" s="156" t="n"/>
      <c r="S397" s="156" t="n"/>
      <c r="T397" s="156" t="n"/>
      <c r="U397" s="156" t="n"/>
      <c r="V397" s="156" t="inlineStr">
        <is>
          <t>PZS</t>
        </is>
      </c>
      <c r="W397" s="51" t="inlineStr">
        <is>
          <t>53103000</t>
        </is>
      </c>
      <c r="X397" s="156" t="n"/>
      <c r="Y397" s="54" t="n">
        <v>26</v>
      </c>
      <c r="Z397" s="54" t="n">
        <v>1899</v>
      </c>
      <c r="AA397" s="55">
        <f>IF(AND(A397="", B397="", E397=""), "", IF(AB397="", "Válido", IF((LEN(AB397)-LEN(SUBSTITUTE(AB397,"; ","")))/2+1&gt;(LEN(AB397)-LEN(SUBSTITUTE(AB397,"[Aviso]","")))/7, "Con Incidencias", "Válido")))</f>
        <v/>
      </c>
      <c r="AB397" s="56">
        <f>IF(AND(A397="", B397="", E397=""), "", TEXTJOIN("; ", TRUE, IF(OR(TRIM(A397&amp;"")="", ISNUMBER(SEARCH("FALTA", A397))), "UPC faltante/inválido", ""), IF(AND(A397&lt;&gt;"", IFERROR(_xlfn.XMATCH(A397,$A$2:$A$653,0,1)&lt;&gt;_xlfn.XMATCH(A397,$A$2:$A$653,0,-1),FALSE)), "Código de barras duplicado", ""), IF(AND(E397&lt;&gt;"", COUNTIF($E$2:$E$653, E397)&gt;1), "SKU duplicado", ""), IF(OR(J397="", J397=""), "[Aviso] División no capturada ()", IF(ISNA(MATCH(J397, Criterios!$A$123:$A$126, 0)), "División no válida", "")), IF(OR(K397="", K397=""), "[Aviso] Categoría no capturada ()", IF(ISNA(MATCH(K397, Criterios!$A$81:$A$120, 0)), "Categoría no válida", IF(AND(J397&lt;&gt;"", J397&lt;&gt;"", J397&lt;&gt;VLOOKUP(K397, Criterios!$A$81:$B$120, 2, FALSE)), "División no coincide con Categoría", ""))), IF(OR(L397="", L397=""), "[Aviso] Género no capturado ()", IF(ISNA(MATCH(L397, Criterios!$B$123:$B$127, 0)), "Género no válido", "")), IF(OR(N397="", N397=""), "[Aviso] Temporada no capturada ()", IF(ISNA(MATCH(N397, Criterios!$C$123:$C$128, 0)), "Temporada no válida", "")), IF(OR(O397="", O397=""), "[Aviso] Ciclo de vida no capturado ()", IF(ISNA(MATCH(O397, Criterios!$D$123:$D$124, 0)), "Ciclo de vida no válido", ""))))</f>
        <v/>
      </c>
      <c r="AC397" s="56" t="n"/>
      <c r="AD397" s="51" t="n">
        <v>8</v>
      </c>
      <c r="AE397" s="156" t="n"/>
      <c r="AF397" s="51" t="n">
        <v>8</v>
      </c>
      <c r="AG397" s="156" t="inlineStr">
        <is>
          <t>Nuevo – NetSuite con existencia</t>
        </is>
      </c>
      <c r="AH39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7" s="156" t="inlineStr">
        <is>
          <t>No</t>
        </is>
      </c>
      <c r="AJ397" s="156" t="n"/>
      <c r="AK397" s="155" t="inlineStr">
        <is>
          <t>G1522_Extraccion_Articulos_NetSuite_2026-09-30.xlsx: fila 43822</t>
        </is>
      </c>
      <c r="AL397" s="58" t="n"/>
      <c r="AM397" s="58" t="n"/>
      <c r="AN397" s="155" t="n"/>
      <c r="AO397" s="59" t="n"/>
      <c r="AP397" s="59" t="n"/>
      <c r="AQ397" s="59" t="n"/>
      <c r="AR397" s="155" t="n"/>
    </row>
    <row r="398">
      <c r="A398" s="50" t="inlineStr">
        <is>
          <t>5056658709975</t>
        </is>
      </c>
      <c r="B398" s="51" t="inlineStr">
        <is>
          <t>91068</t>
        </is>
      </c>
      <c r="C398" s="156" t="inlineStr">
        <is>
          <t>REFLO</t>
        </is>
      </c>
      <c r="D398" s="156" t="n"/>
      <c r="E398" s="156" t="n"/>
      <c r="F398" s="156" t="n"/>
      <c r="G398" s="156" t="n"/>
      <c r="H398" s="156" t="inlineStr">
        <is>
          <t>REFLO</t>
        </is>
      </c>
      <c r="I398" s="156" t="n"/>
      <c r="J398" s="156" t="n"/>
      <c r="K398" s="156" t="n"/>
      <c r="L398" s="156" t="n"/>
      <c r="M398" s="156" t="n"/>
      <c r="N398" s="156" t="n"/>
      <c r="O398" s="156" t="n"/>
      <c r="P398" s="156" t="n"/>
      <c r="Q398" s="156" t="n"/>
      <c r="R398" s="156" t="n"/>
      <c r="S398" s="156" t="n"/>
      <c r="T398" s="156" t="n"/>
      <c r="U398" s="156" t="n"/>
      <c r="V398" s="156" t="inlineStr">
        <is>
          <t>PZS</t>
        </is>
      </c>
      <c r="W398" s="51" t="inlineStr">
        <is>
          <t>53103000</t>
        </is>
      </c>
      <c r="X398" s="156" t="n"/>
      <c r="Y398" s="54" t="n">
        <v>26</v>
      </c>
      <c r="Z398" s="54" t="n">
        <v>1899</v>
      </c>
      <c r="AA398" s="55">
        <f>IF(AND(A398="", B398="", E398=""), "", IF(AB398="", "Válido", IF((LEN(AB398)-LEN(SUBSTITUTE(AB398,"; ","")))/2+1&gt;(LEN(AB398)-LEN(SUBSTITUTE(AB398,"[Aviso]","")))/7, "Con Incidencias", "Válido")))</f>
        <v/>
      </c>
      <c r="AB398" s="56">
        <f>IF(AND(A398="", B398="", E398=""), "", TEXTJOIN("; ", TRUE, IF(OR(TRIM(A398&amp;"")="", ISNUMBER(SEARCH("FALTA", A398))), "UPC faltante/inválido", ""), IF(AND(A398&lt;&gt;"", IFERROR(_xlfn.XMATCH(A398,$A$2:$A$653,0,1)&lt;&gt;_xlfn.XMATCH(A398,$A$2:$A$653,0,-1),FALSE)), "Código de barras duplicado", ""), IF(AND(E398&lt;&gt;"", COUNTIF($E$2:$E$653, E398)&gt;1), "SKU duplicado", ""), IF(OR(J398="", J398=""), "[Aviso] División no capturada ()", IF(ISNA(MATCH(J398, Criterios!$A$123:$A$126, 0)), "División no válida", "")), IF(OR(K398="", K398=""), "[Aviso] Categoría no capturada ()", IF(ISNA(MATCH(K398, Criterios!$A$81:$A$120, 0)), "Categoría no válida", IF(AND(J398&lt;&gt;"", J398&lt;&gt;"", J398&lt;&gt;VLOOKUP(K398, Criterios!$A$81:$B$120, 2, FALSE)), "División no coincide con Categoría", ""))), IF(OR(L398="", L398=""), "[Aviso] Género no capturado ()", IF(ISNA(MATCH(L398, Criterios!$B$123:$B$127, 0)), "Género no válido", "")), IF(OR(N398="", N398=""), "[Aviso] Temporada no capturada ()", IF(ISNA(MATCH(N398, Criterios!$C$123:$C$128, 0)), "Temporada no válida", "")), IF(OR(O398="", O398=""), "[Aviso] Ciclo de vida no capturado ()", IF(ISNA(MATCH(O398, Criterios!$D$123:$D$124, 0)), "Ciclo de vida no válido", ""))))</f>
        <v/>
      </c>
      <c r="AC398" s="56" t="n"/>
      <c r="AD398" s="51" t="n">
        <v>12</v>
      </c>
      <c r="AE398" s="156" t="n"/>
      <c r="AF398" s="51" t="n">
        <v>12</v>
      </c>
      <c r="AG398" s="156" t="inlineStr">
        <is>
          <t>Nuevo – NetSuite con existencia</t>
        </is>
      </c>
      <c r="AH39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8" s="156" t="inlineStr">
        <is>
          <t>No</t>
        </is>
      </c>
      <c r="AJ398" s="156" t="n"/>
      <c r="AK398" s="155" t="inlineStr">
        <is>
          <t>G1522_Extraccion_Articulos_NetSuite_2026-09-30.xlsx: fila 43823</t>
        </is>
      </c>
      <c r="AL398" s="58" t="n"/>
      <c r="AM398" s="58" t="n"/>
      <c r="AN398" s="155" t="n"/>
      <c r="AO398" s="59" t="n"/>
      <c r="AP398" s="59" t="n"/>
      <c r="AQ398" s="59" t="n"/>
      <c r="AR398" s="155" t="n"/>
    </row>
    <row r="399">
      <c r="A399" s="50" t="inlineStr">
        <is>
          <t>5056658709982</t>
        </is>
      </c>
      <c r="B399" s="51" t="inlineStr">
        <is>
          <t>91069</t>
        </is>
      </c>
      <c r="C399" s="156" t="inlineStr">
        <is>
          <t>REFLO</t>
        </is>
      </c>
      <c r="D399" s="156" t="n"/>
      <c r="E399" s="156" t="n"/>
      <c r="F399" s="156" t="n"/>
      <c r="G399" s="156" t="n"/>
      <c r="H399" s="156" t="inlineStr">
        <is>
          <t>REFLO</t>
        </is>
      </c>
      <c r="I399" s="156" t="n"/>
      <c r="J399" s="156" t="n"/>
      <c r="K399" s="156" t="n"/>
      <c r="L399" s="156" t="n"/>
      <c r="M399" s="156" t="n"/>
      <c r="N399" s="156" t="n"/>
      <c r="O399" s="156" t="n"/>
      <c r="P399" s="156" t="n"/>
      <c r="Q399" s="156" t="n"/>
      <c r="R399" s="156" t="n"/>
      <c r="S399" s="156" t="n"/>
      <c r="T399" s="156" t="n"/>
      <c r="U399" s="156" t="n"/>
      <c r="V399" s="156" t="inlineStr">
        <is>
          <t>PZS</t>
        </is>
      </c>
      <c r="W399" s="51" t="inlineStr">
        <is>
          <t>53103000</t>
        </is>
      </c>
      <c r="X399" s="156" t="n"/>
      <c r="Y399" s="54" t="n">
        <v>26</v>
      </c>
      <c r="Z399" s="54" t="n">
        <v>1899</v>
      </c>
      <c r="AA399" s="55">
        <f>IF(AND(A399="", B399="", E399=""), "", IF(AB399="", "Válido", IF((LEN(AB399)-LEN(SUBSTITUTE(AB399,"; ","")))/2+1&gt;(LEN(AB399)-LEN(SUBSTITUTE(AB399,"[Aviso]","")))/7, "Con Incidencias", "Válido")))</f>
        <v/>
      </c>
      <c r="AB399" s="56">
        <f>IF(AND(A399="", B399="", E399=""), "", TEXTJOIN("; ", TRUE, IF(OR(TRIM(A399&amp;"")="", ISNUMBER(SEARCH("FALTA", A399))), "UPC faltante/inválido", ""), IF(AND(A399&lt;&gt;"", IFERROR(_xlfn.XMATCH(A399,$A$2:$A$653,0,1)&lt;&gt;_xlfn.XMATCH(A399,$A$2:$A$653,0,-1),FALSE)), "Código de barras duplicado", ""), IF(AND(E399&lt;&gt;"", COUNTIF($E$2:$E$653, E399)&gt;1), "SKU duplicado", ""), IF(OR(J399="", J399=""), "[Aviso] División no capturada ()", IF(ISNA(MATCH(J399, Criterios!$A$123:$A$126, 0)), "División no válida", "")), IF(OR(K399="", K399=""), "[Aviso] Categoría no capturada ()", IF(ISNA(MATCH(K399, Criterios!$A$81:$A$120, 0)), "Categoría no válida", IF(AND(J399&lt;&gt;"", J399&lt;&gt;"", J399&lt;&gt;VLOOKUP(K399, Criterios!$A$81:$B$120, 2, FALSE)), "División no coincide con Categoría", ""))), IF(OR(L399="", L399=""), "[Aviso] Género no capturado ()", IF(ISNA(MATCH(L399, Criterios!$B$123:$B$127, 0)), "Género no válido", "")), IF(OR(N399="", N399=""), "[Aviso] Temporada no capturada ()", IF(ISNA(MATCH(N399, Criterios!$C$123:$C$128, 0)), "Temporada no válida", "")), IF(OR(O399="", O399=""), "[Aviso] Ciclo de vida no capturado ()", IF(ISNA(MATCH(O399, Criterios!$D$123:$D$124, 0)), "Ciclo de vida no válido", ""))))</f>
        <v/>
      </c>
      <c r="AC399" s="56" t="n"/>
      <c r="AD399" s="51" t="n">
        <v>8</v>
      </c>
      <c r="AE399" s="156" t="n"/>
      <c r="AF399" s="51" t="n">
        <v>8</v>
      </c>
      <c r="AG399" s="156" t="inlineStr">
        <is>
          <t>Nuevo – NetSuite con existencia</t>
        </is>
      </c>
      <c r="AH39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9" s="156" t="inlineStr">
        <is>
          <t>No</t>
        </is>
      </c>
      <c r="AJ399" s="156" t="n"/>
      <c r="AK399" s="155" t="inlineStr">
        <is>
          <t>G1522_Extraccion_Articulos_NetSuite_2026-09-30.xlsx: fila 43824</t>
        </is>
      </c>
      <c r="AL399" s="58" t="n"/>
      <c r="AM399" s="58" t="n"/>
      <c r="AN399" s="155" t="n"/>
      <c r="AO399" s="59" t="n"/>
      <c r="AP399" s="59" t="n"/>
      <c r="AQ399" s="59" t="n"/>
      <c r="AR399" s="155" t="n"/>
    </row>
    <row r="400">
      <c r="A400" s="50" t="inlineStr">
        <is>
          <t>5056658714313</t>
        </is>
      </c>
      <c r="B400" s="51" t="inlineStr">
        <is>
          <t>91070</t>
        </is>
      </c>
      <c r="C400" s="156" t="inlineStr">
        <is>
          <t>REFLO</t>
        </is>
      </c>
      <c r="D400" s="156" t="n"/>
      <c r="E400" s="156" t="n"/>
      <c r="F400" s="156" t="n"/>
      <c r="G400" s="156" t="n"/>
      <c r="H400" s="156" t="inlineStr">
        <is>
          <t>REFLO</t>
        </is>
      </c>
      <c r="I400" s="156" t="n"/>
      <c r="J400" s="156" t="n"/>
      <c r="K400" s="156" t="n"/>
      <c r="L400" s="156" t="n"/>
      <c r="M400" s="156" t="n"/>
      <c r="N400" s="156" t="n"/>
      <c r="O400" s="156" t="n"/>
      <c r="P400" s="156" t="n"/>
      <c r="Q400" s="156" t="n"/>
      <c r="R400" s="156" t="n"/>
      <c r="S400" s="156" t="n"/>
      <c r="T400" s="156" t="n"/>
      <c r="U400" s="156" t="n"/>
      <c r="V400" s="156" t="inlineStr">
        <is>
          <t>PZS</t>
        </is>
      </c>
      <c r="W400" s="51" t="inlineStr">
        <is>
          <t>53103000</t>
        </is>
      </c>
      <c r="X400" s="156" t="n"/>
      <c r="Y400" s="54" t="n">
        <v>26</v>
      </c>
      <c r="Z400" s="54" t="n">
        <v>1899</v>
      </c>
      <c r="AA400" s="55">
        <f>IF(AND(A400="", B400="", E400=""), "", IF(AB400="", "Válido", IF((LEN(AB400)-LEN(SUBSTITUTE(AB400,"; ","")))/2+1&gt;(LEN(AB400)-LEN(SUBSTITUTE(AB400,"[Aviso]","")))/7, "Con Incidencias", "Válido")))</f>
        <v/>
      </c>
      <c r="AB400" s="56">
        <f>IF(AND(A400="", B400="", E400=""), "", TEXTJOIN("; ", TRUE, IF(OR(TRIM(A400&amp;"")="", ISNUMBER(SEARCH("FALTA", A400))), "UPC faltante/inválido", ""), IF(AND(A400&lt;&gt;"", IFERROR(_xlfn.XMATCH(A400,$A$2:$A$653,0,1)&lt;&gt;_xlfn.XMATCH(A400,$A$2:$A$653,0,-1),FALSE)), "Código de barras duplicado", ""), IF(AND(E400&lt;&gt;"", COUNTIF($E$2:$E$653, E400)&gt;1), "SKU duplicado", ""), IF(OR(J400="", J400=""), "[Aviso] División no capturada ()", IF(ISNA(MATCH(J400, Criterios!$A$123:$A$126, 0)), "División no válida", "")), IF(OR(K400="", K400=""), "[Aviso] Categoría no capturada ()", IF(ISNA(MATCH(K400, Criterios!$A$81:$A$120, 0)), "Categoría no válida", IF(AND(J400&lt;&gt;"", J400&lt;&gt;"", J400&lt;&gt;VLOOKUP(K400, Criterios!$A$81:$B$120, 2, FALSE)), "División no coincide con Categoría", ""))), IF(OR(L400="", L400=""), "[Aviso] Género no capturado ()", IF(ISNA(MATCH(L400, Criterios!$B$123:$B$127, 0)), "Género no válido", "")), IF(OR(N400="", N400=""), "[Aviso] Temporada no capturada ()", IF(ISNA(MATCH(N400, Criterios!$C$123:$C$128, 0)), "Temporada no válida", "")), IF(OR(O400="", O400=""), "[Aviso] Ciclo de vida no capturado ()", IF(ISNA(MATCH(O400, Criterios!$D$123:$D$124, 0)), "Ciclo de vida no válido", ""))))</f>
        <v/>
      </c>
      <c r="AC400" s="56" t="n"/>
      <c r="AD400" s="51" t="n">
        <v>4</v>
      </c>
      <c r="AE400" s="156" t="n"/>
      <c r="AF400" s="51" t="n">
        <v>4</v>
      </c>
      <c r="AG400" s="156" t="inlineStr">
        <is>
          <t>Nuevo – NetSuite con existencia</t>
        </is>
      </c>
      <c r="AH40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0" s="156" t="inlineStr">
        <is>
          <t>No</t>
        </is>
      </c>
      <c r="AJ400" s="156" t="n"/>
      <c r="AK400" s="155" t="inlineStr">
        <is>
          <t>G1522_Extraccion_Articulos_NetSuite_2026-09-30.xlsx: fila 43825</t>
        </is>
      </c>
      <c r="AL400" s="58" t="n"/>
      <c r="AM400" s="58" t="n"/>
      <c r="AN400" s="155" t="n"/>
      <c r="AO400" s="59" t="n"/>
      <c r="AP400" s="59" t="n"/>
      <c r="AQ400" s="59" t="n"/>
      <c r="AR400" s="155" t="n"/>
    </row>
    <row r="401">
      <c r="A401" s="50" t="inlineStr">
        <is>
          <t>5056658710001</t>
        </is>
      </c>
      <c r="B401" s="51" t="inlineStr">
        <is>
          <t>91071</t>
        </is>
      </c>
      <c r="C401" s="156" t="inlineStr">
        <is>
          <t>REFLO</t>
        </is>
      </c>
      <c r="D401" s="156" t="n"/>
      <c r="E401" s="156" t="n"/>
      <c r="F401" s="156" t="n"/>
      <c r="G401" s="156" t="n"/>
      <c r="H401" s="156" t="inlineStr">
        <is>
          <t>REFLO</t>
        </is>
      </c>
      <c r="I401" s="156" t="n"/>
      <c r="J401" s="156" t="n"/>
      <c r="K401" s="156" t="n"/>
      <c r="L401" s="156" t="n"/>
      <c r="M401" s="156" t="n"/>
      <c r="N401" s="156" t="n"/>
      <c r="O401" s="156" t="n"/>
      <c r="P401" s="156" t="n"/>
      <c r="Q401" s="156" t="n"/>
      <c r="R401" s="156" t="n"/>
      <c r="S401" s="156" t="n"/>
      <c r="T401" s="156" t="n"/>
      <c r="U401" s="156" t="n"/>
      <c r="V401" s="156" t="inlineStr">
        <is>
          <t>PZS</t>
        </is>
      </c>
      <c r="W401" s="51" t="inlineStr">
        <is>
          <t>53103000</t>
        </is>
      </c>
      <c r="X401" s="156" t="n"/>
      <c r="Y401" s="54" t="n">
        <v>26</v>
      </c>
      <c r="Z401" s="54" t="n">
        <v>1899</v>
      </c>
      <c r="AA401" s="55">
        <f>IF(AND(A401="", B401="", E401=""), "", IF(AB401="", "Válido", IF((LEN(AB401)-LEN(SUBSTITUTE(AB401,"; ","")))/2+1&gt;(LEN(AB401)-LEN(SUBSTITUTE(AB401,"[Aviso]","")))/7, "Con Incidencias", "Válido")))</f>
        <v/>
      </c>
      <c r="AB401" s="56">
        <f>IF(AND(A401="", B401="", E401=""), "", TEXTJOIN("; ", TRUE, IF(OR(TRIM(A401&amp;"")="", ISNUMBER(SEARCH("FALTA", A401))), "UPC faltante/inválido", ""), IF(AND(A401&lt;&gt;"", IFERROR(_xlfn.XMATCH(A401,$A$2:$A$653,0,1)&lt;&gt;_xlfn.XMATCH(A401,$A$2:$A$653,0,-1),FALSE)), "Código de barras duplicado", ""), IF(AND(E401&lt;&gt;"", COUNTIF($E$2:$E$653, E401)&gt;1), "SKU duplicado", ""), IF(OR(J401="", J401=""), "[Aviso] División no capturada ()", IF(ISNA(MATCH(J401, Criterios!$A$123:$A$126, 0)), "División no válida", "")), IF(OR(K401="", K401=""), "[Aviso] Categoría no capturada ()", IF(ISNA(MATCH(K401, Criterios!$A$81:$A$120, 0)), "Categoría no válida", IF(AND(J401&lt;&gt;"", J401&lt;&gt;"", J401&lt;&gt;VLOOKUP(K401, Criterios!$A$81:$B$120, 2, FALSE)), "División no coincide con Categoría", ""))), IF(OR(L401="", L401=""), "[Aviso] Género no capturado ()", IF(ISNA(MATCH(L401, Criterios!$B$123:$B$127, 0)), "Género no válido", "")), IF(OR(N401="", N401=""), "[Aviso] Temporada no capturada ()", IF(ISNA(MATCH(N401, Criterios!$C$123:$C$128, 0)), "Temporada no válida", "")), IF(OR(O401="", O401=""), "[Aviso] Ciclo de vida no capturado ()", IF(ISNA(MATCH(O401, Criterios!$D$123:$D$124, 0)), "Ciclo de vida no válido", ""))))</f>
        <v/>
      </c>
      <c r="AC401" s="56" t="n"/>
      <c r="AD401" s="51" t="n">
        <v>0</v>
      </c>
      <c r="AE401" s="156" t="n"/>
      <c r="AF401" s="51" t="n">
        <v>0</v>
      </c>
      <c r="AG401" s="156" t="inlineStr">
        <is>
          <t>Nuevo – NetSuite sin existencia</t>
        </is>
      </c>
      <c r="AH40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1" s="156" t="inlineStr">
        <is>
          <t>No</t>
        </is>
      </c>
      <c r="AJ401" s="156" t="n"/>
      <c r="AK401" s="155" t="inlineStr">
        <is>
          <t>G1522_Extraccion_Articulos_NetSuite_2026-09-30.xlsx: fila 43826</t>
        </is>
      </c>
      <c r="AL401" s="58" t="n"/>
      <c r="AM401" s="58" t="n"/>
      <c r="AN401" s="155" t="n"/>
      <c r="AO401" s="59" t="n"/>
      <c r="AP401" s="59" t="n"/>
      <c r="AQ401" s="59" t="n"/>
      <c r="AR401" s="155" t="n"/>
    </row>
    <row r="402">
      <c r="A402" s="50" t="inlineStr">
        <is>
          <t>5056658710018</t>
        </is>
      </c>
      <c r="B402" s="51" t="inlineStr">
        <is>
          <t>91072</t>
        </is>
      </c>
      <c r="C402" s="156" t="inlineStr">
        <is>
          <t>REFLO</t>
        </is>
      </c>
      <c r="D402" s="156" t="n"/>
      <c r="E402" s="156" t="n"/>
      <c r="F402" s="156" t="n"/>
      <c r="G402" s="156" t="n"/>
      <c r="H402" s="156" t="inlineStr">
        <is>
          <t>REFLO</t>
        </is>
      </c>
      <c r="I402" s="156" t="n"/>
      <c r="J402" s="156" t="n"/>
      <c r="K402" s="156" t="n"/>
      <c r="L402" s="156" t="n"/>
      <c r="M402" s="156" t="n"/>
      <c r="N402" s="156" t="n"/>
      <c r="O402" s="156" t="n"/>
      <c r="P402" s="156" t="n"/>
      <c r="Q402" s="156" t="n"/>
      <c r="R402" s="156" t="n"/>
      <c r="S402" s="156" t="n"/>
      <c r="T402" s="156" t="n"/>
      <c r="U402" s="156" t="n"/>
      <c r="V402" s="156" t="inlineStr">
        <is>
          <t>PZS</t>
        </is>
      </c>
      <c r="W402" s="51" t="inlineStr">
        <is>
          <t>53103000</t>
        </is>
      </c>
      <c r="X402" s="156" t="n"/>
      <c r="Y402" s="54" t="n">
        <v>26</v>
      </c>
      <c r="Z402" s="54" t="n">
        <v>1899</v>
      </c>
      <c r="AA402" s="55">
        <f>IF(AND(A402="", B402="", E402=""), "", IF(AB402="", "Válido", IF((LEN(AB402)-LEN(SUBSTITUTE(AB402,"; ","")))/2+1&gt;(LEN(AB402)-LEN(SUBSTITUTE(AB402,"[Aviso]","")))/7, "Con Incidencias", "Válido")))</f>
        <v/>
      </c>
      <c r="AB402" s="56">
        <f>IF(AND(A402="", B402="", E402=""), "", TEXTJOIN("; ", TRUE, IF(OR(TRIM(A402&amp;"")="", ISNUMBER(SEARCH("FALTA", A402))), "UPC faltante/inválido", ""), IF(AND(A402&lt;&gt;"", IFERROR(_xlfn.XMATCH(A402,$A$2:$A$653,0,1)&lt;&gt;_xlfn.XMATCH(A402,$A$2:$A$653,0,-1),FALSE)), "Código de barras duplicado", ""), IF(AND(E402&lt;&gt;"", COUNTIF($E$2:$E$653, E402)&gt;1), "SKU duplicado", ""), IF(OR(J402="", J402=""), "[Aviso] División no capturada ()", IF(ISNA(MATCH(J402, Criterios!$A$123:$A$126, 0)), "División no válida", "")), IF(OR(K402="", K402=""), "[Aviso] Categoría no capturada ()", IF(ISNA(MATCH(K402, Criterios!$A$81:$A$120, 0)), "Categoría no válida", IF(AND(J402&lt;&gt;"", J402&lt;&gt;"", J402&lt;&gt;VLOOKUP(K402, Criterios!$A$81:$B$120, 2, FALSE)), "División no coincide con Categoría", ""))), IF(OR(L402="", L402=""), "[Aviso] Género no capturado ()", IF(ISNA(MATCH(L402, Criterios!$B$123:$B$127, 0)), "Género no válido", "")), IF(OR(N402="", N402=""), "[Aviso] Temporada no capturada ()", IF(ISNA(MATCH(N402, Criterios!$C$123:$C$128, 0)), "Temporada no válida", "")), IF(OR(O402="", O402=""), "[Aviso] Ciclo de vida no capturado ()", IF(ISNA(MATCH(O402, Criterios!$D$123:$D$124, 0)), "Ciclo de vida no válido", ""))))</f>
        <v/>
      </c>
      <c r="AC402" s="56" t="n"/>
      <c r="AD402" s="51" t="n">
        <v>0</v>
      </c>
      <c r="AE402" s="156" t="n"/>
      <c r="AF402" s="51" t="n">
        <v>0</v>
      </c>
      <c r="AG402" s="156" t="inlineStr">
        <is>
          <t>Nuevo – NetSuite sin existencia</t>
        </is>
      </c>
      <c r="AH40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2" s="156" t="inlineStr">
        <is>
          <t>No</t>
        </is>
      </c>
      <c r="AJ402" s="156" t="n"/>
      <c r="AK402" s="155" t="inlineStr">
        <is>
          <t>G1522_Extraccion_Articulos_NetSuite_2026-09-30.xlsx: fila 43827</t>
        </is>
      </c>
      <c r="AL402" s="58" t="n"/>
      <c r="AM402" s="58" t="n"/>
      <c r="AN402" s="155" t="n"/>
      <c r="AO402" s="59" t="n"/>
      <c r="AP402" s="59" t="n"/>
      <c r="AQ402" s="59" t="n"/>
      <c r="AR402" s="155" t="n"/>
    </row>
    <row r="403">
      <c r="A403" s="50" t="inlineStr">
        <is>
          <t>5056658710025</t>
        </is>
      </c>
      <c r="B403" s="51" t="inlineStr">
        <is>
          <t>91073</t>
        </is>
      </c>
      <c r="C403" s="156" t="inlineStr">
        <is>
          <t>REFLO</t>
        </is>
      </c>
      <c r="D403" s="156" t="n"/>
      <c r="E403" s="156" t="n"/>
      <c r="F403" s="156" t="n"/>
      <c r="G403" s="156" t="n"/>
      <c r="H403" s="156" t="inlineStr">
        <is>
          <t>REFLO</t>
        </is>
      </c>
      <c r="I403" s="156" t="n"/>
      <c r="J403" s="156" t="n"/>
      <c r="K403" s="156" t="n"/>
      <c r="L403" s="156" t="n"/>
      <c r="M403" s="156" t="n"/>
      <c r="N403" s="156" t="n"/>
      <c r="O403" s="156" t="n"/>
      <c r="P403" s="156" t="n"/>
      <c r="Q403" s="156" t="n"/>
      <c r="R403" s="156" t="n"/>
      <c r="S403" s="156" t="n"/>
      <c r="T403" s="156" t="n"/>
      <c r="U403" s="156" t="n"/>
      <c r="V403" s="156" t="inlineStr">
        <is>
          <t>PZS</t>
        </is>
      </c>
      <c r="W403" s="51" t="inlineStr">
        <is>
          <t>53103000</t>
        </is>
      </c>
      <c r="X403" s="156" t="n"/>
      <c r="Y403" s="54" t="n">
        <v>26</v>
      </c>
      <c r="Z403" s="54" t="n">
        <v>1899</v>
      </c>
      <c r="AA403" s="55">
        <f>IF(AND(A403="", B403="", E403=""), "", IF(AB403="", "Válido", IF((LEN(AB403)-LEN(SUBSTITUTE(AB403,"; ","")))/2+1&gt;(LEN(AB403)-LEN(SUBSTITUTE(AB403,"[Aviso]","")))/7, "Con Incidencias", "Válido")))</f>
        <v/>
      </c>
      <c r="AB403" s="56">
        <f>IF(AND(A403="", B403="", E403=""), "", TEXTJOIN("; ", TRUE, IF(OR(TRIM(A403&amp;"")="", ISNUMBER(SEARCH("FALTA", A403))), "UPC faltante/inválido", ""), IF(AND(A403&lt;&gt;"", IFERROR(_xlfn.XMATCH(A403,$A$2:$A$653,0,1)&lt;&gt;_xlfn.XMATCH(A403,$A$2:$A$653,0,-1),FALSE)), "Código de barras duplicado", ""), IF(AND(E403&lt;&gt;"", COUNTIF($E$2:$E$653, E403)&gt;1), "SKU duplicado", ""), IF(OR(J403="", J403=""), "[Aviso] División no capturada ()", IF(ISNA(MATCH(J403, Criterios!$A$123:$A$126, 0)), "División no válida", "")), IF(OR(K403="", K403=""), "[Aviso] Categoría no capturada ()", IF(ISNA(MATCH(K403, Criterios!$A$81:$A$120, 0)), "Categoría no válida", IF(AND(J403&lt;&gt;"", J403&lt;&gt;"", J403&lt;&gt;VLOOKUP(K403, Criterios!$A$81:$B$120, 2, FALSE)), "División no coincide con Categoría", ""))), IF(OR(L403="", L403=""), "[Aviso] Género no capturado ()", IF(ISNA(MATCH(L403, Criterios!$B$123:$B$127, 0)), "Género no válido", "")), IF(OR(N403="", N403=""), "[Aviso] Temporada no capturada ()", IF(ISNA(MATCH(N403, Criterios!$C$123:$C$128, 0)), "Temporada no válida", "")), IF(OR(O403="", O403=""), "[Aviso] Ciclo de vida no capturado ()", IF(ISNA(MATCH(O403, Criterios!$D$123:$D$124, 0)), "Ciclo de vida no válido", ""))))</f>
        <v/>
      </c>
      <c r="AC403" s="56" t="n"/>
      <c r="AD403" s="51" t="n">
        <v>4</v>
      </c>
      <c r="AE403" s="156" t="n"/>
      <c r="AF403" s="51" t="n">
        <v>4</v>
      </c>
      <c r="AG403" s="156" t="inlineStr">
        <is>
          <t>Nuevo – NetSuite con existencia</t>
        </is>
      </c>
      <c r="AH40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3" s="156" t="inlineStr">
        <is>
          <t>No</t>
        </is>
      </c>
      <c r="AJ403" s="156" t="n"/>
      <c r="AK403" s="155" t="inlineStr">
        <is>
          <t>G1522_Extraccion_Articulos_NetSuite_2026-09-30.xlsx: fila 43828</t>
        </is>
      </c>
      <c r="AL403" s="58" t="n"/>
      <c r="AM403" s="58" t="n"/>
      <c r="AN403" s="155" t="n"/>
      <c r="AO403" s="59" t="n"/>
      <c r="AP403" s="59" t="n"/>
      <c r="AQ403" s="59" t="n"/>
      <c r="AR403" s="155" t="n"/>
    </row>
    <row r="404">
      <c r="A404" s="50" t="inlineStr">
        <is>
          <t>5056658710032</t>
        </is>
      </c>
      <c r="B404" s="51" t="inlineStr">
        <is>
          <t>91074</t>
        </is>
      </c>
      <c r="C404" s="156" t="inlineStr">
        <is>
          <t>REFLO</t>
        </is>
      </c>
      <c r="D404" s="156" t="n"/>
      <c r="E404" s="156" t="n"/>
      <c r="F404" s="156" t="n"/>
      <c r="G404" s="156" t="n"/>
      <c r="H404" s="156" t="inlineStr">
        <is>
          <t>REFLO</t>
        </is>
      </c>
      <c r="I404" s="156" t="n"/>
      <c r="J404" s="156" t="n"/>
      <c r="K404" s="156" t="n"/>
      <c r="L404" s="156" t="n"/>
      <c r="M404" s="156" t="n"/>
      <c r="N404" s="156" t="n"/>
      <c r="O404" s="156" t="n"/>
      <c r="P404" s="156" t="n"/>
      <c r="Q404" s="156" t="n"/>
      <c r="R404" s="156" t="n"/>
      <c r="S404" s="156" t="n"/>
      <c r="T404" s="156" t="n"/>
      <c r="U404" s="156" t="n"/>
      <c r="V404" s="156" t="inlineStr">
        <is>
          <t>PZS</t>
        </is>
      </c>
      <c r="W404" s="51" t="inlineStr">
        <is>
          <t>53103000</t>
        </is>
      </c>
      <c r="X404" s="156" t="n"/>
      <c r="Y404" s="54" t="n">
        <v>26</v>
      </c>
      <c r="Z404" s="54" t="n">
        <v>1899</v>
      </c>
      <c r="AA404" s="55">
        <f>IF(AND(A404="", B404="", E404=""), "", IF(AB404="", "Válido", IF((LEN(AB404)-LEN(SUBSTITUTE(AB404,"; ","")))/2+1&gt;(LEN(AB404)-LEN(SUBSTITUTE(AB404,"[Aviso]","")))/7, "Con Incidencias", "Válido")))</f>
        <v/>
      </c>
      <c r="AB404" s="56">
        <f>IF(AND(A404="", B404="", E404=""), "", TEXTJOIN("; ", TRUE, IF(OR(TRIM(A404&amp;"")="", ISNUMBER(SEARCH("FALTA", A404))), "UPC faltante/inválido", ""), IF(AND(A404&lt;&gt;"", IFERROR(_xlfn.XMATCH(A404,$A$2:$A$653,0,1)&lt;&gt;_xlfn.XMATCH(A404,$A$2:$A$653,0,-1),FALSE)), "Código de barras duplicado", ""), IF(AND(E404&lt;&gt;"", COUNTIF($E$2:$E$653, E404)&gt;1), "SKU duplicado", ""), IF(OR(J404="", J404=""), "[Aviso] División no capturada ()", IF(ISNA(MATCH(J404, Criterios!$A$123:$A$126, 0)), "División no válida", "")), IF(OR(K404="", K404=""), "[Aviso] Categoría no capturada ()", IF(ISNA(MATCH(K404, Criterios!$A$81:$A$120, 0)), "Categoría no válida", IF(AND(J404&lt;&gt;"", J404&lt;&gt;"", J404&lt;&gt;VLOOKUP(K404, Criterios!$A$81:$B$120, 2, FALSE)), "División no coincide con Categoría", ""))), IF(OR(L404="", L404=""), "[Aviso] Género no capturado ()", IF(ISNA(MATCH(L404, Criterios!$B$123:$B$127, 0)), "Género no válido", "")), IF(OR(N404="", N404=""), "[Aviso] Temporada no capturada ()", IF(ISNA(MATCH(N404, Criterios!$C$123:$C$128, 0)), "Temporada no válida", "")), IF(OR(O404="", O404=""), "[Aviso] Ciclo de vida no capturado ()", IF(ISNA(MATCH(O404, Criterios!$D$123:$D$124, 0)), "Ciclo de vida no válido", ""))))</f>
        <v/>
      </c>
      <c r="AC404" s="56" t="n"/>
      <c r="AD404" s="51" t="n">
        <v>10</v>
      </c>
      <c r="AE404" s="156" t="n"/>
      <c r="AF404" s="51" t="n">
        <v>10</v>
      </c>
      <c r="AG404" s="156" t="inlineStr">
        <is>
          <t>Nuevo – NetSuite con existencia</t>
        </is>
      </c>
      <c r="AH40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4" s="156" t="inlineStr">
        <is>
          <t>No</t>
        </is>
      </c>
      <c r="AJ404" s="156" t="n"/>
      <c r="AK404" s="155" t="inlineStr">
        <is>
          <t>G1522_Extraccion_Articulos_NetSuite_2026-09-30.xlsx: fila 43829</t>
        </is>
      </c>
      <c r="AL404" s="58" t="n"/>
      <c r="AM404" s="58" t="n"/>
      <c r="AN404" s="155" t="n"/>
      <c r="AO404" s="59" t="n"/>
      <c r="AP404" s="59" t="n"/>
      <c r="AQ404" s="59" t="n"/>
      <c r="AR404" s="155" t="n"/>
    </row>
    <row r="405">
      <c r="A405" s="50" t="inlineStr">
        <is>
          <t>5056658710049</t>
        </is>
      </c>
      <c r="B405" s="51" t="inlineStr">
        <is>
          <t>91075</t>
        </is>
      </c>
      <c r="C405" s="156" t="inlineStr">
        <is>
          <t>REFLO</t>
        </is>
      </c>
      <c r="D405" s="156" t="n"/>
      <c r="E405" s="156" t="n"/>
      <c r="F405" s="156" t="n"/>
      <c r="G405" s="156" t="n"/>
      <c r="H405" s="156" t="inlineStr">
        <is>
          <t>REFLO</t>
        </is>
      </c>
      <c r="I405" s="156" t="n"/>
      <c r="J405" s="156" t="n"/>
      <c r="K405" s="156" t="n"/>
      <c r="L405" s="156" t="n"/>
      <c r="M405" s="156" t="n"/>
      <c r="N405" s="156" t="n"/>
      <c r="O405" s="156" t="n"/>
      <c r="P405" s="156" t="n"/>
      <c r="Q405" s="156" t="n"/>
      <c r="R405" s="156" t="n"/>
      <c r="S405" s="156" t="n"/>
      <c r="T405" s="156" t="n"/>
      <c r="U405" s="156" t="n"/>
      <c r="V405" s="156" t="inlineStr">
        <is>
          <t>PZS</t>
        </is>
      </c>
      <c r="W405" s="51" t="inlineStr">
        <is>
          <t>53103000</t>
        </is>
      </c>
      <c r="X405" s="156" t="n"/>
      <c r="Y405" s="54" t="n">
        <v>26</v>
      </c>
      <c r="Z405" s="54" t="n">
        <v>1899</v>
      </c>
      <c r="AA405" s="55">
        <f>IF(AND(A405="", B405="", E405=""), "", IF(AB405="", "Válido", IF((LEN(AB405)-LEN(SUBSTITUTE(AB405,"; ","")))/2+1&gt;(LEN(AB405)-LEN(SUBSTITUTE(AB405,"[Aviso]","")))/7, "Con Incidencias", "Válido")))</f>
        <v/>
      </c>
      <c r="AB405" s="56">
        <f>IF(AND(A405="", B405="", E405=""), "", TEXTJOIN("; ", TRUE, IF(OR(TRIM(A405&amp;"")="", ISNUMBER(SEARCH("FALTA", A405))), "UPC faltante/inválido", ""), IF(AND(A405&lt;&gt;"", IFERROR(_xlfn.XMATCH(A405,$A$2:$A$653,0,1)&lt;&gt;_xlfn.XMATCH(A405,$A$2:$A$653,0,-1),FALSE)), "Código de barras duplicado", ""), IF(AND(E405&lt;&gt;"", COUNTIF($E$2:$E$653, E405)&gt;1), "SKU duplicado", ""), IF(OR(J405="", J405=""), "[Aviso] División no capturada ()", IF(ISNA(MATCH(J405, Criterios!$A$123:$A$126, 0)), "División no válida", "")), IF(OR(K405="", K405=""), "[Aviso] Categoría no capturada ()", IF(ISNA(MATCH(K405, Criterios!$A$81:$A$120, 0)), "Categoría no válida", IF(AND(J405&lt;&gt;"", J405&lt;&gt;"", J405&lt;&gt;VLOOKUP(K405, Criterios!$A$81:$B$120, 2, FALSE)), "División no coincide con Categoría", ""))), IF(OR(L405="", L405=""), "[Aviso] Género no capturado ()", IF(ISNA(MATCH(L405, Criterios!$B$123:$B$127, 0)), "Género no válido", "")), IF(OR(N405="", N405=""), "[Aviso] Temporada no capturada ()", IF(ISNA(MATCH(N405, Criterios!$C$123:$C$128, 0)), "Temporada no válida", "")), IF(OR(O405="", O405=""), "[Aviso] Ciclo de vida no capturado ()", IF(ISNA(MATCH(O405, Criterios!$D$123:$D$124, 0)), "Ciclo de vida no válido", ""))))</f>
        <v/>
      </c>
      <c r="AC405" s="56" t="n"/>
      <c r="AD405" s="51" t="n">
        <v>5</v>
      </c>
      <c r="AE405" s="156" t="n"/>
      <c r="AF405" s="51" t="n">
        <v>5</v>
      </c>
      <c r="AG405" s="156" t="inlineStr">
        <is>
          <t>Nuevo – NetSuite con existencia</t>
        </is>
      </c>
      <c r="AH40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5" s="156" t="inlineStr">
        <is>
          <t>No</t>
        </is>
      </c>
      <c r="AJ405" s="156" t="n"/>
      <c r="AK405" s="155" t="inlineStr">
        <is>
          <t>G1522_Extraccion_Articulos_NetSuite_2026-09-30.xlsx: fila 43830</t>
        </is>
      </c>
      <c r="AL405" s="58" t="n"/>
      <c r="AM405" s="58" t="n"/>
      <c r="AN405" s="155" t="n"/>
      <c r="AO405" s="59" t="n"/>
      <c r="AP405" s="59" t="n"/>
      <c r="AQ405" s="59" t="n"/>
      <c r="AR405" s="155" t="n"/>
    </row>
    <row r="406">
      <c r="A406" s="50" t="inlineStr">
        <is>
          <t>5056658714320</t>
        </is>
      </c>
      <c r="B406" s="51" t="inlineStr">
        <is>
          <t>91076</t>
        </is>
      </c>
      <c r="C406" s="156" t="inlineStr">
        <is>
          <t>REFLO</t>
        </is>
      </c>
      <c r="D406" s="156" t="n"/>
      <c r="E406" s="156" t="n"/>
      <c r="F406" s="156" t="n"/>
      <c r="G406" s="156" t="n"/>
      <c r="H406" s="156" t="inlineStr">
        <is>
          <t>REFLO</t>
        </is>
      </c>
      <c r="I406" s="156" t="n"/>
      <c r="J406" s="156" t="n"/>
      <c r="K406" s="156" t="n"/>
      <c r="L406" s="156" t="n"/>
      <c r="M406" s="156" t="n"/>
      <c r="N406" s="156" t="n"/>
      <c r="O406" s="156" t="n"/>
      <c r="P406" s="156" t="n"/>
      <c r="Q406" s="156" t="n"/>
      <c r="R406" s="156" t="n"/>
      <c r="S406" s="156" t="n"/>
      <c r="T406" s="156" t="n"/>
      <c r="U406" s="156" t="n"/>
      <c r="V406" s="156" t="inlineStr">
        <is>
          <t>PZS</t>
        </is>
      </c>
      <c r="W406" s="51" t="inlineStr">
        <is>
          <t>53103000</t>
        </is>
      </c>
      <c r="X406" s="156" t="n"/>
      <c r="Y406" s="54" t="n">
        <v>26</v>
      </c>
      <c r="Z406" s="54" t="n">
        <v>1899</v>
      </c>
      <c r="AA406" s="55">
        <f>IF(AND(A406="", B406="", E406=""), "", IF(AB406="", "Válido", IF((LEN(AB406)-LEN(SUBSTITUTE(AB406,"; ","")))/2+1&gt;(LEN(AB406)-LEN(SUBSTITUTE(AB406,"[Aviso]","")))/7, "Con Incidencias", "Válido")))</f>
        <v/>
      </c>
      <c r="AB406" s="56">
        <f>IF(AND(A406="", B406="", E406=""), "", TEXTJOIN("; ", TRUE, IF(OR(TRIM(A406&amp;"")="", ISNUMBER(SEARCH("FALTA", A406))), "UPC faltante/inválido", ""), IF(AND(A406&lt;&gt;"", IFERROR(_xlfn.XMATCH(A406,$A$2:$A$653,0,1)&lt;&gt;_xlfn.XMATCH(A406,$A$2:$A$653,0,-1),FALSE)), "Código de barras duplicado", ""), IF(AND(E406&lt;&gt;"", COUNTIF($E$2:$E$653, E406)&gt;1), "SKU duplicado", ""), IF(OR(J406="", J406=""), "[Aviso] División no capturada ()", IF(ISNA(MATCH(J406, Criterios!$A$123:$A$126, 0)), "División no válida", "")), IF(OR(K406="", K406=""), "[Aviso] Categoría no capturada ()", IF(ISNA(MATCH(K406, Criterios!$A$81:$A$120, 0)), "Categoría no válida", IF(AND(J406&lt;&gt;"", J406&lt;&gt;"", J406&lt;&gt;VLOOKUP(K406, Criterios!$A$81:$B$120, 2, FALSE)), "División no coincide con Categoría", ""))), IF(OR(L406="", L406=""), "[Aviso] Género no capturado ()", IF(ISNA(MATCH(L406, Criterios!$B$123:$B$127, 0)), "Género no válido", "")), IF(OR(N406="", N406=""), "[Aviso] Temporada no capturada ()", IF(ISNA(MATCH(N406, Criterios!$C$123:$C$128, 0)), "Temporada no válida", "")), IF(OR(O406="", O406=""), "[Aviso] Ciclo de vida no capturado ()", IF(ISNA(MATCH(O406, Criterios!$D$123:$D$124, 0)), "Ciclo de vida no válido", ""))))</f>
        <v/>
      </c>
      <c r="AC406" s="56" t="n"/>
      <c r="AD406" s="51" t="n">
        <v>2</v>
      </c>
      <c r="AE406" s="156" t="n"/>
      <c r="AF406" s="51" t="n">
        <v>2</v>
      </c>
      <c r="AG406" s="156" t="inlineStr">
        <is>
          <t>Nuevo – NetSuite con existencia</t>
        </is>
      </c>
      <c r="AH40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6" s="156" t="inlineStr">
        <is>
          <t>No</t>
        </is>
      </c>
      <c r="AJ406" s="156" t="n"/>
      <c r="AK406" s="155" t="inlineStr">
        <is>
          <t>G1522_Extraccion_Articulos_NetSuite_2026-09-30.xlsx: fila 43831</t>
        </is>
      </c>
      <c r="AL406" s="58" t="n"/>
      <c r="AM406" s="58" t="n"/>
      <c r="AN406" s="155" t="n"/>
      <c r="AO406" s="59" t="n"/>
      <c r="AP406" s="59" t="n"/>
      <c r="AQ406" s="59" t="n"/>
      <c r="AR406" s="155" t="n"/>
    </row>
    <row r="407">
      <c r="A407" s="50" t="inlineStr">
        <is>
          <t>5056658710063</t>
        </is>
      </c>
      <c r="B407" s="51" t="inlineStr">
        <is>
          <t>91077</t>
        </is>
      </c>
      <c r="C407" s="156" t="inlineStr">
        <is>
          <t>REFLO</t>
        </is>
      </c>
      <c r="D407" s="156" t="n"/>
      <c r="E407" s="156" t="n"/>
      <c r="F407" s="156" t="n"/>
      <c r="G407" s="156" t="n"/>
      <c r="H407" s="156" t="inlineStr">
        <is>
          <t>REFLO</t>
        </is>
      </c>
      <c r="I407" s="156" t="n"/>
      <c r="J407" s="156" t="n"/>
      <c r="K407" s="156" t="n"/>
      <c r="L407" s="156" t="n"/>
      <c r="M407" s="156" t="n"/>
      <c r="N407" s="156" t="n"/>
      <c r="O407" s="156" t="n"/>
      <c r="P407" s="156" t="n"/>
      <c r="Q407" s="156" t="n"/>
      <c r="R407" s="156" t="n"/>
      <c r="S407" s="156" t="n"/>
      <c r="T407" s="156" t="n"/>
      <c r="U407" s="156" t="n"/>
      <c r="V407" s="156" t="inlineStr">
        <is>
          <t>PZS</t>
        </is>
      </c>
      <c r="W407" s="51" t="inlineStr">
        <is>
          <t>53103000</t>
        </is>
      </c>
      <c r="X407" s="156" t="n"/>
      <c r="Y407" s="54" t="n">
        <v>26</v>
      </c>
      <c r="Z407" s="54" t="n">
        <v>1899</v>
      </c>
      <c r="AA407" s="55">
        <f>IF(AND(A407="", B407="", E407=""), "", IF(AB407="", "Válido", IF((LEN(AB407)-LEN(SUBSTITUTE(AB407,"; ","")))/2+1&gt;(LEN(AB407)-LEN(SUBSTITUTE(AB407,"[Aviso]","")))/7, "Con Incidencias", "Válido")))</f>
        <v/>
      </c>
      <c r="AB407" s="56">
        <f>IF(AND(A407="", B407="", E407=""), "", TEXTJOIN("; ", TRUE, IF(OR(TRIM(A407&amp;"")="", ISNUMBER(SEARCH("FALTA", A407))), "UPC faltante/inválido", ""), IF(AND(A407&lt;&gt;"", IFERROR(_xlfn.XMATCH(A407,$A$2:$A$653,0,1)&lt;&gt;_xlfn.XMATCH(A407,$A$2:$A$653,0,-1),FALSE)), "Código de barras duplicado", ""), IF(AND(E407&lt;&gt;"", COUNTIF($E$2:$E$653, E407)&gt;1), "SKU duplicado", ""), IF(OR(J407="", J407=""), "[Aviso] División no capturada ()", IF(ISNA(MATCH(J407, Criterios!$A$123:$A$126, 0)), "División no válida", "")), IF(OR(K407="", K407=""), "[Aviso] Categoría no capturada ()", IF(ISNA(MATCH(K407, Criterios!$A$81:$A$120, 0)), "Categoría no válida", IF(AND(J407&lt;&gt;"", J407&lt;&gt;"", J407&lt;&gt;VLOOKUP(K407, Criterios!$A$81:$B$120, 2, FALSE)), "División no coincide con Categoría", ""))), IF(OR(L407="", L407=""), "[Aviso] Género no capturado ()", IF(ISNA(MATCH(L407, Criterios!$B$123:$B$127, 0)), "Género no válido", "")), IF(OR(N407="", N407=""), "[Aviso] Temporada no capturada ()", IF(ISNA(MATCH(N407, Criterios!$C$123:$C$128, 0)), "Temporada no válida", "")), IF(OR(O407="", O407=""), "[Aviso] Ciclo de vida no capturado ()", IF(ISNA(MATCH(O407, Criterios!$D$123:$D$124, 0)), "Ciclo de vida no válido", ""))))</f>
        <v/>
      </c>
      <c r="AC407" s="56" t="n"/>
      <c r="AD407" s="51" t="n">
        <v>0</v>
      </c>
      <c r="AE407" s="156" t="n"/>
      <c r="AF407" s="51" t="n">
        <v>0</v>
      </c>
      <c r="AG407" s="156" t="inlineStr">
        <is>
          <t>Nuevo – NetSuite sin existencia</t>
        </is>
      </c>
      <c r="AH40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7" s="156" t="inlineStr">
        <is>
          <t>No</t>
        </is>
      </c>
      <c r="AJ407" s="156" t="n"/>
      <c r="AK407" s="155" t="inlineStr">
        <is>
          <t>G1522_Extraccion_Articulos_NetSuite_2026-09-30.xlsx: fila 43832</t>
        </is>
      </c>
      <c r="AL407" s="58" t="n"/>
      <c r="AM407" s="58" t="n"/>
      <c r="AN407" s="155" t="n"/>
      <c r="AO407" s="59" t="n"/>
      <c r="AP407" s="59" t="n"/>
      <c r="AQ407" s="59" t="n"/>
      <c r="AR407" s="155" t="n"/>
    </row>
    <row r="408">
      <c r="A408" s="50" t="inlineStr">
        <is>
          <t>5056658710070</t>
        </is>
      </c>
      <c r="B408" s="51" t="inlineStr">
        <is>
          <t>91078</t>
        </is>
      </c>
      <c r="C408" s="156" t="inlineStr">
        <is>
          <t>REFLO</t>
        </is>
      </c>
      <c r="D408" s="156" t="n"/>
      <c r="E408" s="156" t="n"/>
      <c r="F408" s="156" t="n"/>
      <c r="G408" s="156" t="n"/>
      <c r="H408" s="156" t="inlineStr">
        <is>
          <t>REFLO</t>
        </is>
      </c>
      <c r="I408" s="156" t="n"/>
      <c r="J408" s="156" t="n"/>
      <c r="K408" s="156" t="n"/>
      <c r="L408" s="156" t="n"/>
      <c r="M408" s="156" t="n"/>
      <c r="N408" s="156" t="n"/>
      <c r="O408" s="156" t="n"/>
      <c r="P408" s="156" t="n"/>
      <c r="Q408" s="156" t="n"/>
      <c r="R408" s="156" t="n"/>
      <c r="S408" s="156" t="n"/>
      <c r="T408" s="156" t="n"/>
      <c r="U408" s="156" t="n"/>
      <c r="V408" s="156" t="inlineStr">
        <is>
          <t>PZS</t>
        </is>
      </c>
      <c r="W408" s="51" t="inlineStr">
        <is>
          <t>53103000</t>
        </is>
      </c>
      <c r="X408" s="156" t="n"/>
      <c r="Y408" s="54" t="n">
        <v>26</v>
      </c>
      <c r="Z408" s="54" t="n">
        <v>1899</v>
      </c>
      <c r="AA408" s="55">
        <f>IF(AND(A408="", B408="", E408=""), "", IF(AB408="", "Válido", IF((LEN(AB408)-LEN(SUBSTITUTE(AB408,"; ","")))/2+1&gt;(LEN(AB408)-LEN(SUBSTITUTE(AB408,"[Aviso]","")))/7, "Con Incidencias", "Válido")))</f>
        <v/>
      </c>
      <c r="AB408" s="56">
        <f>IF(AND(A408="", B408="", E408=""), "", TEXTJOIN("; ", TRUE, IF(OR(TRIM(A408&amp;"")="", ISNUMBER(SEARCH("FALTA", A408))), "UPC faltante/inválido", ""), IF(AND(A408&lt;&gt;"", IFERROR(_xlfn.XMATCH(A408,$A$2:$A$653,0,1)&lt;&gt;_xlfn.XMATCH(A408,$A$2:$A$653,0,-1),FALSE)), "Código de barras duplicado", ""), IF(AND(E408&lt;&gt;"", COUNTIF($E$2:$E$653, E408)&gt;1), "SKU duplicado", ""), IF(OR(J408="", J408=""), "[Aviso] División no capturada ()", IF(ISNA(MATCH(J408, Criterios!$A$123:$A$126, 0)), "División no válida", "")), IF(OR(K408="", K408=""), "[Aviso] Categoría no capturada ()", IF(ISNA(MATCH(K408, Criterios!$A$81:$A$120, 0)), "Categoría no válida", IF(AND(J408&lt;&gt;"", J408&lt;&gt;"", J408&lt;&gt;VLOOKUP(K408, Criterios!$A$81:$B$120, 2, FALSE)), "División no coincide con Categoría", ""))), IF(OR(L408="", L408=""), "[Aviso] Género no capturado ()", IF(ISNA(MATCH(L408, Criterios!$B$123:$B$127, 0)), "Género no válido", "")), IF(OR(N408="", N408=""), "[Aviso] Temporada no capturada ()", IF(ISNA(MATCH(N408, Criterios!$C$123:$C$128, 0)), "Temporada no válida", "")), IF(OR(O408="", O408=""), "[Aviso] Ciclo de vida no capturado ()", IF(ISNA(MATCH(O408, Criterios!$D$123:$D$124, 0)), "Ciclo de vida no válido", ""))))</f>
        <v/>
      </c>
      <c r="AC408" s="56" t="n"/>
      <c r="AD408" s="51" t="n">
        <v>0</v>
      </c>
      <c r="AE408" s="156" t="n"/>
      <c r="AF408" s="51" t="n">
        <v>0</v>
      </c>
      <c r="AG408" s="156" t="inlineStr">
        <is>
          <t>Nuevo – NetSuite sin existencia</t>
        </is>
      </c>
      <c r="AH40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8" s="156" t="inlineStr">
        <is>
          <t>No</t>
        </is>
      </c>
      <c r="AJ408" s="156" t="n"/>
      <c r="AK408" s="155" t="inlineStr">
        <is>
          <t>G1522_Extraccion_Articulos_NetSuite_2026-09-30.xlsx: fila 43833</t>
        </is>
      </c>
      <c r="AL408" s="58" t="n"/>
      <c r="AM408" s="58" t="n"/>
      <c r="AN408" s="155" t="n"/>
      <c r="AO408" s="59" t="n"/>
      <c r="AP408" s="59" t="n"/>
      <c r="AQ408" s="59" t="n"/>
      <c r="AR408" s="155" t="n"/>
    </row>
    <row r="409">
      <c r="A409" s="50" t="inlineStr">
        <is>
          <t>5056658710087</t>
        </is>
      </c>
      <c r="B409" s="51" t="inlineStr">
        <is>
          <t>91079</t>
        </is>
      </c>
      <c r="C409" s="156" t="inlineStr">
        <is>
          <t>REFLO</t>
        </is>
      </c>
      <c r="D409" s="156" t="n"/>
      <c r="E409" s="156" t="n"/>
      <c r="F409" s="156" t="n"/>
      <c r="G409" s="156" t="n"/>
      <c r="H409" s="156" t="inlineStr">
        <is>
          <t>REFLO</t>
        </is>
      </c>
      <c r="I409" s="156" t="n"/>
      <c r="J409" s="156" t="n"/>
      <c r="K409" s="156" t="n"/>
      <c r="L409" s="156" t="n"/>
      <c r="M409" s="156" t="n"/>
      <c r="N409" s="156" t="n"/>
      <c r="O409" s="156" t="n"/>
      <c r="P409" s="156" t="n"/>
      <c r="Q409" s="156" t="n"/>
      <c r="R409" s="156" t="n"/>
      <c r="S409" s="156" t="n"/>
      <c r="T409" s="156" t="n"/>
      <c r="U409" s="156" t="n"/>
      <c r="V409" s="156" t="inlineStr">
        <is>
          <t>PZS</t>
        </is>
      </c>
      <c r="W409" s="51" t="inlineStr">
        <is>
          <t>53103000</t>
        </is>
      </c>
      <c r="X409" s="156" t="n"/>
      <c r="Y409" s="54" t="n">
        <v>26</v>
      </c>
      <c r="Z409" s="54" t="n">
        <v>1899</v>
      </c>
      <c r="AA409" s="55">
        <f>IF(AND(A409="", B409="", E409=""), "", IF(AB409="", "Válido", IF((LEN(AB409)-LEN(SUBSTITUTE(AB409,"; ","")))/2+1&gt;(LEN(AB409)-LEN(SUBSTITUTE(AB409,"[Aviso]","")))/7, "Con Incidencias", "Válido")))</f>
        <v/>
      </c>
      <c r="AB409" s="56">
        <f>IF(AND(A409="", B409="", E409=""), "", TEXTJOIN("; ", TRUE, IF(OR(TRIM(A409&amp;"")="", ISNUMBER(SEARCH("FALTA", A409))), "UPC faltante/inválido", ""), IF(AND(A409&lt;&gt;"", IFERROR(_xlfn.XMATCH(A409,$A$2:$A$653,0,1)&lt;&gt;_xlfn.XMATCH(A409,$A$2:$A$653,0,-1),FALSE)), "Código de barras duplicado", ""), IF(AND(E409&lt;&gt;"", COUNTIF($E$2:$E$653, E409)&gt;1), "SKU duplicado", ""), IF(OR(J409="", J409=""), "[Aviso] División no capturada ()", IF(ISNA(MATCH(J409, Criterios!$A$123:$A$126, 0)), "División no válida", "")), IF(OR(K409="", K409=""), "[Aviso] Categoría no capturada ()", IF(ISNA(MATCH(K409, Criterios!$A$81:$A$120, 0)), "Categoría no válida", IF(AND(J409&lt;&gt;"", J409&lt;&gt;"", J409&lt;&gt;VLOOKUP(K409, Criterios!$A$81:$B$120, 2, FALSE)), "División no coincide con Categoría", ""))), IF(OR(L409="", L409=""), "[Aviso] Género no capturado ()", IF(ISNA(MATCH(L409, Criterios!$B$123:$B$127, 0)), "Género no válido", "")), IF(OR(N409="", N409=""), "[Aviso] Temporada no capturada ()", IF(ISNA(MATCH(N409, Criterios!$C$123:$C$128, 0)), "Temporada no válida", "")), IF(OR(O409="", O409=""), "[Aviso] Ciclo de vida no capturado ()", IF(ISNA(MATCH(O409, Criterios!$D$123:$D$124, 0)), "Ciclo de vida no válido", ""))))</f>
        <v/>
      </c>
      <c r="AC409" s="56" t="n"/>
      <c r="AD409" s="51" t="n">
        <v>6</v>
      </c>
      <c r="AE409" s="156" t="n"/>
      <c r="AF409" s="51" t="n">
        <v>6</v>
      </c>
      <c r="AG409" s="156" t="inlineStr">
        <is>
          <t>Nuevo – NetSuite con existencia</t>
        </is>
      </c>
      <c r="AH40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9" s="156" t="inlineStr">
        <is>
          <t>No</t>
        </is>
      </c>
      <c r="AJ409" s="156" t="n"/>
      <c r="AK409" s="155" t="inlineStr">
        <is>
          <t>G1522_Extraccion_Articulos_NetSuite_2026-09-30.xlsx: fila 43834</t>
        </is>
      </c>
      <c r="AL409" s="58" t="n"/>
      <c r="AM409" s="58" t="n"/>
      <c r="AN409" s="155" t="n"/>
      <c r="AO409" s="59" t="n"/>
      <c r="AP409" s="59" t="n"/>
      <c r="AQ409" s="59" t="n"/>
      <c r="AR409" s="155" t="n"/>
    </row>
    <row r="410">
      <c r="A410" s="50" t="inlineStr">
        <is>
          <t>5056658710094</t>
        </is>
      </c>
      <c r="B410" s="51" t="inlineStr">
        <is>
          <t>91080</t>
        </is>
      </c>
      <c r="C410" s="156" t="inlineStr">
        <is>
          <t>REFLO</t>
        </is>
      </c>
      <c r="D410" s="156" t="n"/>
      <c r="E410" s="156" t="n"/>
      <c r="F410" s="156" t="n"/>
      <c r="G410" s="156" t="n"/>
      <c r="H410" s="156" t="inlineStr">
        <is>
          <t>REFLO</t>
        </is>
      </c>
      <c r="I410" s="156" t="n"/>
      <c r="J410" s="156" t="n"/>
      <c r="K410" s="156" t="n"/>
      <c r="L410" s="156" t="n"/>
      <c r="M410" s="156" t="n"/>
      <c r="N410" s="156" t="n"/>
      <c r="O410" s="156" t="n"/>
      <c r="P410" s="156" t="n"/>
      <c r="Q410" s="156" t="n"/>
      <c r="R410" s="156" t="n"/>
      <c r="S410" s="156" t="n"/>
      <c r="T410" s="156" t="n"/>
      <c r="U410" s="156" t="n"/>
      <c r="V410" s="156" t="inlineStr">
        <is>
          <t>PZS</t>
        </is>
      </c>
      <c r="W410" s="51" t="inlineStr">
        <is>
          <t>53103000</t>
        </is>
      </c>
      <c r="X410" s="156" t="n"/>
      <c r="Y410" s="54" t="n">
        <v>26</v>
      </c>
      <c r="Z410" s="54" t="n">
        <v>1899</v>
      </c>
      <c r="AA410" s="55">
        <f>IF(AND(A410="", B410="", E410=""), "", IF(AB410="", "Válido", IF((LEN(AB410)-LEN(SUBSTITUTE(AB410,"; ","")))/2+1&gt;(LEN(AB410)-LEN(SUBSTITUTE(AB410,"[Aviso]","")))/7, "Con Incidencias", "Válido")))</f>
        <v/>
      </c>
      <c r="AB410" s="56">
        <f>IF(AND(A410="", B410="", E410=""), "", TEXTJOIN("; ", TRUE, IF(OR(TRIM(A410&amp;"")="", ISNUMBER(SEARCH("FALTA", A410))), "UPC faltante/inválido", ""), IF(AND(A410&lt;&gt;"", IFERROR(_xlfn.XMATCH(A410,$A$2:$A$653,0,1)&lt;&gt;_xlfn.XMATCH(A410,$A$2:$A$653,0,-1),FALSE)), "Código de barras duplicado", ""), IF(AND(E410&lt;&gt;"", COUNTIF($E$2:$E$653, E410)&gt;1), "SKU duplicado", ""), IF(OR(J410="", J410=""), "[Aviso] División no capturada ()", IF(ISNA(MATCH(J410, Criterios!$A$123:$A$126, 0)), "División no válida", "")), IF(OR(K410="", K410=""), "[Aviso] Categoría no capturada ()", IF(ISNA(MATCH(K410, Criterios!$A$81:$A$120, 0)), "Categoría no válida", IF(AND(J410&lt;&gt;"", J410&lt;&gt;"", J410&lt;&gt;VLOOKUP(K410, Criterios!$A$81:$B$120, 2, FALSE)), "División no coincide con Categoría", ""))), IF(OR(L410="", L410=""), "[Aviso] Género no capturado ()", IF(ISNA(MATCH(L410, Criterios!$B$123:$B$127, 0)), "Género no válido", "")), IF(OR(N410="", N410=""), "[Aviso] Temporada no capturada ()", IF(ISNA(MATCH(N410, Criterios!$C$123:$C$128, 0)), "Temporada no válida", "")), IF(OR(O410="", O410=""), "[Aviso] Ciclo de vida no capturado ()", IF(ISNA(MATCH(O410, Criterios!$D$123:$D$124, 0)), "Ciclo de vida no válido", ""))))</f>
        <v/>
      </c>
      <c r="AC410" s="56" t="n"/>
      <c r="AD410" s="51" t="n">
        <v>11</v>
      </c>
      <c r="AE410" s="156" t="n"/>
      <c r="AF410" s="51" t="n">
        <v>11</v>
      </c>
      <c r="AG410" s="156" t="inlineStr">
        <is>
          <t>Nuevo – NetSuite con existencia</t>
        </is>
      </c>
      <c r="AH41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0" s="156" t="inlineStr">
        <is>
          <t>No</t>
        </is>
      </c>
      <c r="AJ410" s="156" t="n"/>
      <c r="AK410" s="155" t="inlineStr">
        <is>
          <t>G1522_Extraccion_Articulos_NetSuite_2026-09-30.xlsx: fila 43835</t>
        </is>
      </c>
      <c r="AL410" s="58" t="n"/>
      <c r="AM410" s="58" t="n"/>
      <c r="AN410" s="155" t="n"/>
      <c r="AO410" s="59" t="n"/>
      <c r="AP410" s="59" t="n"/>
      <c r="AQ410" s="59" t="n"/>
      <c r="AR410" s="155" t="n"/>
    </row>
    <row r="411">
      <c r="A411" s="50" t="inlineStr">
        <is>
          <t>5056658710100</t>
        </is>
      </c>
      <c r="B411" s="51" t="inlineStr">
        <is>
          <t>91081</t>
        </is>
      </c>
      <c r="C411" s="156" t="inlineStr">
        <is>
          <t>REFLO</t>
        </is>
      </c>
      <c r="D411" s="156" t="n"/>
      <c r="E411" s="156" t="n"/>
      <c r="F411" s="156" t="n"/>
      <c r="G411" s="156" t="n"/>
      <c r="H411" s="156" t="inlineStr">
        <is>
          <t>REFLO</t>
        </is>
      </c>
      <c r="I411" s="156" t="n"/>
      <c r="J411" s="156" t="n"/>
      <c r="K411" s="156" t="n"/>
      <c r="L411" s="156" t="n"/>
      <c r="M411" s="156" t="n"/>
      <c r="N411" s="156" t="n"/>
      <c r="O411" s="156" t="n"/>
      <c r="P411" s="156" t="n"/>
      <c r="Q411" s="156" t="n"/>
      <c r="R411" s="156" t="n"/>
      <c r="S411" s="156" t="n"/>
      <c r="T411" s="156" t="n"/>
      <c r="U411" s="156" t="n"/>
      <c r="V411" s="156" t="inlineStr">
        <is>
          <t>PZS</t>
        </is>
      </c>
      <c r="W411" s="51" t="inlineStr">
        <is>
          <t>53103000</t>
        </is>
      </c>
      <c r="X411" s="156" t="n"/>
      <c r="Y411" s="54" t="n">
        <v>26</v>
      </c>
      <c r="Z411" s="54" t="n">
        <v>1899</v>
      </c>
      <c r="AA411" s="55">
        <f>IF(AND(A411="", B411="", E411=""), "", IF(AB411="", "Válido", IF((LEN(AB411)-LEN(SUBSTITUTE(AB411,"; ","")))/2+1&gt;(LEN(AB411)-LEN(SUBSTITUTE(AB411,"[Aviso]","")))/7, "Con Incidencias", "Válido")))</f>
        <v/>
      </c>
      <c r="AB411" s="56">
        <f>IF(AND(A411="", B411="", E411=""), "", TEXTJOIN("; ", TRUE, IF(OR(TRIM(A411&amp;"")="", ISNUMBER(SEARCH("FALTA", A411))), "UPC faltante/inválido", ""), IF(AND(A411&lt;&gt;"", IFERROR(_xlfn.XMATCH(A411,$A$2:$A$653,0,1)&lt;&gt;_xlfn.XMATCH(A411,$A$2:$A$653,0,-1),FALSE)), "Código de barras duplicado", ""), IF(AND(E411&lt;&gt;"", COUNTIF($E$2:$E$653, E411)&gt;1), "SKU duplicado", ""), IF(OR(J411="", J411=""), "[Aviso] División no capturada ()", IF(ISNA(MATCH(J411, Criterios!$A$123:$A$126, 0)), "División no válida", "")), IF(OR(K411="", K411=""), "[Aviso] Categoría no capturada ()", IF(ISNA(MATCH(K411, Criterios!$A$81:$A$120, 0)), "Categoría no válida", IF(AND(J411&lt;&gt;"", J411&lt;&gt;"", J411&lt;&gt;VLOOKUP(K411, Criterios!$A$81:$B$120, 2, FALSE)), "División no coincide con Categoría", ""))), IF(OR(L411="", L411=""), "[Aviso] Género no capturado ()", IF(ISNA(MATCH(L411, Criterios!$B$123:$B$127, 0)), "Género no válido", "")), IF(OR(N411="", N411=""), "[Aviso] Temporada no capturada ()", IF(ISNA(MATCH(N411, Criterios!$C$123:$C$128, 0)), "Temporada no válida", "")), IF(OR(O411="", O411=""), "[Aviso] Ciclo de vida no capturado ()", IF(ISNA(MATCH(O411, Criterios!$D$123:$D$124, 0)), "Ciclo de vida no válido", ""))))</f>
        <v/>
      </c>
      <c r="AC411" s="56" t="n"/>
      <c r="AD411" s="51" t="n">
        <v>7</v>
      </c>
      <c r="AE411" s="156" t="n"/>
      <c r="AF411" s="51" t="n">
        <v>7</v>
      </c>
      <c r="AG411" s="156" t="inlineStr">
        <is>
          <t>Nuevo – NetSuite con existencia</t>
        </is>
      </c>
      <c r="AH41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1" s="156" t="inlineStr">
        <is>
          <t>No</t>
        </is>
      </c>
      <c r="AJ411" s="156" t="n"/>
      <c r="AK411" s="155" t="inlineStr">
        <is>
          <t>G1522_Extraccion_Articulos_NetSuite_2026-09-30.xlsx: fila 43836</t>
        </is>
      </c>
      <c r="AL411" s="58" t="n"/>
      <c r="AM411" s="58" t="n"/>
      <c r="AN411" s="155" t="n"/>
      <c r="AO411" s="59" t="n"/>
      <c r="AP411" s="59" t="n"/>
      <c r="AQ411" s="59" t="n"/>
      <c r="AR411" s="155" t="n"/>
    </row>
    <row r="412">
      <c r="A412" s="50" t="inlineStr">
        <is>
          <t>5056658714337</t>
        </is>
      </c>
      <c r="B412" s="51" t="inlineStr">
        <is>
          <t>91082</t>
        </is>
      </c>
      <c r="C412" s="156" t="inlineStr">
        <is>
          <t>REFLO</t>
        </is>
      </c>
      <c r="D412" s="156" t="n"/>
      <c r="E412" s="156" t="n"/>
      <c r="F412" s="156" t="n"/>
      <c r="G412" s="156" t="n"/>
      <c r="H412" s="156" t="inlineStr">
        <is>
          <t>REFLO</t>
        </is>
      </c>
      <c r="I412" s="156" t="n"/>
      <c r="J412" s="156" t="n"/>
      <c r="K412" s="156" t="n"/>
      <c r="L412" s="156" t="n"/>
      <c r="M412" s="156" t="n"/>
      <c r="N412" s="156" t="n"/>
      <c r="O412" s="156" t="n"/>
      <c r="P412" s="156" t="n"/>
      <c r="Q412" s="156" t="n"/>
      <c r="R412" s="156" t="n"/>
      <c r="S412" s="156" t="n"/>
      <c r="T412" s="156" t="n"/>
      <c r="U412" s="156" t="n"/>
      <c r="V412" s="156" t="inlineStr">
        <is>
          <t>PZS</t>
        </is>
      </c>
      <c r="W412" s="51" t="inlineStr">
        <is>
          <t>53103000</t>
        </is>
      </c>
      <c r="X412" s="156" t="n"/>
      <c r="Y412" s="54" t="n">
        <v>26</v>
      </c>
      <c r="Z412" s="54" t="n">
        <v>1899</v>
      </c>
      <c r="AA412" s="55">
        <f>IF(AND(A412="", B412="", E412=""), "", IF(AB412="", "Válido", IF((LEN(AB412)-LEN(SUBSTITUTE(AB412,"; ","")))/2+1&gt;(LEN(AB412)-LEN(SUBSTITUTE(AB412,"[Aviso]","")))/7, "Con Incidencias", "Válido")))</f>
        <v/>
      </c>
      <c r="AB412" s="56">
        <f>IF(AND(A412="", B412="", E412=""), "", TEXTJOIN("; ", TRUE, IF(OR(TRIM(A412&amp;"")="", ISNUMBER(SEARCH("FALTA", A412))), "UPC faltante/inválido", ""), IF(AND(A412&lt;&gt;"", IFERROR(_xlfn.XMATCH(A412,$A$2:$A$653,0,1)&lt;&gt;_xlfn.XMATCH(A412,$A$2:$A$653,0,-1),FALSE)), "Código de barras duplicado", ""), IF(AND(E412&lt;&gt;"", COUNTIF($E$2:$E$653, E412)&gt;1), "SKU duplicado", ""), IF(OR(J412="", J412=""), "[Aviso] División no capturada ()", IF(ISNA(MATCH(J412, Criterios!$A$123:$A$126, 0)), "División no válida", "")), IF(OR(K412="", K412=""), "[Aviso] Categoría no capturada ()", IF(ISNA(MATCH(K412, Criterios!$A$81:$A$120, 0)), "Categoría no válida", IF(AND(J412&lt;&gt;"", J412&lt;&gt;"", J412&lt;&gt;VLOOKUP(K412, Criterios!$A$81:$B$120, 2, FALSE)), "División no coincide con Categoría", ""))), IF(OR(L412="", L412=""), "[Aviso] Género no capturado ()", IF(ISNA(MATCH(L412, Criterios!$B$123:$B$127, 0)), "Género no válido", "")), IF(OR(N412="", N412=""), "[Aviso] Temporada no capturada ()", IF(ISNA(MATCH(N412, Criterios!$C$123:$C$128, 0)), "Temporada no válida", "")), IF(OR(O412="", O412=""), "[Aviso] Ciclo de vida no capturado ()", IF(ISNA(MATCH(O412, Criterios!$D$123:$D$124, 0)), "Ciclo de vida no válido", ""))))</f>
        <v/>
      </c>
      <c r="AC412" s="56" t="n"/>
      <c r="AD412" s="51" t="n">
        <v>3</v>
      </c>
      <c r="AE412" s="156" t="n"/>
      <c r="AF412" s="51" t="n">
        <v>3</v>
      </c>
      <c r="AG412" s="156" t="inlineStr">
        <is>
          <t>Nuevo – NetSuite con existencia</t>
        </is>
      </c>
      <c r="AH41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2" s="156" t="inlineStr">
        <is>
          <t>No</t>
        </is>
      </c>
      <c r="AJ412" s="156" t="n"/>
      <c r="AK412" s="155" t="inlineStr">
        <is>
          <t>G1522_Extraccion_Articulos_NetSuite_2026-09-30.xlsx: fila 43837</t>
        </is>
      </c>
      <c r="AL412" s="58" t="n"/>
      <c r="AM412" s="58" t="n"/>
      <c r="AN412" s="155" t="n"/>
      <c r="AO412" s="59" t="n"/>
      <c r="AP412" s="59" t="n"/>
      <c r="AQ412" s="59" t="n"/>
      <c r="AR412" s="155" t="n"/>
    </row>
    <row r="413">
      <c r="A413" s="50" t="inlineStr">
        <is>
          <t>5056658712166</t>
        </is>
      </c>
      <c r="B413" s="51" t="inlineStr">
        <is>
          <t>91084</t>
        </is>
      </c>
      <c r="C413" s="156" t="inlineStr">
        <is>
          <t>REFLO</t>
        </is>
      </c>
      <c r="D413" s="156" t="n"/>
      <c r="E413" s="156" t="n"/>
      <c r="F413" s="156" t="n"/>
      <c r="G413" s="156" t="n"/>
      <c r="H413" s="156" t="inlineStr">
        <is>
          <t>REFLO</t>
        </is>
      </c>
      <c r="I413" s="156" t="n"/>
      <c r="J413" s="156" t="n"/>
      <c r="K413" s="156" t="n"/>
      <c r="L413" s="156" t="n"/>
      <c r="M413" s="156" t="n"/>
      <c r="N413" s="156" t="n"/>
      <c r="O413" s="156" t="n"/>
      <c r="P413" s="156" t="n"/>
      <c r="Q413" s="156" t="n"/>
      <c r="R413" s="156" t="n"/>
      <c r="S413" s="156" t="n"/>
      <c r="T413" s="156" t="n"/>
      <c r="U413" s="156" t="n"/>
      <c r="V413" s="156" t="inlineStr">
        <is>
          <t>PZS</t>
        </is>
      </c>
      <c r="W413" s="51" t="inlineStr">
        <is>
          <t>53101502</t>
        </is>
      </c>
      <c r="X413" s="156" t="n"/>
      <c r="Y413" s="54" t="n">
        <v>34.45</v>
      </c>
      <c r="Z413" s="54" t="n">
        <v>2499</v>
      </c>
      <c r="AA413" s="55">
        <f>IF(AND(A413="", B413="", E413=""), "", IF(AB413="", "Válido", IF((LEN(AB413)-LEN(SUBSTITUTE(AB413,"; ","")))/2+1&gt;(LEN(AB413)-LEN(SUBSTITUTE(AB413,"[Aviso]","")))/7, "Con Incidencias", "Válido")))</f>
        <v/>
      </c>
      <c r="AB413" s="56">
        <f>IF(AND(A413="", B413="", E413=""), "", TEXTJOIN("; ", TRUE, IF(OR(TRIM(A413&amp;"")="", ISNUMBER(SEARCH("FALTA", A413))), "UPC faltante/inválido", ""), IF(AND(A413&lt;&gt;"", IFERROR(_xlfn.XMATCH(A413,$A$2:$A$653,0,1)&lt;&gt;_xlfn.XMATCH(A413,$A$2:$A$653,0,-1),FALSE)), "Código de barras duplicado", ""), IF(AND(E413&lt;&gt;"", COUNTIF($E$2:$E$653, E413)&gt;1), "SKU duplicado", ""), IF(OR(J413="", J413=""), "[Aviso] División no capturada ()", IF(ISNA(MATCH(J413, Criterios!$A$123:$A$126, 0)), "División no válida", "")), IF(OR(K413="", K413=""), "[Aviso] Categoría no capturada ()", IF(ISNA(MATCH(K413, Criterios!$A$81:$A$120, 0)), "Categoría no válida", IF(AND(J413&lt;&gt;"", J413&lt;&gt;"", J413&lt;&gt;VLOOKUP(K413, Criterios!$A$81:$B$120, 2, FALSE)), "División no coincide con Categoría", ""))), IF(OR(L413="", L413=""), "[Aviso] Género no capturado ()", IF(ISNA(MATCH(L413, Criterios!$B$123:$B$127, 0)), "Género no válido", "")), IF(OR(N413="", N413=""), "[Aviso] Temporada no capturada ()", IF(ISNA(MATCH(N413, Criterios!$C$123:$C$128, 0)), "Temporada no válida", "")), IF(OR(O413="", O413=""), "[Aviso] Ciclo de vida no capturado ()", IF(ISNA(MATCH(O413, Criterios!$D$123:$D$124, 0)), "Ciclo de vida no válido", ""))))</f>
        <v/>
      </c>
      <c r="AC413" s="56" t="n"/>
      <c r="AD413" s="51" t="n">
        <v>8</v>
      </c>
      <c r="AE413" s="156" t="n"/>
      <c r="AF413" s="51" t="n">
        <v>8</v>
      </c>
      <c r="AG413" s="156" t="inlineStr">
        <is>
          <t>Nuevo – NetSuite con existencia</t>
        </is>
      </c>
      <c r="AH41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3" s="156" t="inlineStr">
        <is>
          <t>No</t>
        </is>
      </c>
      <c r="AJ413" s="156" t="n"/>
      <c r="AK413" s="155" t="inlineStr">
        <is>
          <t>G1522_Extraccion_Articulos_NetSuite_2026-09-30.xlsx: fila 43839</t>
        </is>
      </c>
      <c r="AL413" s="58" t="n"/>
      <c r="AM413" s="58" t="n"/>
      <c r="AN413" s="155" t="n"/>
      <c r="AO413" s="59" t="n"/>
      <c r="AP413" s="59" t="n"/>
      <c r="AQ413" s="59" t="n"/>
      <c r="AR413" s="155" t="n"/>
    </row>
    <row r="414">
      <c r="A414" s="50" t="inlineStr">
        <is>
          <t>5056658712173</t>
        </is>
      </c>
      <c r="B414" s="51" t="inlineStr">
        <is>
          <t>91085</t>
        </is>
      </c>
      <c r="C414" s="156" t="inlineStr">
        <is>
          <t>REFLO</t>
        </is>
      </c>
      <c r="D414" s="156" t="n"/>
      <c r="E414" s="156" t="n"/>
      <c r="F414" s="156" t="n"/>
      <c r="G414" s="156" t="n"/>
      <c r="H414" s="156" t="inlineStr">
        <is>
          <t>REFLO</t>
        </is>
      </c>
      <c r="I414" s="156" t="n"/>
      <c r="J414" s="156" t="n"/>
      <c r="K414" s="156" t="n"/>
      <c r="L414" s="156" t="n"/>
      <c r="M414" s="156" t="n"/>
      <c r="N414" s="156" t="n"/>
      <c r="O414" s="156" t="n"/>
      <c r="P414" s="156" t="n"/>
      <c r="Q414" s="156" t="n"/>
      <c r="R414" s="156" t="n"/>
      <c r="S414" s="156" t="n"/>
      <c r="T414" s="156" t="n"/>
      <c r="U414" s="156" t="n"/>
      <c r="V414" s="156" t="inlineStr">
        <is>
          <t>PZS</t>
        </is>
      </c>
      <c r="W414" s="51" t="inlineStr">
        <is>
          <t>53101502</t>
        </is>
      </c>
      <c r="X414" s="156" t="n"/>
      <c r="Y414" s="54" t="n">
        <v>34.45</v>
      </c>
      <c r="Z414" s="54" t="n">
        <v>2499</v>
      </c>
      <c r="AA414" s="55">
        <f>IF(AND(A414="", B414="", E414=""), "", IF(AB414="", "Válido", IF((LEN(AB414)-LEN(SUBSTITUTE(AB414,"; ","")))/2+1&gt;(LEN(AB414)-LEN(SUBSTITUTE(AB414,"[Aviso]","")))/7, "Con Incidencias", "Válido")))</f>
        <v/>
      </c>
      <c r="AB414" s="56">
        <f>IF(AND(A414="", B414="", E414=""), "", TEXTJOIN("; ", TRUE, IF(OR(TRIM(A414&amp;"")="", ISNUMBER(SEARCH("FALTA", A414))), "UPC faltante/inválido", ""), IF(AND(A414&lt;&gt;"", IFERROR(_xlfn.XMATCH(A414,$A$2:$A$653,0,1)&lt;&gt;_xlfn.XMATCH(A414,$A$2:$A$653,0,-1),FALSE)), "Código de barras duplicado", ""), IF(AND(E414&lt;&gt;"", COUNTIF($E$2:$E$653, E414)&gt;1), "SKU duplicado", ""), IF(OR(J414="", J414=""), "[Aviso] División no capturada ()", IF(ISNA(MATCH(J414, Criterios!$A$123:$A$126, 0)), "División no válida", "")), IF(OR(K414="", K414=""), "[Aviso] Categoría no capturada ()", IF(ISNA(MATCH(K414, Criterios!$A$81:$A$120, 0)), "Categoría no válida", IF(AND(J414&lt;&gt;"", J414&lt;&gt;"", J414&lt;&gt;VLOOKUP(K414, Criterios!$A$81:$B$120, 2, FALSE)), "División no coincide con Categoría", ""))), IF(OR(L414="", L414=""), "[Aviso] Género no capturado ()", IF(ISNA(MATCH(L414, Criterios!$B$123:$B$127, 0)), "Género no válido", "")), IF(OR(N414="", N414=""), "[Aviso] Temporada no capturada ()", IF(ISNA(MATCH(N414, Criterios!$C$123:$C$128, 0)), "Temporada no válida", "")), IF(OR(O414="", O414=""), "[Aviso] Ciclo de vida no capturado ()", IF(ISNA(MATCH(O414, Criterios!$D$123:$D$124, 0)), "Ciclo de vida no válido", ""))))</f>
        <v/>
      </c>
      <c r="AC414" s="56" t="n"/>
      <c r="AD414" s="51" t="n">
        <v>7</v>
      </c>
      <c r="AE414" s="156" t="n"/>
      <c r="AF414" s="51" t="n">
        <v>7</v>
      </c>
      <c r="AG414" s="156" t="inlineStr">
        <is>
          <t>Nuevo – NetSuite con existencia</t>
        </is>
      </c>
      <c r="AH41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4" s="156" t="inlineStr">
        <is>
          <t>No</t>
        </is>
      </c>
      <c r="AJ414" s="156" t="n"/>
      <c r="AK414" s="155" t="inlineStr">
        <is>
          <t>G1522_Extraccion_Articulos_NetSuite_2026-09-30.xlsx: fila 43840</t>
        </is>
      </c>
      <c r="AL414" s="58" t="n"/>
      <c r="AM414" s="58" t="n"/>
      <c r="AN414" s="155" t="n"/>
      <c r="AO414" s="59" t="n"/>
      <c r="AP414" s="59" t="n"/>
      <c r="AQ414" s="59" t="n"/>
      <c r="AR414" s="155" t="n"/>
    </row>
    <row r="415">
      <c r="A415" s="50" t="inlineStr">
        <is>
          <t>5056658712180</t>
        </is>
      </c>
      <c r="B415" s="51" t="inlineStr">
        <is>
          <t>91086</t>
        </is>
      </c>
      <c r="C415" s="156" t="inlineStr">
        <is>
          <t>REFLO</t>
        </is>
      </c>
      <c r="D415" s="156" t="n"/>
      <c r="E415" s="156" t="n"/>
      <c r="F415" s="156" t="n"/>
      <c r="G415" s="156" t="n"/>
      <c r="H415" s="156" t="inlineStr">
        <is>
          <t>REFLO</t>
        </is>
      </c>
      <c r="I415" s="156" t="n"/>
      <c r="J415" s="156" t="n"/>
      <c r="K415" s="156" t="n"/>
      <c r="L415" s="156" t="n"/>
      <c r="M415" s="156" t="n"/>
      <c r="N415" s="156" t="n"/>
      <c r="O415" s="156" t="n"/>
      <c r="P415" s="156" t="n"/>
      <c r="Q415" s="156" t="n"/>
      <c r="R415" s="156" t="n"/>
      <c r="S415" s="156" t="n"/>
      <c r="T415" s="156" t="n"/>
      <c r="U415" s="156" t="n"/>
      <c r="V415" s="156" t="inlineStr">
        <is>
          <t>PZS</t>
        </is>
      </c>
      <c r="W415" s="51" t="inlineStr">
        <is>
          <t>53101502</t>
        </is>
      </c>
      <c r="X415" s="156" t="n"/>
      <c r="Y415" s="54" t="n">
        <v>34.45</v>
      </c>
      <c r="Z415" s="54" t="n">
        <v>2499</v>
      </c>
      <c r="AA415" s="55">
        <f>IF(AND(A415="", B415="", E415=""), "", IF(AB415="", "Válido", IF((LEN(AB415)-LEN(SUBSTITUTE(AB415,"; ","")))/2+1&gt;(LEN(AB415)-LEN(SUBSTITUTE(AB415,"[Aviso]","")))/7, "Con Incidencias", "Válido")))</f>
        <v/>
      </c>
      <c r="AB415" s="56">
        <f>IF(AND(A415="", B415="", E415=""), "", TEXTJOIN("; ", TRUE, IF(OR(TRIM(A415&amp;"")="", ISNUMBER(SEARCH("FALTA", A415))), "UPC faltante/inválido", ""), IF(AND(A415&lt;&gt;"", IFERROR(_xlfn.XMATCH(A415,$A$2:$A$653,0,1)&lt;&gt;_xlfn.XMATCH(A415,$A$2:$A$653,0,-1),FALSE)), "Código de barras duplicado", ""), IF(AND(E415&lt;&gt;"", COUNTIF($E$2:$E$653, E415)&gt;1), "SKU duplicado", ""), IF(OR(J415="", J415=""), "[Aviso] División no capturada ()", IF(ISNA(MATCH(J415, Criterios!$A$123:$A$126, 0)), "División no válida", "")), IF(OR(K415="", K415=""), "[Aviso] Categoría no capturada ()", IF(ISNA(MATCH(K415, Criterios!$A$81:$A$120, 0)), "Categoría no válida", IF(AND(J415&lt;&gt;"", J415&lt;&gt;"", J415&lt;&gt;VLOOKUP(K415, Criterios!$A$81:$B$120, 2, FALSE)), "División no coincide con Categoría", ""))), IF(OR(L415="", L415=""), "[Aviso] Género no capturado ()", IF(ISNA(MATCH(L415, Criterios!$B$123:$B$127, 0)), "Género no válido", "")), IF(OR(N415="", N415=""), "[Aviso] Temporada no capturada ()", IF(ISNA(MATCH(N415, Criterios!$C$123:$C$128, 0)), "Temporada no válida", "")), IF(OR(O415="", O415=""), "[Aviso] Ciclo de vida no capturado ()", IF(ISNA(MATCH(O415, Criterios!$D$123:$D$124, 0)), "Ciclo de vida no válido", ""))))</f>
        <v/>
      </c>
      <c r="AC415" s="56" t="n"/>
      <c r="AD415" s="51" t="n">
        <v>15</v>
      </c>
      <c r="AE415" s="156" t="n"/>
      <c r="AF415" s="51" t="n">
        <v>15</v>
      </c>
      <c r="AG415" s="156" t="inlineStr">
        <is>
          <t>Nuevo – NetSuite con existencia</t>
        </is>
      </c>
      <c r="AH41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5" s="156" t="inlineStr">
        <is>
          <t>No</t>
        </is>
      </c>
      <c r="AJ415" s="156" t="n"/>
      <c r="AK415" s="155" t="inlineStr">
        <is>
          <t>G1522_Extraccion_Articulos_NetSuite_2026-09-30.xlsx: fila 43841</t>
        </is>
      </c>
      <c r="AL415" s="58" t="n"/>
      <c r="AM415" s="58" t="n"/>
      <c r="AN415" s="155" t="n"/>
      <c r="AO415" s="59" t="n"/>
      <c r="AP415" s="59" t="n"/>
      <c r="AQ415" s="59" t="n"/>
      <c r="AR415" s="155" t="n"/>
    </row>
    <row r="416">
      <c r="A416" s="50" t="inlineStr">
        <is>
          <t>5056658712197</t>
        </is>
      </c>
      <c r="B416" s="51" t="inlineStr">
        <is>
          <t>91087</t>
        </is>
      </c>
      <c r="C416" s="156" t="inlineStr">
        <is>
          <t>REFLO</t>
        </is>
      </c>
      <c r="D416" s="156" t="n"/>
      <c r="E416" s="156" t="n"/>
      <c r="F416" s="156" t="n"/>
      <c r="G416" s="156" t="n"/>
      <c r="H416" s="156" t="inlineStr">
        <is>
          <t>REFLO</t>
        </is>
      </c>
      <c r="I416" s="156" t="n"/>
      <c r="J416" s="156" t="n"/>
      <c r="K416" s="156" t="n"/>
      <c r="L416" s="156" t="n"/>
      <c r="M416" s="156" t="n"/>
      <c r="N416" s="156" t="n"/>
      <c r="O416" s="156" t="n"/>
      <c r="P416" s="156" t="n"/>
      <c r="Q416" s="156" t="n"/>
      <c r="R416" s="156" t="n"/>
      <c r="S416" s="156" t="n"/>
      <c r="T416" s="156" t="n"/>
      <c r="U416" s="156" t="n"/>
      <c r="V416" s="156" t="inlineStr">
        <is>
          <t>PZS</t>
        </is>
      </c>
      <c r="W416" s="51" t="inlineStr">
        <is>
          <t>53101502</t>
        </is>
      </c>
      <c r="X416" s="156" t="n"/>
      <c r="Y416" s="54" t="n">
        <v>34.45</v>
      </c>
      <c r="Z416" s="54" t="n">
        <v>2499</v>
      </c>
      <c r="AA416" s="55">
        <f>IF(AND(A416="", B416="", E416=""), "", IF(AB416="", "Válido", IF((LEN(AB416)-LEN(SUBSTITUTE(AB416,"; ","")))/2+1&gt;(LEN(AB416)-LEN(SUBSTITUTE(AB416,"[Aviso]","")))/7, "Con Incidencias", "Válido")))</f>
        <v/>
      </c>
      <c r="AB416" s="56">
        <f>IF(AND(A416="", B416="", E416=""), "", TEXTJOIN("; ", TRUE, IF(OR(TRIM(A416&amp;"")="", ISNUMBER(SEARCH("FALTA", A416))), "UPC faltante/inválido", ""), IF(AND(A416&lt;&gt;"", IFERROR(_xlfn.XMATCH(A416,$A$2:$A$653,0,1)&lt;&gt;_xlfn.XMATCH(A416,$A$2:$A$653,0,-1),FALSE)), "Código de barras duplicado", ""), IF(AND(E416&lt;&gt;"", COUNTIF($E$2:$E$653, E416)&gt;1), "SKU duplicado", ""), IF(OR(J416="", J416=""), "[Aviso] División no capturada ()", IF(ISNA(MATCH(J416, Criterios!$A$123:$A$126, 0)), "División no válida", "")), IF(OR(K416="", K416=""), "[Aviso] Categoría no capturada ()", IF(ISNA(MATCH(K416, Criterios!$A$81:$A$120, 0)), "Categoría no válida", IF(AND(J416&lt;&gt;"", J416&lt;&gt;"", J416&lt;&gt;VLOOKUP(K416, Criterios!$A$81:$B$120, 2, FALSE)), "División no coincide con Categoría", ""))), IF(OR(L416="", L416=""), "[Aviso] Género no capturado ()", IF(ISNA(MATCH(L416, Criterios!$B$123:$B$127, 0)), "Género no válido", "")), IF(OR(N416="", N416=""), "[Aviso] Temporada no capturada ()", IF(ISNA(MATCH(N416, Criterios!$C$123:$C$128, 0)), "Temporada no válida", "")), IF(OR(O416="", O416=""), "[Aviso] Ciclo de vida no capturado ()", IF(ISNA(MATCH(O416, Criterios!$D$123:$D$124, 0)), "Ciclo de vida no válido", ""))))</f>
        <v/>
      </c>
      <c r="AC416" s="56" t="n"/>
      <c r="AD416" s="51" t="n">
        <v>15</v>
      </c>
      <c r="AE416" s="156" t="n"/>
      <c r="AF416" s="51" t="n">
        <v>15</v>
      </c>
      <c r="AG416" s="156" t="inlineStr">
        <is>
          <t>Nuevo – NetSuite con existencia</t>
        </is>
      </c>
      <c r="AH41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6" s="156" t="inlineStr">
        <is>
          <t>No</t>
        </is>
      </c>
      <c r="AJ416" s="156" t="n"/>
      <c r="AK416" s="155" t="inlineStr">
        <is>
          <t>G1522_Extraccion_Articulos_NetSuite_2026-09-30.xlsx: fila 43842</t>
        </is>
      </c>
      <c r="AL416" s="58" t="n"/>
      <c r="AM416" s="58" t="n"/>
      <c r="AN416" s="155" t="n"/>
      <c r="AO416" s="59" t="n"/>
      <c r="AP416" s="59" t="n"/>
      <c r="AQ416" s="59" t="n"/>
      <c r="AR416" s="155" t="n"/>
    </row>
    <row r="417">
      <c r="A417" s="50" t="inlineStr">
        <is>
          <t>5056658712203</t>
        </is>
      </c>
      <c r="B417" s="51" t="inlineStr">
        <is>
          <t>91088</t>
        </is>
      </c>
      <c r="C417" s="156" t="inlineStr">
        <is>
          <t>REFLO</t>
        </is>
      </c>
      <c r="D417" s="156" t="n"/>
      <c r="E417" s="156" t="n"/>
      <c r="F417" s="156" t="n"/>
      <c r="G417" s="156" t="n"/>
      <c r="H417" s="156" t="inlineStr">
        <is>
          <t>REFLO</t>
        </is>
      </c>
      <c r="I417" s="156" t="n"/>
      <c r="J417" s="156" t="n"/>
      <c r="K417" s="156" t="n"/>
      <c r="L417" s="156" t="n"/>
      <c r="M417" s="156" t="n"/>
      <c r="N417" s="156" t="n"/>
      <c r="O417" s="156" t="n"/>
      <c r="P417" s="156" t="n"/>
      <c r="Q417" s="156" t="n"/>
      <c r="R417" s="156" t="n"/>
      <c r="S417" s="156" t="n"/>
      <c r="T417" s="156" t="n"/>
      <c r="U417" s="156" t="n"/>
      <c r="V417" s="156" t="inlineStr">
        <is>
          <t>PZS</t>
        </is>
      </c>
      <c r="W417" s="51" t="inlineStr">
        <is>
          <t>53101502</t>
        </is>
      </c>
      <c r="X417" s="156" t="n"/>
      <c r="Y417" s="54" t="n">
        <v>34.45</v>
      </c>
      <c r="Z417" s="54" t="n">
        <v>2499</v>
      </c>
      <c r="AA417" s="55">
        <f>IF(AND(A417="", B417="", E417=""), "", IF(AB417="", "Válido", IF((LEN(AB417)-LEN(SUBSTITUTE(AB417,"; ","")))/2+1&gt;(LEN(AB417)-LEN(SUBSTITUTE(AB417,"[Aviso]","")))/7, "Con Incidencias", "Válido")))</f>
        <v/>
      </c>
      <c r="AB417" s="56">
        <f>IF(AND(A417="", B417="", E417=""), "", TEXTJOIN("; ", TRUE, IF(OR(TRIM(A417&amp;"")="", ISNUMBER(SEARCH("FALTA", A417))), "UPC faltante/inválido", ""), IF(AND(A417&lt;&gt;"", IFERROR(_xlfn.XMATCH(A417,$A$2:$A$653,0,1)&lt;&gt;_xlfn.XMATCH(A417,$A$2:$A$653,0,-1),FALSE)), "Código de barras duplicado", ""), IF(AND(E417&lt;&gt;"", COUNTIF($E$2:$E$653, E417)&gt;1), "SKU duplicado", ""), IF(OR(J417="", J417=""), "[Aviso] División no capturada ()", IF(ISNA(MATCH(J417, Criterios!$A$123:$A$126, 0)), "División no válida", "")), IF(OR(K417="", K417=""), "[Aviso] Categoría no capturada ()", IF(ISNA(MATCH(K417, Criterios!$A$81:$A$120, 0)), "Categoría no válida", IF(AND(J417&lt;&gt;"", J417&lt;&gt;"", J417&lt;&gt;VLOOKUP(K417, Criterios!$A$81:$B$120, 2, FALSE)), "División no coincide con Categoría", ""))), IF(OR(L417="", L417=""), "[Aviso] Género no capturado ()", IF(ISNA(MATCH(L417, Criterios!$B$123:$B$127, 0)), "Género no válido", "")), IF(OR(N417="", N417=""), "[Aviso] Temporada no capturada ()", IF(ISNA(MATCH(N417, Criterios!$C$123:$C$128, 0)), "Temporada no válida", "")), IF(OR(O417="", O417=""), "[Aviso] Ciclo de vida no capturado ()", IF(ISNA(MATCH(O417, Criterios!$D$123:$D$124, 0)), "Ciclo de vida no válido", ""))))</f>
        <v/>
      </c>
      <c r="AC417" s="56" t="n"/>
      <c r="AD417" s="51" t="n">
        <v>8</v>
      </c>
      <c r="AE417" s="156" t="n"/>
      <c r="AF417" s="51" t="n">
        <v>8</v>
      </c>
      <c r="AG417" s="156" t="inlineStr">
        <is>
          <t>Nuevo – NetSuite con existencia</t>
        </is>
      </c>
      <c r="AH41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7" s="156" t="inlineStr">
        <is>
          <t>No</t>
        </is>
      </c>
      <c r="AJ417" s="156" t="n"/>
      <c r="AK417" s="155" t="inlineStr">
        <is>
          <t>G1522_Extraccion_Articulos_NetSuite_2026-09-30.xlsx: fila 43843</t>
        </is>
      </c>
      <c r="AL417" s="58" t="n"/>
      <c r="AM417" s="58" t="n"/>
      <c r="AN417" s="155" t="n"/>
      <c r="AO417" s="59" t="n"/>
      <c r="AP417" s="59" t="n"/>
      <c r="AQ417" s="59" t="n"/>
      <c r="AR417" s="155" t="n"/>
    </row>
    <row r="418">
      <c r="A418" s="50" t="inlineStr">
        <is>
          <t>5056658713989</t>
        </is>
      </c>
      <c r="B418" s="51" t="inlineStr">
        <is>
          <t>91089</t>
        </is>
      </c>
      <c r="C418" s="156" t="inlineStr">
        <is>
          <t>REFLO</t>
        </is>
      </c>
      <c r="D418" s="156" t="n"/>
      <c r="E418" s="156" t="n"/>
      <c r="F418" s="156" t="n"/>
      <c r="G418" s="156" t="n"/>
      <c r="H418" s="156" t="inlineStr">
        <is>
          <t>REFLO</t>
        </is>
      </c>
      <c r="I418" s="156" t="n"/>
      <c r="J418" s="156" t="n"/>
      <c r="K418" s="156" t="n"/>
      <c r="L418" s="156" t="n"/>
      <c r="M418" s="156" t="n"/>
      <c r="N418" s="156" t="n"/>
      <c r="O418" s="156" t="n"/>
      <c r="P418" s="156" t="n"/>
      <c r="Q418" s="156" t="n"/>
      <c r="R418" s="156" t="n"/>
      <c r="S418" s="156" t="n"/>
      <c r="T418" s="156" t="n"/>
      <c r="U418" s="156" t="n"/>
      <c r="V418" s="156" t="inlineStr">
        <is>
          <t>PZS</t>
        </is>
      </c>
      <c r="W418" s="51" t="inlineStr">
        <is>
          <t>53101502</t>
        </is>
      </c>
      <c r="X418" s="156" t="n"/>
      <c r="Y418" s="54" t="n">
        <v>34.45</v>
      </c>
      <c r="Z418" s="54" t="n">
        <v>2499</v>
      </c>
      <c r="AA418" s="55">
        <f>IF(AND(A418="", B418="", E418=""), "", IF(AB418="", "Válido", IF((LEN(AB418)-LEN(SUBSTITUTE(AB418,"; ","")))/2+1&gt;(LEN(AB418)-LEN(SUBSTITUTE(AB418,"[Aviso]","")))/7, "Con Incidencias", "Válido")))</f>
        <v/>
      </c>
      <c r="AB418" s="56">
        <f>IF(AND(A418="", B418="", E418=""), "", TEXTJOIN("; ", TRUE, IF(OR(TRIM(A418&amp;"")="", ISNUMBER(SEARCH("FALTA", A418))), "UPC faltante/inválido", ""), IF(AND(A418&lt;&gt;"", IFERROR(_xlfn.XMATCH(A418,$A$2:$A$653,0,1)&lt;&gt;_xlfn.XMATCH(A418,$A$2:$A$653,0,-1),FALSE)), "Código de barras duplicado", ""), IF(AND(E418&lt;&gt;"", COUNTIF($E$2:$E$653, E418)&gt;1), "SKU duplicado", ""), IF(OR(J418="", J418=""), "[Aviso] División no capturada ()", IF(ISNA(MATCH(J418, Criterios!$A$123:$A$126, 0)), "División no válida", "")), IF(OR(K418="", K418=""), "[Aviso] Categoría no capturada ()", IF(ISNA(MATCH(K418, Criterios!$A$81:$A$120, 0)), "Categoría no válida", IF(AND(J418&lt;&gt;"", J418&lt;&gt;"", J418&lt;&gt;VLOOKUP(K418, Criterios!$A$81:$B$120, 2, FALSE)), "División no coincide con Categoría", ""))), IF(OR(L418="", L418=""), "[Aviso] Género no capturado ()", IF(ISNA(MATCH(L418, Criterios!$B$123:$B$127, 0)), "Género no válido", "")), IF(OR(N418="", N418=""), "[Aviso] Temporada no capturada ()", IF(ISNA(MATCH(N418, Criterios!$C$123:$C$128, 0)), "Temporada no válida", "")), IF(OR(O418="", O418=""), "[Aviso] Ciclo de vida no capturado ()", IF(ISNA(MATCH(O418, Criterios!$D$123:$D$124, 0)), "Ciclo de vida no válido", ""))))</f>
        <v/>
      </c>
      <c r="AC418" s="56" t="n"/>
      <c r="AD418" s="51" t="n">
        <v>4</v>
      </c>
      <c r="AE418" s="156" t="n"/>
      <c r="AF418" s="51" t="n">
        <v>4</v>
      </c>
      <c r="AG418" s="156" t="inlineStr">
        <is>
          <t>Nuevo – NetSuite con existencia</t>
        </is>
      </c>
      <c r="AH41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8" s="156" t="inlineStr">
        <is>
          <t>No</t>
        </is>
      </c>
      <c r="AJ418" s="156" t="n"/>
      <c r="AK418" s="155" t="inlineStr">
        <is>
          <t>G1522_Extraccion_Articulos_NetSuite_2026-09-30.xlsx: fila 43844</t>
        </is>
      </c>
      <c r="AL418" s="58" t="n"/>
      <c r="AM418" s="58" t="n"/>
      <c r="AN418" s="155" t="n"/>
      <c r="AO418" s="59" t="n"/>
      <c r="AP418" s="59" t="n"/>
      <c r="AQ418" s="59" t="n"/>
      <c r="AR418" s="155" t="n"/>
    </row>
    <row r="419">
      <c r="A419" s="50" t="inlineStr">
        <is>
          <t>5056658712234</t>
        </is>
      </c>
      <c r="B419" s="51" t="inlineStr">
        <is>
          <t>91091</t>
        </is>
      </c>
      <c r="C419" s="156" t="inlineStr">
        <is>
          <t>REFLO</t>
        </is>
      </c>
      <c r="D419" s="156" t="n"/>
      <c r="E419" s="156" t="n"/>
      <c r="F419" s="156" t="n"/>
      <c r="G419" s="156" t="n"/>
      <c r="H419" s="156" t="inlineStr">
        <is>
          <t>REFLO</t>
        </is>
      </c>
      <c r="I419" s="156" t="n"/>
      <c r="J419" s="156" t="n"/>
      <c r="K419" s="156" t="n"/>
      <c r="L419" s="156" t="n"/>
      <c r="M419" s="156" t="n"/>
      <c r="N419" s="156" t="n"/>
      <c r="O419" s="156" t="n"/>
      <c r="P419" s="156" t="n"/>
      <c r="Q419" s="156" t="n"/>
      <c r="R419" s="156" t="n"/>
      <c r="S419" s="156" t="n"/>
      <c r="T419" s="156" t="n"/>
      <c r="U419" s="156" t="n"/>
      <c r="V419" s="156" t="inlineStr">
        <is>
          <t>PZS</t>
        </is>
      </c>
      <c r="W419" s="51" t="inlineStr">
        <is>
          <t>53101502</t>
        </is>
      </c>
      <c r="X419" s="156" t="n"/>
      <c r="Y419" s="54" t="n">
        <v>34.45</v>
      </c>
      <c r="Z419" s="54" t="n">
        <v>2499</v>
      </c>
      <c r="AA419" s="55">
        <f>IF(AND(A419="", B419="", E419=""), "", IF(AB419="", "Válido", IF((LEN(AB419)-LEN(SUBSTITUTE(AB419,"; ","")))/2+1&gt;(LEN(AB419)-LEN(SUBSTITUTE(AB419,"[Aviso]","")))/7, "Con Incidencias", "Válido")))</f>
        <v/>
      </c>
      <c r="AB419" s="56">
        <f>IF(AND(A419="", B419="", E419=""), "", TEXTJOIN("; ", TRUE, IF(OR(TRIM(A419&amp;"")="", ISNUMBER(SEARCH("FALTA", A419))), "UPC faltante/inválido", ""), IF(AND(A419&lt;&gt;"", IFERROR(_xlfn.XMATCH(A419,$A$2:$A$653,0,1)&lt;&gt;_xlfn.XMATCH(A419,$A$2:$A$653,0,-1),FALSE)), "Código de barras duplicado", ""), IF(AND(E419&lt;&gt;"", COUNTIF($E$2:$E$653, E419)&gt;1), "SKU duplicado", ""), IF(OR(J419="", J419=""), "[Aviso] División no capturada ()", IF(ISNA(MATCH(J419, Criterios!$A$123:$A$126, 0)), "División no válida", "")), IF(OR(K419="", K419=""), "[Aviso] Categoría no capturada ()", IF(ISNA(MATCH(K419, Criterios!$A$81:$A$120, 0)), "Categoría no válida", IF(AND(J419&lt;&gt;"", J419&lt;&gt;"", J419&lt;&gt;VLOOKUP(K419, Criterios!$A$81:$B$120, 2, FALSE)), "División no coincide con Categoría", ""))), IF(OR(L419="", L419=""), "[Aviso] Género no capturado ()", IF(ISNA(MATCH(L419, Criterios!$B$123:$B$127, 0)), "Género no válido", "")), IF(OR(N419="", N419=""), "[Aviso] Temporada no capturada ()", IF(ISNA(MATCH(N419, Criterios!$C$123:$C$128, 0)), "Temporada no válida", "")), IF(OR(O419="", O419=""), "[Aviso] Ciclo de vida no capturado ()", IF(ISNA(MATCH(O419, Criterios!$D$123:$D$124, 0)), "Ciclo de vida no válido", ""))))</f>
        <v/>
      </c>
      <c r="AC419" s="56" t="n"/>
      <c r="AD419" s="51" t="n">
        <v>7</v>
      </c>
      <c r="AE419" s="156" t="n"/>
      <c r="AF419" s="51" t="n">
        <v>7</v>
      </c>
      <c r="AG419" s="156" t="inlineStr">
        <is>
          <t>Nuevo – NetSuite con existencia</t>
        </is>
      </c>
      <c r="AH41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9" s="156" t="inlineStr">
        <is>
          <t>No</t>
        </is>
      </c>
      <c r="AJ419" s="156" t="n"/>
      <c r="AK419" s="155" t="inlineStr">
        <is>
          <t>G1522_Extraccion_Articulos_NetSuite_2026-09-30.xlsx: fila 43846</t>
        </is>
      </c>
      <c r="AL419" s="58" t="n"/>
      <c r="AM419" s="58" t="n"/>
      <c r="AN419" s="155" t="n"/>
      <c r="AO419" s="59" t="n"/>
      <c r="AP419" s="59" t="n"/>
      <c r="AQ419" s="59" t="n"/>
      <c r="AR419" s="155" t="n"/>
    </row>
    <row r="420">
      <c r="A420" s="50" t="inlineStr">
        <is>
          <t>5056658712241</t>
        </is>
      </c>
      <c r="B420" s="51" t="inlineStr">
        <is>
          <t>91092</t>
        </is>
      </c>
      <c r="C420" s="156" t="inlineStr">
        <is>
          <t>REFLO</t>
        </is>
      </c>
      <c r="D420" s="156" t="n"/>
      <c r="E420" s="156" t="n"/>
      <c r="F420" s="156" t="n"/>
      <c r="G420" s="156" t="n"/>
      <c r="H420" s="156" t="inlineStr">
        <is>
          <t>REFLO</t>
        </is>
      </c>
      <c r="I420" s="156" t="n"/>
      <c r="J420" s="156" t="n"/>
      <c r="K420" s="156" t="n"/>
      <c r="L420" s="156" t="n"/>
      <c r="M420" s="156" t="n"/>
      <c r="N420" s="156" t="n"/>
      <c r="O420" s="156" t="n"/>
      <c r="P420" s="156" t="n"/>
      <c r="Q420" s="156" t="n"/>
      <c r="R420" s="156" t="n"/>
      <c r="S420" s="156" t="n"/>
      <c r="T420" s="156" t="n"/>
      <c r="U420" s="156" t="n"/>
      <c r="V420" s="156" t="inlineStr">
        <is>
          <t>PZS</t>
        </is>
      </c>
      <c r="W420" s="51" t="inlineStr">
        <is>
          <t>53101502</t>
        </is>
      </c>
      <c r="X420" s="156" t="n"/>
      <c r="Y420" s="54" t="n">
        <v>34.45</v>
      </c>
      <c r="Z420" s="54" t="n">
        <v>2499</v>
      </c>
      <c r="AA420" s="55">
        <f>IF(AND(A420="", B420="", E420=""), "", IF(AB420="", "Válido", IF((LEN(AB420)-LEN(SUBSTITUTE(AB420,"; ","")))/2+1&gt;(LEN(AB420)-LEN(SUBSTITUTE(AB420,"[Aviso]","")))/7, "Con Incidencias", "Válido")))</f>
        <v/>
      </c>
      <c r="AB420" s="56">
        <f>IF(AND(A420="", B420="", E420=""), "", TEXTJOIN("; ", TRUE, IF(OR(TRIM(A420&amp;"")="", ISNUMBER(SEARCH("FALTA", A420))), "UPC faltante/inválido", ""), IF(AND(A420&lt;&gt;"", IFERROR(_xlfn.XMATCH(A420,$A$2:$A$653,0,1)&lt;&gt;_xlfn.XMATCH(A420,$A$2:$A$653,0,-1),FALSE)), "Código de barras duplicado", ""), IF(AND(E420&lt;&gt;"", COUNTIF($E$2:$E$653, E420)&gt;1), "SKU duplicado", ""), IF(OR(J420="", J420=""), "[Aviso] División no capturada ()", IF(ISNA(MATCH(J420, Criterios!$A$123:$A$126, 0)), "División no válida", "")), IF(OR(K420="", K420=""), "[Aviso] Categoría no capturada ()", IF(ISNA(MATCH(K420, Criterios!$A$81:$A$120, 0)), "Categoría no válida", IF(AND(J420&lt;&gt;"", J420&lt;&gt;"", J420&lt;&gt;VLOOKUP(K420, Criterios!$A$81:$B$120, 2, FALSE)), "División no coincide con Categoría", ""))), IF(OR(L420="", L420=""), "[Aviso] Género no capturado ()", IF(ISNA(MATCH(L420, Criterios!$B$123:$B$127, 0)), "Género no válido", "")), IF(OR(N420="", N420=""), "[Aviso] Temporada no capturada ()", IF(ISNA(MATCH(N420, Criterios!$C$123:$C$128, 0)), "Temporada no válida", "")), IF(OR(O420="", O420=""), "[Aviso] Ciclo de vida no capturado ()", IF(ISNA(MATCH(O420, Criterios!$D$123:$D$124, 0)), "Ciclo de vida no válido", ""))))</f>
        <v/>
      </c>
      <c r="AC420" s="56" t="n"/>
      <c r="AD420" s="51" t="n">
        <v>16</v>
      </c>
      <c r="AE420" s="156" t="n"/>
      <c r="AF420" s="51" t="n">
        <v>16</v>
      </c>
      <c r="AG420" s="156" t="inlineStr">
        <is>
          <t>Nuevo – NetSuite con existencia</t>
        </is>
      </c>
      <c r="AH42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0" s="156" t="inlineStr">
        <is>
          <t>No</t>
        </is>
      </c>
      <c r="AJ420" s="156" t="n"/>
      <c r="AK420" s="155" t="inlineStr">
        <is>
          <t>G1522_Extraccion_Articulos_NetSuite_2026-09-30.xlsx: fila 43847</t>
        </is>
      </c>
      <c r="AL420" s="58" t="n"/>
      <c r="AM420" s="58" t="n"/>
      <c r="AN420" s="155" t="n"/>
      <c r="AO420" s="59" t="n"/>
      <c r="AP420" s="59" t="n"/>
      <c r="AQ420" s="59" t="n"/>
      <c r="AR420" s="155" t="n"/>
    </row>
    <row r="421">
      <c r="A421" s="50" t="inlineStr">
        <is>
          <t>5056658712258</t>
        </is>
      </c>
      <c r="B421" s="51" t="inlineStr">
        <is>
          <t>91093</t>
        </is>
      </c>
      <c r="C421" s="156" t="inlineStr">
        <is>
          <t>REFLO</t>
        </is>
      </c>
      <c r="D421" s="156" t="n"/>
      <c r="E421" s="156" t="n"/>
      <c r="F421" s="156" t="n"/>
      <c r="G421" s="156" t="n"/>
      <c r="H421" s="156" t="inlineStr">
        <is>
          <t>REFLO</t>
        </is>
      </c>
      <c r="I421" s="156" t="n"/>
      <c r="J421" s="156" t="n"/>
      <c r="K421" s="156" t="n"/>
      <c r="L421" s="156" t="n"/>
      <c r="M421" s="156" t="n"/>
      <c r="N421" s="156" t="n"/>
      <c r="O421" s="156" t="n"/>
      <c r="P421" s="156" t="n"/>
      <c r="Q421" s="156" t="n"/>
      <c r="R421" s="156" t="n"/>
      <c r="S421" s="156" t="n"/>
      <c r="T421" s="156" t="n"/>
      <c r="U421" s="156" t="n"/>
      <c r="V421" s="156" t="inlineStr">
        <is>
          <t>PZS</t>
        </is>
      </c>
      <c r="W421" s="51" t="inlineStr">
        <is>
          <t>53101502</t>
        </is>
      </c>
      <c r="X421" s="156" t="n"/>
      <c r="Y421" s="54" t="n">
        <v>34.45</v>
      </c>
      <c r="Z421" s="54" t="n">
        <v>2499</v>
      </c>
      <c r="AA421" s="55">
        <f>IF(AND(A421="", B421="", E421=""), "", IF(AB421="", "Válido", IF((LEN(AB421)-LEN(SUBSTITUTE(AB421,"; ","")))/2+1&gt;(LEN(AB421)-LEN(SUBSTITUTE(AB421,"[Aviso]","")))/7, "Con Incidencias", "Válido")))</f>
        <v/>
      </c>
      <c r="AB421" s="56">
        <f>IF(AND(A421="", B421="", E421=""), "", TEXTJOIN("; ", TRUE, IF(OR(TRIM(A421&amp;"")="", ISNUMBER(SEARCH("FALTA", A421))), "UPC faltante/inválido", ""), IF(AND(A421&lt;&gt;"", IFERROR(_xlfn.XMATCH(A421,$A$2:$A$653,0,1)&lt;&gt;_xlfn.XMATCH(A421,$A$2:$A$653,0,-1),FALSE)), "Código de barras duplicado", ""), IF(AND(E421&lt;&gt;"", COUNTIF($E$2:$E$653, E421)&gt;1), "SKU duplicado", ""), IF(OR(J421="", J421=""), "[Aviso] División no capturada ()", IF(ISNA(MATCH(J421, Criterios!$A$123:$A$126, 0)), "División no válida", "")), IF(OR(K421="", K421=""), "[Aviso] Categoría no capturada ()", IF(ISNA(MATCH(K421, Criterios!$A$81:$A$120, 0)), "Categoría no válida", IF(AND(J421&lt;&gt;"", J421&lt;&gt;"", J421&lt;&gt;VLOOKUP(K421, Criterios!$A$81:$B$120, 2, FALSE)), "División no coincide con Categoría", ""))), IF(OR(L421="", L421=""), "[Aviso] Género no capturado ()", IF(ISNA(MATCH(L421, Criterios!$B$123:$B$127, 0)), "Género no válido", "")), IF(OR(N421="", N421=""), "[Aviso] Temporada no capturada ()", IF(ISNA(MATCH(N421, Criterios!$C$123:$C$128, 0)), "Temporada no válida", "")), IF(OR(O421="", O421=""), "[Aviso] Ciclo de vida no capturado ()", IF(ISNA(MATCH(O421, Criterios!$D$123:$D$124, 0)), "Ciclo de vida no válido", ""))))</f>
        <v/>
      </c>
      <c r="AC421" s="56" t="n"/>
      <c r="AD421" s="51" t="n">
        <v>16</v>
      </c>
      <c r="AE421" s="156" t="n"/>
      <c r="AF421" s="51" t="n">
        <v>16</v>
      </c>
      <c r="AG421" s="156" t="inlineStr">
        <is>
          <t>Nuevo – NetSuite con existencia</t>
        </is>
      </c>
      <c r="AH42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1" s="156" t="inlineStr">
        <is>
          <t>No</t>
        </is>
      </c>
      <c r="AJ421" s="156" t="n"/>
      <c r="AK421" s="155" t="inlineStr">
        <is>
          <t>G1522_Extraccion_Articulos_NetSuite_2026-09-30.xlsx: fila 43848</t>
        </is>
      </c>
      <c r="AL421" s="58" t="n"/>
      <c r="AM421" s="58" t="n"/>
      <c r="AN421" s="155" t="n"/>
      <c r="AO421" s="59" t="n"/>
      <c r="AP421" s="59" t="n"/>
      <c r="AQ421" s="59" t="n"/>
      <c r="AR421" s="155" t="n"/>
    </row>
    <row r="422">
      <c r="A422" s="50" t="inlineStr">
        <is>
          <t>5056658712265</t>
        </is>
      </c>
      <c r="B422" s="51" t="inlineStr">
        <is>
          <t>91094</t>
        </is>
      </c>
      <c r="C422" s="156" t="inlineStr">
        <is>
          <t>REFLO</t>
        </is>
      </c>
      <c r="D422" s="156" t="n"/>
      <c r="E422" s="156" t="n"/>
      <c r="F422" s="156" t="n"/>
      <c r="G422" s="156" t="n"/>
      <c r="H422" s="156" t="inlineStr">
        <is>
          <t>REFLO</t>
        </is>
      </c>
      <c r="I422" s="156" t="n"/>
      <c r="J422" s="156" t="n"/>
      <c r="K422" s="156" t="n"/>
      <c r="L422" s="156" t="n"/>
      <c r="M422" s="156" t="n"/>
      <c r="N422" s="156" t="n"/>
      <c r="O422" s="156" t="n"/>
      <c r="P422" s="156" t="n"/>
      <c r="Q422" s="156" t="n"/>
      <c r="R422" s="156" t="n"/>
      <c r="S422" s="156" t="n"/>
      <c r="T422" s="156" t="n"/>
      <c r="U422" s="156" t="n"/>
      <c r="V422" s="156" t="inlineStr">
        <is>
          <t>PZS</t>
        </is>
      </c>
      <c r="W422" s="51" t="inlineStr">
        <is>
          <t>53101502</t>
        </is>
      </c>
      <c r="X422" s="156" t="n"/>
      <c r="Y422" s="54" t="n">
        <v>34.45</v>
      </c>
      <c r="Z422" s="54" t="n">
        <v>2499</v>
      </c>
      <c r="AA422" s="55">
        <f>IF(AND(A422="", B422="", E422=""), "", IF(AB422="", "Válido", IF((LEN(AB422)-LEN(SUBSTITUTE(AB422,"; ","")))/2+1&gt;(LEN(AB422)-LEN(SUBSTITUTE(AB422,"[Aviso]","")))/7, "Con Incidencias", "Válido")))</f>
        <v/>
      </c>
      <c r="AB422" s="56">
        <f>IF(AND(A422="", B422="", E422=""), "", TEXTJOIN("; ", TRUE, IF(OR(TRIM(A422&amp;"")="", ISNUMBER(SEARCH("FALTA", A422))), "UPC faltante/inválido", ""), IF(AND(A422&lt;&gt;"", IFERROR(_xlfn.XMATCH(A422,$A$2:$A$653,0,1)&lt;&gt;_xlfn.XMATCH(A422,$A$2:$A$653,0,-1),FALSE)), "Código de barras duplicado", ""), IF(AND(E422&lt;&gt;"", COUNTIF($E$2:$E$653, E422)&gt;1), "SKU duplicado", ""), IF(OR(J422="", J422=""), "[Aviso] División no capturada ()", IF(ISNA(MATCH(J422, Criterios!$A$123:$A$126, 0)), "División no válida", "")), IF(OR(K422="", K422=""), "[Aviso] Categoría no capturada ()", IF(ISNA(MATCH(K422, Criterios!$A$81:$A$120, 0)), "Categoría no válida", IF(AND(J422&lt;&gt;"", J422&lt;&gt;"", J422&lt;&gt;VLOOKUP(K422, Criterios!$A$81:$B$120, 2, FALSE)), "División no coincide con Categoría", ""))), IF(OR(L422="", L422=""), "[Aviso] Género no capturado ()", IF(ISNA(MATCH(L422, Criterios!$B$123:$B$127, 0)), "Género no válido", "")), IF(OR(N422="", N422=""), "[Aviso] Temporada no capturada ()", IF(ISNA(MATCH(N422, Criterios!$C$123:$C$128, 0)), "Temporada no válida", "")), IF(OR(O422="", O422=""), "[Aviso] Ciclo de vida no capturado ()", IF(ISNA(MATCH(O422, Criterios!$D$123:$D$124, 0)), "Ciclo de vida no válido", ""))))</f>
        <v/>
      </c>
      <c r="AC422" s="56" t="n"/>
      <c r="AD422" s="51" t="n">
        <v>8</v>
      </c>
      <c r="AE422" s="156" t="n"/>
      <c r="AF422" s="51" t="n">
        <v>8</v>
      </c>
      <c r="AG422" s="156" t="inlineStr">
        <is>
          <t>Nuevo – NetSuite con existencia</t>
        </is>
      </c>
      <c r="AH42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2" s="156" t="inlineStr">
        <is>
          <t>No</t>
        </is>
      </c>
      <c r="AJ422" s="156" t="n"/>
      <c r="AK422" s="155" t="inlineStr">
        <is>
          <t>G1522_Extraccion_Articulos_NetSuite_2026-09-30.xlsx: fila 43849</t>
        </is>
      </c>
      <c r="AL422" s="58" t="n"/>
      <c r="AM422" s="58" t="n"/>
      <c r="AN422" s="155" t="n"/>
      <c r="AO422" s="59" t="n"/>
      <c r="AP422" s="59" t="n"/>
      <c r="AQ422" s="59" t="n"/>
      <c r="AR422" s="155" t="n"/>
    </row>
    <row r="423">
      <c r="A423" s="50" t="inlineStr">
        <is>
          <t>5056658713996</t>
        </is>
      </c>
      <c r="B423" s="51" t="inlineStr">
        <is>
          <t>91095</t>
        </is>
      </c>
      <c r="C423" s="156" t="inlineStr">
        <is>
          <t>REFLO</t>
        </is>
      </c>
      <c r="D423" s="156" t="n"/>
      <c r="E423" s="156" t="n"/>
      <c r="F423" s="156" t="n"/>
      <c r="G423" s="156" t="n"/>
      <c r="H423" s="156" t="inlineStr">
        <is>
          <t>REFLO</t>
        </is>
      </c>
      <c r="I423" s="156" t="n"/>
      <c r="J423" s="156" t="n"/>
      <c r="K423" s="156" t="n"/>
      <c r="L423" s="156" t="n"/>
      <c r="M423" s="156" t="n"/>
      <c r="N423" s="156" t="n"/>
      <c r="O423" s="156" t="n"/>
      <c r="P423" s="156" t="n"/>
      <c r="Q423" s="156" t="n"/>
      <c r="R423" s="156" t="n"/>
      <c r="S423" s="156" t="n"/>
      <c r="T423" s="156" t="n"/>
      <c r="U423" s="156" t="n"/>
      <c r="V423" s="156" t="inlineStr">
        <is>
          <t>PZS</t>
        </is>
      </c>
      <c r="W423" s="51" t="inlineStr">
        <is>
          <t>53101502</t>
        </is>
      </c>
      <c r="X423" s="156" t="n"/>
      <c r="Y423" s="54" t="n">
        <v>34.45</v>
      </c>
      <c r="Z423" s="54" t="n">
        <v>2499</v>
      </c>
      <c r="AA423" s="55">
        <f>IF(AND(A423="", B423="", E423=""), "", IF(AB423="", "Válido", IF((LEN(AB423)-LEN(SUBSTITUTE(AB423,"; ","")))/2+1&gt;(LEN(AB423)-LEN(SUBSTITUTE(AB423,"[Aviso]","")))/7, "Con Incidencias", "Válido")))</f>
        <v/>
      </c>
      <c r="AB423" s="56">
        <f>IF(AND(A423="", B423="", E423=""), "", TEXTJOIN("; ", TRUE, IF(OR(TRIM(A423&amp;"")="", ISNUMBER(SEARCH("FALTA", A423))), "UPC faltante/inválido", ""), IF(AND(A423&lt;&gt;"", IFERROR(_xlfn.XMATCH(A423,$A$2:$A$653,0,1)&lt;&gt;_xlfn.XMATCH(A423,$A$2:$A$653,0,-1),FALSE)), "Código de barras duplicado", ""), IF(AND(E423&lt;&gt;"", COUNTIF($E$2:$E$653, E423)&gt;1), "SKU duplicado", ""), IF(OR(J423="", J423=""), "[Aviso] División no capturada ()", IF(ISNA(MATCH(J423, Criterios!$A$123:$A$126, 0)), "División no válida", "")), IF(OR(K423="", K423=""), "[Aviso] Categoría no capturada ()", IF(ISNA(MATCH(K423, Criterios!$A$81:$A$120, 0)), "Categoría no válida", IF(AND(J423&lt;&gt;"", J423&lt;&gt;"", J423&lt;&gt;VLOOKUP(K423, Criterios!$A$81:$B$120, 2, FALSE)), "División no coincide con Categoría", ""))), IF(OR(L423="", L423=""), "[Aviso] Género no capturado ()", IF(ISNA(MATCH(L423, Criterios!$B$123:$B$127, 0)), "Género no válido", "")), IF(OR(N423="", N423=""), "[Aviso] Temporada no capturada ()", IF(ISNA(MATCH(N423, Criterios!$C$123:$C$128, 0)), "Temporada no válida", "")), IF(OR(O423="", O423=""), "[Aviso] Ciclo de vida no capturado ()", IF(ISNA(MATCH(O423, Criterios!$D$123:$D$124, 0)), "Ciclo de vida no válido", ""))))</f>
        <v/>
      </c>
      <c r="AC423" s="56" t="n"/>
      <c r="AD423" s="51" t="n">
        <v>4</v>
      </c>
      <c r="AE423" s="156" t="n"/>
      <c r="AF423" s="51" t="n">
        <v>4</v>
      </c>
      <c r="AG423" s="156" t="inlineStr">
        <is>
          <t>Nuevo – NetSuite con existencia</t>
        </is>
      </c>
      <c r="AH42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3" s="156" t="inlineStr">
        <is>
          <t>No</t>
        </is>
      </c>
      <c r="AJ423" s="156" t="n"/>
      <c r="AK423" s="155" t="inlineStr">
        <is>
          <t>G1522_Extraccion_Articulos_NetSuite_2026-09-30.xlsx: fila 43850</t>
        </is>
      </c>
      <c r="AL423" s="58" t="n"/>
      <c r="AM423" s="58" t="n"/>
      <c r="AN423" s="155" t="n"/>
      <c r="AO423" s="59" t="n"/>
      <c r="AP423" s="59" t="n"/>
      <c r="AQ423" s="59" t="n"/>
      <c r="AR423" s="155" t="n"/>
    </row>
    <row r="424">
      <c r="A424" s="50" t="inlineStr">
        <is>
          <t>5056658712289</t>
        </is>
      </c>
      <c r="B424" s="51" t="inlineStr">
        <is>
          <t>91096</t>
        </is>
      </c>
      <c r="C424" s="156" t="inlineStr">
        <is>
          <t>REFLO</t>
        </is>
      </c>
      <c r="D424" s="156" t="n"/>
      <c r="E424" s="156" t="n"/>
      <c r="F424" s="156" t="n"/>
      <c r="G424" s="156" t="n"/>
      <c r="H424" s="156" t="inlineStr">
        <is>
          <t>REFLO</t>
        </is>
      </c>
      <c r="I424" s="156" t="n"/>
      <c r="J424" s="156" t="n"/>
      <c r="K424" s="156" t="n"/>
      <c r="L424" s="156" t="n"/>
      <c r="M424" s="156" t="n"/>
      <c r="N424" s="156" t="n"/>
      <c r="O424" s="156" t="n"/>
      <c r="P424" s="156" t="n"/>
      <c r="Q424" s="156" t="n"/>
      <c r="R424" s="156" t="n"/>
      <c r="S424" s="156" t="n"/>
      <c r="T424" s="156" t="n"/>
      <c r="U424" s="156" t="n"/>
      <c r="V424" s="156" t="inlineStr">
        <is>
          <t>PZS</t>
        </is>
      </c>
      <c r="W424" s="51" t="inlineStr">
        <is>
          <t>53101502</t>
        </is>
      </c>
      <c r="X424" s="156" t="n"/>
      <c r="Y424" s="54" t="n">
        <v>34.45</v>
      </c>
      <c r="Z424" s="54" t="n">
        <v>2499</v>
      </c>
      <c r="AA424" s="55">
        <f>IF(AND(A424="", B424="", E424=""), "", IF(AB424="", "Válido", IF((LEN(AB424)-LEN(SUBSTITUTE(AB424,"; ","")))/2+1&gt;(LEN(AB424)-LEN(SUBSTITUTE(AB424,"[Aviso]","")))/7, "Con Incidencias", "Válido")))</f>
        <v/>
      </c>
      <c r="AB424" s="56">
        <f>IF(AND(A424="", B424="", E424=""), "", TEXTJOIN("; ", TRUE, IF(OR(TRIM(A424&amp;"")="", ISNUMBER(SEARCH("FALTA", A424))), "UPC faltante/inválido", ""), IF(AND(A424&lt;&gt;"", IFERROR(_xlfn.XMATCH(A424,$A$2:$A$653,0,1)&lt;&gt;_xlfn.XMATCH(A424,$A$2:$A$653,0,-1),FALSE)), "Código de barras duplicado", ""), IF(AND(E424&lt;&gt;"", COUNTIF($E$2:$E$653, E424)&gt;1), "SKU duplicado", ""), IF(OR(J424="", J424=""), "[Aviso] División no capturada ()", IF(ISNA(MATCH(J424, Criterios!$A$123:$A$126, 0)), "División no válida", "")), IF(OR(K424="", K424=""), "[Aviso] Categoría no capturada ()", IF(ISNA(MATCH(K424, Criterios!$A$81:$A$120, 0)), "Categoría no válida", IF(AND(J424&lt;&gt;"", J424&lt;&gt;"", J424&lt;&gt;VLOOKUP(K424, Criterios!$A$81:$B$120, 2, FALSE)), "División no coincide con Categoría", ""))), IF(OR(L424="", L424=""), "[Aviso] Género no capturado ()", IF(ISNA(MATCH(L424, Criterios!$B$123:$B$127, 0)), "Género no válido", "")), IF(OR(N424="", N424=""), "[Aviso] Temporada no capturada ()", IF(ISNA(MATCH(N424, Criterios!$C$123:$C$128, 0)), "Temporada no válida", "")), IF(OR(O424="", O424=""), "[Aviso] Ciclo de vida no capturado ()", IF(ISNA(MATCH(O424, Criterios!$D$123:$D$124, 0)), "Ciclo de vida no válido", ""))))</f>
        <v/>
      </c>
      <c r="AC424" s="56" t="n"/>
      <c r="AD424" s="51" t="n">
        <v>1</v>
      </c>
      <c r="AE424" s="156" t="n"/>
      <c r="AF424" s="51" t="n">
        <v>1</v>
      </c>
      <c r="AG424" s="156" t="inlineStr">
        <is>
          <t>Nuevo – NetSuite con existencia</t>
        </is>
      </c>
      <c r="AH42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4" s="156" t="inlineStr">
        <is>
          <t>No</t>
        </is>
      </c>
      <c r="AJ424" s="156" t="n"/>
      <c r="AK424" s="155" t="inlineStr">
        <is>
          <t>G1522_Extraccion_Articulos_NetSuite_2026-09-30.xlsx: fila 43851</t>
        </is>
      </c>
      <c r="AL424" s="58" t="n"/>
      <c r="AM424" s="58" t="n"/>
      <c r="AN424" s="155" t="n"/>
      <c r="AO424" s="59" t="n"/>
      <c r="AP424" s="59" t="n"/>
      <c r="AQ424" s="59" t="n"/>
      <c r="AR424" s="155" t="n"/>
    </row>
    <row r="425">
      <c r="A425" s="50" t="inlineStr">
        <is>
          <t>5056658712296</t>
        </is>
      </c>
      <c r="B425" s="51" t="inlineStr">
        <is>
          <t>91097</t>
        </is>
      </c>
      <c r="C425" s="156" t="inlineStr">
        <is>
          <t>REFLO</t>
        </is>
      </c>
      <c r="D425" s="156" t="n"/>
      <c r="E425" s="156" t="n"/>
      <c r="F425" s="156" t="n"/>
      <c r="G425" s="156" t="n"/>
      <c r="H425" s="156" t="inlineStr">
        <is>
          <t>REFLO</t>
        </is>
      </c>
      <c r="I425" s="156" t="n"/>
      <c r="J425" s="156" t="n"/>
      <c r="K425" s="156" t="n"/>
      <c r="L425" s="156" t="n"/>
      <c r="M425" s="156" t="n"/>
      <c r="N425" s="156" t="n"/>
      <c r="O425" s="156" t="n"/>
      <c r="P425" s="156" t="n"/>
      <c r="Q425" s="156" t="n"/>
      <c r="R425" s="156" t="n"/>
      <c r="S425" s="156" t="n"/>
      <c r="T425" s="156" t="n"/>
      <c r="U425" s="156" t="n"/>
      <c r="V425" s="156" t="inlineStr">
        <is>
          <t>PZS</t>
        </is>
      </c>
      <c r="W425" s="51" t="inlineStr">
        <is>
          <t>53101502</t>
        </is>
      </c>
      <c r="X425" s="156" t="n"/>
      <c r="Y425" s="54" t="n">
        <v>34.45</v>
      </c>
      <c r="Z425" s="54" t="n">
        <v>2499</v>
      </c>
      <c r="AA425" s="55">
        <f>IF(AND(A425="", B425="", E425=""), "", IF(AB425="", "Válido", IF((LEN(AB425)-LEN(SUBSTITUTE(AB425,"; ","")))/2+1&gt;(LEN(AB425)-LEN(SUBSTITUTE(AB425,"[Aviso]","")))/7, "Con Incidencias", "Válido")))</f>
        <v/>
      </c>
      <c r="AB425" s="56">
        <f>IF(AND(A425="", B425="", E425=""), "", TEXTJOIN("; ", TRUE, IF(OR(TRIM(A425&amp;"")="", ISNUMBER(SEARCH("FALTA", A425))), "UPC faltante/inválido", ""), IF(AND(A425&lt;&gt;"", IFERROR(_xlfn.XMATCH(A425,$A$2:$A$653,0,1)&lt;&gt;_xlfn.XMATCH(A425,$A$2:$A$653,0,-1),FALSE)), "Código de barras duplicado", ""), IF(AND(E425&lt;&gt;"", COUNTIF($E$2:$E$653, E425)&gt;1), "SKU duplicado", ""), IF(OR(J425="", J425=""), "[Aviso] División no capturada ()", IF(ISNA(MATCH(J425, Criterios!$A$123:$A$126, 0)), "División no válida", "")), IF(OR(K425="", K425=""), "[Aviso] Categoría no capturada ()", IF(ISNA(MATCH(K425, Criterios!$A$81:$A$120, 0)), "Categoría no válida", IF(AND(J425&lt;&gt;"", J425&lt;&gt;"", J425&lt;&gt;VLOOKUP(K425, Criterios!$A$81:$B$120, 2, FALSE)), "División no coincide con Categoría", ""))), IF(OR(L425="", L425=""), "[Aviso] Género no capturado ()", IF(ISNA(MATCH(L425, Criterios!$B$123:$B$127, 0)), "Género no válido", "")), IF(OR(N425="", N425=""), "[Aviso] Temporada no capturada ()", IF(ISNA(MATCH(N425, Criterios!$C$123:$C$128, 0)), "Temporada no válida", "")), IF(OR(O425="", O425=""), "[Aviso] Ciclo de vida no capturado ()", IF(ISNA(MATCH(O425, Criterios!$D$123:$D$124, 0)), "Ciclo de vida no válido", ""))))</f>
        <v/>
      </c>
      <c r="AC425" s="56" t="n"/>
      <c r="AD425" s="51" t="n">
        <v>1</v>
      </c>
      <c r="AE425" s="156" t="n"/>
      <c r="AF425" s="51" t="n">
        <v>1</v>
      </c>
      <c r="AG425" s="156" t="inlineStr">
        <is>
          <t>Nuevo – NetSuite con existencia</t>
        </is>
      </c>
      <c r="AH42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5" s="156" t="inlineStr">
        <is>
          <t>No</t>
        </is>
      </c>
      <c r="AJ425" s="156" t="n"/>
      <c r="AK425" s="155" t="inlineStr">
        <is>
          <t>G1522_Extraccion_Articulos_NetSuite_2026-09-30.xlsx: fila 43852</t>
        </is>
      </c>
      <c r="AL425" s="58" t="n"/>
      <c r="AM425" s="58" t="n"/>
      <c r="AN425" s="155" t="n"/>
      <c r="AO425" s="59" t="n"/>
      <c r="AP425" s="59" t="n"/>
      <c r="AQ425" s="59" t="n"/>
      <c r="AR425" s="155" t="n"/>
    </row>
    <row r="426">
      <c r="A426" s="50" t="inlineStr">
        <is>
          <t>5056658712302</t>
        </is>
      </c>
      <c r="B426" s="51" t="inlineStr">
        <is>
          <t>91098</t>
        </is>
      </c>
      <c r="C426" s="156" t="inlineStr">
        <is>
          <t>REFLO</t>
        </is>
      </c>
      <c r="D426" s="156" t="n"/>
      <c r="E426" s="156" t="n"/>
      <c r="F426" s="156" t="n"/>
      <c r="G426" s="156" t="n"/>
      <c r="H426" s="156" t="inlineStr">
        <is>
          <t>REFLO</t>
        </is>
      </c>
      <c r="I426" s="156" t="n"/>
      <c r="J426" s="156" t="n"/>
      <c r="K426" s="156" t="n"/>
      <c r="L426" s="156" t="n"/>
      <c r="M426" s="156" t="n"/>
      <c r="N426" s="156" t="n"/>
      <c r="O426" s="156" t="n"/>
      <c r="P426" s="156" t="n"/>
      <c r="Q426" s="156" t="n"/>
      <c r="R426" s="156" t="n"/>
      <c r="S426" s="156" t="n"/>
      <c r="T426" s="156" t="n"/>
      <c r="U426" s="156" t="n"/>
      <c r="V426" s="156" t="inlineStr">
        <is>
          <t>PZS</t>
        </is>
      </c>
      <c r="W426" s="51" t="inlineStr">
        <is>
          <t>53101502</t>
        </is>
      </c>
      <c r="X426" s="156" t="n"/>
      <c r="Y426" s="54" t="n">
        <v>34.45</v>
      </c>
      <c r="Z426" s="54" t="n">
        <v>2499</v>
      </c>
      <c r="AA426" s="55">
        <f>IF(AND(A426="", B426="", E426=""), "", IF(AB426="", "Válido", IF((LEN(AB426)-LEN(SUBSTITUTE(AB426,"; ","")))/2+1&gt;(LEN(AB426)-LEN(SUBSTITUTE(AB426,"[Aviso]","")))/7, "Con Incidencias", "Válido")))</f>
        <v/>
      </c>
      <c r="AB426" s="56">
        <f>IF(AND(A426="", B426="", E426=""), "", TEXTJOIN("; ", TRUE, IF(OR(TRIM(A426&amp;"")="", ISNUMBER(SEARCH("FALTA", A426))), "UPC faltante/inválido", ""), IF(AND(A426&lt;&gt;"", IFERROR(_xlfn.XMATCH(A426,$A$2:$A$653,0,1)&lt;&gt;_xlfn.XMATCH(A426,$A$2:$A$653,0,-1),FALSE)), "Código de barras duplicado", ""), IF(AND(E426&lt;&gt;"", COUNTIF($E$2:$E$653, E426)&gt;1), "SKU duplicado", ""), IF(OR(J426="", J426=""), "[Aviso] División no capturada ()", IF(ISNA(MATCH(J426, Criterios!$A$123:$A$126, 0)), "División no válida", "")), IF(OR(K426="", K426=""), "[Aviso] Categoría no capturada ()", IF(ISNA(MATCH(K426, Criterios!$A$81:$A$120, 0)), "Categoría no válida", IF(AND(J426&lt;&gt;"", J426&lt;&gt;"", J426&lt;&gt;VLOOKUP(K426, Criterios!$A$81:$B$120, 2, FALSE)), "División no coincide con Categoría", ""))), IF(OR(L426="", L426=""), "[Aviso] Género no capturado ()", IF(ISNA(MATCH(L426, Criterios!$B$123:$B$127, 0)), "Género no válido", "")), IF(OR(N426="", N426=""), "[Aviso] Temporada no capturada ()", IF(ISNA(MATCH(N426, Criterios!$C$123:$C$128, 0)), "Temporada no válida", "")), IF(OR(O426="", O426=""), "[Aviso] Ciclo de vida no capturado ()", IF(ISNA(MATCH(O426, Criterios!$D$123:$D$124, 0)), "Ciclo de vida no válido", ""))))</f>
        <v/>
      </c>
      <c r="AC426" s="56" t="n"/>
      <c r="AD426" s="51" t="n">
        <v>15</v>
      </c>
      <c r="AE426" s="156" t="n"/>
      <c r="AF426" s="51" t="n">
        <v>15</v>
      </c>
      <c r="AG426" s="156" t="inlineStr">
        <is>
          <t>Nuevo – NetSuite con existencia</t>
        </is>
      </c>
      <c r="AH42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6" s="156" t="inlineStr">
        <is>
          <t>No</t>
        </is>
      </c>
      <c r="AJ426" s="156" t="n"/>
      <c r="AK426" s="155" t="inlineStr">
        <is>
          <t>G1522_Extraccion_Articulos_NetSuite_2026-09-30.xlsx: fila 43853</t>
        </is>
      </c>
      <c r="AL426" s="58" t="n"/>
      <c r="AM426" s="58" t="n"/>
      <c r="AN426" s="155" t="n"/>
      <c r="AO426" s="59" t="n"/>
      <c r="AP426" s="59" t="n"/>
      <c r="AQ426" s="59" t="n"/>
      <c r="AR426" s="155" t="n"/>
    </row>
    <row r="427">
      <c r="A427" s="50" t="inlineStr">
        <is>
          <t>5056658712319</t>
        </is>
      </c>
      <c r="B427" s="51" t="inlineStr">
        <is>
          <t>91099</t>
        </is>
      </c>
      <c r="C427" s="156" t="inlineStr">
        <is>
          <t>REFLO</t>
        </is>
      </c>
      <c r="D427" s="156" t="n"/>
      <c r="E427" s="156" t="n"/>
      <c r="F427" s="156" t="n"/>
      <c r="G427" s="156" t="n"/>
      <c r="H427" s="156" t="inlineStr">
        <is>
          <t>REFLO</t>
        </is>
      </c>
      <c r="I427" s="156" t="n"/>
      <c r="J427" s="156" t="n"/>
      <c r="K427" s="156" t="n"/>
      <c r="L427" s="156" t="n"/>
      <c r="M427" s="156" t="n"/>
      <c r="N427" s="156" t="n"/>
      <c r="O427" s="156" t="n"/>
      <c r="P427" s="156" t="n"/>
      <c r="Q427" s="156" t="n"/>
      <c r="R427" s="156" t="n"/>
      <c r="S427" s="156" t="n"/>
      <c r="T427" s="156" t="n"/>
      <c r="U427" s="156" t="n"/>
      <c r="V427" s="156" t="inlineStr">
        <is>
          <t>PZS</t>
        </is>
      </c>
      <c r="W427" s="51" t="inlineStr">
        <is>
          <t>53101502</t>
        </is>
      </c>
      <c r="X427" s="156" t="n"/>
      <c r="Y427" s="54" t="n">
        <v>34.45</v>
      </c>
      <c r="Z427" s="54" t="n">
        <v>2499</v>
      </c>
      <c r="AA427" s="55">
        <f>IF(AND(A427="", B427="", E427=""), "", IF(AB427="", "Válido", IF((LEN(AB427)-LEN(SUBSTITUTE(AB427,"; ","")))/2+1&gt;(LEN(AB427)-LEN(SUBSTITUTE(AB427,"[Aviso]","")))/7, "Con Incidencias", "Válido")))</f>
        <v/>
      </c>
      <c r="AB427" s="56">
        <f>IF(AND(A427="", B427="", E427=""), "", TEXTJOIN("; ", TRUE, IF(OR(TRIM(A427&amp;"")="", ISNUMBER(SEARCH("FALTA", A427))), "UPC faltante/inválido", ""), IF(AND(A427&lt;&gt;"", IFERROR(_xlfn.XMATCH(A427,$A$2:$A$653,0,1)&lt;&gt;_xlfn.XMATCH(A427,$A$2:$A$653,0,-1),FALSE)), "Código de barras duplicado", ""), IF(AND(E427&lt;&gt;"", COUNTIF($E$2:$E$653, E427)&gt;1), "SKU duplicado", ""), IF(OR(J427="", J427=""), "[Aviso] División no capturada ()", IF(ISNA(MATCH(J427, Criterios!$A$123:$A$126, 0)), "División no válida", "")), IF(OR(K427="", K427=""), "[Aviso] Categoría no capturada ()", IF(ISNA(MATCH(K427, Criterios!$A$81:$A$120, 0)), "Categoría no válida", IF(AND(J427&lt;&gt;"", J427&lt;&gt;"", J427&lt;&gt;VLOOKUP(K427, Criterios!$A$81:$B$120, 2, FALSE)), "División no coincide con Categoría", ""))), IF(OR(L427="", L427=""), "[Aviso] Género no capturado ()", IF(ISNA(MATCH(L427, Criterios!$B$123:$B$127, 0)), "Género no válido", "")), IF(OR(N427="", N427=""), "[Aviso] Temporada no capturada ()", IF(ISNA(MATCH(N427, Criterios!$C$123:$C$128, 0)), "Temporada no válida", "")), IF(OR(O427="", O427=""), "[Aviso] Ciclo de vida no capturado ()", IF(ISNA(MATCH(O427, Criterios!$D$123:$D$124, 0)), "Ciclo de vida no válido", ""))))</f>
        <v/>
      </c>
      <c r="AC427" s="56" t="n"/>
      <c r="AD427" s="51" t="n">
        <v>20</v>
      </c>
      <c r="AE427" s="156" t="n"/>
      <c r="AF427" s="51" t="n">
        <v>20</v>
      </c>
      <c r="AG427" s="156" t="inlineStr">
        <is>
          <t>Nuevo – NetSuite con existencia</t>
        </is>
      </c>
      <c r="AH42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7" s="156" t="inlineStr">
        <is>
          <t>No</t>
        </is>
      </c>
      <c r="AJ427" s="156" t="n"/>
      <c r="AK427" s="155" t="inlineStr">
        <is>
          <t>G1522_Extraccion_Articulos_NetSuite_2026-09-30.xlsx: fila 43854</t>
        </is>
      </c>
      <c r="AL427" s="58" t="n"/>
      <c r="AM427" s="58" t="n"/>
      <c r="AN427" s="155" t="n"/>
      <c r="AO427" s="59" t="n"/>
      <c r="AP427" s="59" t="n"/>
      <c r="AQ427" s="59" t="n"/>
      <c r="AR427" s="155" t="n"/>
    </row>
    <row r="428">
      <c r="A428" s="50" t="inlineStr">
        <is>
          <t>5056658712326</t>
        </is>
      </c>
      <c r="B428" s="51" t="inlineStr">
        <is>
          <t>91100</t>
        </is>
      </c>
      <c r="C428" s="156" t="inlineStr">
        <is>
          <t>REFLO</t>
        </is>
      </c>
      <c r="D428" s="156" t="n"/>
      <c r="E428" s="156" t="n"/>
      <c r="F428" s="156" t="n"/>
      <c r="G428" s="156" t="n"/>
      <c r="H428" s="156" t="inlineStr">
        <is>
          <t>REFLO</t>
        </is>
      </c>
      <c r="I428" s="156" t="n"/>
      <c r="J428" s="156" t="n"/>
      <c r="K428" s="156" t="n"/>
      <c r="L428" s="156" t="n"/>
      <c r="M428" s="156" t="n"/>
      <c r="N428" s="156" t="n"/>
      <c r="O428" s="156" t="n"/>
      <c r="P428" s="156" t="n"/>
      <c r="Q428" s="156" t="n"/>
      <c r="R428" s="156" t="n"/>
      <c r="S428" s="156" t="n"/>
      <c r="T428" s="156" t="n"/>
      <c r="U428" s="156" t="n"/>
      <c r="V428" s="156" t="inlineStr">
        <is>
          <t>PZS</t>
        </is>
      </c>
      <c r="W428" s="51" t="inlineStr">
        <is>
          <t>53101502</t>
        </is>
      </c>
      <c r="X428" s="156" t="n"/>
      <c r="Y428" s="54" t="n">
        <v>34.45</v>
      </c>
      <c r="Z428" s="54" t="n">
        <v>2499</v>
      </c>
      <c r="AA428" s="55">
        <f>IF(AND(A428="", B428="", E428=""), "", IF(AB428="", "Válido", IF((LEN(AB428)-LEN(SUBSTITUTE(AB428,"; ","")))/2+1&gt;(LEN(AB428)-LEN(SUBSTITUTE(AB428,"[Aviso]","")))/7, "Con Incidencias", "Válido")))</f>
        <v/>
      </c>
      <c r="AB428" s="56">
        <f>IF(AND(A428="", B428="", E428=""), "", TEXTJOIN("; ", TRUE, IF(OR(TRIM(A428&amp;"")="", ISNUMBER(SEARCH("FALTA", A428))), "UPC faltante/inválido", ""), IF(AND(A428&lt;&gt;"", IFERROR(_xlfn.XMATCH(A428,$A$2:$A$653,0,1)&lt;&gt;_xlfn.XMATCH(A428,$A$2:$A$653,0,-1),FALSE)), "Código de barras duplicado", ""), IF(AND(E428&lt;&gt;"", COUNTIF($E$2:$E$653, E428)&gt;1), "SKU duplicado", ""), IF(OR(J428="", J428=""), "[Aviso] División no capturada ()", IF(ISNA(MATCH(J428, Criterios!$A$123:$A$126, 0)), "División no válida", "")), IF(OR(K428="", K428=""), "[Aviso] Categoría no capturada ()", IF(ISNA(MATCH(K428, Criterios!$A$81:$A$120, 0)), "Categoría no válida", IF(AND(J428&lt;&gt;"", J428&lt;&gt;"", J428&lt;&gt;VLOOKUP(K428, Criterios!$A$81:$B$120, 2, FALSE)), "División no coincide con Categoría", ""))), IF(OR(L428="", L428=""), "[Aviso] Género no capturado ()", IF(ISNA(MATCH(L428, Criterios!$B$123:$B$127, 0)), "Género no válido", "")), IF(OR(N428="", N428=""), "[Aviso] Temporada no capturada ()", IF(ISNA(MATCH(N428, Criterios!$C$123:$C$128, 0)), "Temporada no válida", "")), IF(OR(O428="", O428=""), "[Aviso] Ciclo de vida no capturado ()", IF(ISNA(MATCH(O428, Criterios!$D$123:$D$124, 0)), "Ciclo de vida no válido", ""))))</f>
        <v/>
      </c>
      <c r="AC428" s="56" t="n"/>
      <c r="AD428" s="51" t="n">
        <v>12</v>
      </c>
      <c r="AE428" s="156" t="n"/>
      <c r="AF428" s="51" t="n">
        <v>12</v>
      </c>
      <c r="AG428" s="156" t="inlineStr">
        <is>
          <t>Nuevo – NetSuite con existencia</t>
        </is>
      </c>
      <c r="AH42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8" s="156" t="inlineStr">
        <is>
          <t>No</t>
        </is>
      </c>
      <c r="AJ428" s="156" t="n"/>
      <c r="AK428" s="155" t="inlineStr">
        <is>
          <t>G1522_Extraccion_Articulos_NetSuite_2026-09-30.xlsx: fila 43855</t>
        </is>
      </c>
      <c r="AL428" s="58" t="n"/>
      <c r="AM428" s="58" t="n"/>
      <c r="AN428" s="155" t="n"/>
      <c r="AO428" s="59" t="n"/>
      <c r="AP428" s="59" t="n"/>
      <c r="AQ428" s="59" t="n"/>
      <c r="AR428" s="155" t="n"/>
    </row>
    <row r="429">
      <c r="A429" s="50" t="inlineStr">
        <is>
          <t>5056658714009</t>
        </is>
      </c>
      <c r="B429" s="51" t="inlineStr">
        <is>
          <t>91101</t>
        </is>
      </c>
      <c r="C429" s="156" t="inlineStr">
        <is>
          <t>REFLO</t>
        </is>
      </c>
      <c r="D429" s="156" t="n"/>
      <c r="E429" s="156" t="n"/>
      <c r="F429" s="156" t="n"/>
      <c r="G429" s="156" t="n"/>
      <c r="H429" s="156" t="inlineStr">
        <is>
          <t>REFLO</t>
        </is>
      </c>
      <c r="I429" s="156" t="n"/>
      <c r="J429" s="156" t="n"/>
      <c r="K429" s="156" t="n"/>
      <c r="L429" s="156" t="n"/>
      <c r="M429" s="156" t="n"/>
      <c r="N429" s="156" t="n"/>
      <c r="O429" s="156" t="n"/>
      <c r="P429" s="156" t="n"/>
      <c r="Q429" s="156" t="n"/>
      <c r="R429" s="156" t="n"/>
      <c r="S429" s="156" t="n"/>
      <c r="T429" s="156" t="n"/>
      <c r="U429" s="156" t="n"/>
      <c r="V429" s="156" t="inlineStr">
        <is>
          <t>PZS</t>
        </is>
      </c>
      <c r="W429" s="51" t="inlineStr">
        <is>
          <t>53101502</t>
        </is>
      </c>
      <c r="X429" s="156" t="n"/>
      <c r="Y429" s="54" t="n">
        <v>34.45</v>
      </c>
      <c r="Z429" s="54" t="n">
        <v>2499</v>
      </c>
      <c r="AA429" s="55">
        <f>IF(AND(A429="", B429="", E429=""), "", IF(AB429="", "Válido", IF((LEN(AB429)-LEN(SUBSTITUTE(AB429,"; ","")))/2+1&gt;(LEN(AB429)-LEN(SUBSTITUTE(AB429,"[Aviso]","")))/7, "Con Incidencias", "Válido")))</f>
        <v/>
      </c>
      <c r="AB429" s="56">
        <f>IF(AND(A429="", B429="", E429=""), "", TEXTJOIN("; ", TRUE, IF(OR(TRIM(A429&amp;"")="", ISNUMBER(SEARCH("FALTA", A429))), "UPC faltante/inválido", ""), IF(AND(A429&lt;&gt;"", IFERROR(_xlfn.XMATCH(A429,$A$2:$A$653,0,1)&lt;&gt;_xlfn.XMATCH(A429,$A$2:$A$653,0,-1),FALSE)), "Código de barras duplicado", ""), IF(AND(E429&lt;&gt;"", COUNTIF($E$2:$E$653, E429)&gt;1), "SKU duplicado", ""), IF(OR(J429="", J429=""), "[Aviso] División no capturada ()", IF(ISNA(MATCH(J429, Criterios!$A$123:$A$126, 0)), "División no válida", "")), IF(OR(K429="", K429=""), "[Aviso] Categoría no capturada ()", IF(ISNA(MATCH(K429, Criterios!$A$81:$A$120, 0)), "Categoría no válida", IF(AND(J429&lt;&gt;"", J429&lt;&gt;"", J429&lt;&gt;VLOOKUP(K429, Criterios!$A$81:$B$120, 2, FALSE)), "División no coincide con Categoría", ""))), IF(OR(L429="", L429=""), "[Aviso] Género no capturado ()", IF(ISNA(MATCH(L429, Criterios!$B$123:$B$127, 0)), "Género no válido", "")), IF(OR(N429="", N429=""), "[Aviso] Temporada no capturada ()", IF(ISNA(MATCH(N429, Criterios!$C$123:$C$128, 0)), "Temporada no válida", "")), IF(OR(O429="", O429=""), "[Aviso] Ciclo de vida no capturado ()", IF(ISNA(MATCH(O429, Criterios!$D$123:$D$124, 0)), "Ciclo de vida no válido", ""))))</f>
        <v/>
      </c>
      <c r="AC429" s="56" t="n"/>
      <c r="AD429" s="51" t="n">
        <v>6</v>
      </c>
      <c r="AE429" s="156" t="n"/>
      <c r="AF429" s="51" t="n">
        <v>6</v>
      </c>
      <c r="AG429" s="156" t="inlineStr">
        <is>
          <t>Nuevo – NetSuite con existencia</t>
        </is>
      </c>
      <c r="AH42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9" s="156" t="inlineStr">
        <is>
          <t>No</t>
        </is>
      </c>
      <c r="AJ429" s="156" t="n"/>
      <c r="AK429" s="155" t="inlineStr">
        <is>
          <t>G1522_Extraccion_Articulos_NetSuite_2026-09-30.xlsx: fila 43856</t>
        </is>
      </c>
      <c r="AL429" s="58" t="n"/>
      <c r="AM429" s="58" t="n"/>
      <c r="AN429" s="155" t="n"/>
      <c r="AO429" s="59" t="n"/>
      <c r="AP429" s="59" t="n"/>
      <c r="AQ429" s="59" t="n"/>
      <c r="AR429" s="155" t="n"/>
    </row>
    <row r="430">
      <c r="A430" s="50" t="inlineStr">
        <is>
          <t>5056658712340</t>
        </is>
      </c>
      <c r="B430" s="51" t="inlineStr">
        <is>
          <t>91102</t>
        </is>
      </c>
      <c r="C430" s="156" t="inlineStr">
        <is>
          <t>REFLO</t>
        </is>
      </c>
      <c r="D430" s="156" t="n"/>
      <c r="E430" s="156" t="n"/>
      <c r="F430" s="156" t="n"/>
      <c r="G430" s="156" t="n"/>
      <c r="H430" s="156" t="inlineStr">
        <is>
          <t>REFLO</t>
        </is>
      </c>
      <c r="I430" s="156" t="n"/>
      <c r="J430" s="156" t="n"/>
      <c r="K430" s="156" t="n"/>
      <c r="L430" s="156" t="n"/>
      <c r="M430" s="156" t="n"/>
      <c r="N430" s="156" t="n"/>
      <c r="O430" s="156" t="n"/>
      <c r="P430" s="156" t="n"/>
      <c r="Q430" s="156" t="n"/>
      <c r="R430" s="156" t="n"/>
      <c r="S430" s="156" t="n"/>
      <c r="T430" s="156" t="n"/>
      <c r="U430" s="156" t="n"/>
      <c r="V430" s="156" t="inlineStr">
        <is>
          <t>PZS</t>
        </is>
      </c>
      <c r="W430" s="51" t="inlineStr">
        <is>
          <t>53101502</t>
        </is>
      </c>
      <c r="X430" s="156" t="n"/>
      <c r="Y430" s="54" t="n">
        <v>34.45</v>
      </c>
      <c r="Z430" s="54" t="n">
        <v>2499</v>
      </c>
      <c r="AA430" s="55">
        <f>IF(AND(A430="", B430="", E430=""), "", IF(AB430="", "Válido", IF((LEN(AB430)-LEN(SUBSTITUTE(AB430,"; ","")))/2+1&gt;(LEN(AB430)-LEN(SUBSTITUTE(AB430,"[Aviso]","")))/7, "Con Incidencias", "Válido")))</f>
        <v/>
      </c>
      <c r="AB430" s="56">
        <f>IF(AND(A430="", B430="", E430=""), "", TEXTJOIN("; ", TRUE, IF(OR(TRIM(A430&amp;"")="", ISNUMBER(SEARCH("FALTA", A430))), "UPC faltante/inválido", ""), IF(AND(A430&lt;&gt;"", IFERROR(_xlfn.XMATCH(A430,$A$2:$A$653,0,1)&lt;&gt;_xlfn.XMATCH(A430,$A$2:$A$653,0,-1),FALSE)), "Código de barras duplicado", ""), IF(AND(E430&lt;&gt;"", COUNTIF($E$2:$E$653, E430)&gt;1), "SKU duplicado", ""), IF(OR(J430="", J430=""), "[Aviso] División no capturada ()", IF(ISNA(MATCH(J430, Criterios!$A$123:$A$126, 0)), "División no válida", "")), IF(OR(K430="", K430=""), "[Aviso] Categoría no capturada ()", IF(ISNA(MATCH(K430, Criterios!$A$81:$A$120, 0)), "Categoría no válida", IF(AND(J430&lt;&gt;"", J430&lt;&gt;"", J430&lt;&gt;VLOOKUP(K430, Criterios!$A$81:$B$120, 2, FALSE)), "División no coincide con Categoría", ""))), IF(OR(L430="", L430=""), "[Aviso] Género no capturado ()", IF(ISNA(MATCH(L430, Criterios!$B$123:$B$127, 0)), "Género no válido", "")), IF(OR(N430="", N430=""), "[Aviso] Temporada no capturada ()", IF(ISNA(MATCH(N430, Criterios!$C$123:$C$128, 0)), "Temporada no válida", "")), IF(OR(O430="", O430=""), "[Aviso] Ciclo de vida no capturado ()", IF(ISNA(MATCH(O430, Criterios!$D$123:$D$124, 0)), "Ciclo de vida no válido", ""))))</f>
        <v/>
      </c>
      <c r="AC430" s="56" t="n"/>
      <c r="AD430" s="51" t="n">
        <v>4</v>
      </c>
      <c r="AE430" s="156" t="n"/>
      <c r="AF430" s="51" t="n">
        <v>4</v>
      </c>
      <c r="AG430" s="156" t="inlineStr">
        <is>
          <t>Nuevo – NetSuite con existencia</t>
        </is>
      </c>
      <c r="AH43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0" s="156" t="inlineStr">
        <is>
          <t>No</t>
        </is>
      </c>
      <c r="AJ430" s="156" t="n"/>
      <c r="AK430" s="155" t="inlineStr">
        <is>
          <t>G1522_Extraccion_Articulos_NetSuite_2026-09-30.xlsx: fila 43857</t>
        </is>
      </c>
      <c r="AL430" s="58" t="n"/>
      <c r="AM430" s="58" t="n"/>
      <c r="AN430" s="155" t="n"/>
      <c r="AO430" s="59" t="n"/>
      <c r="AP430" s="59" t="n"/>
      <c r="AQ430" s="59" t="n"/>
      <c r="AR430" s="155" t="n"/>
    </row>
    <row r="431">
      <c r="A431" s="50" t="inlineStr">
        <is>
          <t>5056658712357</t>
        </is>
      </c>
      <c r="B431" s="51" t="inlineStr">
        <is>
          <t>91103</t>
        </is>
      </c>
      <c r="C431" s="156" t="inlineStr">
        <is>
          <t>REFLO</t>
        </is>
      </c>
      <c r="D431" s="156" t="n"/>
      <c r="E431" s="156" t="n"/>
      <c r="F431" s="156" t="n"/>
      <c r="G431" s="156" t="n"/>
      <c r="H431" s="156" t="inlineStr">
        <is>
          <t>REFLO</t>
        </is>
      </c>
      <c r="I431" s="156" t="n"/>
      <c r="J431" s="156" t="n"/>
      <c r="K431" s="156" t="n"/>
      <c r="L431" s="156" t="n"/>
      <c r="M431" s="156" t="n"/>
      <c r="N431" s="156" t="n"/>
      <c r="O431" s="156" t="n"/>
      <c r="P431" s="156" t="n"/>
      <c r="Q431" s="156" t="n"/>
      <c r="R431" s="156" t="n"/>
      <c r="S431" s="156" t="n"/>
      <c r="T431" s="156" t="n"/>
      <c r="U431" s="156" t="n"/>
      <c r="V431" s="156" t="inlineStr">
        <is>
          <t>PZS</t>
        </is>
      </c>
      <c r="W431" s="51" t="inlineStr">
        <is>
          <t>53101502</t>
        </is>
      </c>
      <c r="X431" s="156" t="n"/>
      <c r="Y431" s="54" t="n">
        <v>34.45</v>
      </c>
      <c r="Z431" s="54" t="n">
        <v>2499</v>
      </c>
      <c r="AA431" s="55">
        <f>IF(AND(A431="", B431="", E431=""), "", IF(AB431="", "Válido", IF((LEN(AB431)-LEN(SUBSTITUTE(AB431,"; ","")))/2+1&gt;(LEN(AB431)-LEN(SUBSTITUTE(AB431,"[Aviso]","")))/7, "Con Incidencias", "Válido")))</f>
        <v/>
      </c>
      <c r="AB431" s="56">
        <f>IF(AND(A431="", B431="", E431=""), "", TEXTJOIN("; ", TRUE, IF(OR(TRIM(A431&amp;"")="", ISNUMBER(SEARCH("FALTA", A431))), "UPC faltante/inválido", ""), IF(AND(A431&lt;&gt;"", IFERROR(_xlfn.XMATCH(A431,$A$2:$A$653,0,1)&lt;&gt;_xlfn.XMATCH(A431,$A$2:$A$653,0,-1),FALSE)), "Código de barras duplicado", ""), IF(AND(E431&lt;&gt;"", COUNTIF($E$2:$E$653, E431)&gt;1), "SKU duplicado", ""), IF(OR(J431="", J431=""), "[Aviso] División no capturada ()", IF(ISNA(MATCH(J431, Criterios!$A$123:$A$126, 0)), "División no válida", "")), IF(OR(K431="", K431=""), "[Aviso] Categoría no capturada ()", IF(ISNA(MATCH(K431, Criterios!$A$81:$A$120, 0)), "Categoría no válida", IF(AND(J431&lt;&gt;"", J431&lt;&gt;"", J431&lt;&gt;VLOOKUP(K431, Criterios!$A$81:$B$120, 2, FALSE)), "División no coincide con Categoría", ""))), IF(OR(L431="", L431=""), "[Aviso] Género no capturado ()", IF(ISNA(MATCH(L431, Criterios!$B$123:$B$127, 0)), "Género no válido", "")), IF(OR(N431="", N431=""), "[Aviso] Temporada no capturada ()", IF(ISNA(MATCH(N431, Criterios!$C$123:$C$128, 0)), "Temporada no válida", "")), IF(OR(O431="", O431=""), "[Aviso] Ciclo de vida no capturado ()", IF(ISNA(MATCH(O431, Criterios!$D$123:$D$124, 0)), "Ciclo de vida no válido", ""))))</f>
        <v/>
      </c>
      <c r="AC431" s="56" t="n"/>
      <c r="AD431" s="51" t="n">
        <v>1</v>
      </c>
      <c r="AE431" s="156" t="n"/>
      <c r="AF431" s="51" t="n">
        <v>1</v>
      </c>
      <c r="AG431" s="156" t="inlineStr">
        <is>
          <t>Nuevo – NetSuite con existencia</t>
        </is>
      </c>
      <c r="AH43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1" s="156" t="inlineStr">
        <is>
          <t>No</t>
        </is>
      </c>
      <c r="AJ431" s="156" t="n"/>
      <c r="AK431" s="155" t="inlineStr">
        <is>
          <t>G1522_Extraccion_Articulos_NetSuite_2026-09-30.xlsx: fila 43858</t>
        </is>
      </c>
      <c r="AL431" s="58" t="n"/>
      <c r="AM431" s="58" t="n"/>
      <c r="AN431" s="155" t="n"/>
      <c r="AO431" s="59" t="n"/>
      <c r="AP431" s="59" t="n"/>
      <c r="AQ431" s="59" t="n"/>
      <c r="AR431" s="155" t="n"/>
    </row>
    <row r="432">
      <c r="A432" s="50" t="inlineStr">
        <is>
          <t>5056658712364</t>
        </is>
      </c>
      <c r="B432" s="51" t="inlineStr">
        <is>
          <t>91104</t>
        </is>
      </c>
      <c r="C432" s="156" t="inlineStr">
        <is>
          <t>REFLO</t>
        </is>
      </c>
      <c r="D432" s="156" t="n"/>
      <c r="E432" s="156" t="n"/>
      <c r="F432" s="156" t="n"/>
      <c r="G432" s="156" t="n"/>
      <c r="H432" s="156" t="inlineStr">
        <is>
          <t>REFLO</t>
        </is>
      </c>
      <c r="I432" s="156" t="n"/>
      <c r="J432" s="156" t="n"/>
      <c r="K432" s="156" t="n"/>
      <c r="L432" s="156" t="n"/>
      <c r="M432" s="156" t="n"/>
      <c r="N432" s="156" t="n"/>
      <c r="O432" s="156" t="n"/>
      <c r="P432" s="156" t="n"/>
      <c r="Q432" s="156" t="n"/>
      <c r="R432" s="156" t="n"/>
      <c r="S432" s="156" t="n"/>
      <c r="T432" s="156" t="n"/>
      <c r="U432" s="156" t="n"/>
      <c r="V432" s="156" t="inlineStr">
        <is>
          <t>PZS</t>
        </is>
      </c>
      <c r="W432" s="51" t="inlineStr">
        <is>
          <t>53101502</t>
        </is>
      </c>
      <c r="X432" s="156" t="n"/>
      <c r="Y432" s="54" t="n">
        <v>34.45</v>
      </c>
      <c r="Z432" s="54" t="n">
        <v>2499</v>
      </c>
      <c r="AA432" s="55">
        <f>IF(AND(A432="", B432="", E432=""), "", IF(AB432="", "Válido", IF((LEN(AB432)-LEN(SUBSTITUTE(AB432,"; ","")))/2+1&gt;(LEN(AB432)-LEN(SUBSTITUTE(AB432,"[Aviso]","")))/7, "Con Incidencias", "Válido")))</f>
        <v/>
      </c>
      <c r="AB432" s="56">
        <f>IF(AND(A432="", B432="", E432=""), "", TEXTJOIN("; ", TRUE, IF(OR(TRIM(A432&amp;"")="", ISNUMBER(SEARCH("FALTA", A432))), "UPC faltante/inválido", ""), IF(AND(A432&lt;&gt;"", IFERROR(_xlfn.XMATCH(A432,$A$2:$A$653,0,1)&lt;&gt;_xlfn.XMATCH(A432,$A$2:$A$653,0,-1),FALSE)), "Código de barras duplicado", ""), IF(AND(E432&lt;&gt;"", COUNTIF($E$2:$E$653, E432)&gt;1), "SKU duplicado", ""), IF(OR(J432="", J432=""), "[Aviso] División no capturada ()", IF(ISNA(MATCH(J432, Criterios!$A$123:$A$126, 0)), "División no válida", "")), IF(OR(K432="", K432=""), "[Aviso] Categoría no capturada ()", IF(ISNA(MATCH(K432, Criterios!$A$81:$A$120, 0)), "Categoría no válida", IF(AND(J432&lt;&gt;"", J432&lt;&gt;"", J432&lt;&gt;VLOOKUP(K432, Criterios!$A$81:$B$120, 2, FALSE)), "División no coincide con Categoría", ""))), IF(OR(L432="", L432=""), "[Aviso] Género no capturado ()", IF(ISNA(MATCH(L432, Criterios!$B$123:$B$127, 0)), "Género no válido", "")), IF(OR(N432="", N432=""), "[Aviso] Temporada no capturada ()", IF(ISNA(MATCH(N432, Criterios!$C$123:$C$128, 0)), "Temporada no válida", "")), IF(OR(O432="", O432=""), "[Aviso] Ciclo de vida no capturado ()", IF(ISNA(MATCH(O432, Criterios!$D$123:$D$124, 0)), "Ciclo de vida no válido", ""))))</f>
        <v/>
      </c>
      <c r="AC432" s="56" t="n"/>
      <c r="AD432" s="51" t="n">
        <v>10</v>
      </c>
      <c r="AE432" s="156" t="n"/>
      <c r="AF432" s="51" t="n">
        <v>10</v>
      </c>
      <c r="AG432" s="156" t="inlineStr">
        <is>
          <t>Nuevo – NetSuite con existencia</t>
        </is>
      </c>
      <c r="AH43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2" s="156" t="inlineStr">
        <is>
          <t>No</t>
        </is>
      </c>
      <c r="AJ432" s="156" t="n"/>
      <c r="AK432" s="155" t="inlineStr">
        <is>
          <t>G1522_Extraccion_Articulos_NetSuite_2026-09-30.xlsx: fila 43859</t>
        </is>
      </c>
      <c r="AL432" s="58" t="n"/>
      <c r="AM432" s="58" t="n"/>
      <c r="AN432" s="155" t="n"/>
      <c r="AO432" s="59" t="n"/>
      <c r="AP432" s="59" t="n"/>
      <c r="AQ432" s="59" t="n"/>
      <c r="AR432" s="155" t="n"/>
    </row>
    <row r="433">
      <c r="A433" s="50" t="inlineStr">
        <is>
          <t>5056658712371</t>
        </is>
      </c>
      <c r="B433" s="51" t="inlineStr">
        <is>
          <t>91105</t>
        </is>
      </c>
      <c r="C433" s="156" t="inlineStr">
        <is>
          <t>REFLO</t>
        </is>
      </c>
      <c r="D433" s="156" t="n"/>
      <c r="E433" s="156" t="n"/>
      <c r="F433" s="156" t="n"/>
      <c r="G433" s="156" t="n"/>
      <c r="H433" s="156" t="inlineStr">
        <is>
          <t>REFLO</t>
        </is>
      </c>
      <c r="I433" s="156" t="n"/>
      <c r="J433" s="156" t="n"/>
      <c r="K433" s="156" t="n"/>
      <c r="L433" s="156" t="n"/>
      <c r="M433" s="156" t="n"/>
      <c r="N433" s="156" t="n"/>
      <c r="O433" s="156" t="n"/>
      <c r="P433" s="156" t="n"/>
      <c r="Q433" s="156" t="n"/>
      <c r="R433" s="156" t="n"/>
      <c r="S433" s="156" t="n"/>
      <c r="T433" s="156" t="n"/>
      <c r="U433" s="156" t="n"/>
      <c r="V433" s="156" t="inlineStr">
        <is>
          <t>PZS</t>
        </is>
      </c>
      <c r="W433" s="51" t="inlineStr">
        <is>
          <t>53101502</t>
        </is>
      </c>
      <c r="X433" s="156" t="n"/>
      <c r="Y433" s="54" t="n">
        <v>34.45</v>
      </c>
      <c r="Z433" s="54" t="n">
        <v>2499</v>
      </c>
      <c r="AA433" s="55">
        <f>IF(AND(A433="", B433="", E433=""), "", IF(AB433="", "Válido", IF((LEN(AB433)-LEN(SUBSTITUTE(AB433,"; ","")))/2+1&gt;(LEN(AB433)-LEN(SUBSTITUTE(AB433,"[Aviso]","")))/7, "Con Incidencias", "Válido")))</f>
        <v/>
      </c>
      <c r="AB433" s="56">
        <f>IF(AND(A433="", B433="", E433=""), "", TEXTJOIN("; ", TRUE, IF(OR(TRIM(A433&amp;"")="", ISNUMBER(SEARCH("FALTA", A433))), "UPC faltante/inválido", ""), IF(AND(A433&lt;&gt;"", IFERROR(_xlfn.XMATCH(A433,$A$2:$A$653,0,1)&lt;&gt;_xlfn.XMATCH(A433,$A$2:$A$653,0,-1),FALSE)), "Código de barras duplicado", ""), IF(AND(E433&lt;&gt;"", COUNTIF($E$2:$E$653, E433)&gt;1), "SKU duplicado", ""), IF(OR(J433="", J433=""), "[Aviso] División no capturada ()", IF(ISNA(MATCH(J433, Criterios!$A$123:$A$126, 0)), "División no válida", "")), IF(OR(K433="", K433=""), "[Aviso] Categoría no capturada ()", IF(ISNA(MATCH(K433, Criterios!$A$81:$A$120, 0)), "Categoría no válida", IF(AND(J433&lt;&gt;"", J433&lt;&gt;"", J433&lt;&gt;VLOOKUP(K433, Criterios!$A$81:$B$120, 2, FALSE)), "División no coincide con Categoría", ""))), IF(OR(L433="", L433=""), "[Aviso] Género no capturado ()", IF(ISNA(MATCH(L433, Criterios!$B$123:$B$127, 0)), "Género no válido", "")), IF(OR(N433="", N433=""), "[Aviso] Temporada no capturada ()", IF(ISNA(MATCH(N433, Criterios!$C$123:$C$128, 0)), "Temporada no válida", "")), IF(OR(O433="", O433=""), "[Aviso] Ciclo de vida no capturado ()", IF(ISNA(MATCH(O433, Criterios!$D$123:$D$124, 0)), "Ciclo de vida no válido", ""))))</f>
        <v/>
      </c>
      <c r="AC433" s="56" t="n"/>
      <c r="AD433" s="51" t="n">
        <v>14</v>
      </c>
      <c r="AE433" s="156" t="n"/>
      <c r="AF433" s="51" t="n">
        <v>14</v>
      </c>
      <c r="AG433" s="156" t="inlineStr">
        <is>
          <t>Nuevo – NetSuite con existencia</t>
        </is>
      </c>
      <c r="AH43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3" s="156" t="inlineStr">
        <is>
          <t>No</t>
        </is>
      </c>
      <c r="AJ433" s="156" t="n"/>
      <c r="AK433" s="155" t="inlineStr">
        <is>
          <t>G1522_Extraccion_Articulos_NetSuite_2026-09-30.xlsx: fila 43860</t>
        </is>
      </c>
      <c r="AL433" s="58" t="n"/>
      <c r="AM433" s="58" t="n"/>
      <c r="AN433" s="155" t="n"/>
      <c r="AO433" s="59" t="n"/>
      <c r="AP433" s="59" t="n"/>
      <c r="AQ433" s="59" t="n"/>
      <c r="AR433" s="155" t="n"/>
    </row>
    <row r="434">
      <c r="A434" s="50" t="inlineStr">
        <is>
          <t>5056658712388</t>
        </is>
      </c>
      <c r="B434" s="51" t="inlineStr">
        <is>
          <t>91106</t>
        </is>
      </c>
      <c r="C434" s="156" t="inlineStr">
        <is>
          <t>REFLO</t>
        </is>
      </c>
      <c r="D434" s="156" t="n"/>
      <c r="E434" s="156" t="n"/>
      <c r="F434" s="156" t="n"/>
      <c r="G434" s="156" t="n"/>
      <c r="H434" s="156" t="inlineStr">
        <is>
          <t>REFLO</t>
        </is>
      </c>
      <c r="I434" s="156" t="n"/>
      <c r="J434" s="156" t="n"/>
      <c r="K434" s="156" t="n"/>
      <c r="L434" s="156" t="n"/>
      <c r="M434" s="156" t="n"/>
      <c r="N434" s="156" t="n"/>
      <c r="O434" s="156" t="n"/>
      <c r="P434" s="156" t="n"/>
      <c r="Q434" s="156" t="n"/>
      <c r="R434" s="156" t="n"/>
      <c r="S434" s="156" t="n"/>
      <c r="T434" s="156" t="n"/>
      <c r="U434" s="156" t="n"/>
      <c r="V434" s="156" t="inlineStr">
        <is>
          <t>PZS</t>
        </is>
      </c>
      <c r="W434" s="51" t="inlineStr">
        <is>
          <t>53101502</t>
        </is>
      </c>
      <c r="X434" s="156" t="n"/>
      <c r="Y434" s="54" t="n">
        <v>34.45</v>
      </c>
      <c r="Z434" s="54" t="n">
        <v>2499</v>
      </c>
      <c r="AA434" s="55">
        <f>IF(AND(A434="", B434="", E434=""), "", IF(AB434="", "Válido", IF((LEN(AB434)-LEN(SUBSTITUTE(AB434,"; ","")))/2+1&gt;(LEN(AB434)-LEN(SUBSTITUTE(AB434,"[Aviso]","")))/7, "Con Incidencias", "Válido")))</f>
        <v/>
      </c>
      <c r="AB434" s="56">
        <f>IF(AND(A434="", B434="", E434=""), "", TEXTJOIN("; ", TRUE, IF(OR(TRIM(A434&amp;"")="", ISNUMBER(SEARCH("FALTA", A434))), "UPC faltante/inválido", ""), IF(AND(A434&lt;&gt;"", IFERROR(_xlfn.XMATCH(A434,$A$2:$A$653,0,1)&lt;&gt;_xlfn.XMATCH(A434,$A$2:$A$653,0,-1),FALSE)), "Código de barras duplicado", ""), IF(AND(E434&lt;&gt;"", COUNTIF($E$2:$E$653, E434)&gt;1), "SKU duplicado", ""), IF(OR(J434="", J434=""), "[Aviso] División no capturada ()", IF(ISNA(MATCH(J434, Criterios!$A$123:$A$126, 0)), "División no válida", "")), IF(OR(K434="", K434=""), "[Aviso] Categoría no capturada ()", IF(ISNA(MATCH(K434, Criterios!$A$81:$A$120, 0)), "Categoría no válida", IF(AND(J434&lt;&gt;"", J434&lt;&gt;"", J434&lt;&gt;VLOOKUP(K434, Criterios!$A$81:$B$120, 2, FALSE)), "División no coincide con Categoría", ""))), IF(OR(L434="", L434=""), "[Aviso] Género no capturado ()", IF(ISNA(MATCH(L434, Criterios!$B$123:$B$127, 0)), "Género no válido", "")), IF(OR(N434="", N434=""), "[Aviso] Temporada no capturada ()", IF(ISNA(MATCH(N434, Criterios!$C$123:$C$128, 0)), "Temporada no válida", "")), IF(OR(O434="", O434=""), "[Aviso] Ciclo de vida no capturado ()", IF(ISNA(MATCH(O434, Criterios!$D$123:$D$124, 0)), "Ciclo de vida no válido", ""))))</f>
        <v/>
      </c>
      <c r="AC434" s="56" t="n"/>
      <c r="AD434" s="51" t="n">
        <v>8</v>
      </c>
      <c r="AE434" s="156" t="n"/>
      <c r="AF434" s="51" t="n">
        <v>8</v>
      </c>
      <c r="AG434" s="156" t="inlineStr">
        <is>
          <t>Nuevo – NetSuite con existencia</t>
        </is>
      </c>
      <c r="AH43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4" s="156" t="inlineStr">
        <is>
          <t>No</t>
        </is>
      </c>
      <c r="AJ434" s="156" t="n"/>
      <c r="AK434" s="155" t="inlineStr">
        <is>
          <t>G1522_Extraccion_Articulos_NetSuite_2026-09-30.xlsx: fila 43861</t>
        </is>
      </c>
      <c r="AL434" s="58" t="n"/>
      <c r="AM434" s="58" t="n"/>
      <c r="AN434" s="155" t="n"/>
      <c r="AO434" s="59" t="n"/>
      <c r="AP434" s="59" t="n"/>
      <c r="AQ434" s="59" t="n"/>
      <c r="AR434" s="155" t="n"/>
    </row>
    <row r="435">
      <c r="A435" s="50" t="inlineStr">
        <is>
          <t>5056658714016</t>
        </is>
      </c>
      <c r="B435" s="51" t="inlineStr">
        <is>
          <t>91107</t>
        </is>
      </c>
      <c r="C435" s="156" t="inlineStr">
        <is>
          <t>REFLO</t>
        </is>
      </c>
      <c r="D435" s="156" t="n"/>
      <c r="E435" s="156" t="n"/>
      <c r="F435" s="156" t="n"/>
      <c r="G435" s="156" t="n"/>
      <c r="H435" s="156" t="inlineStr">
        <is>
          <t>REFLO</t>
        </is>
      </c>
      <c r="I435" s="156" t="n"/>
      <c r="J435" s="156" t="n"/>
      <c r="K435" s="156" t="n"/>
      <c r="L435" s="156" t="n"/>
      <c r="M435" s="156" t="n"/>
      <c r="N435" s="156" t="n"/>
      <c r="O435" s="156" t="n"/>
      <c r="P435" s="156" t="n"/>
      <c r="Q435" s="156" t="n"/>
      <c r="R435" s="156" t="n"/>
      <c r="S435" s="156" t="n"/>
      <c r="T435" s="156" t="n"/>
      <c r="U435" s="156" t="n"/>
      <c r="V435" s="156" t="inlineStr">
        <is>
          <t>PZS</t>
        </is>
      </c>
      <c r="W435" s="51" t="inlineStr">
        <is>
          <t>53101502</t>
        </is>
      </c>
      <c r="X435" s="156" t="n"/>
      <c r="Y435" s="54" t="n">
        <v>34.45</v>
      </c>
      <c r="Z435" s="54" t="n">
        <v>2499</v>
      </c>
      <c r="AA435" s="55">
        <f>IF(AND(A435="", B435="", E435=""), "", IF(AB435="", "Válido", IF((LEN(AB435)-LEN(SUBSTITUTE(AB435,"; ","")))/2+1&gt;(LEN(AB435)-LEN(SUBSTITUTE(AB435,"[Aviso]","")))/7, "Con Incidencias", "Válido")))</f>
        <v/>
      </c>
      <c r="AB435" s="56">
        <f>IF(AND(A435="", B435="", E435=""), "", TEXTJOIN("; ", TRUE, IF(OR(TRIM(A435&amp;"")="", ISNUMBER(SEARCH("FALTA", A435))), "UPC faltante/inválido", ""), IF(AND(A435&lt;&gt;"", IFERROR(_xlfn.XMATCH(A435,$A$2:$A$653,0,1)&lt;&gt;_xlfn.XMATCH(A435,$A$2:$A$653,0,-1),FALSE)), "Código de barras duplicado", ""), IF(AND(E435&lt;&gt;"", COUNTIF($E$2:$E$653, E435)&gt;1), "SKU duplicado", ""), IF(OR(J435="", J435=""), "[Aviso] División no capturada ()", IF(ISNA(MATCH(J435, Criterios!$A$123:$A$126, 0)), "División no válida", "")), IF(OR(K435="", K435=""), "[Aviso] Categoría no capturada ()", IF(ISNA(MATCH(K435, Criterios!$A$81:$A$120, 0)), "Categoría no válida", IF(AND(J435&lt;&gt;"", J435&lt;&gt;"", J435&lt;&gt;VLOOKUP(K435, Criterios!$A$81:$B$120, 2, FALSE)), "División no coincide con Categoría", ""))), IF(OR(L435="", L435=""), "[Aviso] Género no capturado ()", IF(ISNA(MATCH(L435, Criterios!$B$123:$B$127, 0)), "Género no válido", "")), IF(OR(N435="", N435=""), "[Aviso] Temporada no capturada ()", IF(ISNA(MATCH(N435, Criterios!$C$123:$C$128, 0)), "Temporada no válida", "")), IF(OR(O435="", O435=""), "[Aviso] Ciclo de vida no capturado ()", IF(ISNA(MATCH(O435, Criterios!$D$123:$D$124, 0)), "Ciclo de vida no válido", ""))))</f>
        <v/>
      </c>
      <c r="AC435" s="56" t="n"/>
      <c r="AD435" s="51" t="n">
        <v>3</v>
      </c>
      <c r="AE435" s="156" t="n"/>
      <c r="AF435" s="51" t="n">
        <v>3</v>
      </c>
      <c r="AG435" s="156" t="inlineStr">
        <is>
          <t>Nuevo – NetSuite con existencia</t>
        </is>
      </c>
      <c r="AH43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5" s="156" t="inlineStr">
        <is>
          <t>No</t>
        </is>
      </c>
      <c r="AJ435" s="156" t="n"/>
      <c r="AK435" s="155" t="inlineStr">
        <is>
          <t>G1522_Extraccion_Articulos_NetSuite_2026-09-30.xlsx: fila 43862</t>
        </is>
      </c>
      <c r="AL435" s="58" t="n"/>
      <c r="AM435" s="58" t="n"/>
      <c r="AN435" s="155" t="n"/>
      <c r="AO435" s="59" t="n"/>
      <c r="AP435" s="59" t="n"/>
      <c r="AQ435" s="59" t="n"/>
      <c r="AR435" s="155" t="n"/>
    </row>
    <row r="436">
      <c r="A436" s="50" t="inlineStr">
        <is>
          <t>5056658708923</t>
        </is>
      </c>
      <c r="B436" s="51" t="inlineStr">
        <is>
          <t>91108</t>
        </is>
      </c>
      <c r="C436" s="156" t="inlineStr">
        <is>
          <t>REFLO</t>
        </is>
      </c>
      <c r="D436" s="156" t="n"/>
      <c r="E436" s="156" t="n"/>
      <c r="F436" s="156" t="n"/>
      <c r="G436" s="156" t="n"/>
      <c r="H436" s="156" t="inlineStr">
        <is>
          <t>REFLO</t>
        </is>
      </c>
      <c r="I436" s="156" t="n"/>
      <c r="J436" s="156" t="n"/>
      <c r="K436" s="156" t="n"/>
      <c r="L436" s="156" t="n"/>
      <c r="M436" s="156" t="n"/>
      <c r="N436" s="156" t="n"/>
      <c r="O436" s="156" t="n"/>
      <c r="P436" s="156" t="n"/>
      <c r="Q436" s="156" t="n"/>
      <c r="R436" s="156" t="n"/>
      <c r="S436" s="156" t="n"/>
      <c r="T436" s="156" t="n"/>
      <c r="U436" s="156" t="n"/>
      <c r="V436" s="156" t="inlineStr">
        <is>
          <t>PZS</t>
        </is>
      </c>
      <c r="W436" s="51" t="inlineStr">
        <is>
          <t>53101602</t>
        </is>
      </c>
      <c r="X436" s="156" t="n"/>
      <c r="Y436" s="54" t="n">
        <v>14.3</v>
      </c>
      <c r="Z436" s="54" t="n">
        <v>1049</v>
      </c>
      <c r="AA436" s="55">
        <f>IF(AND(A436="", B436="", E436=""), "", IF(AB436="", "Válido", IF((LEN(AB436)-LEN(SUBSTITUTE(AB436,"; ","")))/2+1&gt;(LEN(AB436)-LEN(SUBSTITUTE(AB436,"[Aviso]","")))/7, "Con Incidencias", "Válido")))</f>
        <v/>
      </c>
      <c r="AB436" s="56">
        <f>IF(AND(A436="", B436="", E436=""), "", TEXTJOIN("; ", TRUE, IF(OR(TRIM(A436&amp;"")="", ISNUMBER(SEARCH("FALTA", A436))), "UPC faltante/inválido", ""), IF(AND(A436&lt;&gt;"", IFERROR(_xlfn.XMATCH(A436,$A$2:$A$653,0,1)&lt;&gt;_xlfn.XMATCH(A436,$A$2:$A$653,0,-1),FALSE)), "Código de barras duplicado", ""), IF(AND(E436&lt;&gt;"", COUNTIF($E$2:$E$653, E436)&gt;1), "SKU duplicado", ""), IF(OR(J436="", J436=""), "[Aviso] División no capturada ()", IF(ISNA(MATCH(J436, Criterios!$A$123:$A$126, 0)), "División no válida", "")), IF(OR(K436="", K436=""), "[Aviso] Categoría no capturada ()", IF(ISNA(MATCH(K436, Criterios!$A$81:$A$120, 0)), "Categoría no válida", IF(AND(J436&lt;&gt;"", J436&lt;&gt;"", J436&lt;&gt;VLOOKUP(K436, Criterios!$A$81:$B$120, 2, FALSE)), "División no coincide con Categoría", ""))), IF(OR(L436="", L436=""), "[Aviso] Género no capturado ()", IF(ISNA(MATCH(L436, Criterios!$B$123:$B$127, 0)), "Género no válido", "")), IF(OR(N436="", N436=""), "[Aviso] Temporada no capturada ()", IF(ISNA(MATCH(N436, Criterios!$C$123:$C$128, 0)), "Temporada no válida", "")), IF(OR(O436="", O436=""), "[Aviso] Ciclo de vida no capturado ()", IF(ISNA(MATCH(O436, Criterios!$D$123:$D$124, 0)), "Ciclo de vida no válido", ""))))</f>
        <v/>
      </c>
      <c r="AC436" s="56" t="n"/>
      <c r="AD436" s="51" t="n">
        <v>4</v>
      </c>
      <c r="AE436" s="156" t="n"/>
      <c r="AF436" s="51" t="n">
        <v>4</v>
      </c>
      <c r="AG436" s="156" t="inlineStr">
        <is>
          <t>Nuevo – NetSuite con existencia</t>
        </is>
      </c>
      <c r="AH43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36" s="156" t="inlineStr">
        <is>
          <t>No</t>
        </is>
      </c>
      <c r="AJ436" s="156" t="n"/>
      <c r="AK436" s="155" t="inlineStr">
        <is>
          <t>G1522_Extraccion_Articulos_NetSuite_2026-09-30.xlsx: fila 43863</t>
        </is>
      </c>
      <c r="AL436" s="58" t="n"/>
      <c r="AM436" s="58" t="n"/>
      <c r="AN436" s="155" t="n"/>
      <c r="AO436" s="59" t="n"/>
      <c r="AP436" s="59" t="n"/>
      <c r="AQ436" s="59" t="n"/>
      <c r="AR436" s="155" t="n"/>
    </row>
    <row r="437">
      <c r="A437" s="50" t="inlineStr">
        <is>
          <t>5056658708930</t>
        </is>
      </c>
      <c r="B437" s="51" t="inlineStr">
        <is>
          <t>91109</t>
        </is>
      </c>
      <c r="C437" s="156" t="inlineStr">
        <is>
          <t>REFLO</t>
        </is>
      </c>
      <c r="D437" s="156" t="n"/>
      <c r="E437" s="156" t="n"/>
      <c r="F437" s="156" t="n"/>
      <c r="G437" s="156" t="n"/>
      <c r="H437" s="156" t="inlineStr">
        <is>
          <t>REFLO</t>
        </is>
      </c>
      <c r="I437" s="156" t="n"/>
      <c r="J437" s="156" t="n"/>
      <c r="K437" s="156" t="n"/>
      <c r="L437" s="156" t="n"/>
      <c r="M437" s="156" t="n"/>
      <c r="N437" s="156" t="n"/>
      <c r="O437" s="156" t="n"/>
      <c r="P437" s="156" t="n"/>
      <c r="Q437" s="156" t="n"/>
      <c r="R437" s="156" t="n"/>
      <c r="S437" s="156" t="n"/>
      <c r="T437" s="156" t="n"/>
      <c r="U437" s="156" t="n"/>
      <c r="V437" s="156" t="inlineStr">
        <is>
          <t>PZS</t>
        </is>
      </c>
      <c r="W437" s="51" t="inlineStr">
        <is>
          <t>53101602</t>
        </is>
      </c>
      <c r="X437" s="156" t="n"/>
      <c r="Y437" s="54" t="n">
        <v>14.3</v>
      </c>
      <c r="Z437" s="54" t="n">
        <v>1049</v>
      </c>
      <c r="AA437" s="55">
        <f>IF(AND(A437="", B437="", E437=""), "", IF(AB437="", "Válido", IF((LEN(AB437)-LEN(SUBSTITUTE(AB437,"; ","")))/2+1&gt;(LEN(AB437)-LEN(SUBSTITUTE(AB437,"[Aviso]","")))/7, "Con Incidencias", "Válido")))</f>
        <v/>
      </c>
      <c r="AB437" s="56">
        <f>IF(AND(A437="", B437="", E437=""), "", TEXTJOIN("; ", TRUE, IF(OR(TRIM(A437&amp;"")="", ISNUMBER(SEARCH("FALTA", A437))), "UPC faltante/inválido", ""), IF(AND(A437&lt;&gt;"", IFERROR(_xlfn.XMATCH(A437,$A$2:$A$653,0,1)&lt;&gt;_xlfn.XMATCH(A437,$A$2:$A$653,0,-1),FALSE)), "Código de barras duplicado", ""), IF(AND(E437&lt;&gt;"", COUNTIF($E$2:$E$653, E437)&gt;1), "SKU duplicado", ""), IF(OR(J437="", J437=""), "[Aviso] División no capturada ()", IF(ISNA(MATCH(J437, Criterios!$A$123:$A$126, 0)), "División no válida", "")), IF(OR(K437="", K437=""), "[Aviso] Categoría no capturada ()", IF(ISNA(MATCH(K437, Criterios!$A$81:$A$120, 0)), "Categoría no válida", IF(AND(J437&lt;&gt;"", J437&lt;&gt;"", J437&lt;&gt;VLOOKUP(K437, Criterios!$A$81:$B$120, 2, FALSE)), "División no coincide con Categoría", ""))), IF(OR(L437="", L437=""), "[Aviso] Género no capturado ()", IF(ISNA(MATCH(L437, Criterios!$B$123:$B$127, 0)), "Género no válido", "")), IF(OR(N437="", N437=""), "[Aviso] Temporada no capturada ()", IF(ISNA(MATCH(N437, Criterios!$C$123:$C$128, 0)), "Temporada no válida", "")), IF(OR(O437="", O437=""), "[Aviso] Ciclo de vida no capturado ()", IF(ISNA(MATCH(O437, Criterios!$D$123:$D$124, 0)), "Ciclo de vida no válido", ""))))</f>
        <v/>
      </c>
      <c r="AC437" s="56" t="n"/>
      <c r="AD437" s="51" t="n">
        <v>7</v>
      </c>
      <c r="AE437" s="156" t="n"/>
      <c r="AF437" s="51" t="n">
        <v>7</v>
      </c>
      <c r="AG437" s="156" t="inlineStr">
        <is>
          <t>Nuevo – NetSuite con existencia</t>
        </is>
      </c>
      <c r="AH43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37" s="156" t="inlineStr">
        <is>
          <t>No</t>
        </is>
      </c>
      <c r="AJ437" s="156" t="n"/>
      <c r="AK437" s="155" t="inlineStr">
        <is>
          <t>G1522_Extraccion_Articulos_NetSuite_2026-09-30.xlsx: fila 43864</t>
        </is>
      </c>
      <c r="AL437" s="58" t="n"/>
      <c r="AM437" s="58" t="n"/>
      <c r="AN437" s="155" t="n"/>
      <c r="AO437" s="59" t="n"/>
      <c r="AP437" s="59" t="n"/>
      <c r="AQ437" s="59" t="n"/>
      <c r="AR437" s="155" t="n"/>
    </row>
    <row r="438">
      <c r="A438" s="50" t="inlineStr">
        <is>
          <t>5056658708947</t>
        </is>
      </c>
      <c r="B438" s="51" t="inlineStr">
        <is>
          <t>91110</t>
        </is>
      </c>
      <c r="C438" s="156" t="inlineStr">
        <is>
          <t>REFLO</t>
        </is>
      </c>
      <c r="D438" s="156" t="n"/>
      <c r="E438" s="156" t="n"/>
      <c r="F438" s="156" t="n"/>
      <c r="G438" s="156" t="n"/>
      <c r="H438" s="156" t="inlineStr">
        <is>
          <t>REFLO</t>
        </is>
      </c>
      <c r="I438" s="156" t="n"/>
      <c r="J438" s="156" t="n"/>
      <c r="K438" s="156" t="n"/>
      <c r="L438" s="156" t="n"/>
      <c r="M438" s="156" t="n"/>
      <c r="N438" s="156" t="n"/>
      <c r="O438" s="156" t="n"/>
      <c r="P438" s="156" t="n"/>
      <c r="Q438" s="156" t="n"/>
      <c r="R438" s="156" t="n"/>
      <c r="S438" s="156" t="n"/>
      <c r="T438" s="156" t="n"/>
      <c r="U438" s="156" t="n"/>
      <c r="V438" s="156" t="inlineStr">
        <is>
          <t>PZS</t>
        </is>
      </c>
      <c r="W438" s="51" t="inlineStr">
        <is>
          <t>53101602</t>
        </is>
      </c>
      <c r="X438" s="156" t="n"/>
      <c r="Y438" s="54" t="n">
        <v>14.3</v>
      </c>
      <c r="Z438" s="54" t="n">
        <v>1049</v>
      </c>
      <c r="AA438" s="55">
        <f>IF(AND(A438="", B438="", E438=""), "", IF(AB438="", "Válido", IF((LEN(AB438)-LEN(SUBSTITUTE(AB438,"; ","")))/2+1&gt;(LEN(AB438)-LEN(SUBSTITUTE(AB438,"[Aviso]","")))/7, "Con Incidencias", "Válido")))</f>
        <v/>
      </c>
      <c r="AB438" s="56">
        <f>IF(AND(A438="", B438="", E438=""), "", TEXTJOIN("; ", TRUE, IF(OR(TRIM(A438&amp;"")="", ISNUMBER(SEARCH("FALTA", A438))), "UPC faltante/inválido", ""), IF(AND(A438&lt;&gt;"", IFERROR(_xlfn.XMATCH(A438,$A$2:$A$653,0,1)&lt;&gt;_xlfn.XMATCH(A438,$A$2:$A$653,0,-1),FALSE)), "Código de barras duplicado", ""), IF(AND(E438&lt;&gt;"", COUNTIF($E$2:$E$653, E438)&gt;1), "SKU duplicado", ""), IF(OR(J438="", J438=""), "[Aviso] División no capturada ()", IF(ISNA(MATCH(J438, Criterios!$A$123:$A$126, 0)), "División no válida", "")), IF(OR(K438="", K438=""), "[Aviso] Categoría no capturada ()", IF(ISNA(MATCH(K438, Criterios!$A$81:$A$120, 0)), "Categoría no válida", IF(AND(J438&lt;&gt;"", J438&lt;&gt;"", J438&lt;&gt;VLOOKUP(K438, Criterios!$A$81:$B$120, 2, FALSE)), "División no coincide con Categoría", ""))), IF(OR(L438="", L438=""), "[Aviso] Género no capturado ()", IF(ISNA(MATCH(L438, Criterios!$B$123:$B$127, 0)), "Género no válido", "")), IF(OR(N438="", N438=""), "[Aviso] Temporada no capturada ()", IF(ISNA(MATCH(N438, Criterios!$C$123:$C$128, 0)), "Temporada no válida", "")), IF(OR(O438="", O438=""), "[Aviso] Ciclo de vida no capturado ()", IF(ISNA(MATCH(O438, Criterios!$D$123:$D$124, 0)), "Ciclo de vida no válido", ""))))</f>
        <v/>
      </c>
      <c r="AC438" s="56" t="n"/>
      <c r="AD438" s="51" t="n">
        <v>15</v>
      </c>
      <c r="AE438" s="156" t="n"/>
      <c r="AF438" s="51" t="n">
        <v>15</v>
      </c>
      <c r="AG438" s="156" t="inlineStr">
        <is>
          <t>Nuevo – NetSuite con existencia</t>
        </is>
      </c>
      <c r="AH43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38" s="156" t="inlineStr">
        <is>
          <t>No</t>
        </is>
      </c>
      <c r="AJ438" s="156" t="n"/>
      <c r="AK438" s="155" t="inlineStr">
        <is>
          <t>G1522_Extraccion_Articulos_NetSuite_2026-09-30.xlsx: fila 43865</t>
        </is>
      </c>
      <c r="AL438" s="58" t="n"/>
      <c r="AM438" s="58" t="n"/>
      <c r="AN438" s="155" t="n"/>
      <c r="AO438" s="59" t="n"/>
      <c r="AP438" s="59" t="n"/>
      <c r="AQ438" s="59" t="n"/>
      <c r="AR438" s="155" t="n"/>
    </row>
    <row r="439">
      <c r="A439" s="50" t="inlineStr">
        <is>
          <t>5056658708954</t>
        </is>
      </c>
      <c r="B439" s="51" t="inlineStr">
        <is>
          <t>91111</t>
        </is>
      </c>
      <c r="C439" s="156" t="inlineStr">
        <is>
          <t>REFLO</t>
        </is>
      </c>
      <c r="D439" s="156" t="n"/>
      <c r="E439" s="156" t="n"/>
      <c r="F439" s="156" t="n"/>
      <c r="G439" s="156" t="n"/>
      <c r="H439" s="156" t="inlineStr">
        <is>
          <t>REFLO</t>
        </is>
      </c>
      <c r="I439" s="156" t="n"/>
      <c r="J439" s="156" t="n"/>
      <c r="K439" s="156" t="n"/>
      <c r="L439" s="156" t="n"/>
      <c r="M439" s="156" t="n"/>
      <c r="N439" s="156" t="n"/>
      <c r="O439" s="156" t="n"/>
      <c r="P439" s="156" t="n"/>
      <c r="Q439" s="156" t="n"/>
      <c r="R439" s="156" t="n"/>
      <c r="S439" s="156" t="n"/>
      <c r="T439" s="156" t="n"/>
      <c r="U439" s="156" t="n"/>
      <c r="V439" s="156" t="inlineStr">
        <is>
          <t>PZS</t>
        </is>
      </c>
      <c r="W439" s="51" t="inlineStr">
        <is>
          <t>53101602</t>
        </is>
      </c>
      <c r="X439" s="156" t="n"/>
      <c r="Y439" s="54" t="n">
        <v>14.3</v>
      </c>
      <c r="Z439" s="54" t="n">
        <v>1049</v>
      </c>
      <c r="AA439" s="55">
        <f>IF(AND(A439="", B439="", E439=""), "", IF(AB439="", "Válido", IF((LEN(AB439)-LEN(SUBSTITUTE(AB439,"; ","")))/2+1&gt;(LEN(AB439)-LEN(SUBSTITUTE(AB439,"[Aviso]","")))/7, "Con Incidencias", "Válido")))</f>
        <v/>
      </c>
      <c r="AB439" s="56">
        <f>IF(AND(A439="", B439="", E439=""), "", TEXTJOIN("; ", TRUE, IF(OR(TRIM(A439&amp;"")="", ISNUMBER(SEARCH("FALTA", A439))), "UPC faltante/inválido", ""), IF(AND(A439&lt;&gt;"", IFERROR(_xlfn.XMATCH(A439,$A$2:$A$653,0,1)&lt;&gt;_xlfn.XMATCH(A439,$A$2:$A$653,0,-1),FALSE)), "Código de barras duplicado", ""), IF(AND(E439&lt;&gt;"", COUNTIF($E$2:$E$653, E439)&gt;1), "SKU duplicado", ""), IF(OR(J439="", J439=""), "[Aviso] División no capturada ()", IF(ISNA(MATCH(J439, Criterios!$A$123:$A$126, 0)), "División no válida", "")), IF(OR(K439="", K439=""), "[Aviso] Categoría no capturada ()", IF(ISNA(MATCH(K439, Criterios!$A$81:$A$120, 0)), "Categoría no válida", IF(AND(J439&lt;&gt;"", J439&lt;&gt;"", J439&lt;&gt;VLOOKUP(K439, Criterios!$A$81:$B$120, 2, FALSE)), "División no coincide con Categoría", ""))), IF(OR(L439="", L439=""), "[Aviso] Género no capturado ()", IF(ISNA(MATCH(L439, Criterios!$B$123:$B$127, 0)), "Género no válido", "")), IF(OR(N439="", N439=""), "[Aviso] Temporada no capturada ()", IF(ISNA(MATCH(N439, Criterios!$C$123:$C$128, 0)), "Temporada no válida", "")), IF(OR(O439="", O439=""), "[Aviso] Ciclo de vida no capturado ()", IF(ISNA(MATCH(O439, Criterios!$D$123:$D$124, 0)), "Ciclo de vida no válido", ""))))</f>
        <v/>
      </c>
      <c r="AC439" s="56" t="n"/>
      <c r="AD439" s="51" t="n">
        <v>16</v>
      </c>
      <c r="AE439" s="156" t="n"/>
      <c r="AF439" s="51" t="n">
        <v>16</v>
      </c>
      <c r="AG439" s="156" t="inlineStr">
        <is>
          <t>Nuevo – NetSuite con existencia</t>
        </is>
      </c>
      <c r="AH43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39" s="156" t="inlineStr">
        <is>
          <t>No</t>
        </is>
      </c>
      <c r="AJ439" s="156" t="n"/>
      <c r="AK439" s="155" t="inlineStr">
        <is>
          <t>G1522_Extraccion_Articulos_NetSuite_2026-09-30.xlsx: fila 43866</t>
        </is>
      </c>
      <c r="AL439" s="58" t="n"/>
      <c r="AM439" s="58" t="n"/>
      <c r="AN439" s="155" t="n"/>
      <c r="AO439" s="59" t="n"/>
      <c r="AP439" s="59" t="n"/>
      <c r="AQ439" s="59" t="n"/>
      <c r="AR439" s="155" t="n"/>
    </row>
    <row r="440">
      <c r="A440" s="50" t="inlineStr">
        <is>
          <t>5056658708961</t>
        </is>
      </c>
      <c r="B440" s="51" t="inlineStr">
        <is>
          <t>91112</t>
        </is>
      </c>
      <c r="C440" s="156" t="inlineStr">
        <is>
          <t>REFLO</t>
        </is>
      </c>
      <c r="D440" s="156" t="n"/>
      <c r="E440" s="156" t="n"/>
      <c r="F440" s="156" t="n"/>
      <c r="G440" s="156" t="n"/>
      <c r="H440" s="156" t="inlineStr">
        <is>
          <t>REFLO</t>
        </is>
      </c>
      <c r="I440" s="156" t="n"/>
      <c r="J440" s="156" t="n"/>
      <c r="K440" s="156" t="n"/>
      <c r="L440" s="156" t="n"/>
      <c r="M440" s="156" t="n"/>
      <c r="N440" s="156" t="n"/>
      <c r="O440" s="156" t="n"/>
      <c r="P440" s="156" t="n"/>
      <c r="Q440" s="156" t="n"/>
      <c r="R440" s="156" t="n"/>
      <c r="S440" s="156" t="n"/>
      <c r="T440" s="156" t="n"/>
      <c r="U440" s="156" t="n"/>
      <c r="V440" s="156" t="inlineStr">
        <is>
          <t>PZS</t>
        </is>
      </c>
      <c r="W440" s="51" t="inlineStr">
        <is>
          <t>53101602</t>
        </is>
      </c>
      <c r="X440" s="156" t="n"/>
      <c r="Y440" s="54" t="n">
        <v>14.3</v>
      </c>
      <c r="Z440" s="54" t="n">
        <v>1049</v>
      </c>
      <c r="AA440" s="55">
        <f>IF(AND(A440="", B440="", E440=""), "", IF(AB440="", "Válido", IF((LEN(AB440)-LEN(SUBSTITUTE(AB440,"; ","")))/2+1&gt;(LEN(AB440)-LEN(SUBSTITUTE(AB440,"[Aviso]","")))/7, "Con Incidencias", "Válido")))</f>
        <v/>
      </c>
      <c r="AB440" s="56">
        <f>IF(AND(A440="", B440="", E440=""), "", TEXTJOIN("; ", TRUE, IF(OR(TRIM(A440&amp;"")="", ISNUMBER(SEARCH("FALTA", A440))), "UPC faltante/inválido", ""), IF(AND(A440&lt;&gt;"", IFERROR(_xlfn.XMATCH(A440,$A$2:$A$653,0,1)&lt;&gt;_xlfn.XMATCH(A440,$A$2:$A$653,0,-1),FALSE)), "Código de barras duplicado", ""), IF(AND(E440&lt;&gt;"", COUNTIF($E$2:$E$653, E440)&gt;1), "SKU duplicado", ""), IF(OR(J440="", J440=""), "[Aviso] División no capturada ()", IF(ISNA(MATCH(J440, Criterios!$A$123:$A$126, 0)), "División no válida", "")), IF(OR(K440="", K440=""), "[Aviso] Categoría no capturada ()", IF(ISNA(MATCH(K440, Criterios!$A$81:$A$120, 0)), "Categoría no válida", IF(AND(J440&lt;&gt;"", J440&lt;&gt;"", J440&lt;&gt;VLOOKUP(K440, Criterios!$A$81:$B$120, 2, FALSE)), "División no coincide con Categoría", ""))), IF(OR(L440="", L440=""), "[Aviso] Género no capturado ()", IF(ISNA(MATCH(L440, Criterios!$B$123:$B$127, 0)), "Género no válido", "")), IF(OR(N440="", N440=""), "[Aviso] Temporada no capturada ()", IF(ISNA(MATCH(N440, Criterios!$C$123:$C$128, 0)), "Temporada no válida", "")), IF(OR(O440="", O440=""), "[Aviso] Ciclo de vida no capturado ()", IF(ISNA(MATCH(O440, Criterios!$D$123:$D$124, 0)), "Ciclo de vida no válido", ""))))</f>
        <v/>
      </c>
      <c r="AC440" s="56" t="n"/>
      <c r="AD440" s="51" t="n">
        <v>7</v>
      </c>
      <c r="AE440" s="156" t="n"/>
      <c r="AF440" s="51" t="n">
        <v>7</v>
      </c>
      <c r="AG440" s="156" t="inlineStr">
        <is>
          <t>Nuevo – NetSuite con existencia</t>
        </is>
      </c>
      <c r="AH44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0" s="156" t="inlineStr">
        <is>
          <t>No</t>
        </is>
      </c>
      <c r="AJ440" s="156" t="n"/>
      <c r="AK440" s="155" t="inlineStr">
        <is>
          <t>G1522_Extraccion_Articulos_NetSuite_2026-09-30.xlsx: fila 43867</t>
        </is>
      </c>
      <c r="AL440" s="58" t="n"/>
      <c r="AM440" s="58" t="n"/>
      <c r="AN440" s="155" t="n"/>
      <c r="AO440" s="59" t="n"/>
      <c r="AP440" s="59" t="n"/>
      <c r="AQ440" s="59" t="n"/>
      <c r="AR440" s="155" t="n"/>
    </row>
    <row r="441">
      <c r="A441" s="50" t="inlineStr">
        <is>
          <t>5056658714030</t>
        </is>
      </c>
      <c r="B441" s="51" t="inlineStr">
        <is>
          <t>91113</t>
        </is>
      </c>
      <c r="C441" s="156" t="inlineStr">
        <is>
          <t>REFLO</t>
        </is>
      </c>
      <c r="D441" s="156" t="n"/>
      <c r="E441" s="156" t="n"/>
      <c r="F441" s="156" t="n"/>
      <c r="G441" s="156" t="n"/>
      <c r="H441" s="156" t="inlineStr">
        <is>
          <t>REFLO</t>
        </is>
      </c>
      <c r="I441" s="156" t="n"/>
      <c r="J441" s="156" t="n"/>
      <c r="K441" s="156" t="n"/>
      <c r="L441" s="156" t="n"/>
      <c r="M441" s="156" t="n"/>
      <c r="N441" s="156" t="n"/>
      <c r="O441" s="156" t="n"/>
      <c r="P441" s="156" t="n"/>
      <c r="Q441" s="156" t="n"/>
      <c r="R441" s="156" t="n"/>
      <c r="S441" s="156" t="n"/>
      <c r="T441" s="156" t="n"/>
      <c r="U441" s="156" t="n"/>
      <c r="V441" s="156" t="inlineStr">
        <is>
          <t>PZS</t>
        </is>
      </c>
      <c r="W441" s="51" t="inlineStr">
        <is>
          <t>53101602</t>
        </is>
      </c>
      <c r="X441" s="156" t="n"/>
      <c r="Y441" s="54" t="n">
        <v>14.3</v>
      </c>
      <c r="Z441" s="54" t="n">
        <v>1049</v>
      </c>
      <c r="AA441" s="55">
        <f>IF(AND(A441="", B441="", E441=""), "", IF(AB441="", "Válido", IF((LEN(AB441)-LEN(SUBSTITUTE(AB441,"; ","")))/2+1&gt;(LEN(AB441)-LEN(SUBSTITUTE(AB441,"[Aviso]","")))/7, "Con Incidencias", "Válido")))</f>
        <v/>
      </c>
      <c r="AB441" s="56">
        <f>IF(AND(A441="", B441="", E441=""), "", TEXTJOIN("; ", TRUE, IF(OR(TRIM(A441&amp;"")="", ISNUMBER(SEARCH("FALTA", A441))), "UPC faltante/inválido", ""), IF(AND(A441&lt;&gt;"", IFERROR(_xlfn.XMATCH(A441,$A$2:$A$653,0,1)&lt;&gt;_xlfn.XMATCH(A441,$A$2:$A$653,0,-1),FALSE)), "Código de barras duplicado", ""), IF(AND(E441&lt;&gt;"", COUNTIF($E$2:$E$653, E441)&gt;1), "SKU duplicado", ""), IF(OR(J441="", J441=""), "[Aviso] División no capturada ()", IF(ISNA(MATCH(J441, Criterios!$A$123:$A$126, 0)), "División no válida", "")), IF(OR(K441="", K441=""), "[Aviso] Categoría no capturada ()", IF(ISNA(MATCH(K441, Criterios!$A$81:$A$120, 0)), "Categoría no válida", IF(AND(J441&lt;&gt;"", J441&lt;&gt;"", J441&lt;&gt;VLOOKUP(K441, Criterios!$A$81:$B$120, 2, FALSE)), "División no coincide con Categoría", ""))), IF(OR(L441="", L441=""), "[Aviso] Género no capturado ()", IF(ISNA(MATCH(L441, Criterios!$B$123:$B$127, 0)), "Género no válido", "")), IF(OR(N441="", N441=""), "[Aviso] Temporada no capturada ()", IF(ISNA(MATCH(N441, Criterios!$C$123:$C$128, 0)), "Temporada no válida", "")), IF(OR(O441="", O441=""), "[Aviso] Ciclo de vida no capturado ()", IF(ISNA(MATCH(O441, Criterios!$D$123:$D$124, 0)), "Ciclo de vida no válido", ""))))</f>
        <v/>
      </c>
      <c r="AC441" s="56" t="n"/>
      <c r="AD441" s="51" t="n">
        <v>1</v>
      </c>
      <c r="AE441" s="156" t="n"/>
      <c r="AF441" s="51" t="n">
        <v>1</v>
      </c>
      <c r="AG441" s="156" t="inlineStr">
        <is>
          <t>Nuevo – NetSuite con existencia</t>
        </is>
      </c>
      <c r="AH44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1" s="156" t="inlineStr">
        <is>
          <t>No</t>
        </is>
      </c>
      <c r="AJ441" s="156" t="n"/>
      <c r="AK441" s="155" t="inlineStr">
        <is>
          <t>G1522_Extraccion_Articulos_NetSuite_2026-09-30.xlsx: fila 43868</t>
        </is>
      </c>
      <c r="AL441" s="58" t="n"/>
      <c r="AM441" s="58" t="n"/>
      <c r="AN441" s="155" t="n"/>
      <c r="AO441" s="59" t="n"/>
      <c r="AP441" s="59" t="n"/>
      <c r="AQ441" s="59" t="n"/>
      <c r="AR441" s="155" t="n"/>
    </row>
    <row r="442">
      <c r="A442" s="50" t="inlineStr">
        <is>
          <t>5056658708985</t>
        </is>
      </c>
      <c r="B442" s="51" t="inlineStr">
        <is>
          <t>91114</t>
        </is>
      </c>
      <c r="C442" s="156" t="inlineStr">
        <is>
          <t>REFLO</t>
        </is>
      </c>
      <c r="D442" s="156" t="n"/>
      <c r="E442" s="156" t="n"/>
      <c r="F442" s="156" t="n"/>
      <c r="G442" s="156" t="n"/>
      <c r="H442" s="156" t="inlineStr">
        <is>
          <t>REFLO</t>
        </is>
      </c>
      <c r="I442" s="156" t="n"/>
      <c r="J442" s="156" t="n"/>
      <c r="K442" s="156" t="n"/>
      <c r="L442" s="156" t="n"/>
      <c r="M442" s="156" t="n"/>
      <c r="N442" s="156" t="n"/>
      <c r="O442" s="156" t="n"/>
      <c r="P442" s="156" t="n"/>
      <c r="Q442" s="156" t="n"/>
      <c r="R442" s="156" t="n"/>
      <c r="S442" s="156" t="n"/>
      <c r="T442" s="156" t="n"/>
      <c r="U442" s="156" t="n"/>
      <c r="V442" s="156" t="inlineStr">
        <is>
          <t>PZS</t>
        </is>
      </c>
      <c r="W442" s="51" t="inlineStr">
        <is>
          <t>53101602</t>
        </is>
      </c>
      <c r="X442" s="156" t="n"/>
      <c r="Y442" s="54" t="n">
        <v>14.3</v>
      </c>
      <c r="Z442" s="54" t="n">
        <v>1049</v>
      </c>
      <c r="AA442" s="55">
        <f>IF(AND(A442="", B442="", E442=""), "", IF(AB442="", "Válido", IF((LEN(AB442)-LEN(SUBSTITUTE(AB442,"; ","")))/2+1&gt;(LEN(AB442)-LEN(SUBSTITUTE(AB442,"[Aviso]","")))/7, "Con Incidencias", "Válido")))</f>
        <v/>
      </c>
      <c r="AB442" s="56">
        <f>IF(AND(A442="", B442="", E442=""), "", TEXTJOIN("; ", TRUE, IF(OR(TRIM(A442&amp;"")="", ISNUMBER(SEARCH("FALTA", A442))), "UPC faltante/inválido", ""), IF(AND(A442&lt;&gt;"", IFERROR(_xlfn.XMATCH(A442,$A$2:$A$653,0,1)&lt;&gt;_xlfn.XMATCH(A442,$A$2:$A$653,0,-1),FALSE)), "Código de barras duplicado", ""), IF(AND(E442&lt;&gt;"", COUNTIF($E$2:$E$653, E442)&gt;1), "SKU duplicado", ""), IF(OR(J442="", J442=""), "[Aviso] División no capturada ()", IF(ISNA(MATCH(J442, Criterios!$A$123:$A$126, 0)), "División no válida", "")), IF(OR(K442="", K442=""), "[Aviso] Categoría no capturada ()", IF(ISNA(MATCH(K442, Criterios!$A$81:$A$120, 0)), "Categoría no válida", IF(AND(J442&lt;&gt;"", J442&lt;&gt;"", J442&lt;&gt;VLOOKUP(K442, Criterios!$A$81:$B$120, 2, FALSE)), "División no coincide con Categoría", ""))), IF(OR(L442="", L442=""), "[Aviso] Género no capturado ()", IF(ISNA(MATCH(L442, Criterios!$B$123:$B$127, 0)), "Género no válido", "")), IF(OR(N442="", N442=""), "[Aviso] Temporada no capturada ()", IF(ISNA(MATCH(N442, Criterios!$C$123:$C$128, 0)), "Temporada no válida", "")), IF(OR(O442="", O442=""), "[Aviso] Ciclo de vida no capturado ()", IF(ISNA(MATCH(O442, Criterios!$D$123:$D$124, 0)), "Ciclo de vida no válido", ""))))</f>
        <v/>
      </c>
      <c r="AC442" s="56" t="n"/>
      <c r="AD442" s="51" t="n">
        <v>2</v>
      </c>
      <c r="AE442" s="156" t="n"/>
      <c r="AF442" s="51" t="n">
        <v>2</v>
      </c>
      <c r="AG442" s="156" t="inlineStr">
        <is>
          <t>Nuevo – NetSuite con existencia</t>
        </is>
      </c>
      <c r="AH44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2" s="156" t="inlineStr">
        <is>
          <t>No</t>
        </is>
      </c>
      <c r="AJ442" s="156" t="n"/>
      <c r="AK442" s="155" t="inlineStr">
        <is>
          <t>G1522_Extraccion_Articulos_NetSuite_2026-09-30.xlsx: fila 43869</t>
        </is>
      </c>
      <c r="AL442" s="58" t="n"/>
      <c r="AM442" s="58" t="n"/>
      <c r="AN442" s="155" t="n"/>
      <c r="AO442" s="59" t="n"/>
      <c r="AP442" s="59" t="n"/>
      <c r="AQ442" s="59" t="n"/>
      <c r="AR442" s="155" t="n"/>
    </row>
    <row r="443">
      <c r="A443" s="50" t="inlineStr">
        <is>
          <t>5056658708992</t>
        </is>
      </c>
      <c r="B443" s="51" t="inlineStr">
        <is>
          <t>91115</t>
        </is>
      </c>
      <c r="C443" s="156" t="inlineStr">
        <is>
          <t>REFLO</t>
        </is>
      </c>
      <c r="D443" s="156" t="n"/>
      <c r="E443" s="156" t="n"/>
      <c r="F443" s="156" t="n"/>
      <c r="G443" s="156" t="n"/>
      <c r="H443" s="156" t="inlineStr">
        <is>
          <t>REFLO</t>
        </is>
      </c>
      <c r="I443" s="156" t="n"/>
      <c r="J443" s="156" t="n"/>
      <c r="K443" s="156" t="n"/>
      <c r="L443" s="156" t="n"/>
      <c r="M443" s="156" t="n"/>
      <c r="N443" s="156" t="n"/>
      <c r="O443" s="156" t="n"/>
      <c r="P443" s="156" t="n"/>
      <c r="Q443" s="156" t="n"/>
      <c r="R443" s="156" t="n"/>
      <c r="S443" s="156" t="n"/>
      <c r="T443" s="156" t="n"/>
      <c r="U443" s="156" t="n"/>
      <c r="V443" s="156" t="inlineStr">
        <is>
          <t>PZS</t>
        </is>
      </c>
      <c r="W443" s="51" t="inlineStr">
        <is>
          <t>53101602</t>
        </is>
      </c>
      <c r="X443" s="156" t="n"/>
      <c r="Y443" s="54" t="n">
        <v>14.3</v>
      </c>
      <c r="Z443" s="54" t="n">
        <v>1049</v>
      </c>
      <c r="AA443" s="55">
        <f>IF(AND(A443="", B443="", E443=""), "", IF(AB443="", "Válido", IF((LEN(AB443)-LEN(SUBSTITUTE(AB443,"; ","")))/2+1&gt;(LEN(AB443)-LEN(SUBSTITUTE(AB443,"[Aviso]","")))/7, "Con Incidencias", "Válido")))</f>
        <v/>
      </c>
      <c r="AB443" s="56">
        <f>IF(AND(A443="", B443="", E443=""), "", TEXTJOIN("; ", TRUE, IF(OR(TRIM(A443&amp;"")="", ISNUMBER(SEARCH("FALTA", A443))), "UPC faltante/inválido", ""), IF(AND(A443&lt;&gt;"", IFERROR(_xlfn.XMATCH(A443,$A$2:$A$653,0,1)&lt;&gt;_xlfn.XMATCH(A443,$A$2:$A$653,0,-1),FALSE)), "Código de barras duplicado", ""), IF(AND(E443&lt;&gt;"", COUNTIF($E$2:$E$653, E443)&gt;1), "SKU duplicado", ""), IF(OR(J443="", J443=""), "[Aviso] División no capturada ()", IF(ISNA(MATCH(J443, Criterios!$A$123:$A$126, 0)), "División no válida", "")), IF(OR(K443="", K443=""), "[Aviso] Categoría no capturada ()", IF(ISNA(MATCH(K443, Criterios!$A$81:$A$120, 0)), "Categoría no válida", IF(AND(J443&lt;&gt;"", J443&lt;&gt;"", J443&lt;&gt;VLOOKUP(K443, Criterios!$A$81:$B$120, 2, FALSE)), "División no coincide con Categoría", ""))), IF(OR(L443="", L443=""), "[Aviso] Género no capturado ()", IF(ISNA(MATCH(L443, Criterios!$B$123:$B$127, 0)), "Género no válido", "")), IF(OR(N443="", N443=""), "[Aviso] Temporada no capturada ()", IF(ISNA(MATCH(N443, Criterios!$C$123:$C$128, 0)), "Temporada no válida", "")), IF(OR(O443="", O443=""), "[Aviso] Ciclo de vida no capturado ()", IF(ISNA(MATCH(O443, Criterios!$D$123:$D$124, 0)), "Ciclo de vida no válido", ""))))</f>
        <v/>
      </c>
      <c r="AC443" s="56" t="n"/>
      <c r="AD443" s="51" t="n">
        <v>4</v>
      </c>
      <c r="AE443" s="156" t="n"/>
      <c r="AF443" s="51" t="n">
        <v>4</v>
      </c>
      <c r="AG443" s="156" t="inlineStr">
        <is>
          <t>Nuevo – NetSuite con existencia</t>
        </is>
      </c>
      <c r="AH44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3" s="156" t="inlineStr">
        <is>
          <t>No</t>
        </is>
      </c>
      <c r="AJ443" s="156" t="n"/>
      <c r="AK443" s="155" t="inlineStr">
        <is>
          <t>G1522_Extraccion_Articulos_NetSuite_2026-09-30.xlsx: fila 43870</t>
        </is>
      </c>
      <c r="AL443" s="58" t="n"/>
      <c r="AM443" s="58" t="n"/>
      <c r="AN443" s="155" t="n"/>
      <c r="AO443" s="59" t="n"/>
      <c r="AP443" s="59" t="n"/>
      <c r="AQ443" s="59" t="n"/>
      <c r="AR443" s="155" t="n"/>
    </row>
    <row r="444">
      <c r="A444" s="50" t="inlineStr">
        <is>
          <t>5056658709005</t>
        </is>
      </c>
      <c r="B444" s="51" t="inlineStr">
        <is>
          <t>91116</t>
        </is>
      </c>
      <c r="C444" s="156" t="inlineStr">
        <is>
          <t>REFLO</t>
        </is>
      </c>
      <c r="D444" s="156" t="n"/>
      <c r="E444" s="156" t="n"/>
      <c r="F444" s="156" t="n"/>
      <c r="G444" s="156" t="n"/>
      <c r="H444" s="156" t="inlineStr">
        <is>
          <t>REFLO</t>
        </is>
      </c>
      <c r="I444" s="156" t="n"/>
      <c r="J444" s="156" t="n"/>
      <c r="K444" s="156" t="n"/>
      <c r="L444" s="156" t="n"/>
      <c r="M444" s="156" t="n"/>
      <c r="N444" s="156" t="n"/>
      <c r="O444" s="156" t="n"/>
      <c r="P444" s="156" t="n"/>
      <c r="Q444" s="156" t="n"/>
      <c r="R444" s="156" t="n"/>
      <c r="S444" s="156" t="n"/>
      <c r="T444" s="156" t="n"/>
      <c r="U444" s="156" t="n"/>
      <c r="V444" s="156" t="inlineStr">
        <is>
          <t>PZS</t>
        </is>
      </c>
      <c r="W444" s="51" t="inlineStr">
        <is>
          <t>53101602</t>
        </is>
      </c>
      <c r="X444" s="156" t="n"/>
      <c r="Y444" s="54" t="n">
        <v>14.3</v>
      </c>
      <c r="Z444" s="54" t="n">
        <v>1049</v>
      </c>
      <c r="AA444" s="55">
        <f>IF(AND(A444="", B444="", E444=""), "", IF(AB444="", "Válido", IF((LEN(AB444)-LEN(SUBSTITUTE(AB444,"; ","")))/2+1&gt;(LEN(AB444)-LEN(SUBSTITUTE(AB444,"[Aviso]","")))/7, "Con Incidencias", "Válido")))</f>
        <v/>
      </c>
      <c r="AB444" s="56">
        <f>IF(AND(A444="", B444="", E444=""), "", TEXTJOIN("; ", TRUE, IF(OR(TRIM(A444&amp;"")="", ISNUMBER(SEARCH("FALTA", A444))), "UPC faltante/inválido", ""), IF(AND(A444&lt;&gt;"", IFERROR(_xlfn.XMATCH(A444,$A$2:$A$653,0,1)&lt;&gt;_xlfn.XMATCH(A444,$A$2:$A$653,0,-1),FALSE)), "Código de barras duplicado", ""), IF(AND(E444&lt;&gt;"", COUNTIF($E$2:$E$653, E444)&gt;1), "SKU duplicado", ""), IF(OR(J444="", J444=""), "[Aviso] División no capturada ()", IF(ISNA(MATCH(J444, Criterios!$A$123:$A$126, 0)), "División no válida", "")), IF(OR(K444="", K444=""), "[Aviso] Categoría no capturada ()", IF(ISNA(MATCH(K444, Criterios!$A$81:$A$120, 0)), "Categoría no válida", IF(AND(J444&lt;&gt;"", J444&lt;&gt;"", J444&lt;&gt;VLOOKUP(K444, Criterios!$A$81:$B$120, 2, FALSE)), "División no coincide con Categoría", ""))), IF(OR(L444="", L444=""), "[Aviso] Género no capturado ()", IF(ISNA(MATCH(L444, Criterios!$B$123:$B$127, 0)), "Género no válido", "")), IF(OR(N444="", N444=""), "[Aviso] Temporada no capturada ()", IF(ISNA(MATCH(N444, Criterios!$C$123:$C$128, 0)), "Temporada no válida", "")), IF(OR(O444="", O444=""), "[Aviso] Ciclo de vida no capturado ()", IF(ISNA(MATCH(O444, Criterios!$D$123:$D$124, 0)), "Ciclo de vida no válido", ""))))</f>
        <v/>
      </c>
      <c r="AC444" s="56" t="n"/>
      <c r="AD444" s="51" t="n">
        <v>8</v>
      </c>
      <c r="AE444" s="156" t="n"/>
      <c r="AF444" s="51" t="n">
        <v>8</v>
      </c>
      <c r="AG444" s="156" t="inlineStr">
        <is>
          <t>Nuevo – NetSuite con existencia</t>
        </is>
      </c>
      <c r="AH44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4" s="156" t="inlineStr">
        <is>
          <t>No</t>
        </is>
      </c>
      <c r="AJ444" s="156" t="n"/>
      <c r="AK444" s="155" t="inlineStr">
        <is>
          <t>G1522_Extraccion_Articulos_NetSuite_2026-09-30.xlsx: fila 43871</t>
        </is>
      </c>
      <c r="AL444" s="58" t="n"/>
      <c r="AM444" s="58" t="n"/>
      <c r="AN444" s="155" t="n"/>
      <c r="AO444" s="59" t="n"/>
      <c r="AP444" s="59" t="n"/>
      <c r="AQ444" s="59" t="n"/>
      <c r="AR444" s="155" t="n"/>
    </row>
    <row r="445">
      <c r="A445" s="50" t="inlineStr">
        <is>
          <t>5056658709012</t>
        </is>
      </c>
      <c r="B445" s="51" t="inlineStr">
        <is>
          <t>91117</t>
        </is>
      </c>
      <c r="C445" s="156" t="inlineStr">
        <is>
          <t>REFLO</t>
        </is>
      </c>
      <c r="D445" s="156" t="n"/>
      <c r="E445" s="156" t="n"/>
      <c r="F445" s="156" t="n"/>
      <c r="G445" s="156" t="n"/>
      <c r="H445" s="156" t="inlineStr">
        <is>
          <t>REFLO</t>
        </is>
      </c>
      <c r="I445" s="156" t="n"/>
      <c r="J445" s="156" t="n"/>
      <c r="K445" s="156" t="n"/>
      <c r="L445" s="156" t="n"/>
      <c r="M445" s="156" t="n"/>
      <c r="N445" s="156" t="n"/>
      <c r="O445" s="156" t="n"/>
      <c r="P445" s="156" t="n"/>
      <c r="Q445" s="156" t="n"/>
      <c r="R445" s="156" t="n"/>
      <c r="S445" s="156" t="n"/>
      <c r="T445" s="156" t="n"/>
      <c r="U445" s="156" t="n"/>
      <c r="V445" s="156" t="inlineStr">
        <is>
          <t>PZS</t>
        </is>
      </c>
      <c r="W445" s="51" t="inlineStr">
        <is>
          <t>53101602</t>
        </is>
      </c>
      <c r="X445" s="156" t="n"/>
      <c r="Y445" s="54" t="n">
        <v>14.3</v>
      </c>
      <c r="Z445" s="54" t="n">
        <v>1049</v>
      </c>
      <c r="AA445" s="55">
        <f>IF(AND(A445="", B445="", E445=""), "", IF(AB445="", "Válido", IF((LEN(AB445)-LEN(SUBSTITUTE(AB445,"; ","")))/2+1&gt;(LEN(AB445)-LEN(SUBSTITUTE(AB445,"[Aviso]","")))/7, "Con Incidencias", "Válido")))</f>
        <v/>
      </c>
      <c r="AB445" s="56">
        <f>IF(AND(A445="", B445="", E445=""), "", TEXTJOIN("; ", TRUE, IF(OR(TRIM(A445&amp;"")="", ISNUMBER(SEARCH("FALTA", A445))), "UPC faltante/inválido", ""), IF(AND(A445&lt;&gt;"", IFERROR(_xlfn.XMATCH(A445,$A$2:$A$653,0,1)&lt;&gt;_xlfn.XMATCH(A445,$A$2:$A$653,0,-1),FALSE)), "Código de barras duplicado", ""), IF(AND(E445&lt;&gt;"", COUNTIF($E$2:$E$653, E445)&gt;1), "SKU duplicado", ""), IF(OR(J445="", J445=""), "[Aviso] División no capturada ()", IF(ISNA(MATCH(J445, Criterios!$A$123:$A$126, 0)), "División no válida", "")), IF(OR(K445="", K445=""), "[Aviso] Categoría no capturada ()", IF(ISNA(MATCH(K445, Criterios!$A$81:$A$120, 0)), "Categoría no válida", IF(AND(J445&lt;&gt;"", J445&lt;&gt;"", J445&lt;&gt;VLOOKUP(K445, Criterios!$A$81:$B$120, 2, FALSE)), "División no coincide con Categoría", ""))), IF(OR(L445="", L445=""), "[Aviso] Género no capturado ()", IF(ISNA(MATCH(L445, Criterios!$B$123:$B$127, 0)), "Género no válido", "")), IF(OR(N445="", N445=""), "[Aviso] Temporada no capturada ()", IF(ISNA(MATCH(N445, Criterios!$C$123:$C$128, 0)), "Temporada no válida", "")), IF(OR(O445="", O445=""), "[Aviso] Ciclo de vida no capturado ()", IF(ISNA(MATCH(O445, Criterios!$D$123:$D$124, 0)), "Ciclo de vida no válido", ""))))</f>
        <v/>
      </c>
      <c r="AC445" s="56" t="n"/>
      <c r="AD445" s="51" t="n">
        <v>7</v>
      </c>
      <c r="AE445" s="156" t="n"/>
      <c r="AF445" s="51" t="n">
        <v>7</v>
      </c>
      <c r="AG445" s="156" t="inlineStr">
        <is>
          <t>Nuevo – NetSuite con existencia</t>
        </is>
      </c>
      <c r="AH44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5" s="156" t="inlineStr">
        <is>
          <t>No</t>
        </is>
      </c>
      <c r="AJ445" s="156" t="n"/>
      <c r="AK445" s="155" t="inlineStr">
        <is>
          <t>G1522_Extraccion_Articulos_NetSuite_2026-09-30.xlsx: fila 43872</t>
        </is>
      </c>
      <c r="AL445" s="58" t="n"/>
      <c r="AM445" s="58" t="n"/>
      <c r="AN445" s="155" t="n"/>
      <c r="AO445" s="59" t="n"/>
      <c r="AP445" s="59" t="n"/>
      <c r="AQ445" s="59" t="n"/>
      <c r="AR445" s="155" t="n"/>
    </row>
    <row r="446">
      <c r="A446" s="50" t="inlineStr">
        <is>
          <t>5056658709029</t>
        </is>
      </c>
      <c r="B446" s="51" t="inlineStr">
        <is>
          <t>91118</t>
        </is>
      </c>
      <c r="C446" s="156" t="inlineStr">
        <is>
          <t>REFLO</t>
        </is>
      </c>
      <c r="D446" s="156" t="n"/>
      <c r="E446" s="156" t="n"/>
      <c r="F446" s="156" t="n"/>
      <c r="G446" s="156" t="n"/>
      <c r="H446" s="156" t="inlineStr">
        <is>
          <t>REFLO</t>
        </is>
      </c>
      <c r="I446" s="156" t="n"/>
      <c r="J446" s="156" t="n"/>
      <c r="K446" s="156" t="n"/>
      <c r="L446" s="156" t="n"/>
      <c r="M446" s="156" t="n"/>
      <c r="N446" s="156" t="n"/>
      <c r="O446" s="156" t="n"/>
      <c r="P446" s="156" t="n"/>
      <c r="Q446" s="156" t="n"/>
      <c r="R446" s="156" t="n"/>
      <c r="S446" s="156" t="n"/>
      <c r="T446" s="156" t="n"/>
      <c r="U446" s="156" t="n"/>
      <c r="V446" s="156" t="inlineStr">
        <is>
          <t>PZS</t>
        </is>
      </c>
      <c r="W446" s="51" t="inlineStr">
        <is>
          <t>53101602</t>
        </is>
      </c>
      <c r="X446" s="156" t="n"/>
      <c r="Y446" s="54" t="n">
        <v>14.3</v>
      </c>
      <c r="Z446" s="54" t="n">
        <v>1049</v>
      </c>
      <c r="AA446" s="55">
        <f>IF(AND(A446="", B446="", E446=""), "", IF(AB446="", "Válido", IF((LEN(AB446)-LEN(SUBSTITUTE(AB446,"; ","")))/2+1&gt;(LEN(AB446)-LEN(SUBSTITUTE(AB446,"[Aviso]","")))/7, "Con Incidencias", "Válido")))</f>
        <v/>
      </c>
      <c r="AB446" s="56">
        <f>IF(AND(A446="", B446="", E446=""), "", TEXTJOIN("; ", TRUE, IF(OR(TRIM(A446&amp;"")="", ISNUMBER(SEARCH("FALTA", A446))), "UPC faltante/inválido", ""), IF(AND(A446&lt;&gt;"", IFERROR(_xlfn.XMATCH(A446,$A$2:$A$653,0,1)&lt;&gt;_xlfn.XMATCH(A446,$A$2:$A$653,0,-1),FALSE)), "Código de barras duplicado", ""), IF(AND(E446&lt;&gt;"", COUNTIF($E$2:$E$653, E446)&gt;1), "SKU duplicado", ""), IF(OR(J446="", J446=""), "[Aviso] División no capturada ()", IF(ISNA(MATCH(J446, Criterios!$A$123:$A$126, 0)), "División no válida", "")), IF(OR(K446="", K446=""), "[Aviso] Categoría no capturada ()", IF(ISNA(MATCH(K446, Criterios!$A$81:$A$120, 0)), "Categoría no válida", IF(AND(J446&lt;&gt;"", J446&lt;&gt;"", J446&lt;&gt;VLOOKUP(K446, Criterios!$A$81:$B$120, 2, FALSE)), "División no coincide con Categoría", ""))), IF(OR(L446="", L446=""), "[Aviso] Género no capturado ()", IF(ISNA(MATCH(L446, Criterios!$B$123:$B$127, 0)), "Género no válido", "")), IF(OR(N446="", N446=""), "[Aviso] Temporada no capturada ()", IF(ISNA(MATCH(N446, Criterios!$C$123:$C$128, 0)), "Temporada no válida", "")), IF(OR(O446="", O446=""), "[Aviso] Ciclo de vida no capturado ()", IF(ISNA(MATCH(O446, Criterios!$D$123:$D$124, 0)), "Ciclo de vida no válido", ""))))</f>
        <v/>
      </c>
      <c r="AC446" s="56" t="n"/>
      <c r="AD446" s="51" t="n">
        <v>3</v>
      </c>
      <c r="AE446" s="156" t="n"/>
      <c r="AF446" s="51" t="n">
        <v>3</v>
      </c>
      <c r="AG446" s="156" t="inlineStr">
        <is>
          <t>Nuevo – NetSuite con existencia</t>
        </is>
      </c>
      <c r="AH44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6" s="156" t="inlineStr">
        <is>
          <t>No</t>
        </is>
      </c>
      <c r="AJ446" s="156" t="n"/>
      <c r="AK446" s="155" t="inlineStr">
        <is>
          <t>G1522_Extraccion_Articulos_NetSuite_2026-09-30.xlsx: fila 43873</t>
        </is>
      </c>
      <c r="AL446" s="58" t="n"/>
      <c r="AM446" s="58" t="n"/>
      <c r="AN446" s="155" t="n"/>
      <c r="AO446" s="59" t="n"/>
      <c r="AP446" s="59" t="n"/>
      <c r="AQ446" s="59" t="n"/>
      <c r="AR446" s="155" t="n"/>
    </row>
    <row r="447">
      <c r="A447" s="50" t="inlineStr">
        <is>
          <t>5056658714047</t>
        </is>
      </c>
      <c r="B447" s="51" t="inlineStr">
        <is>
          <t>91119</t>
        </is>
      </c>
      <c r="C447" s="156" t="inlineStr">
        <is>
          <t>REFLO</t>
        </is>
      </c>
      <c r="D447" s="156" t="n"/>
      <c r="E447" s="156" t="n"/>
      <c r="F447" s="156" t="n"/>
      <c r="G447" s="156" t="n"/>
      <c r="H447" s="156" t="inlineStr">
        <is>
          <t>REFLO</t>
        </is>
      </c>
      <c r="I447" s="156" t="n"/>
      <c r="J447" s="156" t="n"/>
      <c r="K447" s="156" t="n"/>
      <c r="L447" s="156" t="n"/>
      <c r="M447" s="156" t="n"/>
      <c r="N447" s="156" t="n"/>
      <c r="O447" s="156" t="n"/>
      <c r="P447" s="156" t="n"/>
      <c r="Q447" s="156" t="n"/>
      <c r="R447" s="156" t="n"/>
      <c r="S447" s="156" t="n"/>
      <c r="T447" s="156" t="n"/>
      <c r="U447" s="156" t="n"/>
      <c r="V447" s="156" t="inlineStr">
        <is>
          <t>PZS</t>
        </is>
      </c>
      <c r="W447" s="51" t="inlineStr">
        <is>
          <t>53101602</t>
        </is>
      </c>
      <c r="X447" s="156" t="n"/>
      <c r="Y447" s="54" t="n">
        <v>14.3</v>
      </c>
      <c r="Z447" s="54" t="n">
        <v>1049</v>
      </c>
      <c r="AA447" s="55">
        <f>IF(AND(A447="", B447="", E447=""), "", IF(AB447="", "Válido", IF((LEN(AB447)-LEN(SUBSTITUTE(AB447,"; ","")))/2+1&gt;(LEN(AB447)-LEN(SUBSTITUTE(AB447,"[Aviso]","")))/7, "Con Incidencias", "Válido")))</f>
        <v/>
      </c>
      <c r="AB447" s="56">
        <f>IF(AND(A447="", B447="", E447=""), "", TEXTJOIN("; ", TRUE, IF(OR(TRIM(A447&amp;"")="", ISNUMBER(SEARCH("FALTA", A447))), "UPC faltante/inválido", ""), IF(AND(A447&lt;&gt;"", IFERROR(_xlfn.XMATCH(A447,$A$2:$A$653,0,1)&lt;&gt;_xlfn.XMATCH(A447,$A$2:$A$653,0,-1),FALSE)), "Código de barras duplicado", ""), IF(AND(E447&lt;&gt;"", COUNTIF($E$2:$E$653, E447)&gt;1), "SKU duplicado", ""), IF(OR(J447="", J447=""), "[Aviso] División no capturada ()", IF(ISNA(MATCH(J447, Criterios!$A$123:$A$126, 0)), "División no válida", "")), IF(OR(K447="", K447=""), "[Aviso] Categoría no capturada ()", IF(ISNA(MATCH(K447, Criterios!$A$81:$A$120, 0)), "Categoría no válida", IF(AND(J447&lt;&gt;"", J447&lt;&gt;"", J447&lt;&gt;VLOOKUP(K447, Criterios!$A$81:$B$120, 2, FALSE)), "División no coincide con Categoría", ""))), IF(OR(L447="", L447=""), "[Aviso] Género no capturado ()", IF(ISNA(MATCH(L447, Criterios!$B$123:$B$127, 0)), "Género no válido", "")), IF(OR(N447="", N447=""), "[Aviso] Temporada no capturada ()", IF(ISNA(MATCH(N447, Criterios!$C$123:$C$128, 0)), "Temporada no válida", "")), IF(OR(O447="", O447=""), "[Aviso] Ciclo de vida no capturado ()", IF(ISNA(MATCH(O447, Criterios!$D$123:$D$124, 0)), "Ciclo de vida no válido", ""))))</f>
        <v/>
      </c>
      <c r="AC447" s="56" t="n"/>
      <c r="AD447" s="51" t="n">
        <v>2</v>
      </c>
      <c r="AE447" s="156" t="n"/>
      <c r="AF447" s="51" t="n">
        <v>2</v>
      </c>
      <c r="AG447" s="156" t="inlineStr">
        <is>
          <t>Nuevo – NetSuite con existencia</t>
        </is>
      </c>
      <c r="AH44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7" s="156" t="inlineStr">
        <is>
          <t>No</t>
        </is>
      </c>
      <c r="AJ447" s="156" t="n"/>
      <c r="AK447" s="155" t="inlineStr">
        <is>
          <t>G1522_Extraccion_Articulos_NetSuite_2026-09-30.xlsx: fila 43874</t>
        </is>
      </c>
      <c r="AL447" s="58" t="n"/>
      <c r="AM447" s="58" t="n"/>
      <c r="AN447" s="155" t="n"/>
      <c r="AO447" s="59" t="n"/>
      <c r="AP447" s="59" t="n"/>
      <c r="AQ447" s="59" t="n"/>
      <c r="AR447" s="155" t="n"/>
    </row>
    <row r="448">
      <c r="A448" s="50" t="inlineStr">
        <is>
          <t>5056658709043</t>
        </is>
      </c>
      <c r="B448" s="51" t="inlineStr">
        <is>
          <t>91120</t>
        </is>
      </c>
      <c r="C448" s="156" t="inlineStr">
        <is>
          <t>REFLO</t>
        </is>
      </c>
      <c r="D448" s="156" t="n"/>
      <c r="E448" s="156" t="n"/>
      <c r="F448" s="156" t="n"/>
      <c r="G448" s="156" t="n"/>
      <c r="H448" s="156" t="inlineStr">
        <is>
          <t>REFLO</t>
        </is>
      </c>
      <c r="I448" s="156" t="n"/>
      <c r="J448" s="156" t="n"/>
      <c r="K448" s="156" t="n"/>
      <c r="L448" s="156" t="n"/>
      <c r="M448" s="156" t="n"/>
      <c r="N448" s="156" t="n"/>
      <c r="O448" s="156" t="n"/>
      <c r="P448" s="156" t="n"/>
      <c r="Q448" s="156" t="n"/>
      <c r="R448" s="156" t="n"/>
      <c r="S448" s="156" t="n"/>
      <c r="T448" s="156" t="n"/>
      <c r="U448" s="156" t="n"/>
      <c r="V448" s="156" t="inlineStr">
        <is>
          <t>PZS</t>
        </is>
      </c>
      <c r="W448" s="51" t="inlineStr">
        <is>
          <t>53101602</t>
        </is>
      </c>
      <c r="X448" s="156" t="n"/>
      <c r="Y448" s="54" t="n">
        <v>14.3</v>
      </c>
      <c r="Z448" s="54" t="n">
        <v>1049</v>
      </c>
      <c r="AA448" s="55">
        <f>IF(AND(A448="", B448="", E448=""), "", IF(AB448="", "Válido", IF((LEN(AB448)-LEN(SUBSTITUTE(AB448,"; ","")))/2+1&gt;(LEN(AB448)-LEN(SUBSTITUTE(AB448,"[Aviso]","")))/7, "Con Incidencias", "Válido")))</f>
        <v/>
      </c>
      <c r="AB448" s="56">
        <f>IF(AND(A448="", B448="", E448=""), "", TEXTJOIN("; ", TRUE, IF(OR(TRIM(A448&amp;"")="", ISNUMBER(SEARCH("FALTA", A448))), "UPC faltante/inválido", ""), IF(AND(A448&lt;&gt;"", IFERROR(_xlfn.XMATCH(A448,$A$2:$A$653,0,1)&lt;&gt;_xlfn.XMATCH(A448,$A$2:$A$653,0,-1),FALSE)), "Código de barras duplicado", ""), IF(AND(E448&lt;&gt;"", COUNTIF($E$2:$E$653, E448)&gt;1), "SKU duplicado", ""), IF(OR(J448="", J448=""), "[Aviso] División no capturada ()", IF(ISNA(MATCH(J448, Criterios!$A$123:$A$126, 0)), "División no válida", "")), IF(OR(K448="", K448=""), "[Aviso] Categoría no capturada ()", IF(ISNA(MATCH(K448, Criterios!$A$81:$A$120, 0)), "Categoría no válida", IF(AND(J448&lt;&gt;"", J448&lt;&gt;"", J448&lt;&gt;VLOOKUP(K448, Criterios!$A$81:$B$120, 2, FALSE)), "División no coincide con Categoría", ""))), IF(OR(L448="", L448=""), "[Aviso] Género no capturado ()", IF(ISNA(MATCH(L448, Criterios!$B$123:$B$127, 0)), "Género no válido", "")), IF(OR(N448="", N448=""), "[Aviso] Temporada no capturada ()", IF(ISNA(MATCH(N448, Criterios!$C$123:$C$128, 0)), "Temporada no válida", "")), IF(OR(O448="", O448=""), "[Aviso] Ciclo de vida no capturado ()", IF(ISNA(MATCH(O448, Criterios!$D$123:$D$124, 0)), "Ciclo de vida no válido", ""))))</f>
        <v/>
      </c>
      <c r="AC448" s="56" t="n"/>
      <c r="AD448" s="51" t="n">
        <v>2</v>
      </c>
      <c r="AE448" s="156" t="n"/>
      <c r="AF448" s="51" t="n">
        <v>2</v>
      </c>
      <c r="AG448" s="156" t="inlineStr">
        <is>
          <t>Nuevo – NetSuite con existencia</t>
        </is>
      </c>
      <c r="AH44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8" s="156" t="inlineStr">
        <is>
          <t>No</t>
        </is>
      </c>
      <c r="AJ448" s="156" t="n"/>
      <c r="AK448" s="155" t="inlineStr">
        <is>
          <t>G1522_Extraccion_Articulos_NetSuite_2026-09-30.xlsx: fila 43875</t>
        </is>
      </c>
      <c r="AL448" s="58" t="n"/>
      <c r="AM448" s="58" t="n"/>
      <c r="AN448" s="155" t="n"/>
      <c r="AO448" s="59" t="n"/>
      <c r="AP448" s="59" t="n"/>
      <c r="AQ448" s="59" t="n"/>
      <c r="AR448" s="155" t="n"/>
    </row>
    <row r="449">
      <c r="A449" s="50" t="inlineStr">
        <is>
          <t>5056658709050</t>
        </is>
      </c>
      <c r="B449" s="51" t="inlineStr">
        <is>
          <t>91121</t>
        </is>
      </c>
      <c r="C449" s="156" t="inlineStr">
        <is>
          <t>REFLO</t>
        </is>
      </c>
      <c r="D449" s="156" t="n"/>
      <c r="E449" s="156" t="n"/>
      <c r="F449" s="156" t="n"/>
      <c r="G449" s="156" t="n"/>
      <c r="H449" s="156" t="inlineStr">
        <is>
          <t>REFLO</t>
        </is>
      </c>
      <c r="I449" s="156" t="n"/>
      <c r="J449" s="156" t="n"/>
      <c r="K449" s="156" t="n"/>
      <c r="L449" s="156" t="n"/>
      <c r="M449" s="156" t="n"/>
      <c r="N449" s="156" t="n"/>
      <c r="O449" s="156" t="n"/>
      <c r="P449" s="156" t="n"/>
      <c r="Q449" s="156" t="n"/>
      <c r="R449" s="156" t="n"/>
      <c r="S449" s="156" t="n"/>
      <c r="T449" s="156" t="n"/>
      <c r="U449" s="156" t="n"/>
      <c r="V449" s="156" t="inlineStr">
        <is>
          <t>PZS</t>
        </is>
      </c>
      <c r="W449" s="51" t="inlineStr">
        <is>
          <t>53101602</t>
        </is>
      </c>
      <c r="X449" s="156" t="n"/>
      <c r="Y449" s="54" t="n">
        <v>14.3</v>
      </c>
      <c r="Z449" s="54" t="n">
        <v>1049</v>
      </c>
      <c r="AA449" s="55">
        <f>IF(AND(A449="", B449="", E449=""), "", IF(AB449="", "Válido", IF((LEN(AB449)-LEN(SUBSTITUTE(AB449,"; ","")))/2+1&gt;(LEN(AB449)-LEN(SUBSTITUTE(AB449,"[Aviso]","")))/7, "Con Incidencias", "Válido")))</f>
        <v/>
      </c>
      <c r="AB449" s="56">
        <f>IF(AND(A449="", B449="", E449=""), "", TEXTJOIN("; ", TRUE, IF(OR(TRIM(A449&amp;"")="", ISNUMBER(SEARCH("FALTA", A449))), "UPC faltante/inválido", ""), IF(AND(A449&lt;&gt;"", IFERROR(_xlfn.XMATCH(A449,$A$2:$A$653,0,1)&lt;&gt;_xlfn.XMATCH(A449,$A$2:$A$653,0,-1),FALSE)), "Código de barras duplicado", ""), IF(AND(E449&lt;&gt;"", COUNTIF($E$2:$E$653, E449)&gt;1), "SKU duplicado", ""), IF(OR(J449="", J449=""), "[Aviso] División no capturada ()", IF(ISNA(MATCH(J449, Criterios!$A$123:$A$126, 0)), "División no válida", "")), IF(OR(K449="", K449=""), "[Aviso] Categoría no capturada ()", IF(ISNA(MATCH(K449, Criterios!$A$81:$A$120, 0)), "Categoría no válida", IF(AND(J449&lt;&gt;"", J449&lt;&gt;"", J449&lt;&gt;VLOOKUP(K449, Criterios!$A$81:$B$120, 2, FALSE)), "División no coincide con Categoría", ""))), IF(OR(L449="", L449=""), "[Aviso] Género no capturado ()", IF(ISNA(MATCH(L449, Criterios!$B$123:$B$127, 0)), "Género no válido", "")), IF(OR(N449="", N449=""), "[Aviso] Temporada no capturada ()", IF(ISNA(MATCH(N449, Criterios!$C$123:$C$128, 0)), "Temporada no válida", "")), IF(OR(O449="", O449=""), "[Aviso] Ciclo de vida no capturado ()", IF(ISNA(MATCH(O449, Criterios!$D$123:$D$124, 0)), "Ciclo de vida no válido", ""))))</f>
        <v/>
      </c>
      <c r="AC449" s="56" t="n"/>
      <c r="AD449" s="51" t="n">
        <v>4</v>
      </c>
      <c r="AE449" s="156" t="n"/>
      <c r="AF449" s="51" t="n">
        <v>4</v>
      </c>
      <c r="AG449" s="156" t="inlineStr">
        <is>
          <t>Nuevo – NetSuite con existencia</t>
        </is>
      </c>
      <c r="AH44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49" s="156" t="inlineStr">
        <is>
          <t>No</t>
        </is>
      </c>
      <c r="AJ449" s="156" t="n"/>
      <c r="AK449" s="155" t="inlineStr">
        <is>
          <t>G1522_Extraccion_Articulos_NetSuite_2026-09-30.xlsx: fila 43876</t>
        </is>
      </c>
      <c r="AL449" s="58" t="n"/>
      <c r="AM449" s="58" t="n"/>
      <c r="AN449" s="155" t="n"/>
      <c r="AO449" s="59" t="n"/>
      <c r="AP449" s="59" t="n"/>
      <c r="AQ449" s="59" t="n"/>
      <c r="AR449" s="155" t="n"/>
    </row>
    <row r="450">
      <c r="A450" s="50" t="inlineStr">
        <is>
          <t>5056658709067</t>
        </is>
      </c>
      <c r="B450" s="51" t="inlineStr">
        <is>
          <t>91122</t>
        </is>
      </c>
      <c r="C450" s="156" t="inlineStr">
        <is>
          <t>REFLO</t>
        </is>
      </c>
      <c r="D450" s="156" t="n"/>
      <c r="E450" s="156" t="n"/>
      <c r="F450" s="156" t="n"/>
      <c r="G450" s="156" t="n"/>
      <c r="H450" s="156" t="inlineStr">
        <is>
          <t>REFLO</t>
        </is>
      </c>
      <c r="I450" s="156" t="n"/>
      <c r="J450" s="156" t="n"/>
      <c r="K450" s="156" t="n"/>
      <c r="L450" s="156" t="n"/>
      <c r="M450" s="156" t="n"/>
      <c r="N450" s="156" t="n"/>
      <c r="O450" s="156" t="n"/>
      <c r="P450" s="156" t="n"/>
      <c r="Q450" s="156" t="n"/>
      <c r="R450" s="156" t="n"/>
      <c r="S450" s="156" t="n"/>
      <c r="T450" s="156" t="n"/>
      <c r="U450" s="156" t="n"/>
      <c r="V450" s="156" t="inlineStr">
        <is>
          <t>PZS</t>
        </is>
      </c>
      <c r="W450" s="51" t="inlineStr">
        <is>
          <t>53101602</t>
        </is>
      </c>
      <c r="X450" s="156" t="n"/>
      <c r="Y450" s="54" t="n">
        <v>14.3</v>
      </c>
      <c r="Z450" s="54" t="n">
        <v>1049</v>
      </c>
      <c r="AA450" s="55">
        <f>IF(AND(A450="", B450="", E450=""), "", IF(AB450="", "Válido", IF((LEN(AB450)-LEN(SUBSTITUTE(AB450,"; ","")))/2+1&gt;(LEN(AB450)-LEN(SUBSTITUTE(AB450,"[Aviso]","")))/7, "Con Incidencias", "Válido")))</f>
        <v/>
      </c>
      <c r="AB450" s="56">
        <f>IF(AND(A450="", B450="", E450=""), "", TEXTJOIN("; ", TRUE, IF(OR(TRIM(A450&amp;"")="", ISNUMBER(SEARCH("FALTA", A450))), "UPC faltante/inválido", ""), IF(AND(A450&lt;&gt;"", IFERROR(_xlfn.XMATCH(A450,$A$2:$A$653,0,1)&lt;&gt;_xlfn.XMATCH(A450,$A$2:$A$653,0,-1),FALSE)), "Código de barras duplicado", ""), IF(AND(E450&lt;&gt;"", COUNTIF($E$2:$E$653, E450)&gt;1), "SKU duplicado", ""), IF(OR(J450="", J450=""), "[Aviso] División no capturada ()", IF(ISNA(MATCH(J450, Criterios!$A$123:$A$126, 0)), "División no válida", "")), IF(OR(K450="", K450=""), "[Aviso] Categoría no capturada ()", IF(ISNA(MATCH(K450, Criterios!$A$81:$A$120, 0)), "Categoría no válida", IF(AND(J450&lt;&gt;"", J450&lt;&gt;"", J450&lt;&gt;VLOOKUP(K450, Criterios!$A$81:$B$120, 2, FALSE)), "División no coincide con Categoría", ""))), IF(OR(L450="", L450=""), "[Aviso] Género no capturado ()", IF(ISNA(MATCH(L450, Criterios!$B$123:$B$127, 0)), "Género no válido", "")), IF(OR(N450="", N450=""), "[Aviso] Temporada no capturada ()", IF(ISNA(MATCH(N450, Criterios!$C$123:$C$128, 0)), "Temporada no válida", "")), IF(OR(O450="", O450=""), "[Aviso] Ciclo de vida no capturado ()", IF(ISNA(MATCH(O450, Criterios!$D$123:$D$124, 0)), "Ciclo de vida no válido", ""))))</f>
        <v/>
      </c>
      <c r="AC450" s="56" t="n"/>
      <c r="AD450" s="51" t="n">
        <v>7</v>
      </c>
      <c r="AE450" s="156" t="n"/>
      <c r="AF450" s="51" t="n">
        <v>7</v>
      </c>
      <c r="AG450" s="156" t="inlineStr">
        <is>
          <t>Nuevo – NetSuite con existencia</t>
        </is>
      </c>
      <c r="AH45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50" s="156" t="inlineStr">
        <is>
          <t>No</t>
        </is>
      </c>
      <c r="AJ450" s="156" t="n"/>
      <c r="AK450" s="155" t="inlineStr">
        <is>
          <t>G1522_Extraccion_Articulos_NetSuite_2026-09-30.xlsx: fila 43877</t>
        </is>
      </c>
      <c r="AL450" s="58" t="n"/>
      <c r="AM450" s="58" t="n"/>
      <c r="AN450" s="155" t="n"/>
      <c r="AO450" s="59" t="n"/>
      <c r="AP450" s="59" t="n"/>
      <c r="AQ450" s="59" t="n"/>
      <c r="AR450" s="155" t="n"/>
    </row>
    <row r="451">
      <c r="A451" s="50" t="inlineStr">
        <is>
          <t>5056658709074</t>
        </is>
      </c>
      <c r="B451" s="51" t="inlineStr">
        <is>
          <t>91123</t>
        </is>
      </c>
      <c r="C451" s="156" t="inlineStr">
        <is>
          <t>REFLO</t>
        </is>
      </c>
      <c r="D451" s="156" t="n"/>
      <c r="E451" s="156" t="n"/>
      <c r="F451" s="156" t="n"/>
      <c r="G451" s="156" t="n"/>
      <c r="H451" s="156" t="inlineStr">
        <is>
          <t>REFLO</t>
        </is>
      </c>
      <c r="I451" s="156" t="n"/>
      <c r="J451" s="156" t="n"/>
      <c r="K451" s="156" t="n"/>
      <c r="L451" s="156" t="n"/>
      <c r="M451" s="156" t="n"/>
      <c r="N451" s="156" t="n"/>
      <c r="O451" s="156" t="n"/>
      <c r="P451" s="156" t="n"/>
      <c r="Q451" s="156" t="n"/>
      <c r="R451" s="156" t="n"/>
      <c r="S451" s="156" t="n"/>
      <c r="T451" s="156" t="n"/>
      <c r="U451" s="156" t="n"/>
      <c r="V451" s="156" t="inlineStr">
        <is>
          <t>PZS</t>
        </is>
      </c>
      <c r="W451" s="51" t="inlineStr">
        <is>
          <t>53101602</t>
        </is>
      </c>
      <c r="X451" s="156" t="n"/>
      <c r="Y451" s="54" t="n">
        <v>14.3</v>
      </c>
      <c r="Z451" s="54" t="n">
        <v>1049</v>
      </c>
      <c r="AA451" s="55">
        <f>IF(AND(A451="", B451="", E451=""), "", IF(AB451="", "Válido", IF((LEN(AB451)-LEN(SUBSTITUTE(AB451,"; ","")))/2+1&gt;(LEN(AB451)-LEN(SUBSTITUTE(AB451,"[Aviso]","")))/7, "Con Incidencias", "Válido")))</f>
        <v/>
      </c>
      <c r="AB451" s="56">
        <f>IF(AND(A451="", B451="", E451=""), "", TEXTJOIN("; ", TRUE, IF(OR(TRIM(A451&amp;"")="", ISNUMBER(SEARCH("FALTA", A451))), "UPC faltante/inválido", ""), IF(AND(A451&lt;&gt;"", IFERROR(_xlfn.XMATCH(A451,$A$2:$A$653,0,1)&lt;&gt;_xlfn.XMATCH(A451,$A$2:$A$653,0,-1),FALSE)), "Código de barras duplicado", ""), IF(AND(E451&lt;&gt;"", COUNTIF($E$2:$E$653, E451)&gt;1), "SKU duplicado", ""), IF(OR(J451="", J451=""), "[Aviso] División no capturada ()", IF(ISNA(MATCH(J451, Criterios!$A$123:$A$126, 0)), "División no válida", "")), IF(OR(K451="", K451=""), "[Aviso] Categoría no capturada ()", IF(ISNA(MATCH(K451, Criterios!$A$81:$A$120, 0)), "Categoría no válida", IF(AND(J451&lt;&gt;"", J451&lt;&gt;"", J451&lt;&gt;VLOOKUP(K451, Criterios!$A$81:$B$120, 2, FALSE)), "División no coincide con Categoría", ""))), IF(OR(L451="", L451=""), "[Aviso] Género no capturado ()", IF(ISNA(MATCH(L451, Criterios!$B$123:$B$127, 0)), "Género no válido", "")), IF(OR(N451="", N451=""), "[Aviso] Temporada no capturada ()", IF(ISNA(MATCH(N451, Criterios!$C$123:$C$128, 0)), "Temporada no válida", "")), IF(OR(O451="", O451=""), "[Aviso] Ciclo de vida no capturado ()", IF(ISNA(MATCH(O451, Criterios!$D$123:$D$124, 0)), "Ciclo de vida no válido", ""))))</f>
        <v/>
      </c>
      <c r="AC451" s="56" t="n"/>
      <c r="AD451" s="51" t="n">
        <v>8</v>
      </c>
      <c r="AE451" s="156" t="n"/>
      <c r="AF451" s="51" t="n">
        <v>8</v>
      </c>
      <c r="AG451" s="156" t="inlineStr">
        <is>
          <t>Nuevo – NetSuite con existencia</t>
        </is>
      </c>
      <c r="AH45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51" s="156" t="inlineStr">
        <is>
          <t>No</t>
        </is>
      </c>
      <c r="AJ451" s="156" t="n"/>
      <c r="AK451" s="155" t="inlineStr">
        <is>
          <t>G1522_Extraccion_Articulos_NetSuite_2026-09-30.xlsx: fila 43878</t>
        </is>
      </c>
      <c r="AL451" s="58" t="n"/>
      <c r="AM451" s="58" t="n"/>
      <c r="AN451" s="155" t="n"/>
      <c r="AO451" s="59" t="n"/>
      <c r="AP451" s="59" t="n"/>
      <c r="AQ451" s="59" t="n"/>
      <c r="AR451" s="155" t="n"/>
    </row>
    <row r="452">
      <c r="A452" s="50" t="inlineStr">
        <is>
          <t>5056658709081</t>
        </is>
      </c>
      <c r="B452" s="51" t="inlineStr">
        <is>
          <t>91124</t>
        </is>
      </c>
      <c r="C452" s="156" t="inlineStr">
        <is>
          <t>REFLO</t>
        </is>
      </c>
      <c r="D452" s="156" t="n"/>
      <c r="E452" s="156" t="n"/>
      <c r="F452" s="156" t="n"/>
      <c r="G452" s="156" t="n"/>
      <c r="H452" s="156" t="inlineStr">
        <is>
          <t>REFLO</t>
        </is>
      </c>
      <c r="I452" s="156" t="n"/>
      <c r="J452" s="156" t="n"/>
      <c r="K452" s="156" t="n"/>
      <c r="L452" s="156" t="n"/>
      <c r="M452" s="156" t="n"/>
      <c r="N452" s="156" t="n"/>
      <c r="O452" s="156" t="n"/>
      <c r="P452" s="156" t="n"/>
      <c r="Q452" s="156" t="n"/>
      <c r="R452" s="156" t="n"/>
      <c r="S452" s="156" t="n"/>
      <c r="T452" s="156" t="n"/>
      <c r="U452" s="156" t="n"/>
      <c r="V452" s="156" t="inlineStr">
        <is>
          <t>PZS</t>
        </is>
      </c>
      <c r="W452" s="51" t="inlineStr">
        <is>
          <t>53101602</t>
        </is>
      </c>
      <c r="X452" s="156" t="n"/>
      <c r="Y452" s="54" t="n">
        <v>14.3</v>
      </c>
      <c r="Z452" s="54" t="n">
        <v>1049</v>
      </c>
      <c r="AA452" s="55">
        <f>IF(AND(A452="", B452="", E452=""), "", IF(AB452="", "Válido", IF((LEN(AB452)-LEN(SUBSTITUTE(AB452,"; ","")))/2+1&gt;(LEN(AB452)-LEN(SUBSTITUTE(AB452,"[Aviso]","")))/7, "Con Incidencias", "Válido")))</f>
        <v/>
      </c>
      <c r="AB452" s="56">
        <f>IF(AND(A452="", B452="", E452=""), "", TEXTJOIN("; ", TRUE, IF(OR(TRIM(A452&amp;"")="", ISNUMBER(SEARCH("FALTA", A452))), "UPC faltante/inválido", ""), IF(AND(A452&lt;&gt;"", IFERROR(_xlfn.XMATCH(A452,$A$2:$A$653,0,1)&lt;&gt;_xlfn.XMATCH(A452,$A$2:$A$653,0,-1),FALSE)), "Código de barras duplicado", ""), IF(AND(E452&lt;&gt;"", COUNTIF($E$2:$E$653, E452)&gt;1), "SKU duplicado", ""), IF(OR(J452="", J452=""), "[Aviso] División no capturada ()", IF(ISNA(MATCH(J452, Criterios!$A$123:$A$126, 0)), "División no válida", "")), IF(OR(K452="", K452=""), "[Aviso] Categoría no capturada ()", IF(ISNA(MATCH(K452, Criterios!$A$81:$A$120, 0)), "Categoría no válida", IF(AND(J452&lt;&gt;"", J452&lt;&gt;"", J452&lt;&gt;VLOOKUP(K452, Criterios!$A$81:$B$120, 2, FALSE)), "División no coincide con Categoría", ""))), IF(OR(L452="", L452=""), "[Aviso] Género no capturado ()", IF(ISNA(MATCH(L452, Criterios!$B$123:$B$127, 0)), "Género no válido", "")), IF(OR(N452="", N452=""), "[Aviso] Temporada no capturada ()", IF(ISNA(MATCH(N452, Criterios!$C$123:$C$128, 0)), "Temporada no válida", "")), IF(OR(O452="", O452=""), "[Aviso] Ciclo de vida no capturado ()", IF(ISNA(MATCH(O452, Criterios!$D$123:$D$124, 0)), "Ciclo de vida no válido", ""))))</f>
        <v/>
      </c>
      <c r="AC452" s="56" t="n"/>
      <c r="AD452" s="51" t="n">
        <v>3</v>
      </c>
      <c r="AE452" s="156" t="n"/>
      <c r="AF452" s="51" t="n">
        <v>3</v>
      </c>
      <c r="AG452" s="156" t="inlineStr">
        <is>
          <t>Nuevo – NetSuite con existencia</t>
        </is>
      </c>
      <c r="AH45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52" s="156" t="inlineStr">
        <is>
          <t>No</t>
        </is>
      </c>
      <c r="AJ452" s="156" t="n"/>
      <c r="AK452" s="155" t="inlineStr">
        <is>
          <t>G1522_Extraccion_Articulos_NetSuite_2026-09-30.xlsx: fila 43879</t>
        </is>
      </c>
      <c r="AL452" s="58" t="n"/>
      <c r="AM452" s="58" t="n"/>
      <c r="AN452" s="155" t="n"/>
      <c r="AO452" s="59" t="n"/>
      <c r="AP452" s="59" t="n"/>
      <c r="AQ452" s="59" t="n"/>
      <c r="AR452" s="155" t="n"/>
    </row>
    <row r="453">
      <c r="A453" s="50" t="inlineStr">
        <is>
          <t>5056658714054</t>
        </is>
      </c>
      <c r="B453" s="51" t="inlineStr">
        <is>
          <t>91125</t>
        </is>
      </c>
      <c r="C453" s="156" t="inlineStr">
        <is>
          <t>REFLO</t>
        </is>
      </c>
      <c r="D453" s="156" t="n"/>
      <c r="E453" s="156" t="n"/>
      <c r="F453" s="156" t="n"/>
      <c r="G453" s="156" t="n"/>
      <c r="H453" s="156" t="inlineStr">
        <is>
          <t>REFLO</t>
        </is>
      </c>
      <c r="I453" s="156" t="n"/>
      <c r="J453" s="156" t="n"/>
      <c r="K453" s="156" t="n"/>
      <c r="L453" s="156" t="n"/>
      <c r="M453" s="156" t="n"/>
      <c r="N453" s="156" t="n"/>
      <c r="O453" s="156" t="n"/>
      <c r="P453" s="156" t="n"/>
      <c r="Q453" s="156" t="n"/>
      <c r="R453" s="156" t="n"/>
      <c r="S453" s="156" t="n"/>
      <c r="T453" s="156" t="n"/>
      <c r="U453" s="156" t="n"/>
      <c r="V453" s="156" t="inlineStr">
        <is>
          <t>PZS</t>
        </is>
      </c>
      <c r="W453" s="51" t="inlineStr">
        <is>
          <t>53101602</t>
        </is>
      </c>
      <c r="X453" s="156" t="n"/>
      <c r="Y453" s="54" t="n">
        <v>14.3</v>
      </c>
      <c r="Z453" s="54" t="n">
        <v>1049</v>
      </c>
      <c r="AA453" s="55">
        <f>IF(AND(A453="", B453="", E453=""), "", IF(AB453="", "Válido", IF((LEN(AB453)-LEN(SUBSTITUTE(AB453,"; ","")))/2+1&gt;(LEN(AB453)-LEN(SUBSTITUTE(AB453,"[Aviso]","")))/7, "Con Incidencias", "Válido")))</f>
        <v/>
      </c>
      <c r="AB453" s="56">
        <f>IF(AND(A453="", B453="", E453=""), "", TEXTJOIN("; ", TRUE, IF(OR(TRIM(A453&amp;"")="", ISNUMBER(SEARCH("FALTA", A453))), "UPC faltante/inválido", ""), IF(AND(A453&lt;&gt;"", IFERROR(_xlfn.XMATCH(A453,$A$2:$A$653,0,1)&lt;&gt;_xlfn.XMATCH(A453,$A$2:$A$653,0,-1),FALSE)), "Código de barras duplicado", ""), IF(AND(E453&lt;&gt;"", COUNTIF($E$2:$E$653, E453)&gt;1), "SKU duplicado", ""), IF(OR(J453="", J453=""), "[Aviso] División no capturada ()", IF(ISNA(MATCH(J453, Criterios!$A$123:$A$126, 0)), "División no válida", "")), IF(OR(K453="", K453=""), "[Aviso] Categoría no capturada ()", IF(ISNA(MATCH(K453, Criterios!$A$81:$A$120, 0)), "Categoría no válida", IF(AND(J453&lt;&gt;"", J453&lt;&gt;"", J453&lt;&gt;VLOOKUP(K453, Criterios!$A$81:$B$120, 2, FALSE)), "División no coincide con Categoría", ""))), IF(OR(L453="", L453=""), "[Aviso] Género no capturado ()", IF(ISNA(MATCH(L453, Criterios!$B$123:$B$127, 0)), "Género no válido", "")), IF(OR(N453="", N453=""), "[Aviso] Temporada no capturada ()", IF(ISNA(MATCH(N453, Criterios!$C$123:$C$128, 0)), "Temporada no válida", "")), IF(OR(O453="", O453=""), "[Aviso] Ciclo de vida no capturado ()", IF(ISNA(MATCH(O453, Criterios!$D$123:$D$124, 0)), "Ciclo de vida no válido", ""))))</f>
        <v/>
      </c>
      <c r="AC453" s="56" t="n"/>
      <c r="AD453" s="51" t="n">
        <v>2</v>
      </c>
      <c r="AE453" s="156" t="n"/>
      <c r="AF453" s="51" t="n">
        <v>2</v>
      </c>
      <c r="AG453" s="156" t="inlineStr">
        <is>
          <t>Nuevo – NetSuite con existencia</t>
        </is>
      </c>
      <c r="AH45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53" s="156" t="inlineStr">
        <is>
          <t>No</t>
        </is>
      </c>
      <c r="AJ453" s="156" t="n"/>
      <c r="AK453" s="155" t="inlineStr">
        <is>
          <t>G1522_Extraccion_Articulos_NetSuite_2026-09-30.xlsx: fila 43880</t>
        </is>
      </c>
      <c r="AL453" s="58" t="n"/>
      <c r="AM453" s="58" t="n"/>
      <c r="AN453" s="155" t="n"/>
      <c r="AO453" s="59" t="n"/>
      <c r="AP453" s="59" t="n"/>
      <c r="AQ453" s="59" t="n"/>
      <c r="AR453" s="155" t="n"/>
    </row>
    <row r="454">
      <c r="A454" s="50" t="inlineStr">
        <is>
          <t>5056658709470</t>
        </is>
      </c>
      <c r="B454" s="51" t="inlineStr">
        <is>
          <t>91126</t>
        </is>
      </c>
      <c r="C454" s="156" t="inlineStr">
        <is>
          <t>REFLO</t>
        </is>
      </c>
      <c r="D454" s="156" t="n"/>
      <c r="E454" s="156" t="n"/>
      <c r="F454" s="156" t="n"/>
      <c r="G454" s="156" t="n"/>
      <c r="H454" s="156" t="inlineStr">
        <is>
          <t>REFLO</t>
        </is>
      </c>
      <c r="I454" s="156" t="n"/>
      <c r="J454" s="156" t="n"/>
      <c r="K454" s="156" t="n"/>
      <c r="L454" s="156" t="n"/>
      <c r="M454" s="156" t="n"/>
      <c r="N454" s="156" t="n"/>
      <c r="O454" s="156" t="n"/>
      <c r="P454" s="156" t="n"/>
      <c r="Q454" s="156" t="n"/>
      <c r="R454" s="156" t="n"/>
      <c r="S454" s="156" t="n"/>
      <c r="T454" s="156" t="n"/>
      <c r="U454" s="156" t="n"/>
      <c r="V454" s="156" t="inlineStr">
        <is>
          <t>PZS</t>
        </is>
      </c>
      <c r="W454" s="51" t="inlineStr">
        <is>
          <t>53101602</t>
        </is>
      </c>
      <c r="X454" s="156" t="n"/>
      <c r="Y454" s="54" t="n">
        <v>22.75</v>
      </c>
      <c r="Z454" s="54" t="n">
        <v>1649</v>
      </c>
      <c r="AA454" s="55">
        <f>IF(AND(A454="", B454="", E454=""), "", IF(AB454="", "Válido", IF((LEN(AB454)-LEN(SUBSTITUTE(AB454,"; ","")))/2+1&gt;(LEN(AB454)-LEN(SUBSTITUTE(AB454,"[Aviso]","")))/7, "Con Incidencias", "Válido")))</f>
        <v/>
      </c>
      <c r="AB454" s="56">
        <f>IF(AND(A454="", B454="", E454=""), "", TEXTJOIN("; ", TRUE, IF(OR(TRIM(A454&amp;"")="", ISNUMBER(SEARCH("FALTA", A454))), "UPC faltante/inválido", ""), IF(AND(A454&lt;&gt;"", IFERROR(_xlfn.XMATCH(A454,$A$2:$A$653,0,1)&lt;&gt;_xlfn.XMATCH(A454,$A$2:$A$653,0,-1),FALSE)), "Código de barras duplicado", ""), IF(AND(E454&lt;&gt;"", COUNTIF($E$2:$E$653, E454)&gt;1), "SKU duplicado", ""), IF(OR(J454="", J454=""), "[Aviso] División no capturada ()", IF(ISNA(MATCH(J454, Criterios!$A$123:$A$126, 0)), "División no válida", "")), IF(OR(K454="", K454=""), "[Aviso] Categoría no capturada ()", IF(ISNA(MATCH(K454, Criterios!$A$81:$A$120, 0)), "Categoría no válida", IF(AND(J454&lt;&gt;"", J454&lt;&gt;"", J454&lt;&gt;VLOOKUP(K454, Criterios!$A$81:$B$120, 2, FALSE)), "División no coincide con Categoría", ""))), IF(OR(L454="", L454=""), "[Aviso] Género no capturado ()", IF(ISNA(MATCH(L454, Criterios!$B$123:$B$127, 0)), "Género no válido", "")), IF(OR(N454="", N454=""), "[Aviso] Temporada no capturada ()", IF(ISNA(MATCH(N454, Criterios!$C$123:$C$128, 0)), "Temporada no válida", "")), IF(OR(O454="", O454=""), "[Aviso] Ciclo de vida no capturado ()", IF(ISNA(MATCH(O454, Criterios!$D$123:$D$124, 0)), "Ciclo de vida no válido", ""))))</f>
        <v/>
      </c>
      <c r="AC454" s="56" t="n"/>
      <c r="AD454" s="51" t="n">
        <v>2</v>
      </c>
      <c r="AE454" s="156" t="n"/>
      <c r="AF454" s="51" t="n">
        <v>2</v>
      </c>
      <c r="AG454" s="156" t="inlineStr">
        <is>
          <t>Nuevo – NetSuite con existencia</t>
        </is>
      </c>
      <c r="AH45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4" s="156" t="inlineStr">
        <is>
          <t>No</t>
        </is>
      </c>
      <c r="AJ454" s="156" t="n"/>
      <c r="AK454" s="155" t="inlineStr">
        <is>
          <t>G1522_Extraccion_Articulos_NetSuite_2026-09-30.xlsx: fila 43881</t>
        </is>
      </c>
      <c r="AL454" s="58" t="n"/>
      <c r="AM454" s="58" t="n"/>
      <c r="AN454" s="155" t="n"/>
      <c r="AO454" s="59" t="n"/>
      <c r="AP454" s="59" t="n"/>
      <c r="AQ454" s="59" t="n"/>
      <c r="AR454" s="155" t="n"/>
    </row>
    <row r="455">
      <c r="A455" s="50" t="inlineStr">
        <is>
          <t>5056658709487</t>
        </is>
      </c>
      <c r="B455" s="51" t="inlineStr">
        <is>
          <t>91127</t>
        </is>
      </c>
      <c r="C455" s="156" t="inlineStr">
        <is>
          <t>REFLO</t>
        </is>
      </c>
      <c r="D455" s="156" t="n"/>
      <c r="E455" s="156" t="n"/>
      <c r="F455" s="156" t="n"/>
      <c r="G455" s="156" t="n"/>
      <c r="H455" s="156" t="inlineStr">
        <is>
          <t>REFLO</t>
        </is>
      </c>
      <c r="I455" s="156" t="n"/>
      <c r="J455" s="156" t="n"/>
      <c r="K455" s="156" t="n"/>
      <c r="L455" s="156" t="n"/>
      <c r="M455" s="156" t="n"/>
      <c r="N455" s="156" t="n"/>
      <c r="O455" s="156" t="n"/>
      <c r="P455" s="156" t="n"/>
      <c r="Q455" s="156" t="n"/>
      <c r="R455" s="156" t="n"/>
      <c r="S455" s="156" t="n"/>
      <c r="T455" s="156" t="n"/>
      <c r="U455" s="156" t="n"/>
      <c r="V455" s="156" t="inlineStr">
        <is>
          <t>PZS</t>
        </is>
      </c>
      <c r="W455" s="51" t="inlineStr">
        <is>
          <t>53101602</t>
        </is>
      </c>
      <c r="X455" s="156" t="n"/>
      <c r="Y455" s="54" t="n">
        <v>22.75</v>
      </c>
      <c r="Z455" s="54" t="n">
        <v>1649</v>
      </c>
      <c r="AA455" s="55">
        <f>IF(AND(A455="", B455="", E455=""), "", IF(AB455="", "Válido", IF((LEN(AB455)-LEN(SUBSTITUTE(AB455,"; ","")))/2+1&gt;(LEN(AB455)-LEN(SUBSTITUTE(AB455,"[Aviso]","")))/7, "Con Incidencias", "Válido")))</f>
        <v/>
      </c>
      <c r="AB455" s="56">
        <f>IF(AND(A455="", B455="", E455=""), "", TEXTJOIN("; ", TRUE, IF(OR(TRIM(A455&amp;"")="", ISNUMBER(SEARCH("FALTA", A455))), "UPC faltante/inválido", ""), IF(AND(A455&lt;&gt;"", IFERROR(_xlfn.XMATCH(A455,$A$2:$A$653,0,1)&lt;&gt;_xlfn.XMATCH(A455,$A$2:$A$653,0,-1),FALSE)), "Código de barras duplicado", ""), IF(AND(E455&lt;&gt;"", COUNTIF($E$2:$E$653, E455)&gt;1), "SKU duplicado", ""), IF(OR(J455="", J455=""), "[Aviso] División no capturada ()", IF(ISNA(MATCH(J455, Criterios!$A$123:$A$126, 0)), "División no válida", "")), IF(OR(K455="", K455=""), "[Aviso] Categoría no capturada ()", IF(ISNA(MATCH(K455, Criterios!$A$81:$A$120, 0)), "Categoría no válida", IF(AND(J455&lt;&gt;"", J455&lt;&gt;"", J455&lt;&gt;VLOOKUP(K455, Criterios!$A$81:$B$120, 2, FALSE)), "División no coincide con Categoría", ""))), IF(OR(L455="", L455=""), "[Aviso] Género no capturado ()", IF(ISNA(MATCH(L455, Criterios!$B$123:$B$127, 0)), "Género no válido", "")), IF(OR(N455="", N455=""), "[Aviso] Temporada no capturada ()", IF(ISNA(MATCH(N455, Criterios!$C$123:$C$128, 0)), "Temporada no válida", "")), IF(OR(O455="", O455=""), "[Aviso] Ciclo de vida no capturado ()", IF(ISNA(MATCH(O455, Criterios!$D$123:$D$124, 0)), "Ciclo de vida no válido", ""))))</f>
        <v/>
      </c>
      <c r="AC455" s="56" t="n"/>
      <c r="AD455" s="51" t="n">
        <v>2</v>
      </c>
      <c r="AE455" s="156" t="n"/>
      <c r="AF455" s="51" t="n">
        <v>2</v>
      </c>
      <c r="AG455" s="156" t="inlineStr">
        <is>
          <t>Nuevo – NetSuite con existencia</t>
        </is>
      </c>
      <c r="AH45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5" s="156" t="inlineStr">
        <is>
          <t>No</t>
        </is>
      </c>
      <c r="AJ455" s="156" t="n"/>
      <c r="AK455" s="155" t="inlineStr">
        <is>
          <t>G1522_Extraccion_Articulos_NetSuite_2026-09-30.xlsx: fila 43882</t>
        </is>
      </c>
      <c r="AL455" s="58" t="n"/>
      <c r="AM455" s="58" t="n"/>
      <c r="AN455" s="155" t="n"/>
      <c r="AO455" s="59" t="n"/>
      <c r="AP455" s="59" t="n"/>
      <c r="AQ455" s="59" t="n"/>
      <c r="AR455" s="155" t="n"/>
    </row>
    <row r="456">
      <c r="A456" s="50" t="inlineStr">
        <is>
          <t>5056658709494</t>
        </is>
      </c>
      <c r="B456" s="51" t="inlineStr">
        <is>
          <t>91128</t>
        </is>
      </c>
      <c r="C456" s="156" t="inlineStr">
        <is>
          <t>REFLO</t>
        </is>
      </c>
      <c r="D456" s="156" t="n"/>
      <c r="E456" s="156" t="n"/>
      <c r="F456" s="156" t="n"/>
      <c r="G456" s="156" t="n"/>
      <c r="H456" s="156" t="inlineStr">
        <is>
          <t>REFLO</t>
        </is>
      </c>
      <c r="I456" s="156" t="n"/>
      <c r="J456" s="156" t="n"/>
      <c r="K456" s="156" t="n"/>
      <c r="L456" s="156" t="n"/>
      <c r="M456" s="156" t="n"/>
      <c r="N456" s="156" t="n"/>
      <c r="O456" s="156" t="n"/>
      <c r="P456" s="156" t="n"/>
      <c r="Q456" s="156" t="n"/>
      <c r="R456" s="156" t="n"/>
      <c r="S456" s="156" t="n"/>
      <c r="T456" s="156" t="n"/>
      <c r="U456" s="156" t="n"/>
      <c r="V456" s="156" t="inlineStr">
        <is>
          <t>PZS</t>
        </is>
      </c>
      <c r="W456" s="51" t="inlineStr">
        <is>
          <t>53101602</t>
        </is>
      </c>
      <c r="X456" s="156" t="n"/>
      <c r="Y456" s="54" t="n">
        <v>22.75</v>
      </c>
      <c r="Z456" s="54" t="n">
        <v>1649</v>
      </c>
      <c r="AA456" s="55">
        <f>IF(AND(A456="", B456="", E456=""), "", IF(AB456="", "Válido", IF((LEN(AB456)-LEN(SUBSTITUTE(AB456,"; ","")))/2+1&gt;(LEN(AB456)-LEN(SUBSTITUTE(AB456,"[Aviso]","")))/7, "Con Incidencias", "Válido")))</f>
        <v/>
      </c>
      <c r="AB456" s="56">
        <f>IF(AND(A456="", B456="", E456=""), "", TEXTJOIN("; ", TRUE, IF(OR(TRIM(A456&amp;"")="", ISNUMBER(SEARCH("FALTA", A456))), "UPC faltante/inválido", ""), IF(AND(A456&lt;&gt;"", IFERROR(_xlfn.XMATCH(A456,$A$2:$A$653,0,1)&lt;&gt;_xlfn.XMATCH(A456,$A$2:$A$653,0,-1),FALSE)), "Código de barras duplicado", ""), IF(AND(E456&lt;&gt;"", COUNTIF($E$2:$E$653, E456)&gt;1), "SKU duplicado", ""), IF(OR(J456="", J456=""), "[Aviso] División no capturada ()", IF(ISNA(MATCH(J456, Criterios!$A$123:$A$126, 0)), "División no válida", "")), IF(OR(K456="", K456=""), "[Aviso] Categoría no capturada ()", IF(ISNA(MATCH(K456, Criterios!$A$81:$A$120, 0)), "Categoría no válida", IF(AND(J456&lt;&gt;"", J456&lt;&gt;"", J456&lt;&gt;VLOOKUP(K456, Criterios!$A$81:$B$120, 2, FALSE)), "División no coincide con Categoría", ""))), IF(OR(L456="", L456=""), "[Aviso] Género no capturado ()", IF(ISNA(MATCH(L456, Criterios!$B$123:$B$127, 0)), "Género no válido", "")), IF(OR(N456="", N456=""), "[Aviso] Temporada no capturada ()", IF(ISNA(MATCH(N456, Criterios!$C$123:$C$128, 0)), "Temporada no válida", "")), IF(OR(O456="", O456=""), "[Aviso] Ciclo de vida no capturado ()", IF(ISNA(MATCH(O456, Criterios!$D$123:$D$124, 0)), "Ciclo de vida no válido", ""))))</f>
        <v/>
      </c>
      <c r="AC456" s="56" t="n"/>
      <c r="AD456" s="51" t="n">
        <v>4</v>
      </c>
      <c r="AE456" s="156" t="n"/>
      <c r="AF456" s="51" t="n">
        <v>4</v>
      </c>
      <c r="AG456" s="156" t="inlineStr">
        <is>
          <t>Nuevo – NetSuite con existencia</t>
        </is>
      </c>
      <c r="AH45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6" s="156" t="inlineStr">
        <is>
          <t>No</t>
        </is>
      </c>
      <c r="AJ456" s="156" t="n"/>
      <c r="AK456" s="155" t="inlineStr">
        <is>
          <t>G1522_Extraccion_Articulos_NetSuite_2026-09-30.xlsx: fila 43883</t>
        </is>
      </c>
      <c r="AL456" s="58" t="n"/>
      <c r="AM456" s="58" t="n"/>
      <c r="AN456" s="155" t="n"/>
      <c r="AO456" s="59" t="n"/>
      <c r="AP456" s="59" t="n"/>
      <c r="AQ456" s="59" t="n"/>
      <c r="AR456" s="155" t="n"/>
    </row>
    <row r="457">
      <c r="A457" s="50" t="inlineStr">
        <is>
          <t>5056658709500</t>
        </is>
      </c>
      <c r="B457" s="51" t="inlineStr">
        <is>
          <t>91129</t>
        </is>
      </c>
      <c r="C457" s="156" t="inlineStr">
        <is>
          <t>REFLO</t>
        </is>
      </c>
      <c r="D457" s="156" t="n"/>
      <c r="E457" s="156" t="n"/>
      <c r="F457" s="156" t="n"/>
      <c r="G457" s="156" t="n"/>
      <c r="H457" s="156" t="inlineStr">
        <is>
          <t>REFLO</t>
        </is>
      </c>
      <c r="I457" s="156" t="n"/>
      <c r="J457" s="156" t="n"/>
      <c r="K457" s="156" t="n"/>
      <c r="L457" s="156" t="n"/>
      <c r="M457" s="156" t="n"/>
      <c r="N457" s="156" t="n"/>
      <c r="O457" s="156" t="n"/>
      <c r="P457" s="156" t="n"/>
      <c r="Q457" s="156" t="n"/>
      <c r="R457" s="156" t="n"/>
      <c r="S457" s="156" t="n"/>
      <c r="T457" s="156" t="n"/>
      <c r="U457" s="156" t="n"/>
      <c r="V457" s="156" t="inlineStr">
        <is>
          <t>PZS</t>
        </is>
      </c>
      <c r="W457" s="51" t="inlineStr">
        <is>
          <t>53101602</t>
        </is>
      </c>
      <c r="X457" s="156" t="n"/>
      <c r="Y457" s="54" t="n">
        <v>22.75</v>
      </c>
      <c r="Z457" s="54" t="n">
        <v>1649</v>
      </c>
      <c r="AA457" s="55">
        <f>IF(AND(A457="", B457="", E457=""), "", IF(AB457="", "Válido", IF((LEN(AB457)-LEN(SUBSTITUTE(AB457,"; ","")))/2+1&gt;(LEN(AB457)-LEN(SUBSTITUTE(AB457,"[Aviso]","")))/7, "Con Incidencias", "Válido")))</f>
        <v/>
      </c>
      <c r="AB457" s="56">
        <f>IF(AND(A457="", B457="", E457=""), "", TEXTJOIN("; ", TRUE, IF(OR(TRIM(A457&amp;"")="", ISNUMBER(SEARCH("FALTA", A457))), "UPC faltante/inválido", ""), IF(AND(A457&lt;&gt;"", IFERROR(_xlfn.XMATCH(A457,$A$2:$A$653,0,1)&lt;&gt;_xlfn.XMATCH(A457,$A$2:$A$653,0,-1),FALSE)), "Código de barras duplicado", ""), IF(AND(E457&lt;&gt;"", COUNTIF($E$2:$E$653, E457)&gt;1), "SKU duplicado", ""), IF(OR(J457="", J457=""), "[Aviso] División no capturada ()", IF(ISNA(MATCH(J457, Criterios!$A$123:$A$126, 0)), "División no válida", "")), IF(OR(K457="", K457=""), "[Aviso] Categoría no capturada ()", IF(ISNA(MATCH(K457, Criterios!$A$81:$A$120, 0)), "Categoría no válida", IF(AND(J457&lt;&gt;"", J457&lt;&gt;"", J457&lt;&gt;VLOOKUP(K457, Criterios!$A$81:$B$120, 2, FALSE)), "División no coincide con Categoría", ""))), IF(OR(L457="", L457=""), "[Aviso] Género no capturado ()", IF(ISNA(MATCH(L457, Criterios!$B$123:$B$127, 0)), "Género no válido", "")), IF(OR(N457="", N457=""), "[Aviso] Temporada no capturada ()", IF(ISNA(MATCH(N457, Criterios!$C$123:$C$128, 0)), "Temporada no válida", "")), IF(OR(O457="", O457=""), "[Aviso] Ciclo de vida no capturado ()", IF(ISNA(MATCH(O457, Criterios!$D$123:$D$124, 0)), "Ciclo de vida no válido", ""))))</f>
        <v/>
      </c>
      <c r="AC457" s="56" t="n"/>
      <c r="AD457" s="51" t="n">
        <v>2</v>
      </c>
      <c r="AE457" s="156" t="n"/>
      <c r="AF457" s="51" t="n">
        <v>2</v>
      </c>
      <c r="AG457" s="156" t="inlineStr">
        <is>
          <t>Nuevo – NetSuite con existencia</t>
        </is>
      </c>
      <c r="AH45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7" s="156" t="inlineStr">
        <is>
          <t>No</t>
        </is>
      </c>
      <c r="AJ457" s="156" t="n"/>
      <c r="AK457" s="155" t="inlineStr">
        <is>
          <t>G1522_Extraccion_Articulos_NetSuite_2026-09-30.xlsx: fila 43884</t>
        </is>
      </c>
      <c r="AL457" s="58" t="n"/>
      <c r="AM457" s="58" t="n"/>
      <c r="AN457" s="155" t="n"/>
      <c r="AO457" s="59" t="n"/>
      <c r="AP457" s="59" t="n"/>
      <c r="AQ457" s="59" t="n"/>
      <c r="AR457" s="155" t="n"/>
    </row>
    <row r="458">
      <c r="A458" s="50" t="inlineStr">
        <is>
          <t>5056658709524</t>
        </is>
      </c>
      <c r="B458" s="51" t="inlineStr">
        <is>
          <t>91130</t>
        </is>
      </c>
      <c r="C458" s="156" t="inlineStr">
        <is>
          <t>REFLO</t>
        </is>
      </c>
      <c r="D458" s="156" t="n"/>
      <c r="E458" s="156" t="n"/>
      <c r="F458" s="156" t="n"/>
      <c r="G458" s="156" t="n"/>
      <c r="H458" s="156" t="inlineStr">
        <is>
          <t>REFLO</t>
        </is>
      </c>
      <c r="I458" s="156" t="n"/>
      <c r="J458" s="156" t="n"/>
      <c r="K458" s="156" t="n"/>
      <c r="L458" s="156" t="n"/>
      <c r="M458" s="156" t="n"/>
      <c r="N458" s="156" t="n"/>
      <c r="O458" s="156" t="n"/>
      <c r="P458" s="156" t="n"/>
      <c r="Q458" s="156" t="n"/>
      <c r="R458" s="156" t="n"/>
      <c r="S458" s="156" t="n"/>
      <c r="T458" s="156" t="n"/>
      <c r="U458" s="156" t="n"/>
      <c r="V458" s="156" t="inlineStr">
        <is>
          <t>PZS</t>
        </is>
      </c>
      <c r="W458" s="51" t="inlineStr">
        <is>
          <t>53101602</t>
        </is>
      </c>
      <c r="X458" s="156" t="n"/>
      <c r="Y458" s="54" t="n">
        <v>22.75</v>
      </c>
      <c r="Z458" s="54" t="n">
        <v>1649</v>
      </c>
      <c r="AA458" s="55">
        <f>IF(AND(A458="", B458="", E458=""), "", IF(AB458="", "Válido", IF((LEN(AB458)-LEN(SUBSTITUTE(AB458,"; ","")))/2+1&gt;(LEN(AB458)-LEN(SUBSTITUTE(AB458,"[Aviso]","")))/7, "Con Incidencias", "Válido")))</f>
        <v/>
      </c>
      <c r="AB458" s="56">
        <f>IF(AND(A458="", B458="", E458=""), "", TEXTJOIN("; ", TRUE, IF(OR(TRIM(A458&amp;"")="", ISNUMBER(SEARCH("FALTA", A458))), "UPC faltante/inválido", ""), IF(AND(A458&lt;&gt;"", IFERROR(_xlfn.XMATCH(A458,$A$2:$A$653,0,1)&lt;&gt;_xlfn.XMATCH(A458,$A$2:$A$653,0,-1),FALSE)), "Código de barras duplicado", ""), IF(AND(E458&lt;&gt;"", COUNTIF($E$2:$E$653, E458)&gt;1), "SKU duplicado", ""), IF(OR(J458="", J458=""), "[Aviso] División no capturada ()", IF(ISNA(MATCH(J458, Criterios!$A$123:$A$126, 0)), "División no válida", "")), IF(OR(K458="", K458=""), "[Aviso] Categoría no capturada ()", IF(ISNA(MATCH(K458, Criterios!$A$81:$A$120, 0)), "Categoría no válida", IF(AND(J458&lt;&gt;"", J458&lt;&gt;"", J458&lt;&gt;VLOOKUP(K458, Criterios!$A$81:$B$120, 2, FALSE)), "División no coincide con Categoría", ""))), IF(OR(L458="", L458=""), "[Aviso] Género no capturado ()", IF(ISNA(MATCH(L458, Criterios!$B$123:$B$127, 0)), "Género no válido", "")), IF(OR(N458="", N458=""), "[Aviso] Temporada no capturada ()", IF(ISNA(MATCH(N458, Criterios!$C$123:$C$128, 0)), "Temporada no válida", "")), IF(OR(O458="", O458=""), "[Aviso] Ciclo de vida no capturado ()", IF(ISNA(MATCH(O458, Criterios!$D$123:$D$124, 0)), "Ciclo de vida no válido", ""))))</f>
        <v/>
      </c>
      <c r="AC458" s="56" t="n"/>
      <c r="AD458" s="51" t="n">
        <v>2</v>
      </c>
      <c r="AE458" s="156" t="n"/>
      <c r="AF458" s="51" t="n">
        <v>2</v>
      </c>
      <c r="AG458" s="156" t="inlineStr">
        <is>
          <t>Nuevo – NetSuite con existencia</t>
        </is>
      </c>
      <c r="AH45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8" s="156" t="inlineStr">
        <is>
          <t>No</t>
        </is>
      </c>
      <c r="AJ458" s="156" t="n"/>
      <c r="AK458" s="155" t="inlineStr">
        <is>
          <t>G1522_Extraccion_Articulos_NetSuite_2026-09-30.xlsx: fila 43885</t>
        </is>
      </c>
      <c r="AL458" s="58" t="n"/>
      <c r="AM458" s="58" t="n"/>
      <c r="AN458" s="155" t="n"/>
      <c r="AO458" s="59" t="n"/>
      <c r="AP458" s="59" t="n"/>
      <c r="AQ458" s="59" t="n"/>
      <c r="AR458" s="155" t="n"/>
    </row>
    <row r="459">
      <c r="A459" s="50" t="inlineStr">
        <is>
          <t>5056658709531</t>
        </is>
      </c>
      <c r="B459" s="51" t="inlineStr">
        <is>
          <t>91131</t>
        </is>
      </c>
      <c r="C459" s="156" t="inlineStr">
        <is>
          <t>REFLO</t>
        </is>
      </c>
      <c r="D459" s="156" t="n"/>
      <c r="E459" s="156" t="n"/>
      <c r="F459" s="156" t="n"/>
      <c r="G459" s="156" t="n"/>
      <c r="H459" s="156" t="inlineStr">
        <is>
          <t>REFLO</t>
        </is>
      </c>
      <c r="I459" s="156" t="n"/>
      <c r="J459" s="156" t="n"/>
      <c r="K459" s="156" t="n"/>
      <c r="L459" s="156" t="n"/>
      <c r="M459" s="156" t="n"/>
      <c r="N459" s="156" t="n"/>
      <c r="O459" s="156" t="n"/>
      <c r="P459" s="156" t="n"/>
      <c r="Q459" s="156" t="n"/>
      <c r="R459" s="156" t="n"/>
      <c r="S459" s="156" t="n"/>
      <c r="T459" s="156" t="n"/>
      <c r="U459" s="156" t="n"/>
      <c r="V459" s="156" t="inlineStr">
        <is>
          <t>PZS</t>
        </is>
      </c>
      <c r="W459" s="51" t="inlineStr">
        <is>
          <t>53101602</t>
        </is>
      </c>
      <c r="X459" s="156" t="n"/>
      <c r="Y459" s="54" t="n">
        <v>22.75</v>
      </c>
      <c r="Z459" s="54" t="n">
        <v>1649</v>
      </c>
      <c r="AA459" s="55">
        <f>IF(AND(A459="", B459="", E459=""), "", IF(AB459="", "Válido", IF((LEN(AB459)-LEN(SUBSTITUTE(AB459,"; ","")))/2+1&gt;(LEN(AB459)-LEN(SUBSTITUTE(AB459,"[Aviso]","")))/7, "Con Incidencias", "Válido")))</f>
        <v/>
      </c>
      <c r="AB459" s="56">
        <f>IF(AND(A459="", B459="", E459=""), "", TEXTJOIN("; ", TRUE, IF(OR(TRIM(A459&amp;"")="", ISNUMBER(SEARCH("FALTA", A459))), "UPC faltante/inválido", ""), IF(AND(A459&lt;&gt;"", IFERROR(_xlfn.XMATCH(A459,$A$2:$A$653,0,1)&lt;&gt;_xlfn.XMATCH(A459,$A$2:$A$653,0,-1),FALSE)), "Código de barras duplicado", ""), IF(AND(E459&lt;&gt;"", COUNTIF($E$2:$E$653, E459)&gt;1), "SKU duplicado", ""), IF(OR(J459="", J459=""), "[Aviso] División no capturada ()", IF(ISNA(MATCH(J459, Criterios!$A$123:$A$126, 0)), "División no válida", "")), IF(OR(K459="", K459=""), "[Aviso] Categoría no capturada ()", IF(ISNA(MATCH(K459, Criterios!$A$81:$A$120, 0)), "Categoría no válida", IF(AND(J459&lt;&gt;"", J459&lt;&gt;"", J459&lt;&gt;VLOOKUP(K459, Criterios!$A$81:$B$120, 2, FALSE)), "División no coincide con Categoría", ""))), IF(OR(L459="", L459=""), "[Aviso] Género no capturado ()", IF(ISNA(MATCH(L459, Criterios!$B$123:$B$127, 0)), "Género no válido", "")), IF(OR(N459="", N459=""), "[Aviso] Temporada no capturada ()", IF(ISNA(MATCH(N459, Criterios!$C$123:$C$128, 0)), "Temporada no válida", "")), IF(OR(O459="", O459=""), "[Aviso] Ciclo de vida no capturado ()", IF(ISNA(MATCH(O459, Criterios!$D$123:$D$124, 0)), "Ciclo de vida no válido", ""))))</f>
        <v/>
      </c>
      <c r="AC459" s="56" t="n"/>
      <c r="AD459" s="51" t="n">
        <v>3</v>
      </c>
      <c r="AE459" s="156" t="n"/>
      <c r="AF459" s="51" t="n">
        <v>3</v>
      </c>
      <c r="AG459" s="156" t="inlineStr">
        <is>
          <t>Nuevo – NetSuite con existencia</t>
        </is>
      </c>
      <c r="AH45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9" s="156" t="inlineStr">
        <is>
          <t>No</t>
        </is>
      </c>
      <c r="AJ459" s="156" t="n"/>
      <c r="AK459" s="155" t="inlineStr">
        <is>
          <t>G1522_Extraccion_Articulos_NetSuite_2026-09-30.xlsx: fila 43886</t>
        </is>
      </c>
      <c r="AL459" s="58" t="n"/>
      <c r="AM459" s="58" t="n"/>
      <c r="AN459" s="155" t="n"/>
      <c r="AO459" s="59" t="n"/>
      <c r="AP459" s="59" t="n"/>
      <c r="AQ459" s="59" t="n"/>
      <c r="AR459" s="155" t="n"/>
    </row>
    <row r="460">
      <c r="A460" s="50" t="inlineStr">
        <is>
          <t>5056658709548</t>
        </is>
      </c>
      <c r="B460" s="51" t="inlineStr">
        <is>
          <t>91132</t>
        </is>
      </c>
      <c r="C460" s="156" t="inlineStr">
        <is>
          <t>REFLO</t>
        </is>
      </c>
      <c r="D460" s="156" t="n"/>
      <c r="E460" s="156" t="n"/>
      <c r="F460" s="156" t="n"/>
      <c r="G460" s="156" t="n"/>
      <c r="H460" s="156" t="inlineStr">
        <is>
          <t>REFLO</t>
        </is>
      </c>
      <c r="I460" s="156" t="n"/>
      <c r="J460" s="156" t="n"/>
      <c r="K460" s="156" t="n"/>
      <c r="L460" s="156" t="n"/>
      <c r="M460" s="156" t="n"/>
      <c r="N460" s="156" t="n"/>
      <c r="O460" s="156" t="n"/>
      <c r="P460" s="156" t="n"/>
      <c r="Q460" s="156" t="n"/>
      <c r="R460" s="156" t="n"/>
      <c r="S460" s="156" t="n"/>
      <c r="T460" s="156" t="n"/>
      <c r="U460" s="156" t="n"/>
      <c r="V460" s="156" t="inlineStr">
        <is>
          <t>PZS</t>
        </is>
      </c>
      <c r="W460" s="51" t="inlineStr">
        <is>
          <t>53101602</t>
        </is>
      </c>
      <c r="X460" s="156" t="n"/>
      <c r="Y460" s="54" t="n">
        <v>22.75</v>
      </c>
      <c r="Z460" s="54" t="n">
        <v>1649</v>
      </c>
      <c r="AA460" s="55">
        <f>IF(AND(A460="", B460="", E460=""), "", IF(AB460="", "Válido", IF((LEN(AB460)-LEN(SUBSTITUTE(AB460,"; ","")))/2+1&gt;(LEN(AB460)-LEN(SUBSTITUTE(AB460,"[Aviso]","")))/7, "Con Incidencias", "Válido")))</f>
        <v/>
      </c>
      <c r="AB460" s="56">
        <f>IF(AND(A460="", B460="", E460=""), "", TEXTJOIN("; ", TRUE, IF(OR(TRIM(A460&amp;"")="", ISNUMBER(SEARCH("FALTA", A460))), "UPC faltante/inválido", ""), IF(AND(A460&lt;&gt;"", IFERROR(_xlfn.XMATCH(A460,$A$2:$A$653,0,1)&lt;&gt;_xlfn.XMATCH(A460,$A$2:$A$653,0,-1),FALSE)), "Código de barras duplicado", ""), IF(AND(E460&lt;&gt;"", COUNTIF($E$2:$E$653, E460)&gt;1), "SKU duplicado", ""), IF(OR(J460="", J460=""), "[Aviso] División no capturada ()", IF(ISNA(MATCH(J460, Criterios!$A$123:$A$126, 0)), "División no válida", "")), IF(OR(K460="", K460=""), "[Aviso] Categoría no capturada ()", IF(ISNA(MATCH(K460, Criterios!$A$81:$A$120, 0)), "Categoría no válida", IF(AND(J460&lt;&gt;"", J460&lt;&gt;"", J460&lt;&gt;VLOOKUP(K460, Criterios!$A$81:$B$120, 2, FALSE)), "División no coincide con Categoría", ""))), IF(OR(L460="", L460=""), "[Aviso] Género no capturado ()", IF(ISNA(MATCH(L460, Criterios!$B$123:$B$127, 0)), "Género no válido", "")), IF(OR(N460="", N460=""), "[Aviso] Temporada no capturada ()", IF(ISNA(MATCH(N460, Criterios!$C$123:$C$128, 0)), "Temporada no válida", "")), IF(OR(O460="", O460=""), "[Aviso] Ciclo de vida no capturado ()", IF(ISNA(MATCH(O460, Criterios!$D$123:$D$124, 0)), "Ciclo de vida no válido", ""))))</f>
        <v/>
      </c>
      <c r="AC460" s="56" t="n"/>
      <c r="AD460" s="51" t="n">
        <v>6</v>
      </c>
      <c r="AE460" s="156" t="n"/>
      <c r="AF460" s="51" t="n">
        <v>6</v>
      </c>
      <c r="AG460" s="156" t="inlineStr">
        <is>
          <t>Nuevo – NetSuite con existencia</t>
        </is>
      </c>
      <c r="AH46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0" s="156" t="inlineStr">
        <is>
          <t>No</t>
        </is>
      </c>
      <c r="AJ460" s="156" t="n"/>
      <c r="AK460" s="155" t="inlineStr">
        <is>
          <t>G1522_Extraccion_Articulos_NetSuite_2026-09-30.xlsx: fila 43887</t>
        </is>
      </c>
      <c r="AL460" s="58" t="n"/>
      <c r="AM460" s="58" t="n"/>
      <c r="AN460" s="155" t="n"/>
      <c r="AO460" s="59" t="n"/>
      <c r="AP460" s="59" t="n"/>
      <c r="AQ460" s="59" t="n"/>
      <c r="AR460" s="155" t="n"/>
    </row>
    <row r="461">
      <c r="A461" s="50" t="inlineStr">
        <is>
          <t>5056658709555</t>
        </is>
      </c>
      <c r="B461" s="51" t="inlineStr">
        <is>
          <t>91133</t>
        </is>
      </c>
      <c r="C461" s="156" t="inlineStr">
        <is>
          <t>REFLO</t>
        </is>
      </c>
      <c r="D461" s="156" t="n"/>
      <c r="E461" s="156" t="n"/>
      <c r="F461" s="156" t="n"/>
      <c r="G461" s="156" t="n"/>
      <c r="H461" s="156" t="inlineStr">
        <is>
          <t>REFLO</t>
        </is>
      </c>
      <c r="I461" s="156" t="n"/>
      <c r="J461" s="156" t="n"/>
      <c r="K461" s="156" t="n"/>
      <c r="L461" s="156" t="n"/>
      <c r="M461" s="156" t="n"/>
      <c r="N461" s="156" t="n"/>
      <c r="O461" s="156" t="n"/>
      <c r="P461" s="156" t="n"/>
      <c r="Q461" s="156" t="n"/>
      <c r="R461" s="156" t="n"/>
      <c r="S461" s="156" t="n"/>
      <c r="T461" s="156" t="n"/>
      <c r="U461" s="156" t="n"/>
      <c r="V461" s="156" t="inlineStr">
        <is>
          <t>PZS</t>
        </is>
      </c>
      <c r="W461" s="51" t="inlineStr">
        <is>
          <t>53101602</t>
        </is>
      </c>
      <c r="X461" s="156" t="n"/>
      <c r="Y461" s="54" t="n">
        <v>22.75</v>
      </c>
      <c r="Z461" s="54" t="n">
        <v>1649</v>
      </c>
      <c r="AA461" s="55">
        <f>IF(AND(A461="", B461="", E461=""), "", IF(AB461="", "Válido", IF((LEN(AB461)-LEN(SUBSTITUTE(AB461,"; ","")))/2+1&gt;(LEN(AB461)-LEN(SUBSTITUTE(AB461,"[Aviso]","")))/7, "Con Incidencias", "Válido")))</f>
        <v/>
      </c>
      <c r="AB461" s="56">
        <f>IF(AND(A461="", B461="", E461=""), "", TEXTJOIN("; ", TRUE, IF(OR(TRIM(A461&amp;"")="", ISNUMBER(SEARCH("FALTA", A461))), "UPC faltante/inválido", ""), IF(AND(A461&lt;&gt;"", IFERROR(_xlfn.XMATCH(A461,$A$2:$A$653,0,1)&lt;&gt;_xlfn.XMATCH(A461,$A$2:$A$653,0,-1),FALSE)), "Código de barras duplicado", ""), IF(AND(E461&lt;&gt;"", COUNTIF($E$2:$E$653, E461)&gt;1), "SKU duplicado", ""), IF(OR(J461="", J461=""), "[Aviso] División no capturada ()", IF(ISNA(MATCH(J461, Criterios!$A$123:$A$126, 0)), "División no válida", "")), IF(OR(K461="", K461=""), "[Aviso] Categoría no capturada ()", IF(ISNA(MATCH(K461, Criterios!$A$81:$A$120, 0)), "Categoría no válida", IF(AND(J461&lt;&gt;"", J461&lt;&gt;"", J461&lt;&gt;VLOOKUP(K461, Criterios!$A$81:$B$120, 2, FALSE)), "División no coincide con Categoría", ""))), IF(OR(L461="", L461=""), "[Aviso] Género no capturado ()", IF(ISNA(MATCH(L461, Criterios!$B$123:$B$127, 0)), "Género no válido", "")), IF(OR(N461="", N461=""), "[Aviso] Temporada no capturada ()", IF(ISNA(MATCH(N461, Criterios!$C$123:$C$128, 0)), "Temporada no válida", "")), IF(OR(O461="", O461=""), "[Aviso] Ciclo de vida no capturado ()", IF(ISNA(MATCH(O461, Criterios!$D$123:$D$124, 0)), "Ciclo de vida no válido", ""))))</f>
        <v/>
      </c>
      <c r="AC461" s="56" t="n"/>
      <c r="AD461" s="51" t="n">
        <v>7</v>
      </c>
      <c r="AE461" s="156" t="n"/>
      <c r="AF461" s="51" t="n">
        <v>7</v>
      </c>
      <c r="AG461" s="156" t="inlineStr">
        <is>
          <t>Nuevo – NetSuite con existencia</t>
        </is>
      </c>
      <c r="AH46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1" s="156" t="inlineStr">
        <is>
          <t>No</t>
        </is>
      </c>
      <c r="AJ461" s="156" t="n"/>
      <c r="AK461" s="155" t="inlineStr">
        <is>
          <t>G1522_Extraccion_Articulos_NetSuite_2026-09-30.xlsx: fila 43888</t>
        </is>
      </c>
      <c r="AL461" s="58" t="n"/>
      <c r="AM461" s="58" t="n"/>
      <c r="AN461" s="155" t="n"/>
      <c r="AO461" s="59" t="n"/>
      <c r="AP461" s="59" t="n"/>
      <c r="AQ461" s="59" t="n"/>
      <c r="AR461" s="155" t="n"/>
    </row>
    <row r="462">
      <c r="A462" s="50" t="inlineStr">
        <is>
          <t>5056658709562</t>
        </is>
      </c>
      <c r="B462" s="51" t="inlineStr">
        <is>
          <t>91134</t>
        </is>
      </c>
      <c r="C462" s="156" t="inlineStr">
        <is>
          <t>REFLO</t>
        </is>
      </c>
      <c r="D462" s="156" t="n"/>
      <c r="E462" s="156" t="n"/>
      <c r="F462" s="156" t="n"/>
      <c r="G462" s="156" t="n"/>
      <c r="H462" s="156" t="inlineStr">
        <is>
          <t>REFLO</t>
        </is>
      </c>
      <c r="I462" s="156" t="n"/>
      <c r="J462" s="156" t="n"/>
      <c r="K462" s="156" t="n"/>
      <c r="L462" s="156" t="n"/>
      <c r="M462" s="156" t="n"/>
      <c r="N462" s="156" t="n"/>
      <c r="O462" s="156" t="n"/>
      <c r="P462" s="156" t="n"/>
      <c r="Q462" s="156" t="n"/>
      <c r="R462" s="156" t="n"/>
      <c r="S462" s="156" t="n"/>
      <c r="T462" s="156" t="n"/>
      <c r="U462" s="156" t="n"/>
      <c r="V462" s="156" t="inlineStr">
        <is>
          <t>PZS</t>
        </is>
      </c>
      <c r="W462" s="51" t="inlineStr">
        <is>
          <t>53101602</t>
        </is>
      </c>
      <c r="X462" s="156" t="n"/>
      <c r="Y462" s="54" t="n">
        <v>22.75</v>
      </c>
      <c r="Z462" s="54" t="n">
        <v>1649</v>
      </c>
      <c r="AA462" s="55">
        <f>IF(AND(A462="", B462="", E462=""), "", IF(AB462="", "Válido", IF((LEN(AB462)-LEN(SUBSTITUTE(AB462,"; ","")))/2+1&gt;(LEN(AB462)-LEN(SUBSTITUTE(AB462,"[Aviso]","")))/7, "Con Incidencias", "Válido")))</f>
        <v/>
      </c>
      <c r="AB462" s="56">
        <f>IF(AND(A462="", B462="", E462=""), "", TEXTJOIN("; ", TRUE, IF(OR(TRIM(A462&amp;"")="", ISNUMBER(SEARCH("FALTA", A462))), "UPC faltante/inválido", ""), IF(AND(A462&lt;&gt;"", IFERROR(_xlfn.XMATCH(A462,$A$2:$A$653,0,1)&lt;&gt;_xlfn.XMATCH(A462,$A$2:$A$653,0,-1),FALSE)), "Código de barras duplicado", ""), IF(AND(E462&lt;&gt;"", COUNTIF($E$2:$E$653, E462)&gt;1), "SKU duplicado", ""), IF(OR(J462="", J462=""), "[Aviso] División no capturada ()", IF(ISNA(MATCH(J462, Criterios!$A$123:$A$126, 0)), "División no válida", "")), IF(OR(K462="", K462=""), "[Aviso] Categoría no capturada ()", IF(ISNA(MATCH(K462, Criterios!$A$81:$A$120, 0)), "Categoría no válida", IF(AND(J462&lt;&gt;"", J462&lt;&gt;"", J462&lt;&gt;VLOOKUP(K462, Criterios!$A$81:$B$120, 2, FALSE)), "División no coincide con Categoría", ""))), IF(OR(L462="", L462=""), "[Aviso] Género no capturado ()", IF(ISNA(MATCH(L462, Criterios!$B$123:$B$127, 0)), "Género no válido", "")), IF(OR(N462="", N462=""), "[Aviso] Temporada no capturada ()", IF(ISNA(MATCH(N462, Criterios!$C$123:$C$128, 0)), "Temporada no válida", "")), IF(OR(O462="", O462=""), "[Aviso] Ciclo de vida no capturado ()", IF(ISNA(MATCH(O462, Criterios!$D$123:$D$124, 0)), "Ciclo de vida no válido", ""))))</f>
        <v/>
      </c>
      <c r="AC462" s="56" t="n"/>
      <c r="AD462" s="51" t="n">
        <v>4</v>
      </c>
      <c r="AE462" s="156" t="n"/>
      <c r="AF462" s="51" t="n">
        <v>4</v>
      </c>
      <c r="AG462" s="156" t="inlineStr">
        <is>
          <t>Nuevo – NetSuite con existencia</t>
        </is>
      </c>
      <c r="AH46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2" s="156" t="inlineStr">
        <is>
          <t>No</t>
        </is>
      </c>
      <c r="AJ462" s="156" t="n"/>
      <c r="AK462" s="155" t="inlineStr">
        <is>
          <t>G1522_Extraccion_Articulos_NetSuite_2026-09-30.xlsx: fila 43889</t>
        </is>
      </c>
      <c r="AL462" s="58" t="n"/>
      <c r="AM462" s="58" t="n"/>
      <c r="AN462" s="155" t="n"/>
      <c r="AO462" s="59" t="n"/>
      <c r="AP462" s="59" t="n"/>
      <c r="AQ462" s="59" t="n"/>
      <c r="AR462" s="155" t="n"/>
    </row>
    <row r="463">
      <c r="A463" s="50" t="inlineStr">
        <is>
          <t>5056658714078</t>
        </is>
      </c>
      <c r="B463" s="51" t="inlineStr">
        <is>
          <t>91135</t>
        </is>
      </c>
      <c r="C463" s="156" t="inlineStr">
        <is>
          <t>REFLO</t>
        </is>
      </c>
      <c r="D463" s="156" t="n"/>
      <c r="E463" s="156" t="n"/>
      <c r="F463" s="156" t="n"/>
      <c r="G463" s="156" t="n"/>
      <c r="H463" s="156" t="inlineStr">
        <is>
          <t>REFLO</t>
        </is>
      </c>
      <c r="I463" s="156" t="n"/>
      <c r="J463" s="156" t="n"/>
      <c r="K463" s="156" t="n"/>
      <c r="L463" s="156" t="n"/>
      <c r="M463" s="156" t="n"/>
      <c r="N463" s="156" t="n"/>
      <c r="O463" s="156" t="n"/>
      <c r="P463" s="156" t="n"/>
      <c r="Q463" s="156" t="n"/>
      <c r="R463" s="156" t="n"/>
      <c r="S463" s="156" t="n"/>
      <c r="T463" s="156" t="n"/>
      <c r="U463" s="156" t="n"/>
      <c r="V463" s="156" t="inlineStr">
        <is>
          <t>PZS</t>
        </is>
      </c>
      <c r="W463" s="51" t="inlineStr">
        <is>
          <t>53101602</t>
        </is>
      </c>
      <c r="X463" s="156" t="n"/>
      <c r="Y463" s="54" t="n">
        <v>22.75</v>
      </c>
      <c r="Z463" s="54" t="n">
        <v>1649</v>
      </c>
      <c r="AA463" s="55">
        <f>IF(AND(A463="", B463="", E463=""), "", IF(AB463="", "Válido", IF((LEN(AB463)-LEN(SUBSTITUTE(AB463,"; ","")))/2+1&gt;(LEN(AB463)-LEN(SUBSTITUTE(AB463,"[Aviso]","")))/7, "Con Incidencias", "Válido")))</f>
        <v/>
      </c>
      <c r="AB463" s="56">
        <f>IF(AND(A463="", B463="", E463=""), "", TEXTJOIN("; ", TRUE, IF(OR(TRIM(A463&amp;"")="", ISNUMBER(SEARCH("FALTA", A463))), "UPC faltante/inválido", ""), IF(AND(A463&lt;&gt;"", IFERROR(_xlfn.XMATCH(A463,$A$2:$A$653,0,1)&lt;&gt;_xlfn.XMATCH(A463,$A$2:$A$653,0,-1),FALSE)), "Código de barras duplicado", ""), IF(AND(E463&lt;&gt;"", COUNTIF($E$2:$E$653, E463)&gt;1), "SKU duplicado", ""), IF(OR(J463="", J463=""), "[Aviso] División no capturada ()", IF(ISNA(MATCH(J463, Criterios!$A$123:$A$126, 0)), "División no válida", "")), IF(OR(K463="", K463=""), "[Aviso] Categoría no capturada ()", IF(ISNA(MATCH(K463, Criterios!$A$81:$A$120, 0)), "Categoría no válida", IF(AND(J463&lt;&gt;"", J463&lt;&gt;"", J463&lt;&gt;VLOOKUP(K463, Criterios!$A$81:$B$120, 2, FALSE)), "División no coincide con Categoría", ""))), IF(OR(L463="", L463=""), "[Aviso] Género no capturado ()", IF(ISNA(MATCH(L463, Criterios!$B$123:$B$127, 0)), "Género no válido", "")), IF(OR(N463="", N463=""), "[Aviso] Temporada no capturada ()", IF(ISNA(MATCH(N463, Criterios!$C$123:$C$128, 0)), "Temporada no válida", "")), IF(OR(O463="", O463=""), "[Aviso] Ciclo de vida no capturado ()", IF(ISNA(MATCH(O463, Criterios!$D$123:$D$124, 0)), "Ciclo de vida no válido", ""))))</f>
        <v/>
      </c>
      <c r="AC463" s="56" t="n"/>
      <c r="AD463" s="51" t="n">
        <v>2</v>
      </c>
      <c r="AE463" s="156" t="n"/>
      <c r="AF463" s="51" t="n">
        <v>2</v>
      </c>
      <c r="AG463" s="156" t="inlineStr">
        <is>
          <t>Nuevo – NetSuite con existencia</t>
        </is>
      </c>
      <c r="AH46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3" s="156" t="inlineStr">
        <is>
          <t>No</t>
        </is>
      </c>
      <c r="AJ463" s="156" t="n"/>
      <c r="AK463" s="155" t="inlineStr">
        <is>
          <t>G1522_Extraccion_Articulos_NetSuite_2026-09-30.xlsx: fila 43890</t>
        </is>
      </c>
      <c r="AL463" s="58" t="n"/>
      <c r="AM463" s="58" t="n"/>
      <c r="AN463" s="155" t="n"/>
      <c r="AO463" s="59" t="n"/>
      <c r="AP463" s="59" t="n"/>
      <c r="AQ463" s="59" t="n"/>
      <c r="AR463" s="155" t="n"/>
    </row>
    <row r="464">
      <c r="A464" s="50" t="inlineStr">
        <is>
          <t>5056658709104</t>
        </is>
      </c>
      <c r="B464" s="51" t="inlineStr">
        <is>
          <t>91136</t>
        </is>
      </c>
      <c r="C464" s="156" t="inlineStr">
        <is>
          <t>REFLO</t>
        </is>
      </c>
      <c r="D464" s="156" t="n"/>
      <c r="E464" s="156" t="n"/>
      <c r="F464" s="156" t="n"/>
      <c r="G464" s="156" t="n"/>
      <c r="H464" s="156" t="inlineStr">
        <is>
          <t>REFLO</t>
        </is>
      </c>
      <c r="I464" s="156" t="n"/>
      <c r="J464" s="156" t="n"/>
      <c r="K464" s="156" t="n"/>
      <c r="L464" s="156" t="n"/>
      <c r="M464" s="156" t="n"/>
      <c r="N464" s="156" t="n"/>
      <c r="O464" s="156" t="n"/>
      <c r="P464" s="156" t="n"/>
      <c r="Q464" s="156" t="n"/>
      <c r="R464" s="156" t="n"/>
      <c r="S464" s="156" t="n"/>
      <c r="T464" s="156" t="n"/>
      <c r="U464" s="156" t="n"/>
      <c r="V464" s="156" t="inlineStr">
        <is>
          <t>PZS</t>
        </is>
      </c>
      <c r="W464" s="51" t="inlineStr">
        <is>
          <t>53101602</t>
        </is>
      </c>
      <c r="X464" s="156" t="n"/>
      <c r="Y464" s="54" t="n">
        <v>19.5</v>
      </c>
      <c r="Z464" s="54" t="n">
        <v>1449</v>
      </c>
      <c r="AA464" s="55">
        <f>IF(AND(A464="", B464="", E464=""), "", IF(AB464="", "Válido", IF((LEN(AB464)-LEN(SUBSTITUTE(AB464,"; ","")))/2+1&gt;(LEN(AB464)-LEN(SUBSTITUTE(AB464,"[Aviso]","")))/7, "Con Incidencias", "Válido")))</f>
        <v/>
      </c>
      <c r="AB464" s="56">
        <f>IF(AND(A464="", B464="", E464=""), "", TEXTJOIN("; ", TRUE, IF(OR(TRIM(A464&amp;"")="", ISNUMBER(SEARCH("FALTA", A464))), "UPC faltante/inválido", ""), IF(AND(A464&lt;&gt;"", IFERROR(_xlfn.XMATCH(A464,$A$2:$A$653,0,1)&lt;&gt;_xlfn.XMATCH(A464,$A$2:$A$653,0,-1),FALSE)), "Código de barras duplicado", ""), IF(AND(E464&lt;&gt;"", COUNTIF($E$2:$E$653, E464)&gt;1), "SKU duplicado", ""), IF(OR(J464="", J464=""), "[Aviso] División no capturada ()", IF(ISNA(MATCH(J464, Criterios!$A$123:$A$126, 0)), "División no válida", "")), IF(OR(K464="", K464=""), "[Aviso] Categoría no capturada ()", IF(ISNA(MATCH(K464, Criterios!$A$81:$A$120, 0)), "Categoría no válida", IF(AND(J464&lt;&gt;"", J464&lt;&gt;"", J464&lt;&gt;VLOOKUP(K464, Criterios!$A$81:$B$120, 2, FALSE)), "División no coincide con Categoría", ""))), IF(OR(L464="", L464=""), "[Aviso] Género no capturado ()", IF(ISNA(MATCH(L464, Criterios!$B$123:$B$127, 0)), "Género no válido", "")), IF(OR(N464="", N464=""), "[Aviso] Temporada no capturada ()", IF(ISNA(MATCH(N464, Criterios!$C$123:$C$128, 0)), "Temporada no válida", "")), IF(OR(O464="", O464=""), "[Aviso] Ciclo de vida no capturado ()", IF(ISNA(MATCH(O464, Criterios!$D$123:$D$124, 0)), "Ciclo de vida no válido", ""))))</f>
        <v/>
      </c>
      <c r="AC464" s="56" t="n"/>
      <c r="AD464" s="51" t="n">
        <v>2</v>
      </c>
      <c r="AE464" s="156" t="n"/>
      <c r="AF464" s="51" t="n">
        <v>2</v>
      </c>
      <c r="AG464" s="156" t="inlineStr">
        <is>
          <t>Nuevo – NetSuite con existencia</t>
        </is>
      </c>
      <c r="AH46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64" s="156" t="inlineStr">
        <is>
          <t>No</t>
        </is>
      </c>
      <c r="AJ464" s="156" t="n"/>
      <c r="AK464" s="155" t="inlineStr">
        <is>
          <t>G1522_Extraccion_Articulos_NetSuite_2026-09-30.xlsx: fila 43891</t>
        </is>
      </c>
      <c r="AL464" s="58" t="n"/>
      <c r="AM464" s="58" t="n"/>
      <c r="AN464" s="155" t="n"/>
      <c r="AO464" s="59" t="n"/>
      <c r="AP464" s="59" t="n"/>
      <c r="AQ464" s="59" t="n"/>
      <c r="AR464" s="155" t="n"/>
    </row>
    <row r="465">
      <c r="A465" s="50" t="inlineStr">
        <is>
          <t>5056658709111</t>
        </is>
      </c>
      <c r="B465" s="51" t="inlineStr">
        <is>
          <t>91137</t>
        </is>
      </c>
      <c r="C465" s="156" t="inlineStr">
        <is>
          <t>REFLO</t>
        </is>
      </c>
      <c r="D465" s="156" t="n"/>
      <c r="E465" s="156" t="n"/>
      <c r="F465" s="156" t="n"/>
      <c r="G465" s="156" t="n"/>
      <c r="H465" s="156" t="inlineStr">
        <is>
          <t>REFLO</t>
        </is>
      </c>
      <c r="I465" s="156" t="n"/>
      <c r="J465" s="156" t="n"/>
      <c r="K465" s="156" t="n"/>
      <c r="L465" s="156" t="n"/>
      <c r="M465" s="156" t="n"/>
      <c r="N465" s="156" t="n"/>
      <c r="O465" s="156" t="n"/>
      <c r="P465" s="156" t="n"/>
      <c r="Q465" s="156" t="n"/>
      <c r="R465" s="156" t="n"/>
      <c r="S465" s="156" t="n"/>
      <c r="T465" s="156" t="n"/>
      <c r="U465" s="156" t="n"/>
      <c r="V465" s="156" t="inlineStr">
        <is>
          <t>PZS</t>
        </is>
      </c>
      <c r="W465" s="51" t="inlineStr">
        <is>
          <t>53101602</t>
        </is>
      </c>
      <c r="X465" s="156" t="n"/>
      <c r="Y465" s="54" t="n">
        <v>19.5</v>
      </c>
      <c r="Z465" s="54" t="n">
        <v>1449</v>
      </c>
      <c r="AA465" s="55">
        <f>IF(AND(A465="", B465="", E465=""), "", IF(AB465="", "Válido", IF((LEN(AB465)-LEN(SUBSTITUTE(AB465,"; ","")))/2+1&gt;(LEN(AB465)-LEN(SUBSTITUTE(AB465,"[Aviso]","")))/7, "Con Incidencias", "Válido")))</f>
        <v/>
      </c>
      <c r="AB465" s="56">
        <f>IF(AND(A465="", B465="", E465=""), "", TEXTJOIN("; ", TRUE, IF(OR(TRIM(A465&amp;"")="", ISNUMBER(SEARCH("FALTA", A465))), "UPC faltante/inválido", ""), IF(AND(A465&lt;&gt;"", IFERROR(_xlfn.XMATCH(A465,$A$2:$A$653,0,1)&lt;&gt;_xlfn.XMATCH(A465,$A$2:$A$653,0,-1),FALSE)), "Código de barras duplicado", ""), IF(AND(E465&lt;&gt;"", COUNTIF($E$2:$E$653, E465)&gt;1), "SKU duplicado", ""), IF(OR(J465="", J465=""), "[Aviso] División no capturada ()", IF(ISNA(MATCH(J465, Criterios!$A$123:$A$126, 0)), "División no válida", "")), IF(OR(K465="", K465=""), "[Aviso] Categoría no capturada ()", IF(ISNA(MATCH(K465, Criterios!$A$81:$A$120, 0)), "Categoría no válida", IF(AND(J465&lt;&gt;"", J465&lt;&gt;"", J465&lt;&gt;VLOOKUP(K465, Criterios!$A$81:$B$120, 2, FALSE)), "División no coincide con Categoría", ""))), IF(OR(L465="", L465=""), "[Aviso] Género no capturado ()", IF(ISNA(MATCH(L465, Criterios!$B$123:$B$127, 0)), "Género no válido", "")), IF(OR(N465="", N465=""), "[Aviso] Temporada no capturada ()", IF(ISNA(MATCH(N465, Criterios!$C$123:$C$128, 0)), "Temporada no válida", "")), IF(OR(O465="", O465=""), "[Aviso] Ciclo de vida no capturado ()", IF(ISNA(MATCH(O465, Criterios!$D$123:$D$124, 0)), "Ciclo de vida no válido", ""))))</f>
        <v/>
      </c>
      <c r="AC465" s="56" t="n"/>
      <c r="AD465" s="51" t="n">
        <v>5</v>
      </c>
      <c r="AE465" s="156" t="n"/>
      <c r="AF465" s="51" t="n">
        <v>5</v>
      </c>
      <c r="AG465" s="156" t="inlineStr">
        <is>
          <t>Nuevo – NetSuite con existencia</t>
        </is>
      </c>
      <c r="AH46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65" s="156" t="inlineStr">
        <is>
          <t>No</t>
        </is>
      </c>
      <c r="AJ465" s="156" t="n"/>
      <c r="AK465" s="155" t="inlineStr">
        <is>
          <t>G1522_Extraccion_Articulos_NetSuite_2026-09-30.xlsx: fila 43892</t>
        </is>
      </c>
      <c r="AL465" s="58" t="n"/>
      <c r="AM465" s="58" t="n"/>
      <c r="AN465" s="155" t="n"/>
      <c r="AO465" s="59" t="n"/>
      <c r="AP465" s="59" t="n"/>
      <c r="AQ465" s="59" t="n"/>
      <c r="AR465" s="155" t="n"/>
    </row>
    <row r="466">
      <c r="A466" s="50" t="inlineStr">
        <is>
          <t>5056658709128</t>
        </is>
      </c>
      <c r="B466" s="51" t="inlineStr">
        <is>
          <t>91138</t>
        </is>
      </c>
      <c r="C466" s="156" t="inlineStr">
        <is>
          <t>REFLO</t>
        </is>
      </c>
      <c r="D466" s="156" t="n"/>
      <c r="E466" s="156" t="n"/>
      <c r="F466" s="156" t="n"/>
      <c r="G466" s="156" t="n"/>
      <c r="H466" s="156" t="inlineStr">
        <is>
          <t>REFLO</t>
        </is>
      </c>
      <c r="I466" s="156" t="n"/>
      <c r="J466" s="156" t="n"/>
      <c r="K466" s="156" t="n"/>
      <c r="L466" s="156" t="n"/>
      <c r="M466" s="156" t="n"/>
      <c r="N466" s="156" t="n"/>
      <c r="O466" s="156" t="n"/>
      <c r="P466" s="156" t="n"/>
      <c r="Q466" s="156" t="n"/>
      <c r="R466" s="156" t="n"/>
      <c r="S466" s="156" t="n"/>
      <c r="T466" s="156" t="n"/>
      <c r="U466" s="156" t="n"/>
      <c r="V466" s="156" t="inlineStr">
        <is>
          <t>PZS</t>
        </is>
      </c>
      <c r="W466" s="51" t="inlineStr">
        <is>
          <t>53101602</t>
        </is>
      </c>
      <c r="X466" s="156" t="n"/>
      <c r="Y466" s="54" t="n">
        <v>19.5</v>
      </c>
      <c r="Z466" s="54" t="n">
        <v>1449</v>
      </c>
      <c r="AA466" s="55">
        <f>IF(AND(A466="", B466="", E466=""), "", IF(AB466="", "Válido", IF((LEN(AB466)-LEN(SUBSTITUTE(AB466,"; ","")))/2+1&gt;(LEN(AB466)-LEN(SUBSTITUTE(AB466,"[Aviso]","")))/7, "Con Incidencias", "Válido")))</f>
        <v/>
      </c>
      <c r="AB466" s="56">
        <f>IF(AND(A466="", B466="", E466=""), "", TEXTJOIN("; ", TRUE, IF(OR(TRIM(A466&amp;"")="", ISNUMBER(SEARCH("FALTA", A466))), "UPC faltante/inválido", ""), IF(AND(A466&lt;&gt;"", IFERROR(_xlfn.XMATCH(A466,$A$2:$A$653,0,1)&lt;&gt;_xlfn.XMATCH(A466,$A$2:$A$653,0,-1),FALSE)), "Código de barras duplicado", ""), IF(AND(E466&lt;&gt;"", COUNTIF($E$2:$E$653, E466)&gt;1), "SKU duplicado", ""), IF(OR(J466="", J466=""), "[Aviso] División no capturada ()", IF(ISNA(MATCH(J466, Criterios!$A$123:$A$126, 0)), "División no válida", "")), IF(OR(K466="", K466=""), "[Aviso] Categoría no capturada ()", IF(ISNA(MATCH(K466, Criterios!$A$81:$A$120, 0)), "Categoría no válida", IF(AND(J466&lt;&gt;"", J466&lt;&gt;"", J466&lt;&gt;VLOOKUP(K466, Criterios!$A$81:$B$120, 2, FALSE)), "División no coincide con Categoría", ""))), IF(OR(L466="", L466=""), "[Aviso] Género no capturado ()", IF(ISNA(MATCH(L466, Criterios!$B$123:$B$127, 0)), "Género no válido", "")), IF(OR(N466="", N466=""), "[Aviso] Temporada no capturada ()", IF(ISNA(MATCH(N466, Criterios!$C$123:$C$128, 0)), "Temporada no válida", "")), IF(OR(O466="", O466=""), "[Aviso] Ciclo de vida no capturado ()", IF(ISNA(MATCH(O466, Criterios!$D$123:$D$124, 0)), "Ciclo de vida no válido", ""))))</f>
        <v/>
      </c>
      <c r="AC466" s="56" t="n"/>
      <c r="AD466" s="51" t="n">
        <v>13</v>
      </c>
      <c r="AE466" s="156" t="n"/>
      <c r="AF466" s="51" t="n">
        <v>13</v>
      </c>
      <c r="AG466" s="156" t="inlineStr">
        <is>
          <t>Nuevo – NetSuite con existencia</t>
        </is>
      </c>
      <c r="AH46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66" s="156" t="inlineStr">
        <is>
          <t>No</t>
        </is>
      </c>
      <c r="AJ466" s="156" t="n"/>
      <c r="AK466" s="155" t="inlineStr">
        <is>
          <t>G1522_Extraccion_Articulos_NetSuite_2026-09-30.xlsx: fila 43893</t>
        </is>
      </c>
      <c r="AL466" s="58" t="n"/>
      <c r="AM466" s="58" t="n"/>
      <c r="AN466" s="155" t="n"/>
      <c r="AO466" s="59" t="n"/>
      <c r="AP466" s="59" t="n"/>
      <c r="AQ466" s="59" t="n"/>
      <c r="AR466" s="155" t="n"/>
    </row>
    <row r="467">
      <c r="A467" s="50" t="inlineStr">
        <is>
          <t>5056658709135</t>
        </is>
      </c>
      <c r="B467" s="51" t="inlineStr">
        <is>
          <t>91139</t>
        </is>
      </c>
      <c r="C467" s="156" t="inlineStr">
        <is>
          <t>REFLO</t>
        </is>
      </c>
      <c r="D467" s="156" t="n"/>
      <c r="E467" s="156" t="n"/>
      <c r="F467" s="156" t="n"/>
      <c r="G467" s="156" t="n"/>
      <c r="H467" s="156" t="inlineStr">
        <is>
          <t>REFLO</t>
        </is>
      </c>
      <c r="I467" s="156" t="n"/>
      <c r="J467" s="156" t="n"/>
      <c r="K467" s="156" t="n"/>
      <c r="L467" s="156" t="n"/>
      <c r="M467" s="156" t="n"/>
      <c r="N467" s="156" t="n"/>
      <c r="O467" s="156" t="n"/>
      <c r="P467" s="156" t="n"/>
      <c r="Q467" s="156" t="n"/>
      <c r="R467" s="156" t="n"/>
      <c r="S467" s="156" t="n"/>
      <c r="T467" s="156" t="n"/>
      <c r="U467" s="156" t="n"/>
      <c r="V467" s="156" t="inlineStr">
        <is>
          <t>PZS</t>
        </is>
      </c>
      <c r="W467" s="51" t="inlineStr">
        <is>
          <t>53101602</t>
        </is>
      </c>
      <c r="X467" s="156" t="n"/>
      <c r="Y467" s="54" t="n">
        <v>19.5</v>
      </c>
      <c r="Z467" s="54" t="n">
        <v>1449</v>
      </c>
      <c r="AA467" s="55">
        <f>IF(AND(A467="", B467="", E467=""), "", IF(AB467="", "Válido", IF((LEN(AB467)-LEN(SUBSTITUTE(AB467,"; ","")))/2+1&gt;(LEN(AB467)-LEN(SUBSTITUTE(AB467,"[Aviso]","")))/7, "Con Incidencias", "Válido")))</f>
        <v/>
      </c>
      <c r="AB467" s="56">
        <f>IF(AND(A467="", B467="", E467=""), "", TEXTJOIN("; ", TRUE, IF(OR(TRIM(A467&amp;"")="", ISNUMBER(SEARCH("FALTA", A467))), "UPC faltante/inválido", ""), IF(AND(A467&lt;&gt;"", IFERROR(_xlfn.XMATCH(A467,$A$2:$A$653,0,1)&lt;&gt;_xlfn.XMATCH(A467,$A$2:$A$653,0,-1),FALSE)), "Código de barras duplicado", ""), IF(AND(E467&lt;&gt;"", COUNTIF($E$2:$E$653, E467)&gt;1), "SKU duplicado", ""), IF(OR(J467="", J467=""), "[Aviso] División no capturada ()", IF(ISNA(MATCH(J467, Criterios!$A$123:$A$126, 0)), "División no válida", "")), IF(OR(K467="", K467=""), "[Aviso] Categoría no capturada ()", IF(ISNA(MATCH(K467, Criterios!$A$81:$A$120, 0)), "Categoría no válida", IF(AND(J467&lt;&gt;"", J467&lt;&gt;"", J467&lt;&gt;VLOOKUP(K467, Criterios!$A$81:$B$120, 2, FALSE)), "División no coincide con Categoría", ""))), IF(OR(L467="", L467=""), "[Aviso] Género no capturado ()", IF(ISNA(MATCH(L467, Criterios!$B$123:$B$127, 0)), "Género no válido", "")), IF(OR(N467="", N467=""), "[Aviso] Temporada no capturada ()", IF(ISNA(MATCH(N467, Criterios!$C$123:$C$128, 0)), "Temporada no válida", "")), IF(OR(O467="", O467=""), "[Aviso] Ciclo de vida no capturado ()", IF(ISNA(MATCH(O467, Criterios!$D$123:$D$124, 0)), "Ciclo de vida no válido", ""))))</f>
        <v/>
      </c>
      <c r="AC467" s="56" t="n"/>
      <c r="AD467" s="51" t="n">
        <v>14</v>
      </c>
      <c r="AE467" s="156" t="n"/>
      <c r="AF467" s="51" t="n">
        <v>14</v>
      </c>
      <c r="AG467" s="156" t="inlineStr">
        <is>
          <t>Nuevo – NetSuite con existencia</t>
        </is>
      </c>
      <c r="AH46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67" s="156" t="inlineStr">
        <is>
          <t>No</t>
        </is>
      </c>
      <c r="AJ467" s="156" t="n"/>
      <c r="AK467" s="155" t="inlineStr">
        <is>
          <t>G1522_Extraccion_Articulos_NetSuite_2026-09-30.xlsx: fila 43894</t>
        </is>
      </c>
      <c r="AL467" s="58" t="n"/>
      <c r="AM467" s="58" t="n"/>
      <c r="AN467" s="155" t="n"/>
      <c r="AO467" s="59" t="n"/>
      <c r="AP467" s="59" t="n"/>
      <c r="AQ467" s="59" t="n"/>
      <c r="AR467" s="155" t="n"/>
    </row>
    <row r="468">
      <c r="A468" s="50" t="inlineStr">
        <is>
          <t>5056658709142</t>
        </is>
      </c>
      <c r="B468" s="51" t="inlineStr">
        <is>
          <t>91140</t>
        </is>
      </c>
      <c r="C468" s="156" t="inlineStr">
        <is>
          <t>REFLO</t>
        </is>
      </c>
      <c r="D468" s="156" t="n"/>
      <c r="E468" s="156" t="n"/>
      <c r="F468" s="156" t="n"/>
      <c r="G468" s="156" t="n"/>
      <c r="H468" s="156" t="inlineStr">
        <is>
          <t>REFLO</t>
        </is>
      </c>
      <c r="I468" s="156" t="n"/>
      <c r="J468" s="156" t="n"/>
      <c r="K468" s="156" t="n"/>
      <c r="L468" s="156" t="n"/>
      <c r="M468" s="156" t="n"/>
      <c r="N468" s="156" t="n"/>
      <c r="O468" s="156" t="n"/>
      <c r="P468" s="156" t="n"/>
      <c r="Q468" s="156" t="n"/>
      <c r="R468" s="156" t="n"/>
      <c r="S468" s="156" t="n"/>
      <c r="T468" s="156" t="n"/>
      <c r="U468" s="156" t="n"/>
      <c r="V468" s="156" t="inlineStr">
        <is>
          <t>PZS</t>
        </is>
      </c>
      <c r="W468" s="51" t="inlineStr">
        <is>
          <t>53101602</t>
        </is>
      </c>
      <c r="X468" s="156" t="n"/>
      <c r="Y468" s="54" t="n">
        <v>19.5</v>
      </c>
      <c r="Z468" s="54" t="n">
        <v>1449</v>
      </c>
      <c r="AA468" s="55">
        <f>IF(AND(A468="", B468="", E468=""), "", IF(AB468="", "Válido", IF((LEN(AB468)-LEN(SUBSTITUTE(AB468,"; ","")))/2+1&gt;(LEN(AB468)-LEN(SUBSTITUTE(AB468,"[Aviso]","")))/7, "Con Incidencias", "Válido")))</f>
        <v/>
      </c>
      <c r="AB468" s="56">
        <f>IF(AND(A468="", B468="", E468=""), "", TEXTJOIN("; ", TRUE, IF(OR(TRIM(A468&amp;"")="", ISNUMBER(SEARCH("FALTA", A468))), "UPC faltante/inválido", ""), IF(AND(A468&lt;&gt;"", IFERROR(_xlfn.XMATCH(A468,$A$2:$A$653,0,1)&lt;&gt;_xlfn.XMATCH(A468,$A$2:$A$653,0,-1),FALSE)), "Código de barras duplicado", ""), IF(AND(E468&lt;&gt;"", COUNTIF($E$2:$E$653, E468)&gt;1), "SKU duplicado", ""), IF(OR(J468="", J468=""), "[Aviso] División no capturada ()", IF(ISNA(MATCH(J468, Criterios!$A$123:$A$126, 0)), "División no válida", "")), IF(OR(K468="", K468=""), "[Aviso] Categoría no capturada ()", IF(ISNA(MATCH(K468, Criterios!$A$81:$A$120, 0)), "Categoría no válida", IF(AND(J468&lt;&gt;"", J468&lt;&gt;"", J468&lt;&gt;VLOOKUP(K468, Criterios!$A$81:$B$120, 2, FALSE)), "División no coincide con Categoría", ""))), IF(OR(L468="", L468=""), "[Aviso] Género no capturado ()", IF(ISNA(MATCH(L468, Criterios!$B$123:$B$127, 0)), "Género no válido", "")), IF(OR(N468="", N468=""), "[Aviso] Temporada no capturada ()", IF(ISNA(MATCH(N468, Criterios!$C$123:$C$128, 0)), "Temporada no válida", "")), IF(OR(O468="", O468=""), "[Aviso] Ciclo de vida no capturado ()", IF(ISNA(MATCH(O468, Criterios!$D$123:$D$124, 0)), "Ciclo de vida no válido", ""))))</f>
        <v/>
      </c>
      <c r="AC468" s="56" t="n"/>
      <c r="AD468" s="51" t="n">
        <v>8</v>
      </c>
      <c r="AE468" s="156" t="n"/>
      <c r="AF468" s="51" t="n">
        <v>8</v>
      </c>
      <c r="AG468" s="156" t="inlineStr">
        <is>
          <t>Nuevo – NetSuite con existencia</t>
        </is>
      </c>
      <c r="AH46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68" s="156" t="inlineStr">
        <is>
          <t>No</t>
        </is>
      </c>
      <c r="AJ468" s="156" t="n"/>
      <c r="AK468" s="155" t="inlineStr">
        <is>
          <t>G1522_Extraccion_Articulos_NetSuite_2026-09-30.xlsx: fila 43895</t>
        </is>
      </c>
      <c r="AL468" s="58" t="n"/>
      <c r="AM468" s="58" t="n"/>
      <c r="AN468" s="155" t="n"/>
      <c r="AO468" s="59" t="n"/>
      <c r="AP468" s="59" t="n"/>
      <c r="AQ468" s="59" t="n"/>
      <c r="AR468" s="155" t="n"/>
    </row>
    <row r="469">
      <c r="A469" s="50" t="inlineStr">
        <is>
          <t>5056658714122</t>
        </is>
      </c>
      <c r="B469" s="51" t="inlineStr">
        <is>
          <t>91141</t>
        </is>
      </c>
      <c r="C469" s="156" t="inlineStr">
        <is>
          <t>REFLO</t>
        </is>
      </c>
      <c r="D469" s="156" t="n"/>
      <c r="E469" s="156" t="n"/>
      <c r="F469" s="156" t="n"/>
      <c r="G469" s="156" t="n"/>
      <c r="H469" s="156" t="inlineStr">
        <is>
          <t>REFLO</t>
        </is>
      </c>
      <c r="I469" s="156" t="n"/>
      <c r="J469" s="156" t="n"/>
      <c r="K469" s="156" t="n"/>
      <c r="L469" s="156" t="n"/>
      <c r="M469" s="156" t="n"/>
      <c r="N469" s="156" t="n"/>
      <c r="O469" s="156" t="n"/>
      <c r="P469" s="156" t="n"/>
      <c r="Q469" s="156" t="n"/>
      <c r="R469" s="156" t="n"/>
      <c r="S469" s="156" t="n"/>
      <c r="T469" s="156" t="n"/>
      <c r="U469" s="156" t="n"/>
      <c r="V469" s="156" t="inlineStr">
        <is>
          <t>PZS</t>
        </is>
      </c>
      <c r="W469" s="51" t="inlineStr">
        <is>
          <t>53101602</t>
        </is>
      </c>
      <c r="X469" s="156" t="n"/>
      <c r="Y469" s="54" t="n">
        <v>19.5</v>
      </c>
      <c r="Z469" s="54" t="n">
        <v>1449</v>
      </c>
      <c r="AA469" s="55">
        <f>IF(AND(A469="", B469="", E469=""), "", IF(AB469="", "Válido", IF((LEN(AB469)-LEN(SUBSTITUTE(AB469,"; ","")))/2+1&gt;(LEN(AB469)-LEN(SUBSTITUTE(AB469,"[Aviso]","")))/7, "Con Incidencias", "Válido")))</f>
        <v/>
      </c>
      <c r="AB469" s="56">
        <f>IF(AND(A469="", B469="", E469=""), "", TEXTJOIN("; ", TRUE, IF(OR(TRIM(A469&amp;"")="", ISNUMBER(SEARCH("FALTA", A469))), "UPC faltante/inválido", ""), IF(AND(A469&lt;&gt;"", IFERROR(_xlfn.XMATCH(A469,$A$2:$A$653,0,1)&lt;&gt;_xlfn.XMATCH(A469,$A$2:$A$653,0,-1),FALSE)), "Código de barras duplicado", ""), IF(AND(E469&lt;&gt;"", COUNTIF($E$2:$E$653, E469)&gt;1), "SKU duplicado", ""), IF(OR(J469="", J469=""), "[Aviso] División no capturada ()", IF(ISNA(MATCH(J469, Criterios!$A$123:$A$126, 0)), "División no válida", "")), IF(OR(K469="", K469=""), "[Aviso] Categoría no capturada ()", IF(ISNA(MATCH(K469, Criterios!$A$81:$A$120, 0)), "Categoría no válida", IF(AND(J469&lt;&gt;"", J469&lt;&gt;"", J469&lt;&gt;VLOOKUP(K469, Criterios!$A$81:$B$120, 2, FALSE)), "División no coincide con Categoría", ""))), IF(OR(L469="", L469=""), "[Aviso] Género no capturado ()", IF(ISNA(MATCH(L469, Criterios!$B$123:$B$127, 0)), "Género no válido", "")), IF(OR(N469="", N469=""), "[Aviso] Temporada no capturada ()", IF(ISNA(MATCH(N469, Criterios!$C$123:$C$128, 0)), "Temporada no válida", "")), IF(OR(O469="", O469=""), "[Aviso] Ciclo de vida no capturado ()", IF(ISNA(MATCH(O469, Criterios!$D$123:$D$124, 0)), "Ciclo de vida no válido", ""))))</f>
        <v/>
      </c>
      <c r="AC469" s="56" t="n"/>
      <c r="AD469" s="51" t="n">
        <v>4</v>
      </c>
      <c r="AE469" s="156" t="n"/>
      <c r="AF469" s="51" t="n">
        <v>4</v>
      </c>
      <c r="AG469" s="156" t="inlineStr">
        <is>
          <t>Nuevo – NetSuite con existencia</t>
        </is>
      </c>
      <c r="AH46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469" s="156" t="inlineStr">
        <is>
          <t>No</t>
        </is>
      </c>
      <c r="AJ469" s="156" t="n"/>
      <c r="AK469" s="155" t="inlineStr">
        <is>
          <t>G1522_Extraccion_Articulos_NetSuite_2026-09-30.xlsx: fila 43896</t>
        </is>
      </c>
      <c r="AL469" s="58" t="n"/>
      <c r="AM469" s="58" t="n"/>
      <c r="AN469" s="155" t="n"/>
      <c r="AO469" s="59" t="n"/>
      <c r="AP469" s="59" t="n"/>
      <c r="AQ469" s="59" t="n"/>
      <c r="AR469" s="155" t="n"/>
    </row>
    <row r="470">
      <c r="A470" s="50" t="inlineStr">
        <is>
          <t>5056658710124</t>
        </is>
      </c>
      <c r="B470" s="51" t="inlineStr">
        <is>
          <t>91188</t>
        </is>
      </c>
      <c r="C470" s="156" t="inlineStr">
        <is>
          <t>REFLO</t>
        </is>
      </c>
      <c r="D470" s="156" t="n"/>
      <c r="E470" s="156" t="n"/>
      <c r="F470" s="156" t="n"/>
      <c r="G470" s="156" t="n"/>
      <c r="H470" s="156" t="inlineStr">
        <is>
          <t>REFLO</t>
        </is>
      </c>
      <c r="I470" s="156" t="n"/>
      <c r="J470" s="156" t="n"/>
      <c r="K470" s="156" t="n"/>
      <c r="L470" s="156" t="n"/>
      <c r="M470" s="156" t="n"/>
      <c r="N470" s="156" t="n"/>
      <c r="O470" s="156" t="n"/>
      <c r="P470" s="156" t="n"/>
      <c r="Q470" s="156" t="n"/>
      <c r="R470" s="156" t="n"/>
      <c r="S470" s="156" t="n"/>
      <c r="T470" s="156" t="n"/>
      <c r="U470" s="156" t="n"/>
      <c r="V470" s="156" t="inlineStr">
        <is>
          <t>PZS</t>
        </is>
      </c>
      <c r="W470" s="51" t="inlineStr">
        <is>
          <t>53103001</t>
        </is>
      </c>
      <c r="X470" s="156" t="n"/>
      <c r="Y470" s="54" t="n">
        <v>29.25</v>
      </c>
      <c r="Z470" s="54" t="n">
        <v>2249</v>
      </c>
      <c r="AA470" s="55">
        <f>IF(AND(A470="", B470="", E470=""), "", IF(AB470="", "Válido", IF((LEN(AB470)-LEN(SUBSTITUTE(AB470,"; ","")))/2+1&gt;(LEN(AB470)-LEN(SUBSTITUTE(AB470,"[Aviso]","")))/7, "Con Incidencias", "Válido")))</f>
        <v/>
      </c>
      <c r="AB470" s="56">
        <f>IF(AND(A470="", B470="", E470=""), "", TEXTJOIN("; ", TRUE, IF(OR(TRIM(A470&amp;"")="", ISNUMBER(SEARCH("FALTA", A470))), "UPC faltante/inválido", ""), IF(AND(A470&lt;&gt;"", IFERROR(_xlfn.XMATCH(A470,$A$2:$A$653,0,1)&lt;&gt;_xlfn.XMATCH(A470,$A$2:$A$653,0,-1),FALSE)), "Código de barras duplicado", ""), IF(AND(E470&lt;&gt;"", COUNTIF($E$2:$E$653, E470)&gt;1), "SKU duplicado", ""), IF(OR(J470="", J470=""), "[Aviso] División no capturada ()", IF(ISNA(MATCH(J470, Criterios!$A$123:$A$126, 0)), "División no válida", "")), IF(OR(K470="", K470=""), "[Aviso] Categoría no capturada ()", IF(ISNA(MATCH(K470, Criterios!$A$81:$A$120, 0)), "Categoría no válida", IF(AND(J470&lt;&gt;"", J470&lt;&gt;"", J470&lt;&gt;VLOOKUP(K470, Criterios!$A$81:$B$120, 2, FALSE)), "División no coincide con Categoría", ""))), IF(OR(L470="", L470=""), "[Aviso] Género no capturado ()", IF(ISNA(MATCH(L470, Criterios!$B$123:$B$127, 0)), "Género no válido", "")), IF(OR(N470="", N470=""), "[Aviso] Temporada no capturada ()", IF(ISNA(MATCH(N470, Criterios!$C$123:$C$128, 0)), "Temporada no válida", "")), IF(OR(O470="", O470=""), "[Aviso] Ciclo de vida no capturado ()", IF(ISNA(MATCH(O470, Criterios!$D$123:$D$124, 0)), "Ciclo de vida no válido", ""))))</f>
        <v/>
      </c>
      <c r="AC470" s="56" t="n"/>
      <c r="AD470" s="51" t="n">
        <v>0</v>
      </c>
      <c r="AE470" s="156" t="n"/>
      <c r="AF470" s="51" t="n">
        <v>0</v>
      </c>
      <c r="AG470" s="156" t="inlineStr">
        <is>
          <t>Nuevo – NetSuite sin existencia</t>
        </is>
      </c>
      <c r="AH47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0" s="156" t="inlineStr">
        <is>
          <t>No</t>
        </is>
      </c>
      <c r="AJ470" s="156" t="n"/>
      <c r="AK470" s="155" t="inlineStr">
        <is>
          <t>G1522_Extraccion_Articulos_NetSuite_2026-09-30.xlsx: fila 43897</t>
        </is>
      </c>
      <c r="AL470" s="58" t="n"/>
      <c r="AM470" s="58" t="n"/>
      <c r="AN470" s="155" t="n"/>
      <c r="AO470" s="59" t="n"/>
      <c r="AP470" s="59" t="n"/>
      <c r="AQ470" s="59" t="n"/>
      <c r="AR470" s="155" t="n"/>
    </row>
    <row r="471">
      <c r="A471" s="50" t="inlineStr">
        <is>
          <t>5056658710131</t>
        </is>
      </c>
      <c r="B471" s="51" t="inlineStr">
        <is>
          <t>91189</t>
        </is>
      </c>
      <c r="C471" s="156" t="inlineStr">
        <is>
          <t>REFLO</t>
        </is>
      </c>
      <c r="D471" s="156" t="n"/>
      <c r="E471" s="156" t="n"/>
      <c r="F471" s="156" t="n"/>
      <c r="G471" s="156" t="n"/>
      <c r="H471" s="156" t="inlineStr">
        <is>
          <t>REFLO</t>
        </is>
      </c>
      <c r="I471" s="156" t="n"/>
      <c r="J471" s="156" t="n"/>
      <c r="K471" s="156" t="n"/>
      <c r="L471" s="156" t="n"/>
      <c r="M471" s="156" t="n"/>
      <c r="N471" s="156" t="n"/>
      <c r="O471" s="156" t="n"/>
      <c r="P471" s="156" t="n"/>
      <c r="Q471" s="156" t="n"/>
      <c r="R471" s="156" t="n"/>
      <c r="S471" s="156" t="n"/>
      <c r="T471" s="156" t="n"/>
      <c r="U471" s="156" t="n"/>
      <c r="V471" s="156" t="inlineStr">
        <is>
          <t>PZS</t>
        </is>
      </c>
      <c r="W471" s="51" t="inlineStr">
        <is>
          <t>53103001</t>
        </is>
      </c>
      <c r="X471" s="156" t="n"/>
      <c r="Y471" s="54" t="n">
        <v>29.25</v>
      </c>
      <c r="Z471" s="54" t="n">
        <v>2249</v>
      </c>
      <c r="AA471" s="55">
        <f>IF(AND(A471="", B471="", E471=""), "", IF(AB471="", "Válido", IF((LEN(AB471)-LEN(SUBSTITUTE(AB471,"; ","")))/2+1&gt;(LEN(AB471)-LEN(SUBSTITUTE(AB471,"[Aviso]","")))/7, "Con Incidencias", "Válido")))</f>
        <v/>
      </c>
      <c r="AB471" s="56">
        <f>IF(AND(A471="", B471="", E471=""), "", TEXTJOIN("; ", TRUE, IF(OR(TRIM(A471&amp;"")="", ISNUMBER(SEARCH("FALTA", A471))), "UPC faltante/inválido", ""), IF(AND(A471&lt;&gt;"", IFERROR(_xlfn.XMATCH(A471,$A$2:$A$653,0,1)&lt;&gt;_xlfn.XMATCH(A471,$A$2:$A$653,0,-1),FALSE)), "Código de barras duplicado", ""), IF(AND(E471&lt;&gt;"", COUNTIF($E$2:$E$653, E471)&gt;1), "SKU duplicado", ""), IF(OR(J471="", J471=""), "[Aviso] División no capturada ()", IF(ISNA(MATCH(J471, Criterios!$A$123:$A$126, 0)), "División no válida", "")), IF(OR(K471="", K471=""), "[Aviso] Categoría no capturada ()", IF(ISNA(MATCH(K471, Criterios!$A$81:$A$120, 0)), "Categoría no válida", IF(AND(J471&lt;&gt;"", J471&lt;&gt;"", J471&lt;&gt;VLOOKUP(K471, Criterios!$A$81:$B$120, 2, FALSE)), "División no coincide con Categoría", ""))), IF(OR(L471="", L471=""), "[Aviso] Género no capturado ()", IF(ISNA(MATCH(L471, Criterios!$B$123:$B$127, 0)), "Género no válido", "")), IF(OR(N471="", N471=""), "[Aviso] Temporada no capturada ()", IF(ISNA(MATCH(N471, Criterios!$C$123:$C$128, 0)), "Temporada no válida", "")), IF(OR(O471="", O471=""), "[Aviso] Ciclo de vida no capturado ()", IF(ISNA(MATCH(O471, Criterios!$D$123:$D$124, 0)), "Ciclo de vida no válido", ""))))</f>
        <v/>
      </c>
      <c r="AC471" s="56" t="n"/>
      <c r="AD471" s="51" t="n">
        <v>0</v>
      </c>
      <c r="AE471" s="156" t="n"/>
      <c r="AF471" s="51" t="n">
        <v>0</v>
      </c>
      <c r="AG471" s="156" t="inlineStr">
        <is>
          <t>Nuevo – NetSuite sin existencia</t>
        </is>
      </c>
      <c r="AH47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1" s="156" t="inlineStr">
        <is>
          <t>No</t>
        </is>
      </c>
      <c r="AJ471" s="156" t="n"/>
      <c r="AK471" s="155" t="inlineStr">
        <is>
          <t>G1522_Extraccion_Articulos_NetSuite_2026-09-30.xlsx: fila 43898</t>
        </is>
      </c>
      <c r="AL471" s="58" t="n"/>
      <c r="AM471" s="58" t="n"/>
      <c r="AN471" s="155" t="n"/>
      <c r="AO471" s="59" t="n"/>
      <c r="AP471" s="59" t="n"/>
      <c r="AQ471" s="59" t="n"/>
      <c r="AR471" s="155" t="n"/>
    </row>
    <row r="472">
      <c r="A472" s="50" t="inlineStr">
        <is>
          <t>5056658710148</t>
        </is>
      </c>
      <c r="B472" s="51" t="inlineStr">
        <is>
          <t>91190</t>
        </is>
      </c>
      <c r="C472" s="156" t="inlineStr">
        <is>
          <t>REFLO</t>
        </is>
      </c>
      <c r="D472" s="156" t="n"/>
      <c r="E472" s="156" t="n"/>
      <c r="F472" s="156" t="n"/>
      <c r="G472" s="156" t="n"/>
      <c r="H472" s="156" t="inlineStr">
        <is>
          <t>REFLO</t>
        </is>
      </c>
      <c r="I472" s="156" t="n"/>
      <c r="J472" s="156" t="n"/>
      <c r="K472" s="156" t="n"/>
      <c r="L472" s="156" t="n"/>
      <c r="M472" s="156" t="n"/>
      <c r="N472" s="156" t="n"/>
      <c r="O472" s="156" t="n"/>
      <c r="P472" s="156" t="n"/>
      <c r="Q472" s="156" t="n"/>
      <c r="R472" s="156" t="n"/>
      <c r="S472" s="156" t="n"/>
      <c r="T472" s="156" t="n"/>
      <c r="U472" s="156" t="n"/>
      <c r="V472" s="156" t="inlineStr">
        <is>
          <t>PZS</t>
        </is>
      </c>
      <c r="W472" s="51" t="inlineStr">
        <is>
          <t>53103001</t>
        </is>
      </c>
      <c r="X472" s="156" t="n"/>
      <c r="Y472" s="54" t="n">
        <v>29.25</v>
      </c>
      <c r="Z472" s="54" t="n">
        <v>2249</v>
      </c>
      <c r="AA472" s="55">
        <f>IF(AND(A472="", B472="", E472=""), "", IF(AB472="", "Válido", IF((LEN(AB472)-LEN(SUBSTITUTE(AB472,"; ","")))/2+1&gt;(LEN(AB472)-LEN(SUBSTITUTE(AB472,"[Aviso]","")))/7, "Con Incidencias", "Válido")))</f>
        <v/>
      </c>
      <c r="AB472" s="56">
        <f>IF(AND(A472="", B472="", E472=""), "", TEXTJOIN("; ", TRUE, IF(OR(TRIM(A472&amp;"")="", ISNUMBER(SEARCH("FALTA", A472))), "UPC faltante/inválido", ""), IF(AND(A472&lt;&gt;"", IFERROR(_xlfn.XMATCH(A472,$A$2:$A$653,0,1)&lt;&gt;_xlfn.XMATCH(A472,$A$2:$A$653,0,-1),FALSE)), "Código de barras duplicado", ""), IF(AND(E472&lt;&gt;"", COUNTIF($E$2:$E$653, E472)&gt;1), "SKU duplicado", ""), IF(OR(J472="", J472=""), "[Aviso] División no capturada ()", IF(ISNA(MATCH(J472, Criterios!$A$123:$A$126, 0)), "División no válida", "")), IF(OR(K472="", K472=""), "[Aviso] Categoría no capturada ()", IF(ISNA(MATCH(K472, Criterios!$A$81:$A$120, 0)), "Categoría no válida", IF(AND(J472&lt;&gt;"", J472&lt;&gt;"", J472&lt;&gt;VLOOKUP(K472, Criterios!$A$81:$B$120, 2, FALSE)), "División no coincide con Categoría", ""))), IF(OR(L472="", L472=""), "[Aviso] Género no capturado ()", IF(ISNA(MATCH(L472, Criterios!$B$123:$B$127, 0)), "Género no válido", "")), IF(OR(N472="", N472=""), "[Aviso] Temporada no capturada ()", IF(ISNA(MATCH(N472, Criterios!$C$123:$C$128, 0)), "Temporada no válida", "")), IF(OR(O472="", O472=""), "[Aviso] Ciclo de vida no capturado ()", IF(ISNA(MATCH(O472, Criterios!$D$123:$D$124, 0)), "Ciclo de vida no válido", ""))))</f>
        <v/>
      </c>
      <c r="AC472" s="56" t="n"/>
      <c r="AD472" s="51" t="n">
        <v>8</v>
      </c>
      <c r="AE472" s="156" t="n"/>
      <c r="AF472" s="51" t="n">
        <v>8</v>
      </c>
      <c r="AG472" s="156" t="inlineStr">
        <is>
          <t>Nuevo – NetSuite con existencia</t>
        </is>
      </c>
      <c r="AH47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2" s="156" t="inlineStr">
        <is>
          <t>No</t>
        </is>
      </c>
      <c r="AJ472" s="156" t="n"/>
      <c r="AK472" s="155" t="inlineStr">
        <is>
          <t>G1522_Extraccion_Articulos_NetSuite_2026-09-30.xlsx: fila 43899</t>
        </is>
      </c>
      <c r="AL472" s="58" t="n"/>
      <c r="AM472" s="58" t="n"/>
      <c r="AN472" s="155" t="n"/>
      <c r="AO472" s="59" t="n"/>
      <c r="AP472" s="59" t="n"/>
      <c r="AQ472" s="59" t="n"/>
      <c r="AR472" s="155" t="n"/>
    </row>
    <row r="473">
      <c r="A473" s="50" t="inlineStr">
        <is>
          <t>5056658710155</t>
        </is>
      </c>
      <c r="B473" s="51" t="inlineStr">
        <is>
          <t>91191</t>
        </is>
      </c>
      <c r="C473" s="156" t="inlineStr">
        <is>
          <t>REFLO</t>
        </is>
      </c>
      <c r="D473" s="156" t="n"/>
      <c r="E473" s="156" t="n"/>
      <c r="F473" s="156" t="n"/>
      <c r="G473" s="156" t="n"/>
      <c r="H473" s="156" t="inlineStr">
        <is>
          <t>REFLO</t>
        </is>
      </c>
      <c r="I473" s="156" t="n"/>
      <c r="J473" s="156" t="n"/>
      <c r="K473" s="156" t="n"/>
      <c r="L473" s="156" t="n"/>
      <c r="M473" s="156" t="n"/>
      <c r="N473" s="156" t="n"/>
      <c r="O473" s="156" t="n"/>
      <c r="P473" s="156" t="n"/>
      <c r="Q473" s="156" t="n"/>
      <c r="R473" s="156" t="n"/>
      <c r="S473" s="156" t="n"/>
      <c r="T473" s="156" t="n"/>
      <c r="U473" s="156" t="n"/>
      <c r="V473" s="156" t="inlineStr">
        <is>
          <t>PZS</t>
        </is>
      </c>
      <c r="W473" s="51" t="inlineStr">
        <is>
          <t>53103001</t>
        </is>
      </c>
      <c r="X473" s="156" t="n"/>
      <c r="Y473" s="54" t="n">
        <v>29.25</v>
      </c>
      <c r="Z473" s="54" t="n">
        <v>2249</v>
      </c>
      <c r="AA473" s="55">
        <f>IF(AND(A473="", B473="", E473=""), "", IF(AB473="", "Válido", IF((LEN(AB473)-LEN(SUBSTITUTE(AB473,"; ","")))/2+1&gt;(LEN(AB473)-LEN(SUBSTITUTE(AB473,"[Aviso]","")))/7, "Con Incidencias", "Válido")))</f>
        <v/>
      </c>
      <c r="AB473" s="56">
        <f>IF(AND(A473="", B473="", E473=""), "", TEXTJOIN("; ", TRUE, IF(OR(TRIM(A473&amp;"")="", ISNUMBER(SEARCH("FALTA", A473))), "UPC faltante/inválido", ""), IF(AND(A473&lt;&gt;"", IFERROR(_xlfn.XMATCH(A473,$A$2:$A$653,0,1)&lt;&gt;_xlfn.XMATCH(A473,$A$2:$A$653,0,-1),FALSE)), "Código de barras duplicado", ""), IF(AND(E473&lt;&gt;"", COUNTIF($E$2:$E$653, E473)&gt;1), "SKU duplicado", ""), IF(OR(J473="", J473=""), "[Aviso] División no capturada ()", IF(ISNA(MATCH(J473, Criterios!$A$123:$A$126, 0)), "División no válida", "")), IF(OR(K473="", K473=""), "[Aviso] Categoría no capturada ()", IF(ISNA(MATCH(K473, Criterios!$A$81:$A$120, 0)), "Categoría no válida", IF(AND(J473&lt;&gt;"", J473&lt;&gt;"", J473&lt;&gt;VLOOKUP(K473, Criterios!$A$81:$B$120, 2, FALSE)), "División no coincide con Categoría", ""))), IF(OR(L473="", L473=""), "[Aviso] Género no capturado ()", IF(ISNA(MATCH(L473, Criterios!$B$123:$B$127, 0)), "Género no válido", "")), IF(OR(N473="", N473=""), "[Aviso] Temporada no capturada ()", IF(ISNA(MATCH(N473, Criterios!$C$123:$C$128, 0)), "Temporada no válida", "")), IF(OR(O473="", O473=""), "[Aviso] Ciclo de vida no capturado ()", IF(ISNA(MATCH(O473, Criterios!$D$123:$D$124, 0)), "Ciclo de vida no válido", ""))))</f>
        <v/>
      </c>
      <c r="AC473" s="56" t="n"/>
      <c r="AD473" s="51" t="n">
        <v>11</v>
      </c>
      <c r="AE473" s="156" t="n"/>
      <c r="AF473" s="51" t="n">
        <v>11</v>
      </c>
      <c r="AG473" s="156" t="inlineStr">
        <is>
          <t>Nuevo – NetSuite con existencia</t>
        </is>
      </c>
      <c r="AH47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3" s="156" t="inlineStr">
        <is>
          <t>No</t>
        </is>
      </c>
      <c r="AJ473" s="156" t="n"/>
      <c r="AK473" s="155" t="inlineStr">
        <is>
          <t>G1522_Extraccion_Articulos_NetSuite_2026-09-30.xlsx: fila 43900</t>
        </is>
      </c>
      <c r="AL473" s="58" t="n"/>
      <c r="AM473" s="58" t="n"/>
      <c r="AN473" s="155" t="n"/>
      <c r="AO473" s="59" t="n"/>
      <c r="AP473" s="59" t="n"/>
      <c r="AQ473" s="59" t="n"/>
      <c r="AR473" s="155" t="n"/>
    </row>
    <row r="474">
      <c r="A474" s="50" t="inlineStr">
        <is>
          <t>5056658710162</t>
        </is>
      </c>
      <c r="B474" s="51" t="inlineStr">
        <is>
          <t>91192</t>
        </is>
      </c>
      <c r="C474" s="156" t="inlineStr">
        <is>
          <t>REFLO</t>
        </is>
      </c>
      <c r="D474" s="156" t="n"/>
      <c r="E474" s="156" t="n"/>
      <c r="F474" s="156" t="n"/>
      <c r="G474" s="156" t="n"/>
      <c r="H474" s="156" t="inlineStr">
        <is>
          <t>REFLO</t>
        </is>
      </c>
      <c r="I474" s="156" t="n"/>
      <c r="J474" s="156" t="n"/>
      <c r="K474" s="156" t="n"/>
      <c r="L474" s="156" t="n"/>
      <c r="M474" s="156" t="n"/>
      <c r="N474" s="156" t="n"/>
      <c r="O474" s="156" t="n"/>
      <c r="P474" s="156" t="n"/>
      <c r="Q474" s="156" t="n"/>
      <c r="R474" s="156" t="n"/>
      <c r="S474" s="156" t="n"/>
      <c r="T474" s="156" t="n"/>
      <c r="U474" s="156" t="n"/>
      <c r="V474" s="156" t="inlineStr">
        <is>
          <t>PZS</t>
        </is>
      </c>
      <c r="W474" s="51" t="inlineStr">
        <is>
          <t>53103001</t>
        </is>
      </c>
      <c r="X474" s="156" t="n"/>
      <c r="Y474" s="54" t="n">
        <v>29.25</v>
      </c>
      <c r="Z474" s="54" t="n">
        <v>2249</v>
      </c>
      <c r="AA474" s="55">
        <f>IF(AND(A474="", B474="", E474=""), "", IF(AB474="", "Válido", IF((LEN(AB474)-LEN(SUBSTITUTE(AB474,"; ","")))/2+1&gt;(LEN(AB474)-LEN(SUBSTITUTE(AB474,"[Aviso]","")))/7, "Con Incidencias", "Válido")))</f>
        <v/>
      </c>
      <c r="AB474" s="56">
        <f>IF(AND(A474="", B474="", E474=""), "", TEXTJOIN("; ", TRUE, IF(OR(TRIM(A474&amp;"")="", ISNUMBER(SEARCH("FALTA", A474))), "UPC faltante/inválido", ""), IF(AND(A474&lt;&gt;"", IFERROR(_xlfn.XMATCH(A474,$A$2:$A$653,0,1)&lt;&gt;_xlfn.XMATCH(A474,$A$2:$A$653,0,-1),FALSE)), "Código de barras duplicado", ""), IF(AND(E474&lt;&gt;"", COUNTIF($E$2:$E$653, E474)&gt;1), "SKU duplicado", ""), IF(OR(J474="", J474=""), "[Aviso] División no capturada ()", IF(ISNA(MATCH(J474, Criterios!$A$123:$A$126, 0)), "División no válida", "")), IF(OR(K474="", K474=""), "[Aviso] Categoría no capturada ()", IF(ISNA(MATCH(K474, Criterios!$A$81:$A$120, 0)), "Categoría no válida", IF(AND(J474&lt;&gt;"", J474&lt;&gt;"", J474&lt;&gt;VLOOKUP(K474, Criterios!$A$81:$B$120, 2, FALSE)), "División no coincide con Categoría", ""))), IF(OR(L474="", L474=""), "[Aviso] Género no capturado ()", IF(ISNA(MATCH(L474, Criterios!$B$123:$B$127, 0)), "Género no válido", "")), IF(OR(N474="", N474=""), "[Aviso] Temporada no capturada ()", IF(ISNA(MATCH(N474, Criterios!$C$123:$C$128, 0)), "Temporada no válida", "")), IF(OR(O474="", O474=""), "[Aviso] Ciclo de vida no capturado ()", IF(ISNA(MATCH(O474, Criterios!$D$123:$D$124, 0)), "Ciclo de vida no válido", ""))))</f>
        <v/>
      </c>
      <c r="AC474" s="56" t="n"/>
      <c r="AD474" s="51" t="n">
        <v>8</v>
      </c>
      <c r="AE474" s="156" t="n"/>
      <c r="AF474" s="51" t="n">
        <v>8</v>
      </c>
      <c r="AG474" s="156" t="inlineStr">
        <is>
          <t>Nuevo – NetSuite con existencia</t>
        </is>
      </c>
      <c r="AH47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4" s="156" t="inlineStr">
        <is>
          <t>No</t>
        </is>
      </c>
      <c r="AJ474" s="156" t="n"/>
      <c r="AK474" s="155" t="inlineStr">
        <is>
          <t>G1522_Extraccion_Articulos_NetSuite_2026-09-30.xlsx: fila 43901</t>
        </is>
      </c>
      <c r="AL474" s="58" t="n"/>
      <c r="AM474" s="58" t="n"/>
      <c r="AN474" s="155" t="n"/>
      <c r="AO474" s="59" t="n"/>
      <c r="AP474" s="59" t="n"/>
      <c r="AQ474" s="59" t="n"/>
      <c r="AR474" s="155" t="n"/>
    </row>
    <row r="475">
      <c r="A475" s="50" t="inlineStr">
        <is>
          <t>5056658714344</t>
        </is>
      </c>
      <c r="B475" s="51" t="inlineStr">
        <is>
          <t>91193</t>
        </is>
      </c>
      <c r="C475" s="156" t="inlineStr">
        <is>
          <t>REFLO</t>
        </is>
      </c>
      <c r="D475" s="156" t="n"/>
      <c r="E475" s="156" t="n"/>
      <c r="F475" s="156" t="n"/>
      <c r="G475" s="156" t="n"/>
      <c r="H475" s="156" t="inlineStr">
        <is>
          <t>REFLO</t>
        </is>
      </c>
      <c r="I475" s="156" t="n"/>
      <c r="J475" s="156" t="n"/>
      <c r="K475" s="156" t="n"/>
      <c r="L475" s="156" t="n"/>
      <c r="M475" s="156" t="n"/>
      <c r="N475" s="156" t="n"/>
      <c r="O475" s="156" t="n"/>
      <c r="P475" s="156" t="n"/>
      <c r="Q475" s="156" t="n"/>
      <c r="R475" s="156" t="n"/>
      <c r="S475" s="156" t="n"/>
      <c r="T475" s="156" t="n"/>
      <c r="U475" s="156" t="n"/>
      <c r="V475" s="156" t="inlineStr">
        <is>
          <t>PZS</t>
        </is>
      </c>
      <c r="W475" s="51" t="inlineStr">
        <is>
          <t>53103001</t>
        </is>
      </c>
      <c r="X475" s="156" t="n"/>
      <c r="Y475" s="54" t="n">
        <v>29.25</v>
      </c>
      <c r="Z475" s="54" t="n">
        <v>2249</v>
      </c>
      <c r="AA475" s="55">
        <f>IF(AND(A475="", B475="", E475=""), "", IF(AB475="", "Válido", IF((LEN(AB475)-LEN(SUBSTITUTE(AB475,"; ","")))/2+1&gt;(LEN(AB475)-LEN(SUBSTITUTE(AB475,"[Aviso]","")))/7, "Con Incidencias", "Válido")))</f>
        <v/>
      </c>
      <c r="AB475" s="56">
        <f>IF(AND(A475="", B475="", E475=""), "", TEXTJOIN("; ", TRUE, IF(OR(TRIM(A475&amp;"")="", ISNUMBER(SEARCH("FALTA", A475))), "UPC faltante/inválido", ""), IF(AND(A475&lt;&gt;"", IFERROR(_xlfn.XMATCH(A475,$A$2:$A$653,0,1)&lt;&gt;_xlfn.XMATCH(A475,$A$2:$A$653,0,-1),FALSE)), "Código de barras duplicado", ""), IF(AND(E475&lt;&gt;"", COUNTIF($E$2:$E$653, E475)&gt;1), "SKU duplicado", ""), IF(OR(J475="", J475=""), "[Aviso] División no capturada ()", IF(ISNA(MATCH(J475, Criterios!$A$123:$A$126, 0)), "División no válida", "")), IF(OR(K475="", K475=""), "[Aviso] Categoría no capturada ()", IF(ISNA(MATCH(K475, Criterios!$A$81:$A$120, 0)), "Categoría no válida", IF(AND(J475&lt;&gt;"", J475&lt;&gt;"", J475&lt;&gt;VLOOKUP(K475, Criterios!$A$81:$B$120, 2, FALSE)), "División no coincide con Categoría", ""))), IF(OR(L475="", L475=""), "[Aviso] Género no capturado ()", IF(ISNA(MATCH(L475, Criterios!$B$123:$B$127, 0)), "Género no válido", "")), IF(OR(N475="", N475=""), "[Aviso] Temporada no capturada ()", IF(ISNA(MATCH(N475, Criterios!$C$123:$C$128, 0)), "Temporada no válida", "")), IF(OR(O475="", O475=""), "[Aviso] Ciclo de vida no capturado ()", IF(ISNA(MATCH(O475, Criterios!$D$123:$D$124, 0)), "Ciclo de vida no válido", ""))))</f>
        <v/>
      </c>
      <c r="AC475" s="56" t="n"/>
      <c r="AD475" s="51" t="n">
        <v>3</v>
      </c>
      <c r="AE475" s="156" t="n"/>
      <c r="AF475" s="51" t="n">
        <v>3</v>
      </c>
      <c r="AG475" s="156" t="inlineStr">
        <is>
          <t>Nuevo – NetSuite con existencia</t>
        </is>
      </c>
      <c r="AH47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5" s="156" t="inlineStr">
        <is>
          <t>No</t>
        </is>
      </c>
      <c r="AJ475" s="156" t="n"/>
      <c r="AK475" s="155" t="inlineStr">
        <is>
          <t>G1522_Extraccion_Articulos_NetSuite_2026-09-30.xlsx: fila 43902</t>
        </is>
      </c>
      <c r="AL475" s="58" t="n"/>
      <c r="AM475" s="58" t="n"/>
      <c r="AN475" s="155" t="n"/>
      <c r="AO475" s="59" t="n"/>
      <c r="AP475" s="59" t="n"/>
      <c r="AQ475" s="59" t="n"/>
      <c r="AR475" s="155" t="n"/>
    </row>
    <row r="476">
      <c r="A476" s="50" t="inlineStr">
        <is>
          <t>5056658710186</t>
        </is>
      </c>
      <c r="B476" s="51" t="inlineStr">
        <is>
          <t>91194</t>
        </is>
      </c>
      <c r="C476" s="156" t="inlineStr">
        <is>
          <t>REFLO</t>
        </is>
      </c>
      <c r="D476" s="156" t="n"/>
      <c r="E476" s="156" t="n"/>
      <c r="F476" s="156" t="n"/>
      <c r="G476" s="156" t="n"/>
      <c r="H476" s="156" t="inlineStr">
        <is>
          <t>REFLO</t>
        </is>
      </c>
      <c r="I476" s="156" t="n"/>
      <c r="J476" s="156" t="n"/>
      <c r="K476" s="156" t="n"/>
      <c r="L476" s="156" t="n"/>
      <c r="M476" s="156" t="n"/>
      <c r="N476" s="156" t="n"/>
      <c r="O476" s="156" t="n"/>
      <c r="P476" s="156" t="n"/>
      <c r="Q476" s="156" t="n"/>
      <c r="R476" s="156" t="n"/>
      <c r="S476" s="156" t="n"/>
      <c r="T476" s="156" t="n"/>
      <c r="U476" s="156" t="n"/>
      <c r="V476" s="156" t="inlineStr">
        <is>
          <t>PZS</t>
        </is>
      </c>
      <c r="W476" s="51" t="inlineStr">
        <is>
          <t>53103001</t>
        </is>
      </c>
      <c r="X476" s="156" t="n"/>
      <c r="Y476" s="54" t="n">
        <v>29.25</v>
      </c>
      <c r="Z476" s="54" t="n">
        <v>2249</v>
      </c>
      <c r="AA476" s="55">
        <f>IF(AND(A476="", B476="", E476=""), "", IF(AB476="", "Válido", IF((LEN(AB476)-LEN(SUBSTITUTE(AB476,"; ","")))/2+1&gt;(LEN(AB476)-LEN(SUBSTITUTE(AB476,"[Aviso]","")))/7, "Con Incidencias", "Válido")))</f>
        <v/>
      </c>
      <c r="AB476" s="56">
        <f>IF(AND(A476="", B476="", E476=""), "", TEXTJOIN("; ", TRUE, IF(OR(TRIM(A476&amp;"")="", ISNUMBER(SEARCH("FALTA", A476))), "UPC faltante/inválido", ""), IF(AND(A476&lt;&gt;"", IFERROR(_xlfn.XMATCH(A476,$A$2:$A$653,0,1)&lt;&gt;_xlfn.XMATCH(A476,$A$2:$A$653,0,-1),FALSE)), "Código de barras duplicado", ""), IF(AND(E476&lt;&gt;"", COUNTIF($E$2:$E$653, E476)&gt;1), "SKU duplicado", ""), IF(OR(J476="", J476=""), "[Aviso] División no capturada ()", IF(ISNA(MATCH(J476, Criterios!$A$123:$A$126, 0)), "División no válida", "")), IF(OR(K476="", K476=""), "[Aviso] Categoría no capturada ()", IF(ISNA(MATCH(K476, Criterios!$A$81:$A$120, 0)), "Categoría no válida", IF(AND(J476&lt;&gt;"", J476&lt;&gt;"", J476&lt;&gt;VLOOKUP(K476, Criterios!$A$81:$B$120, 2, FALSE)), "División no coincide con Categoría", ""))), IF(OR(L476="", L476=""), "[Aviso] Género no capturado ()", IF(ISNA(MATCH(L476, Criterios!$B$123:$B$127, 0)), "Género no válido", "")), IF(OR(N476="", N476=""), "[Aviso] Temporada no capturada ()", IF(ISNA(MATCH(N476, Criterios!$C$123:$C$128, 0)), "Temporada no válida", "")), IF(OR(O476="", O476=""), "[Aviso] Ciclo de vida no capturado ()", IF(ISNA(MATCH(O476, Criterios!$D$123:$D$124, 0)), "Ciclo de vida no válido", ""))))</f>
        <v/>
      </c>
      <c r="AC476" s="56" t="n"/>
      <c r="AD476" s="51" t="n">
        <v>0</v>
      </c>
      <c r="AE476" s="156" t="n"/>
      <c r="AF476" s="51" t="n">
        <v>0</v>
      </c>
      <c r="AG476" s="156" t="inlineStr">
        <is>
          <t>Nuevo – NetSuite sin existencia</t>
        </is>
      </c>
      <c r="AH47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6" s="156" t="inlineStr">
        <is>
          <t>No</t>
        </is>
      </c>
      <c r="AJ476" s="156" t="n"/>
      <c r="AK476" s="155" t="inlineStr">
        <is>
          <t>G1522_Extraccion_Articulos_NetSuite_2026-09-30.xlsx: fila 43903</t>
        </is>
      </c>
      <c r="AL476" s="58" t="n"/>
      <c r="AM476" s="58" t="n"/>
      <c r="AN476" s="155" t="n"/>
      <c r="AO476" s="59" t="n"/>
      <c r="AP476" s="59" t="n"/>
      <c r="AQ476" s="59" t="n"/>
      <c r="AR476" s="155" t="n"/>
    </row>
    <row r="477">
      <c r="A477" s="50" t="inlineStr">
        <is>
          <t>5056658710193</t>
        </is>
      </c>
      <c r="B477" s="51" t="inlineStr">
        <is>
          <t>91195</t>
        </is>
      </c>
      <c r="C477" s="156" t="inlineStr">
        <is>
          <t>REFLO</t>
        </is>
      </c>
      <c r="D477" s="156" t="n"/>
      <c r="E477" s="156" t="n"/>
      <c r="F477" s="156" t="n"/>
      <c r="G477" s="156" t="n"/>
      <c r="H477" s="156" t="inlineStr">
        <is>
          <t>REFLO</t>
        </is>
      </c>
      <c r="I477" s="156" t="n"/>
      <c r="J477" s="156" t="n"/>
      <c r="K477" s="156" t="n"/>
      <c r="L477" s="156" t="n"/>
      <c r="M477" s="156" t="n"/>
      <c r="N477" s="156" t="n"/>
      <c r="O477" s="156" t="n"/>
      <c r="P477" s="156" t="n"/>
      <c r="Q477" s="156" t="n"/>
      <c r="R477" s="156" t="n"/>
      <c r="S477" s="156" t="n"/>
      <c r="T477" s="156" t="n"/>
      <c r="U477" s="156" t="n"/>
      <c r="V477" s="156" t="inlineStr">
        <is>
          <t>PZS</t>
        </is>
      </c>
      <c r="W477" s="51" t="inlineStr">
        <is>
          <t>53103001</t>
        </is>
      </c>
      <c r="X477" s="156" t="n"/>
      <c r="Y477" s="54" t="n">
        <v>29.25</v>
      </c>
      <c r="Z477" s="54" t="n">
        <v>2249</v>
      </c>
      <c r="AA477" s="55">
        <f>IF(AND(A477="", B477="", E477=""), "", IF(AB477="", "Válido", IF((LEN(AB477)-LEN(SUBSTITUTE(AB477,"; ","")))/2+1&gt;(LEN(AB477)-LEN(SUBSTITUTE(AB477,"[Aviso]","")))/7, "Con Incidencias", "Válido")))</f>
        <v/>
      </c>
      <c r="AB477" s="56">
        <f>IF(AND(A477="", B477="", E477=""), "", TEXTJOIN("; ", TRUE, IF(OR(TRIM(A477&amp;"")="", ISNUMBER(SEARCH("FALTA", A477))), "UPC faltante/inválido", ""), IF(AND(A477&lt;&gt;"", IFERROR(_xlfn.XMATCH(A477,$A$2:$A$653,0,1)&lt;&gt;_xlfn.XMATCH(A477,$A$2:$A$653,0,-1),FALSE)), "Código de barras duplicado", ""), IF(AND(E477&lt;&gt;"", COUNTIF($E$2:$E$653, E477)&gt;1), "SKU duplicado", ""), IF(OR(J477="", J477=""), "[Aviso] División no capturada ()", IF(ISNA(MATCH(J477, Criterios!$A$123:$A$126, 0)), "División no válida", "")), IF(OR(K477="", K477=""), "[Aviso] Categoría no capturada ()", IF(ISNA(MATCH(K477, Criterios!$A$81:$A$120, 0)), "Categoría no válida", IF(AND(J477&lt;&gt;"", J477&lt;&gt;"", J477&lt;&gt;VLOOKUP(K477, Criterios!$A$81:$B$120, 2, FALSE)), "División no coincide con Categoría", ""))), IF(OR(L477="", L477=""), "[Aviso] Género no capturado ()", IF(ISNA(MATCH(L477, Criterios!$B$123:$B$127, 0)), "Género no válido", "")), IF(OR(N477="", N477=""), "[Aviso] Temporada no capturada ()", IF(ISNA(MATCH(N477, Criterios!$C$123:$C$128, 0)), "Temporada no válida", "")), IF(OR(O477="", O477=""), "[Aviso] Ciclo de vida no capturado ()", IF(ISNA(MATCH(O477, Criterios!$D$123:$D$124, 0)), "Ciclo de vida no válido", ""))))</f>
        <v/>
      </c>
      <c r="AC477" s="56" t="n"/>
      <c r="AD477" s="51" t="n">
        <v>0</v>
      </c>
      <c r="AE477" s="156" t="n"/>
      <c r="AF477" s="51" t="n">
        <v>0</v>
      </c>
      <c r="AG477" s="156" t="inlineStr">
        <is>
          <t>Nuevo – NetSuite sin existencia</t>
        </is>
      </c>
      <c r="AH47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7" s="156" t="inlineStr">
        <is>
          <t>No</t>
        </is>
      </c>
      <c r="AJ477" s="156" t="n"/>
      <c r="AK477" s="155" t="inlineStr">
        <is>
          <t>G1522_Extraccion_Articulos_NetSuite_2026-09-30.xlsx: fila 43904</t>
        </is>
      </c>
      <c r="AL477" s="58" t="n"/>
      <c r="AM477" s="58" t="n"/>
      <c r="AN477" s="155" t="n"/>
      <c r="AO477" s="59" t="n"/>
      <c r="AP477" s="59" t="n"/>
      <c r="AQ477" s="59" t="n"/>
      <c r="AR477" s="155" t="n"/>
    </row>
    <row r="478">
      <c r="A478" s="50" t="inlineStr">
        <is>
          <t>5056658710209</t>
        </is>
      </c>
      <c r="B478" s="51" t="inlineStr">
        <is>
          <t>91196</t>
        </is>
      </c>
      <c r="C478" s="156" t="inlineStr">
        <is>
          <t>REFLO</t>
        </is>
      </c>
      <c r="D478" s="156" t="n"/>
      <c r="E478" s="156" t="n"/>
      <c r="F478" s="156" t="n"/>
      <c r="G478" s="156" t="n"/>
      <c r="H478" s="156" t="inlineStr">
        <is>
          <t>REFLO</t>
        </is>
      </c>
      <c r="I478" s="156" t="n"/>
      <c r="J478" s="156" t="n"/>
      <c r="K478" s="156" t="n"/>
      <c r="L478" s="156" t="n"/>
      <c r="M478" s="156" t="n"/>
      <c r="N478" s="156" t="n"/>
      <c r="O478" s="156" t="n"/>
      <c r="P478" s="156" t="n"/>
      <c r="Q478" s="156" t="n"/>
      <c r="R478" s="156" t="n"/>
      <c r="S478" s="156" t="n"/>
      <c r="T478" s="156" t="n"/>
      <c r="U478" s="156" t="n"/>
      <c r="V478" s="156" t="inlineStr">
        <is>
          <t>PZS</t>
        </is>
      </c>
      <c r="W478" s="51" t="inlineStr">
        <is>
          <t>53103001</t>
        </is>
      </c>
      <c r="X478" s="156" t="n"/>
      <c r="Y478" s="54" t="n">
        <v>29.25</v>
      </c>
      <c r="Z478" s="54" t="n">
        <v>2249</v>
      </c>
      <c r="AA478" s="55">
        <f>IF(AND(A478="", B478="", E478=""), "", IF(AB478="", "Válido", IF((LEN(AB478)-LEN(SUBSTITUTE(AB478,"; ","")))/2+1&gt;(LEN(AB478)-LEN(SUBSTITUTE(AB478,"[Aviso]","")))/7, "Con Incidencias", "Válido")))</f>
        <v/>
      </c>
      <c r="AB478" s="56">
        <f>IF(AND(A478="", B478="", E478=""), "", TEXTJOIN("; ", TRUE, IF(OR(TRIM(A478&amp;"")="", ISNUMBER(SEARCH("FALTA", A478))), "UPC faltante/inválido", ""), IF(AND(A478&lt;&gt;"", IFERROR(_xlfn.XMATCH(A478,$A$2:$A$653,0,1)&lt;&gt;_xlfn.XMATCH(A478,$A$2:$A$653,0,-1),FALSE)), "Código de barras duplicado", ""), IF(AND(E478&lt;&gt;"", COUNTIF($E$2:$E$653, E478)&gt;1), "SKU duplicado", ""), IF(OR(J478="", J478=""), "[Aviso] División no capturada ()", IF(ISNA(MATCH(J478, Criterios!$A$123:$A$126, 0)), "División no válida", "")), IF(OR(K478="", K478=""), "[Aviso] Categoría no capturada ()", IF(ISNA(MATCH(K478, Criterios!$A$81:$A$120, 0)), "Categoría no válida", IF(AND(J478&lt;&gt;"", J478&lt;&gt;"", J478&lt;&gt;VLOOKUP(K478, Criterios!$A$81:$B$120, 2, FALSE)), "División no coincide con Categoría", ""))), IF(OR(L478="", L478=""), "[Aviso] Género no capturado ()", IF(ISNA(MATCH(L478, Criterios!$B$123:$B$127, 0)), "Género no válido", "")), IF(OR(N478="", N478=""), "[Aviso] Temporada no capturada ()", IF(ISNA(MATCH(N478, Criterios!$C$123:$C$128, 0)), "Temporada no válida", "")), IF(OR(O478="", O478=""), "[Aviso] Ciclo de vida no capturado ()", IF(ISNA(MATCH(O478, Criterios!$D$123:$D$124, 0)), "Ciclo de vida no válido", ""))))</f>
        <v/>
      </c>
      <c r="AC478" s="56" t="n"/>
      <c r="AD478" s="51" t="n">
        <v>9</v>
      </c>
      <c r="AE478" s="156" t="n"/>
      <c r="AF478" s="51" t="n">
        <v>9</v>
      </c>
      <c r="AG478" s="156" t="inlineStr">
        <is>
          <t>Nuevo – NetSuite con existencia</t>
        </is>
      </c>
      <c r="AH47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8" s="156" t="inlineStr">
        <is>
          <t>No</t>
        </is>
      </c>
      <c r="AJ478" s="156" t="n"/>
      <c r="AK478" s="155" t="inlineStr">
        <is>
          <t>G1522_Extraccion_Articulos_NetSuite_2026-09-30.xlsx: fila 43905</t>
        </is>
      </c>
      <c r="AL478" s="58" t="n"/>
      <c r="AM478" s="58" t="n"/>
      <c r="AN478" s="155" t="n"/>
      <c r="AO478" s="59" t="n"/>
      <c r="AP478" s="59" t="n"/>
      <c r="AQ478" s="59" t="n"/>
      <c r="AR478" s="155" t="n"/>
    </row>
    <row r="479">
      <c r="A479" s="50" t="inlineStr">
        <is>
          <t>5056658710216</t>
        </is>
      </c>
      <c r="B479" s="51" t="inlineStr">
        <is>
          <t>91197</t>
        </is>
      </c>
      <c r="C479" s="156" t="inlineStr">
        <is>
          <t>REFLO</t>
        </is>
      </c>
      <c r="D479" s="156" t="n"/>
      <c r="E479" s="156" t="n"/>
      <c r="F479" s="156" t="n"/>
      <c r="G479" s="156" t="n"/>
      <c r="H479" s="156" t="inlineStr">
        <is>
          <t>REFLO</t>
        </is>
      </c>
      <c r="I479" s="156" t="n"/>
      <c r="J479" s="156" t="n"/>
      <c r="K479" s="156" t="n"/>
      <c r="L479" s="156" t="n"/>
      <c r="M479" s="156" t="n"/>
      <c r="N479" s="156" t="n"/>
      <c r="O479" s="156" t="n"/>
      <c r="P479" s="156" t="n"/>
      <c r="Q479" s="156" t="n"/>
      <c r="R479" s="156" t="n"/>
      <c r="S479" s="156" t="n"/>
      <c r="T479" s="156" t="n"/>
      <c r="U479" s="156" t="n"/>
      <c r="V479" s="156" t="inlineStr">
        <is>
          <t>PZS</t>
        </is>
      </c>
      <c r="W479" s="51" t="inlineStr">
        <is>
          <t>53103001</t>
        </is>
      </c>
      <c r="X479" s="156" t="n"/>
      <c r="Y479" s="54" t="n">
        <v>29.25</v>
      </c>
      <c r="Z479" s="54" t="n">
        <v>2249</v>
      </c>
      <c r="AA479" s="55">
        <f>IF(AND(A479="", B479="", E479=""), "", IF(AB479="", "Válido", IF((LEN(AB479)-LEN(SUBSTITUTE(AB479,"; ","")))/2+1&gt;(LEN(AB479)-LEN(SUBSTITUTE(AB479,"[Aviso]","")))/7, "Con Incidencias", "Válido")))</f>
        <v/>
      </c>
      <c r="AB479" s="56">
        <f>IF(AND(A479="", B479="", E479=""), "", TEXTJOIN("; ", TRUE, IF(OR(TRIM(A479&amp;"")="", ISNUMBER(SEARCH("FALTA", A479))), "UPC faltante/inválido", ""), IF(AND(A479&lt;&gt;"", IFERROR(_xlfn.XMATCH(A479,$A$2:$A$653,0,1)&lt;&gt;_xlfn.XMATCH(A479,$A$2:$A$653,0,-1),FALSE)), "Código de barras duplicado", ""), IF(AND(E479&lt;&gt;"", COUNTIF($E$2:$E$653, E479)&gt;1), "SKU duplicado", ""), IF(OR(J479="", J479=""), "[Aviso] División no capturada ()", IF(ISNA(MATCH(J479, Criterios!$A$123:$A$126, 0)), "División no válida", "")), IF(OR(K479="", K479=""), "[Aviso] Categoría no capturada ()", IF(ISNA(MATCH(K479, Criterios!$A$81:$A$120, 0)), "Categoría no válida", IF(AND(J479&lt;&gt;"", J479&lt;&gt;"", J479&lt;&gt;VLOOKUP(K479, Criterios!$A$81:$B$120, 2, FALSE)), "División no coincide con Categoría", ""))), IF(OR(L479="", L479=""), "[Aviso] Género no capturado ()", IF(ISNA(MATCH(L479, Criterios!$B$123:$B$127, 0)), "Género no válido", "")), IF(OR(N479="", N479=""), "[Aviso] Temporada no capturada ()", IF(ISNA(MATCH(N479, Criterios!$C$123:$C$128, 0)), "Temporada no válida", "")), IF(OR(O479="", O479=""), "[Aviso] Ciclo de vida no capturado ()", IF(ISNA(MATCH(O479, Criterios!$D$123:$D$124, 0)), "Ciclo de vida no válido", ""))))</f>
        <v/>
      </c>
      <c r="AC479" s="56" t="n"/>
      <c r="AD479" s="51" t="n">
        <v>12</v>
      </c>
      <c r="AE479" s="156" t="n"/>
      <c r="AF479" s="51" t="n">
        <v>12</v>
      </c>
      <c r="AG479" s="156" t="inlineStr">
        <is>
          <t>Nuevo – NetSuite con existencia</t>
        </is>
      </c>
      <c r="AH47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9" s="156" t="inlineStr">
        <is>
          <t>No</t>
        </is>
      </c>
      <c r="AJ479" s="156" t="n"/>
      <c r="AK479" s="155" t="inlineStr">
        <is>
          <t>G1522_Extraccion_Articulos_NetSuite_2026-09-30.xlsx: fila 43906</t>
        </is>
      </c>
      <c r="AL479" s="58" t="n"/>
      <c r="AM479" s="58" t="n"/>
      <c r="AN479" s="155" t="n"/>
      <c r="AO479" s="59" t="n"/>
      <c r="AP479" s="59" t="n"/>
      <c r="AQ479" s="59" t="n"/>
      <c r="AR479" s="155" t="n"/>
    </row>
    <row r="480">
      <c r="A480" s="50" t="inlineStr">
        <is>
          <t>5056658710223</t>
        </is>
      </c>
      <c r="B480" s="51" t="inlineStr">
        <is>
          <t>91198</t>
        </is>
      </c>
      <c r="C480" s="156" t="inlineStr">
        <is>
          <t>REFLO</t>
        </is>
      </c>
      <c r="D480" s="156" t="n"/>
      <c r="E480" s="156" t="n"/>
      <c r="F480" s="156" t="n"/>
      <c r="G480" s="156" t="n"/>
      <c r="H480" s="156" t="inlineStr">
        <is>
          <t>REFLO</t>
        </is>
      </c>
      <c r="I480" s="156" t="n"/>
      <c r="J480" s="156" t="n"/>
      <c r="K480" s="156" t="n"/>
      <c r="L480" s="156" t="n"/>
      <c r="M480" s="156" t="n"/>
      <c r="N480" s="156" t="n"/>
      <c r="O480" s="156" t="n"/>
      <c r="P480" s="156" t="n"/>
      <c r="Q480" s="156" t="n"/>
      <c r="R480" s="156" t="n"/>
      <c r="S480" s="156" t="n"/>
      <c r="T480" s="156" t="n"/>
      <c r="U480" s="156" t="n"/>
      <c r="V480" s="156" t="inlineStr">
        <is>
          <t>PZS</t>
        </is>
      </c>
      <c r="W480" s="51" t="inlineStr">
        <is>
          <t>53103001</t>
        </is>
      </c>
      <c r="X480" s="156" t="n"/>
      <c r="Y480" s="54" t="n">
        <v>29.25</v>
      </c>
      <c r="Z480" s="54" t="n">
        <v>2249</v>
      </c>
      <c r="AA480" s="55">
        <f>IF(AND(A480="", B480="", E480=""), "", IF(AB480="", "Válido", IF((LEN(AB480)-LEN(SUBSTITUTE(AB480,"; ","")))/2+1&gt;(LEN(AB480)-LEN(SUBSTITUTE(AB480,"[Aviso]","")))/7, "Con Incidencias", "Válido")))</f>
        <v/>
      </c>
      <c r="AB480" s="56">
        <f>IF(AND(A480="", B480="", E480=""), "", TEXTJOIN("; ", TRUE, IF(OR(TRIM(A480&amp;"")="", ISNUMBER(SEARCH("FALTA", A480))), "UPC faltante/inválido", ""), IF(AND(A480&lt;&gt;"", IFERROR(_xlfn.XMATCH(A480,$A$2:$A$653,0,1)&lt;&gt;_xlfn.XMATCH(A480,$A$2:$A$653,0,-1),FALSE)), "Código de barras duplicado", ""), IF(AND(E480&lt;&gt;"", COUNTIF($E$2:$E$653, E480)&gt;1), "SKU duplicado", ""), IF(OR(J480="", J480=""), "[Aviso] División no capturada ()", IF(ISNA(MATCH(J480, Criterios!$A$123:$A$126, 0)), "División no válida", "")), IF(OR(K480="", K480=""), "[Aviso] Categoría no capturada ()", IF(ISNA(MATCH(K480, Criterios!$A$81:$A$120, 0)), "Categoría no válida", IF(AND(J480&lt;&gt;"", J480&lt;&gt;"", J480&lt;&gt;VLOOKUP(K480, Criterios!$A$81:$B$120, 2, FALSE)), "División no coincide con Categoría", ""))), IF(OR(L480="", L480=""), "[Aviso] Género no capturado ()", IF(ISNA(MATCH(L480, Criterios!$B$123:$B$127, 0)), "Género no válido", "")), IF(OR(N480="", N480=""), "[Aviso] Temporada no capturada ()", IF(ISNA(MATCH(N480, Criterios!$C$123:$C$128, 0)), "Temporada no válida", "")), IF(OR(O480="", O480=""), "[Aviso] Ciclo de vida no capturado ()", IF(ISNA(MATCH(O480, Criterios!$D$123:$D$124, 0)), "Ciclo de vida no válido", ""))))</f>
        <v/>
      </c>
      <c r="AC480" s="56" t="n"/>
      <c r="AD480" s="51" t="n">
        <v>8</v>
      </c>
      <c r="AE480" s="156" t="n"/>
      <c r="AF480" s="51" t="n">
        <v>8</v>
      </c>
      <c r="AG480" s="156" t="inlineStr">
        <is>
          <t>Nuevo – NetSuite con existencia</t>
        </is>
      </c>
      <c r="AH48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0" s="156" t="inlineStr">
        <is>
          <t>No</t>
        </is>
      </c>
      <c r="AJ480" s="156" t="n"/>
      <c r="AK480" s="155" t="inlineStr">
        <is>
          <t>G1522_Extraccion_Articulos_NetSuite_2026-09-30.xlsx: fila 43907</t>
        </is>
      </c>
      <c r="AL480" s="58" t="n"/>
      <c r="AM480" s="58" t="n"/>
      <c r="AN480" s="155" t="n"/>
      <c r="AO480" s="59" t="n"/>
      <c r="AP480" s="59" t="n"/>
      <c r="AQ480" s="59" t="n"/>
      <c r="AR480" s="155" t="n"/>
    </row>
    <row r="481">
      <c r="A481" s="50" t="inlineStr">
        <is>
          <t>5056658714351</t>
        </is>
      </c>
      <c r="B481" s="51" t="inlineStr">
        <is>
          <t>91199</t>
        </is>
      </c>
      <c r="C481" s="156" t="inlineStr">
        <is>
          <t>REFLO</t>
        </is>
      </c>
      <c r="D481" s="156" t="n"/>
      <c r="E481" s="156" t="n"/>
      <c r="F481" s="156" t="n"/>
      <c r="G481" s="156" t="n"/>
      <c r="H481" s="156" t="inlineStr">
        <is>
          <t>REFLO</t>
        </is>
      </c>
      <c r="I481" s="156" t="n"/>
      <c r="J481" s="156" t="n"/>
      <c r="K481" s="156" t="n"/>
      <c r="L481" s="156" t="n"/>
      <c r="M481" s="156" t="n"/>
      <c r="N481" s="156" t="n"/>
      <c r="O481" s="156" t="n"/>
      <c r="P481" s="156" t="n"/>
      <c r="Q481" s="156" t="n"/>
      <c r="R481" s="156" t="n"/>
      <c r="S481" s="156" t="n"/>
      <c r="T481" s="156" t="n"/>
      <c r="U481" s="156" t="n"/>
      <c r="V481" s="156" t="inlineStr">
        <is>
          <t>PZS</t>
        </is>
      </c>
      <c r="W481" s="51" t="inlineStr">
        <is>
          <t>53103001</t>
        </is>
      </c>
      <c r="X481" s="156" t="n"/>
      <c r="Y481" s="54" t="n">
        <v>29.25</v>
      </c>
      <c r="Z481" s="54" t="n">
        <v>2249</v>
      </c>
      <c r="AA481" s="55">
        <f>IF(AND(A481="", B481="", E481=""), "", IF(AB481="", "Válido", IF((LEN(AB481)-LEN(SUBSTITUTE(AB481,"; ","")))/2+1&gt;(LEN(AB481)-LEN(SUBSTITUTE(AB481,"[Aviso]","")))/7, "Con Incidencias", "Válido")))</f>
        <v/>
      </c>
      <c r="AB481" s="56">
        <f>IF(AND(A481="", B481="", E481=""), "", TEXTJOIN("; ", TRUE, IF(OR(TRIM(A481&amp;"")="", ISNUMBER(SEARCH("FALTA", A481))), "UPC faltante/inválido", ""), IF(AND(A481&lt;&gt;"", IFERROR(_xlfn.XMATCH(A481,$A$2:$A$653,0,1)&lt;&gt;_xlfn.XMATCH(A481,$A$2:$A$653,0,-1),FALSE)), "Código de barras duplicado", ""), IF(AND(E481&lt;&gt;"", COUNTIF($E$2:$E$653, E481)&gt;1), "SKU duplicado", ""), IF(OR(J481="", J481=""), "[Aviso] División no capturada ()", IF(ISNA(MATCH(J481, Criterios!$A$123:$A$126, 0)), "División no válida", "")), IF(OR(K481="", K481=""), "[Aviso] Categoría no capturada ()", IF(ISNA(MATCH(K481, Criterios!$A$81:$A$120, 0)), "Categoría no válida", IF(AND(J481&lt;&gt;"", J481&lt;&gt;"", J481&lt;&gt;VLOOKUP(K481, Criterios!$A$81:$B$120, 2, FALSE)), "División no coincide con Categoría", ""))), IF(OR(L481="", L481=""), "[Aviso] Género no capturado ()", IF(ISNA(MATCH(L481, Criterios!$B$123:$B$127, 0)), "Género no válido", "")), IF(OR(N481="", N481=""), "[Aviso] Temporada no capturada ()", IF(ISNA(MATCH(N481, Criterios!$C$123:$C$128, 0)), "Temporada no válida", "")), IF(OR(O481="", O481=""), "[Aviso] Ciclo de vida no capturado ()", IF(ISNA(MATCH(O481, Criterios!$D$123:$D$124, 0)), "Ciclo de vida no válido", ""))))</f>
        <v/>
      </c>
      <c r="AC481" s="56" t="n"/>
      <c r="AD481" s="51" t="n">
        <v>4</v>
      </c>
      <c r="AE481" s="156" t="n"/>
      <c r="AF481" s="51" t="n">
        <v>4</v>
      </c>
      <c r="AG481" s="156" t="inlineStr">
        <is>
          <t>Nuevo – NetSuite con existencia</t>
        </is>
      </c>
      <c r="AH48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1" s="156" t="inlineStr">
        <is>
          <t>No</t>
        </is>
      </c>
      <c r="AJ481" s="156" t="n"/>
      <c r="AK481" s="155" t="inlineStr">
        <is>
          <t>G1522_Extraccion_Articulos_NetSuite_2026-09-30.xlsx: fila 43908</t>
        </is>
      </c>
      <c r="AL481" s="58" t="n"/>
      <c r="AM481" s="58" t="n"/>
      <c r="AN481" s="155" t="n"/>
      <c r="AO481" s="59" t="n"/>
      <c r="AP481" s="59" t="n"/>
      <c r="AQ481" s="59" t="n"/>
      <c r="AR481" s="155" t="n"/>
    </row>
    <row r="482">
      <c r="A482" s="50" t="inlineStr">
        <is>
          <t>5056658712845</t>
        </is>
      </c>
      <c r="B482" s="51" t="inlineStr">
        <is>
          <t>91200</t>
        </is>
      </c>
      <c r="C482" s="156" t="inlineStr">
        <is>
          <t>REFLO</t>
        </is>
      </c>
      <c r="D482" s="156" t="n"/>
      <c r="E482" s="156" t="n"/>
      <c r="F482" s="156" t="n"/>
      <c r="G482" s="156" t="n"/>
      <c r="H482" s="156" t="inlineStr">
        <is>
          <t>REFLO</t>
        </is>
      </c>
      <c r="I482" s="156" t="n"/>
      <c r="J482" s="156" t="n"/>
      <c r="K482" s="156" t="n"/>
      <c r="L482" s="156" t="n"/>
      <c r="M482" s="156" t="n"/>
      <c r="N482" s="156" t="n"/>
      <c r="O482" s="156" t="n"/>
      <c r="P482" s="156" t="n"/>
      <c r="Q482" s="156" t="n"/>
      <c r="R482" s="156" t="n"/>
      <c r="S482" s="156" t="n"/>
      <c r="T482" s="156" t="n"/>
      <c r="U482" s="156" t="n"/>
      <c r="V482" s="156" t="inlineStr">
        <is>
          <t>PZS</t>
        </is>
      </c>
      <c r="W482" s="51" t="inlineStr">
        <is>
          <t>53103001</t>
        </is>
      </c>
      <c r="X482" s="156" t="n"/>
      <c r="Y482" s="54" t="n">
        <v>29.25</v>
      </c>
      <c r="Z482" s="54" t="n">
        <v>2249</v>
      </c>
      <c r="AA482" s="55">
        <f>IF(AND(A482="", B482="", E482=""), "", IF(AB482="", "Válido", IF((LEN(AB482)-LEN(SUBSTITUTE(AB482,"; ","")))/2+1&gt;(LEN(AB482)-LEN(SUBSTITUTE(AB482,"[Aviso]","")))/7, "Con Incidencias", "Válido")))</f>
        <v/>
      </c>
      <c r="AB482" s="56">
        <f>IF(AND(A482="", B482="", E482=""), "", TEXTJOIN("; ", TRUE, IF(OR(TRIM(A482&amp;"")="", ISNUMBER(SEARCH("FALTA", A482))), "UPC faltante/inválido", ""), IF(AND(A482&lt;&gt;"", IFERROR(_xlfn.XMATCH(A482,$A$2:$A$653,0,1)&lt;&gt;_xlfn.XMATCH(A482,$A$2:$A$653,0,-1),FALSE)), "Código de barras duplicado", ""), IF(AND(E482&lt;&gt;"", COUNTIF($E$2:$E$653, E482)&gt;1), "SKU duplicado", ""), IF(OR(J482="", J482=""), "[Aviso] División no capturada ()", IF(ISNA(MATCH(J482, Criterios!$A$123:$A$126, 0)), "División no válida", "")), IF(OR(K482="", K482=""), "[Aviso] Categoría no capturada ()", IF(ISNA(MATCH(K482, Criterios!$A$81:$A$120, 0)), "Categoría no válida", IF(AND(J482&lt;&gt;"", J482&lt;&gt;"", J482&lt;&gt;VLOOKUP(K482, Criterios!$A$81:$B$120, 2, FALSE)), "División no coincide con Categoría", ""))), IF(OR(L482="", L482=""), "[Aviso] Género no capturado ()", IF(ISNA(MATCH(L482, Criterios!$B$123:$B$127, 0)), "Género no válido", "")), IF(OR(N482="", N482=""), "[Aviso] Temporada no capturada ()", IF(ISNA(MATCH(N482, Criterios!$C$123:$C$128, 0)), "Temporada no válida", "")), IF(OR(O482="", O482=""), "[Aviso] Ciclo de vida no capturado ()", IF(ISNA(MATCH(O482, Criterios!$D$123:$D$124, 0)), "Ciclo de vida no válido", ""))))</f>
        <v/>
      </c>
      <c r="AC482" s="56" t="n"/>
      <c r="AD482" s="51" t="n">
        <v>0</v>
      </c>
      <c r="AE482" s="156" t="n"/>
      <c r="AF482" s="51" t="n">
        <v>0</v>
      </c>
      <c r="AG482" s="156" t="inlineStr">
        <is>
          <t>Nuevo – NetSuite sin existencia</t>
        </is>
      </c>
      <c r="AH48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2" s="156" t="inlineStr">
        <is>
          <t>No</t>
        </is>
      </c>
      <c r="AJ482" s="156" t="n"/>
      <c r="AK482" s="155" t="inlineStr">
        <is>
          <t>G1522_Extraccion_Articulos_NetSuite_2026-09-30.xlsx: fila 43909</t>
        </is>
      </c>
      <c r="AL482" s="58" t="n"/>
      <c r="AM482" s="58" t="n"/>
      <c r="AN482" s="155" t="n"/>
      <c r="AO482" s="59" t="n"/>
      <c r="AP482" s="59" t="n"/>
      <c r="AQ482" s="59" t="n"/>
      <c r="AR482" s="155" t="n"/>
    </row>
    <row r="483">
      <c r="A483" s="50" t="inlineStr">
        <is>
          <t>5056658712852</t>
        </is>
      </c>
      <c r="B483" s="51" t="inlineStr">
        <is>
          <t>91201</t>
        </is>
      </c>
      <c r="C483" s="156" t="inlineStr">
        <is>
          <t>REFLO</t>
        </is>
      </c>
      <c r="D483" s="156" t="n"/>
      <c r="E483" s="156" t="n"/>
      <c r="F483" s="156" t="n"/>
      <c r="G483" s="156" t="n"/>
      <c r="H483" s="156" t="inlineStr">
        <is>
          <t>REFLO</t>
        </is>
      </c>
      <c r="I483" s="156" t="n"/>
      <c r="J483" s="156" t="n"/>
      <c r="K483" s="156" t="n"/>
      <c r="L483" s="156" t="n"/>
      <c r="M483" s="156" t="n"/>
      <c r="N483" s="156" t="n"/>
      <c r="O483" s="156" t="n"/>
      <c r="P483" s="156" t="n"/>
      <c r="Q483" s="156" t="n"/>
      <c r="R483" s="156" t="n"/>
      <c r="S483" s="156" t="n"/>
      <c r="T483" s="156" t="n"/>
      <c r="U483" s="156" t="n"/>
      <c r="V483" s="156" t="inlineStr">
        <is>
          <t>PZS</t>
        </is>
      </c>
      <c r="W483" s="51" t="inlineStr">
        <is>
          <t>53103001</t>
        </is>
      </c>
      <c r="X483" s="156" t="n"/>
      <c r="Y483" s="54" t="n">
        <v>29.25</v>
      </c>
      <c r="Z483" s="54" t="n">
        <v>2249</v>
      </c>
      <c r="AA483" s="55">
        <f>IF(AND(A483="", B483="", E483=""), "", IF(AB483="", "Válido", IF((LEN(AB483)-LEN(SUBSTITUTE(AB483,"; ","")))/2+1&gt;(LEN(AB483)-LEN(SUBSTITUTE(AB483,"[Aviso]","")))/7, "Con Incidencias", "Válido")))</f>
        <v/>
      </c>
      <c r="AB483" s="56">
        <f>IF(AND(A483="", B483="", E483=""), "", TEXTJOIN("; ", TRUE, IF(OR(TRIM(A483&amp;"")="", ISNUMBER(SEARCH("FALTA", A483))), "UPC faltante/inválido", ""), IF(AND(A483&lt;&gt;"", IFERROR(_xlfn.XMATCH(A483,$A$2:$A$653,0,1)&lt;&gt;_xlfn.XMATCH(A483,$A$2:$A$653,0,-1),FALSE)), "Código de barras duplicado", ""), IF(AND(E483&lt;&gt;"", COUNTIF($E$2:$E$653, E483)&gt;1), "SKU duplicado", ""), IF(OR(J483="", J483=""), "[Aviso] División no capturada ()", IF(ISNA(MATCH(J483, Criterios!$A$123:$A$126, 0)), "División no válida", "")), IF(OR(K483="", K483=""), "[Aviso] Categoría no capturada ()", IF(ISNA(MATCH(K483, Criterios!$A$81:$A$120, 0)), "Categoría no válida", IF(AND(J483&lt;&gt;"", J483&lt;&gt;"", J483&lt;&gt;VLOOKUP(K483, Criterios!$A$81:$B$120, 2, FALSE)), "División no coincide con Categoría", ""))), IF(OR(L483="", L483=""), "[Aviso] Género no capturado ()", IF(ISNA(MATCH(L483, Criterios!$B$123:$B$127, 0)), "Género no válido", "")), IF(OR(N483="", N483=""), "[Aviso] Temporada no capturada ()", IF(ISNA(MATCH(N483, Criterios!$C$123:$C$128, 0)), "Temporada no válida", "")), IF(OR(O483="", O483=""), "[Aviso] Ciclo de vida no capturado ()", IF(ISNA(MATCH(O483, Criterios!$D$123:$D$124, 0)), "Ciclo de vida no válido", ""))))</f>
        <v/>
      </c>
      <c r="AC483" s="56" t="n"/>
      <c r="AD483" s="51" t="n">
        <v>0</v>
      </c>
      <c r="AE483" s="156" t="n"/>
      <c r="AF483" s="51" t="n">
        <v>0</v>
      </c>
      <c r="AG483" s="156" t="inlineStr">
        <is>
          <t>Nuevo – NetSuite sin existencia</t>
        </is>
      </c>
      <c r="AH48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3" s="156" t="inlineStr">
        <is>
          <t>No</t>
        </is>
      </c>
      <c r="AJ483" s="156" t="n"/>
      <c r="AK483" s="155" t="inlineStr">
        <is>
          <t>G1522_Extraccion_Articulos_NetSuite_2026-09-30.xlsx: fila 43910</t>
        </is>
      </c>
      <c r="AL483" s="58" t="n"/>
      <c r="AM483" s="58" t="n"/>
      <c r="AN483" s="155" t="n"/>
      <c r="AO483" s="59" t="n"/>
      <c r="AP483" s="59" t="n"/>
      <c r="AQ483" s="59" t="n"/>
      <c r="AR483" s="155" t="n"/>
    </row>
    <row r="484">
      <c r="A484" s="50" t="inlineStr">
        <is>
          <t>5056658712869</t>
        </is>
      </c>
      <c r="B484" s="51" t="inlineStr">
        <is>
          <t>91202</t>
        </is>
      </c>
      <c r="C484" s="156" t="inlineStr">
        <is>
          <t>REFLO</t>
        </is>
      </c>
      <c r="D484" s="156" t="n"/>
      <c r="E484" s="156" t="n"/>
      <c r="F484" s="156" t="n"/>
      <c r="G484" s="156" t="n"/>
      <c r="H484" s="156" t="inlineStr">
        <is>
          <t>REFLO</t>
        </is>
      </c>
      <c r="I484" s="156" t="n"/>
      <c r="J484" s="156" t="n"/>
      <c r="K484" s="156" t="n"/>
      <c r="L484" s="156" t="n"/>
      <c r="M484" s="156" t="n"/>
      <c r="N484" s="156" t="n"/>
      <c r="O484" s="156" t="n"/>
      <c r="P484" s="156" t="n"/>
      <c r="Q484" s="156" t="n"/>
      <c r="R484" s="156" t="n"/>
      <c r="S484" s="156" t="n"/>
      <c r="T484" s="156" t="n"/>
      <c r="U484" s="156" t="n"/>
      <c r="V484" s="156" t="inlineStr">
        <is>
          <t>PZS</t>
        </is>
      </c>
      <c r="W484" s="51" t="inlineStr">
        <is>
          <t>53103001</t>
        </is>
      </c>
      <c r="X484" s="156" t="n"/>
      <c r="Y484" s="54" t="n">
        <v>29.25</v>
      </c>
      <c r="Z484" s="54" t="n">
        <v>2249</v>
      </c>
      <c r="AA484" s="55">
        <f>IF(AND(A484="", B484="", E484=""), "", IF(AB484="", "Válido", IF((LEN(AB484)-LEN(SUBSTITUTE(AB484,"; ","")))/2+1&gt;(LEN(AB484)-LEN(SUBSTITUTE(AB484,"[Aviso]","")))/7, "Con Incidencias", "Válido")))</f>
        <v/>
      </c>
      <c r="AB484" s="56">
        <f>IF(AND(A484="", B484="", E484=""), "", TEXTJOIN("; ", TRUE, IF(OR(TRIM(A484&amp;"")="", ISNUMBER(SEARCH("FALTA", A484))), "UPC faltante/inválido", ""), IF(AND(A484&lt;&gt;"", IFERROR(_xlfn.XMATCH(A484,$A$2:$A$653,0,1)&lt;&gt;_xlfn.XMATCH(A484,$A$2:$A$653,0,-1),FALSE)), "Código de barras duplicado", ""), IF(AND(E484&lt;&gt;"", COUNTIF($E$2:$E$653, E484)&gt;1), "SKU duplicado", ""), IF(OR(J484="", J484=""), "[Aviso] División no capturada ()", IF(ISNA(MATCH(J484, Criterios!$A$123:$A$126, 0)), "División no válida", "")), IF(OR(K484="", K484=""), "[Aviso] Categoría no capturada ()", IF(ISNA(MATCH(K484, Criterios!$A$81:$A$120, 0)), "Categoría no válida", IF(AND(J484&lt;&gt;"", J484&lt;&gt;"", J484&lt;&gt;VLOOKUP(K484, Criterios!$A$81:$B$120, 2, FALSE)), "División no coincide con Categoría", ""))), IF(OR(L484="", L484=""), "[Aviso] Género no capturado ()", IF(ISNA(MATCH(L484, Criterios!$B$123:$B$127, 0)), "Género no válido", "")), IF(OR(N484="", N484=""), "[Aviso] Temporada no capturada ()", IF(ISNA(MATCH(N484, Criterios!$C$123:$C$128, 0)), "Temporada no válida", "")), IF(OR(O484="", O484=""), "[Aviso] Ciclo de vida no capturado ()", IF(ISNA(MATCH(O484, Criterios!$D$123:$D$124, 0)), "Ciclo de vida no válido", ""))))</f>
        <v/>
      </c>
      <c r="AC484" s="56" t="n"/>
      <c r="AD484" s="51" t="n">
        <v>0</v>
      </c>
      <c r="AE484" s="156" t="n"/>
      <c r="AF484" s="51" t="n">
        <v>0</v>
      </c>
      <c r="AG484" s="156" t="inlineStr">
        <is>
          <t>Nuevo – NetSuite sin existencia</t>
        </is>
      </c>
      <c r="AH48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4" s="156" t="inlineStr">
        <is>
          <t>No</t>
        </is>
      </c>
      <c r="AJ484" s="156" t="n"/>
      <c r="AK484" s="155" t="inlineStr">
        <is>
          <t>G1522_Extraccion_Articulos_NetSuite_2026-09-30.xlsx: fila 43911</t>
        </is>
      </c>
      <c r="AL484" s="58" t="n"/>
      <c r="AM484" s="58" t="n"/>
      <c r="AN484" s="155" t="n"/>
      <c r="AO484" s="59" t="n"/>
      <c r="AP484" s="59" t="n"/>
      <c r="AQ484" s="59" t="n"/>
      <c r="AR484" s="155" t="n"/>
    </row>
    <row r="485">
      <c r="A485" s="50" t="inlineStr">
        <is>
          <t>5056658712876</t>
        </is>
      </c>
      <c r="B485" s="51" t="inlineStr">
        <is>
          <t>91203</t>
        </is>
      </c>
      <c r="C485" s="156" t="inlineStr">
        <is>
          <t>REFLO</t>
        </is>
      </c>
      <c r="D485" s="156" t="n"/>
      <c r="E485" s="156" t="n"/>
      <c r="F485" s="156" t="n"/>
      <c r="G485" s="156" t="n"/>
      <c r="H485" s="156" t="inlineStr">
        <is>
          <t>REFLO</t>
        </is>
      </c>
      <c r="I485" s="156" t="n"/>
      <c r="J485" s="156" t="n"/>
      <c r="K485" s="156" t="n"/>
      <c r="L485" s="156" t="n"/>
      <c r="M485" s="156" t="n"/>
      <c r="N485" s="156" t="n"/>
      <c r="O485" s="156" t="n"/>
      <c r="P485" s="156" t="n"/>
      <c r="Q485" s="156" t="n"/>
      <c r="R485" s="156" t="n"/>
      <c r="S485" s="156" t="n"/>
      <c r="T485" s="156" t="n"/>
      <c r="U485" s="156" t="n"/>
      <c r="V485" s="156" t="inlineStr">
        <is>
          <t>PZS</t>
        </is>
      </c>
      <c r="W485" s="51" t="inlineStr">
        <is>
          <t>53103001</t>
        </is>
      </c>
      <c r="X485" s="156" t="n"/>
      <c r="Y485" s="54" t="n">
        <v>29.25</v>
      </c>
      <c r="Z485" s="54" t="n">
        <v>2249</v>
      </c>
      <c r="AA485" s="55">
        <f>IF(AND(A485="", B485="", E485=""), "", IF(AB485="", "Válido", IF((LEN(AB485)-LEN(SUBSTITUTE(AB485,"; ","")))/2+1&gt;(LEN(AB485)-LEN(SUBSTITUTE(AB485,"[Aviso]","")))/7, "Con Incidencias", "Válido")))</f>
        <v/>
      </c>
      <c r="AB485" s="56">
        <f>IF(AND(A485="", B485="", E485=""), "", TEXTJOIN("; ", TRUE, IF(OR(TRIM(A485&amp;"")="", ISNUMBER(SEARCH("FALTA", A485))), "UPC faltante/inválido", ""), IF(AND(A485&lt;&gt;"", IFERROR(_xlfn.XMATCH(A485,$A$2:$A$653,0,1)&lt;&gt;_xlfn.XMATCH(A485,$A$2:$A$653,0,-1),FALSE)), "Código de barras duplicado", ""), IF(AND(E485&lt;&gt;"", COUNTIF($E$2:$E$653, E485)&gt;1), "SKU duplicado", ""), IF(OR(J485="", J485=""), "[Aviso] División no capturada ()", IF(ISNA(MATCH(J485, Criterios!$A$123:$A$126, 0)), "División no válida", "")), IF(OR(K485="", K485=""), "[Aviso] Categoría no capturada ()", IF(ISNA(MATCH(K485, Criterios!$A$81:$A$120, 0)), "Categoría no válida", IF(AND(J485&lt;&gt;"", J485&lt;&gt;"", J485&lt;&gt;VLOOKUP(K485, Criterios!$A$81:$B$120, 2, FALSE)), "División no coincide con Categoría", ""))), IF(OR(L485="", L485=""), "[Aviso] Género no capturado ()", IF(ISNA(MATCH(L485, Criterios!$B$123:$B$127, 0)), "Género no válido", "")), IF(OR(N485="", N485=""), "[Aviso] Temporada no capturada ()", IF(ISNA(MATCH(N485, Criterios!$C$123:$C$128, 0)), "Temporada no válida", "")), IF(OR(O485="", O485=""), "[Aviso] Ciclo de vida no capturado ()", IF(ISNA(MATCH(O485, Criterios!$D$123:$D$124, 0)), "Ciclo de vida no válido", ""))))</f>
        <v/>
      </c>
      <c r="AC485" s="56" t="n"/>
      <c r="AD485" s="51" t="n">
        <v>0</v>
      </c>
      <c r="AE485" s="156" t="n"/>
      <c r="AF485" s="51" t="n">
        <v>0</v>
      </c>
      <c r="AG485" s="156" t="inlineStr">
        <is>
          <t>Nuevo – NetSuite sin existencia</t>
        </is>
      </c>
      <c r="AH48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5" s="156" t="inlineStr">
        <is>
          <t>No</t>
        </is>
      </c>
      <c r="AJ485" s="156" t="n"/>
      <c r="AK485" s="155" t="inlineStr">
        <is>
          <t>G1522_Extraccion_Articulos_NetSuite_2026-09-30.xlsx: fila 43912</t>
        </is>
      </c>
      <c r="AL485" s="58" t="n"/>
      <c r="AM485" s="58" t="n"/>
      <c r="AN485" s="155" t="n"/>
      <c r="AO485" s="59" t="n"/>
      <c r="AP485" s="59" t="n"/>
      <c r="AQ485" s="59" t="n"/>
      <c r="AR485" s="155" t="n"/>
    </row>
    <row r="486">
      <c r="A486" s="50" t="inlineStr">
        <is>
          <t>5056658712883</t>
        </is>
      </c>
      <c r="B486" s="51" t="inlineStr">
        <is>
          <t>91204</t>
        </is>
      </c>
      <c r="C486" s="156" t="inlineStr">
        <is>
          <t>REFLO</t>
        </is>
      </c>
      <c r="D486" s="156" t="n"/>
      <c r="E486" s="156" t="n"/>
      <c r="F486" s="156" t="n"/>
      <c r="G486" s="156" t="n"/>
      <c r="H486" s="156" t="inlineStr">
        <is>
          <t>REFLO</t>
        </is>
      </c>
      <c r="I486" s="156" t="n"/>
      <c r="J486" s="156" t="n"/>
      <c r="K486" s="156" t="n"/>
      <c r="L486" s="156" t="n"/>
      <c r="M486" s="156" t="n"/>
      <c r="N486" s="156" t="n"/>
      <c r="O486" s="156" t="n"/>
      <c r="P486" s="156" t="n"/>
      <c r="Q486" s="156" t="n"/>
      <c r="R486" s="156" t="n"/>
      <c r="S486" s="156" t="n"/>
      <c r="T486" s="156" t="n"/>
      <c r="U486" s="156" t="n"/>
      <c r="V486" s="156" t="inlineStr">
        <is>
          <t>PZS</t>
        </is>
      </c>
      <c r="W486" s="51" t="inlineStr">
        <is>
          <t>53103001</t>
        </is>
      </c>
      <c r="X486" s="156" t="n"/>
      <c r="Y486" s="54" t="n">
        <v>29.25</v>
      </c>
      <c r="Z486" s="54" t="n">
        <v>2249</v>
      </c>
      <c r="AA486" s="55">
        <f>IF(AND(A486="", B486="", E486=""), "", IF(AB486="", "Válido", IF((LEN(AB486)-LEN(SUBSTITUTE(AB486,"; ","")))/2+1&gt;(LEN(AB486)-LEN(SUBSTITUTE(AB486,"[Aviso]","")))/7, "Con Incidencias", "Válido")))</f>
        <v/>
      </c>
      <c r="AB486" s="56">
        <f>IF(AND(A486="", B486="", E486=""), "", TEXTJOIN("; ", TRUE, IF(OR(TRIM(A486&amp;"")="", ISNUMBER(SEARCH("FALTA", A486))), "UPC faltante/inválido", ""), IF(AND(A486&lt;&gt;"", IFERROR(_xlfn.XMATCH(A486,$A$2:$A$653,0,1)&lt;&gt;_xlfn.XMATCH(A486,$A$2:$A$653,0,-1),FALSE)), "Código de barras duplicado", ""), IF(AND(E486&lt;&gt;"", COUNTIF($E$2:$E$653, E486)&gt;1), "SKU duplicado", ""), IF(OR(J486="", J486=""), "[Aviso] División no capturada ()", IF(ISNA(MATCH(J486, Criterios!$A$123:$A$126, 0)), "División no válida", "")), IF(OR(K486="", K486=""), "[Aviso] Categoría no capturada ()", IF(ISNA(MATCH(K486, Criterios!$A$81:$A$120, 0)), "Categoría no válida", IF(AND(J486&lt;&gt;"", J486&lt;&gt;"", J486&lt;&gt;VLOOKUP(K486, Criterios!$A$81:$B$120, 2, FALSE)), "División no coincide con Categoría", ""))), IF(OR(L486="", L486=""), "[Aviso] Género no capturado ()", IF(ISNA(MATCH(L486, Criterios!$B$123:$B$127, 0)), "Género no válido", "")), IF(OR(N486="", N486=""), "[Aviso] Temporada no capturada ()", IF(ISNA(MATCH(N486, Criterios!$C$123:$C$128, 0)), "Temporada no válida", "")), IF(OR(O486="", O486=""), "[Aviso] Ciclo de vida no capturado ()", IF(ISNA(MATCH(O486, Criterios!$D$123:$D$124, 0)), "Ciclo de vida no válido", ""))))</f>
        <v/>
      </c>
      <c r="AC486" s="56" t="n"/>
      <c r="AD486" s="51" t="n">
        <v>0</v>
      </c>
      <c r="AE486" s="156" t="n"/>
      <c r="AF486" s="51" t="n">
        <v>0</v>
      </c>
      <c r="AG486" s="156" t="inlineStr">
        <is>
          <t>Nuevo – NetSuite sin existencia</t>
        </is>
      </c>
      <c r="AH48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6" s="156" t="inlineStr">
        <is>
          <t>No</t>
        </is>
      </c>
      <c r="AJ486" s="156" t="n"/>
      <c r="AK486" s="155" t="inlineStr">
        <is>
          <t>G1522_Extraccion_Articulos_NetSuite_2026-09-30.xlsx: fila 43913</t>
        </is>
      </c>
      <c r="AL486" s="58" t="n"/>
      <c r="AM486" s="58" t="n"/>
      <c r="AN486" s="155" t="n"/>
      <c r="AO486" s="59" t="n"/>
      <c r="AP486" s="59" t="n"/>
      <c r="AQ486" s="59" t="n"/>
      <c r="AR486" s="155" t="n"/>
    </row>
    <row r="487">
      <c r="A487" s="50" t="inlineStr">
        <is>
          <t>5056658714368</t>
        </is>
      </c>
      <c r="B487" s="51" t="inlineStr">
        <is>
          <t>91205</t>
        </is>
      </c>
      <c r="C487" s="156" t="inlineStr">
        <is>
          <t>REFLO</t>
        </is>
      </c>
      <c r="D487" s="156" t="n"/>
      <c r="E487" s="156" t="n"/>
      <c r="F487" s="156" t="n"/>
      <c r="G487" s="156" t="n"/>
      <c r="H487" s="156" t="inlineStr">
        <is>
          <t>REFLO</t>
        </is>
      </c>
      <c r="I487" s="156" t="n"/>
      <c r="J487" s="156" t="n"/>
      <c r="K487" s="156" t="n"/>
      <c r="L487" s="156" t="n"/>
      <c r="M487" s="156" t="n"/>
      <c r="N487" s="156" t="n"/>
      <c r="O487" s="156" t="n"/>
      <c r="P487" s="156" t="n"/>
      <c r="Q487" s="156" t="n"/>
      <c r="R487" s="156" t="n"/>
      <c r="S487" s="156" t="n"/>
      <c r="T487" s="156" t="n"/>
      <c r="U487" s="156" t="n"/>
      <c r="V487" s="156" t="inlineStr">
        <is>
          <t>PZS</t>
        </is>
      </c>
      <c r="W487" s="51" t="inlineStr">
        <is>
          <t>53103001</t>
        </is>
      </c>
      <c r="X487" s="156" t="n"/>
      <c r="Y487" s="54" t="n">
        <v>29.25</v>
      </c>
      <c r="Z487" s="54" t="n">
        <v>2249</v>
      </c>
      <c r="AA487" s="55">
        <f>IF(AND(A487="", B487="", E487=""), "", IF(AB487="", "Válido", IF((LEN(AB487)-LEN(SUBSTITUTE(AB487,"; ","")))/2+1&gt;(LEN(AB487)-LEN(SUBSTITUTE(AB487,"[Aviso]","")))/7, "Con Incidencias", "Válido")))</f>
        <v/>
      </c>
      <c r="AB487" s="56">
        <f>IF(AND(A487="", B487="", E487=""), "", TEXTJOIN("; ", TRUE, IF(OR(TRIM(A487&amp;"")="", ISNUMBER(SEARCH("FALTA", A487))), "UPC faltante/inválido", ""), IF(AND(A487&lt;&gt;"", IFERROR(_xlfn.XMATCH(A487,$A$2:$A$653,0,1)&lt;&gt;_xlfn.XMATCH(A487,$A$2:$A$653,0,-1),FALSE)), "Código de barras duplicado", ""), IF(AND(E487&lt;&gt;"", COUNTIF($E$2:$E$653, E487)&gt;1), "SKU duplicado", ""), IF(OR(J487="", J487=""), "[Aviso] División no capturada ()", IF(ISNA(MATCH(J487, Criterios!$A$123:$A$126, 0)), "División no válida", "")), IF(OR(K487="", K487=""), "[Aviso] Categoría no capturada ()", IF(ISNA(MATCH(K487, Criterios!$A$81:$A$120, 0)), "Categoría no válida", IF(AND(J487&lt;&gt;"", J487&lt;&gt;"", J487&lt;&gt;VLOOKUP(K487, Criterios!$A$81:$B$120, 2, FALSE)), "División no coincide con Categoría", ""))), IF(OR(L487="", L487=""), "[Aviso] Género no capturado ()", IF(ISNA(MATCH(L487, Criterios!$B$123:$B$127, 0)), "Género no válido", "")), IF(OR(N487="", N487=""), "[Aviso] Temporada no capturada ()", IF(ISNA(MATCH(N487, Criterios!$C$123:$C$128, 0)), "Temporada no válida", "")), IF(OR(O487="", O487=""), "[Aviso] Ciclo de vida no capturado ()", IF(ISNA(MATCH(O487, Criterios!$D$123:$D$124, 0)), "Ciclo de vida no válido", ""))))</f>
        <v/>
      </c>
      <c r="AC487" s="56" t="n"/>
      <c r="AD487" s="51" t="n">
        <v>0</v>
      </c>
      <c r="AE487" s="156" t="n"/>
      <c r="AF487" s="51" t="n">
        <v>0</v>
      </c>
      <c r="AG487" s="156" t="inlineStr">
        <is>
          <t>Nuevo – NetSuite sin existencia</t>
        </is>
      </c>
      <c r="AH48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7" s="156" t="inlineStr">
        <is>
          <t>No</t>
        </is>
      </c>
      <c r="AJ487" s="156" t="n"/>
      <c r="AK487" s="155" t="inlineStr">
        <is>
          <t>G1522_Extraccion_Articulos_NetSuite_2026-09-30.xlsx: fila 43914</t>
        </is>
      </c>
      <c r="AL487" s="58" t="n"/>
      <c r="AM487" s="58" t="n"/>
      <c r="AN487" s="155" t="n"/>
      <c r="AO487" s="59" t="n"/>
      <c r="AP487" s="59" t="n"/>
      <c r="AQ487" s="59" t="n"/>
      <c r="AR487" s="155" t="n"/>
    </row>
    <row r="488">
      <c r="A488" s="50" t="inlineStr">
        <is>
          <t>5056658712418</t>
        </is>
      </c>
      <c r="B488" s="51" t="inlineStr">
        <is>
          <t>91206</t>
        </is>
      </c>
      <c r="C488" s="156" t="inlineStr">
        <is>
          <t>REFLO</t>
        </is>
      </c>
      <c r="D488" s="156" t="n"/>
      <c r="E488" s="156" t="n"/>
      <c r="F488" s="156" t="n"/>
      <c r="G488" s="156" t="n"/>
      <c r="H488" s="156" t="inlineStr">
        <is>
          <t>REFLO</t>
        </is>
      </c>
      <c r="I488" s="156" t="n"/>
      <c r="J488" s="156" t="n"/>
      <c r="K488" s="156" t="n"/>
      <c r="L488" s="156" t="n"/>
      <c r="M488" s="156" t="n"/>
      <c r="N488" s="156" t="n"/>
      <c r="O488" s="156" t="n"/>
      <c r="P488" s="156" t="n"/>
      <c r="Q488" s="156" t="n"/>
      <c r="R488" s="156" t="n"/>
      <c r="S488" s="156" t="n"/>
      <c r="T488" s="156" t="n"/>
      <c r="U488" s="156" t="n"/>
      <c r="V488" s="156" t="inlineStr">
        <is>
          <t>PZS</t>
        </is>
      </c>
      <c r="W488" s="51" t="inlineStr">
        <is>
          <t>53103101</t>
        </is>
      </c>
      <c r="X488" s="156" t="n"/>
      <c r="Y488" s="54" t="n">
        <v>46.15</v>
      </c>
      <c r="Z488" s="54" t="n">
        <v>3549</v>
      </c>
      <c r="AA488" s="55">
        <f>IF(AND(A488="", B488="", E488=""), "", IF(AB488="", "Válido", IF((LEN(AB488)-LEN(SUBSTITUTE(AB488,"; ","")))/2+1&gt;(LEN(AB488)-LEN(SUBSTITUTE(AB488,"[Aviso]","")))/7, "Con Incidencias", "Válido")))</f>
        <v/>
      </c>
      <c r="AB488" s="56">
        <f>IF(AND(A488="", B488="", E488=""), "", TEXTJOIN("; ", TRUE, IF(OR(TRIM(A488&amp;"")="", ISNUMBER(SEARCH("FALTA", A488))), "UPC faltante/inválido", ""), IF(AND(A488&lt;&gt;"", IFERROR(_xlfn.XMATCH(A488,$A$2:$A$653,0,1)&lt;&gt;_xlfn.XMATCH(A488,$A$2:$A$653,0,-1),FALSE)), "Código de barras duplicado", ""), IF(AND(E488&lt;&gt;"", COUNTIF($E$2:$E$653, E488)&gt;1), "SKU duplicado", ""), IF(OR(J488="", J488=""), "[Aviso] División no capturada ()", IF(ISNA(MATCH(J488, Criterios!$A$123:$A$126, 0)), "División no válida", "")), IF(OR(K488="", K488=""), "[Aviso] Categoría no capturada ()", IF(ISNA(MATCH(K488, Criterios!$A$81:$A$120, 0)), "Categoría no válida", IF(AND(J488&lt;&gt;"", J488&lt;&gt;"", J488&lt;&gt;VLOOKUP(K488, Criterios!$A$81:$B$120, 2, FALSE)), "División no coincide con Categoría", ""))), IF(OR(L488="", L488=""), "[Aviso] Género no capturado ()", IF(ISNA(MATCH(L488, Criterios!$B$123:$B$127, 0)), "Género no válido", "")), IF(OR(N488="", N488=""), "[Aviso] Temporada no capturada ()", IF(ISNA(MATCH(N488, Criterios!$C$123:$C$128, 0)), "Temporada no válida", "")), IF(OR(O488="", O488=""), "[Aviso] Ciclo de vida no capturado ()", IF(ISNA(MATCH(O488, Criterios!$D$123:$D$124, 0)), "Ciclo de vida no válido", ""))))</f>
        <v/>
      </c>
      <c r="AC488" s="56" t="n"/>
      <c r="AD488" s="51" t="n">
        <v>0</v>
      </c>
      <c r="AE488" s="156" t="n"/>
      <c r="AF488" s="51" t="n">
        <v>0</v>
      </c>
      <c r="AG488" s="156" t="inlineStr">
        <is>
          <t>Nuevo – NetSuite sin existencia</t>
        </is>
      </c>
      <c r="AH48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8" s="156" t="inlineStr">
        <is>
          <t>No</t>
        </is>
      </c>
      <c r="AJ488" s="156" t="n"/>
      <c r="AK488" s="155" t="inlineStr">
        <is>
          <t>G1522_Extraccion_Articulos_NetSuite_2026-09-30.xlsx: fila 43915</t>
        </is>
      </c>
      <c r="AL488" s="58" t="n"/>
      <c r="AM488" s="58" t="n"/>
      <c r="AN488" s="155" t="n"/>
      <c r="AO488" s="59" t="n"/>
      <c r="AP488" s="59" t="n"/>
      <c r="AQ488" s="59" t="n"/>
      <c r="AR488" s="155" t="n"/>
    </row>
    <row r="489">
      <c r="A489" s="50" t="inlineStr">
        <is>
          <t>5056658712425</t>
        </is>
      </c>
      <c r="B489" s="51" t="inlineStr">
        <is>
          <t>91207</t>
        </is>
      </c>
      <c r="C489" s="156" t="inlineStr">
        <is>
          <t>REFLO</t>
        </is>
      </c>
      <c r="D489" s="156" t="n"/>
      <c r="E489" s="156" t="n"/>
      <c r="F489" s="156" t="n"/>
      <c r="G489" s="156" t="n"/>
      <c r="H489" s="156" t="inlineStr">
        <is>
          <t>REFLO</t>
        </is>
      </c>
      <c r="I489" s="156" t="n"/>
      <c r="J489" s="156" t="n"/>
      <c r="K489" s="156" t="n"/>
      <c r="L489" s="156" t="n"/>
      <c r="M489" s="156" t="n"/>
      <c r="N489" s="156" t="n"/>
      <c r="O489" s="156" t="n"/>
      <c r="P489" s="156" t="n"/>
      <c r="Q489" s="156" t="n"/>
      <c r="R489" s="156" t="n"/>
      <c r="S489" s="156" t="n"/>
      <c r="T489" s="156" t="n"/>
      <c r="U489" s="156" t="n"/>
      <c r="V489" s="156" t="inlineStr">
        <is>
          <t>PZS</t>
        </is>
      </c>
      <c r="W489" s="51" t="inlineStr">
        <is>
          <t>53103101</t>
        </is>
      </c>
      <c r="X489" s="156" t="n"/>
      <c r="Y489" s="54" t="n">
        <v>46.15</v>
      </c>
      <c r="Z489" s="54" t="n">
        <v>3549</v>
      </c>
      <c r="AA489" s="55">
        <f>IF(AND(A489="", B489="", E489=""), "", IF(AB489="", "Válido", IF((LEN(AB489)-LEN(SUBSTITUTE(AB489,"; ","")))/2+1&gt;(LEN(AB489)-LEN(SUBSTITUTE(AB489,"[Aviso]","")))/7, "Con Incidencias", "Válido")))</f>
        <v/>
      </c>
      <c r="AB489" s="56">
        <f>IF(AND(A489="", B489="", E489=""), "", TEXTJOIN("; ", TRUE, IF(OR(TRIM(A489&amp;"")="", ISNUMBER(SEARCH("FALTA", A489))), "UPC faltante/inválido", ""), IF(AND(A489&lt;&gt;"", IFERROR(_xlfn.XMATCH(A489,$A$2:$A$653,0,1)&lt;&gt;_xlfn.XMATCH(A489,$A$2:$A$653,0,-1),FALSE)), "Código de barras duplicado", ""), IF(AND(E489&lt;&gt;"", COUNTIF($E$2:$E$653, E489)&gt;1), "SKU duplicado", ""), IF(OR(J489="", J489=""), "[Aviso] División no capturada ()", IF(ISNA(MATCH(J489, Criterios!$A$123:$A$126, 0)), "División no válida", "")), IF(OR(K489="", K489=""), "[Aviso] Categoría no capturada ()", IF(ISNA(MATCH(K489, Criterios!$A$81:$A$120, 0)), "Categoría no válida", IF(AND(J489&lt;&gt;"", J489&lt;&gt;"", J489&lt;&gt;VLOOKUP(K489, Criterios!$A$81:$B$120, 2, FALSE)), "División no coincide con Categoría", ""))), IF(OR(L489="", L489=""), "[Aviso] Género no capturado ()", IF(ISNA(MATCH(L489, Criterios!$B$123:$B$127, 0)), "Género no válido", "")), IF(OR(N489="", N489=""), "[Aviso] Temporada no capturada ()", IF(ISNA(MATCH(N489, Criterios!$C$123:$C$128, 0)), "Temporada no válida", "")), IF(OR(O489="", O489=""), "[Aviso] Ciclo de vida no capturado ()", IF(ISNA(MATCH(O489, Criterios!$D$123:$D$124, 0)), "Ciclo de vida no válido", ""))))</f>
        <v/>
      </c>
      <c r="AC489" s="56" t="n"/>
      <c r="AD489" s="51" t="n">
        <v>0</v>
      </c>
      <c r="AE489" s="156" t="n"/>
      <c r="AF489" s="51" t="n">
        <v>0</v>
      </c>
      <c r="AG489" s="156" t="inlineStr">
        <is>
          <t>Nuevo – NetSuite sin existencia</t>
        </is>
      </c>
      <c r="AH48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9" s="156" t="inlineStr">
        <is>
          <t>No</t>
        </is>
      </c>
      <c r="AJ489" s="156" t="n"/>
      <c r="AK489" s="155" t="inlineStr">
        <is>
          <t>G1522_Extraccion_Articulos_NetSuite_2026-09-30.xlsx: fila 43916</t>
        </is>
      </c>
      <c r="AL489" s="58" t="n"/>
      <c r="AM489" s="58" t="n"/>
      <c r="AN489" s="155" t="n"/>
      <c r="AO489" s="59" t="n"/>
      <c r="AP489" s="59" t="n"/>
      <c r="AQ489" s="59" t="n"/>
      <c r="AR489" s="155" t="n"/>
    </row>
    <row r="490">
      <c r="A490" s="50" t="inlineStr">
        <is>
          <t>5056658712432</t>
        </is>
      </c>
      <c r="B490" s="51" t="inlineStr">
        <is>
          <t>91208</t>
        </is>
      </c>
      <c r="C490" s="156" t="inlineStr">
        <is>
          <t>REFLO</t>
        </is>
      </c>
      <c r="D490" s="156" t="n"/>
      <c r="E490" s="156" t="n"/>
      <c r="F490" s="156" t="n"/>
      <c r="G490" s="156" t="n"/>
      <c r="H490" s="156" t="inlineStr">
        <is>
          <t>REFLO</t>
        </is>
      </c>
      <c r="I490" s="156" t="n"/>
      <c r="J490" s="156" t="n"/>
      <c r="K490" s="156" t="n"/>
      <c r="L490" s="156" t="n"/>
      <c r="M490" s="156" t="n"/>
      <c r="N490" s="156" t="n"/>
      <c r="O490" s="156" t="n"/>
      <c r="P490" s="156" t="n"/>
      <c r="Q490" s="156" t="n"/>
      <c r="R490" s="156" t="n"/>
      <c r="S490" s="156" t="n"/>
      <c r="T490" s="156" t="n"/>
      <c r="U490" s="156" t="n"/>
      <c r="V490" s="156" t="inlineStr">
        <is>
          <t>PZS</t>
        </is>
      </c>
      <c r="W490" s="51" t="inlineStr">
        <is>
          <t>53103101</t>
        </is>
      </c>
      <c r="X490" s="156" t="n"/>
      <c r="Y490" s="54" t="n">
        <v>46.15</v>
      </c>
      <c r="Z490" s="54" t="n">
        <v>3549</v>
      </c>
      <c r="AA490" s="55">
        <f>IF(AND(A490="", B490="", E490=""), "", IF(AB490="", "Válido", IF((LEN(AB490)-LEN(SUBSTITUTE(AB490,"; ","")))/2+1&gt;(LEN(AB490)-LEN(SUBSTITUTE(AB490,"[Aviso]","")))/7, "Con Incidencias", "Válido")))</f>
        <v/>
      </c>
      <c r="AB490" s="56">
        <f>IF(AND(A490="", B490="", E490=""), "", TEXTJOIN("; ", TRUE, IF(OR(TRIM(A490&amp;"")="", ISNUMBER(SEARCH("FALTA", A490))), "UPC faltante/inválido", ""), IF(AND(A490&lt;&gt;"", IFERROR(_xlfn.XMATCH(A490,$A$2:$A$653,0,1)&lt;&gt;_xlfn.XMATCH(A490,$A$2:$A$653,0,-1),FALSE)), "Código de barras duplicado", ""), IF(AND(E490&lt;&gt;"", COUNTIF($E$2:$E$653, E490)&gt;1), "SKU duplicado", ""), IF(OR(J490="", J490=""), "[Aviso] División no capturada ()", IF(ISNA(MATCH(J490, Criterios!$A$123:$A$126, 0)), "División no válida", "")), IF(OR(K490="", K490=""), "[Aviso] Categoría no capturada ()", IF(ISNA(MATCH(K490, Criterios!$A$81:$A$120, 0)), "Categoría no válida", IF(AND(J490&lt;&gt;"", J490&lt;&gt;"", J490&lt;&gt;VLOOKUP(K490, Criterios!$A$81:$B$120, 2, FALSE)), "División no coincide con Categoría", ""))), IF(OR(L490="", L490=""), "[Aviso] Género no capturado ()", IF(ISNA(MATCH(L490, Criterios!$B$123:$B$127, 0)), "Género no válido", "")), IF(OR(N490="", N490=""), "[Aviso] Temporada no capturada ()", IF(ISNA(MATCH(N490, Criterios!$C$123:$C$128, 0)), "Temporada no válida", "")), IF(OR(O490="", O490=""), "[Aviso] Ciclo de vida no capturado ()", IF(ISNA(MATCH(O490, Criterios!$D$123:$D$124, 0)), "Ciclo de vida no válido", ""))))</f>
        <v/>
      </c>
      <c r="AC490" s="56" t="n"/>
      <c r="AD490" s="51" t="n">
        <v>0</v>
      </c>
      <c r="AE490" s="156" t="n"/>
      <c r="AF490" s="51" t="n">
        <v>0</v>
      </c>
      <c r="AG490" s="156" t="inlineStr">
        <is>
          <t>Nuevo – NetSuite sin existencia</t>
        </is>
      </c>
      <c r="AH49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0" s="156" t="inlineStr">
        <is>
          <t>No</t>
        </is>
      </c>
      <c r="AJ490" s="156" t="n"/>
      <c r="AK490" s="155" t="inlineStr">
        <is>
          <t>G1522_Extraccion_Articulos_NetSuite_2026-09-30.xlsx: fila 43917</t>
        </is>
      </c>
      <c r="AL490" s="58" t="n"/>
      <c r="AM490" s="58" t="n"/>
      <c r="AN490" s="155" t="n"/>
      <c r="AO490" s="59" t="n"/>
      <c r="AP490" s="59" t="n"/>
      <c r="AQ490" s="59" t="n"/>
      <c r="AR490" s="155" t="n"/>
    </row>
    <row r="491">
      <c r="A491" s="50" t="inlineStr">
        <is>
          <t>5056658712449</t>
        </is>
      </c>
      <c r="B491" s="51" t="inlineStr">
        <is>
          <t>91209</t>
        </is>
      </c>
      <c r="C491" s="156" t="inlineStr">
        <is>
          <t>REFLO</t>
        </is>
      </c>
      <c r="D491" s="156" t="n"/>
      <c r="E491" s="156" t="n"/>
      <c r="F491" s="156" t="n"/>
      <c r="G491" s="156" t="n"/>
      <c r="H491" s="156" t="inlineStr">
        <is>
          <t>REFLO</t>
        </is>
      </c>
      <c r="I491" s="156" t="n"/>
      <c r="J491" s="156" t="n"/>
      <c r="K491" s="156" t="n"/>
      <c r="L491" s="156" t="n"/>
      <c r="M491" s="156" t="n"/>
      <c r="N491" s="156" t="n"/>
      <c r="O491" s="156" t="n"/>
      <c r="P491" s="156" t="n"/>
      <c r="Q491" s="156" t="n"/>
      <c r="R491" s="156" t="n"/>
      <c r="S491" s="156" t="n"/>
      <c r="T491" s="156" t="n"/>
      <c r="U491" s="156" t="n"/>
      <c r="V491" s="156" t="inlineStr">
        <is>
          <t>PZS</t>
        </is>
      </c>
      <c r="W491" s="51" t="inlineStr">
        <is>
          <t>53103101</t>
        </is>
      </c>
      <c r="X491" s="156" t="n"/>
      <c r="Y491" s="54" t="n">
        <v>46.15</v>
      </c>
      <c r="Z491" s="54" t="n">
        <v>3549</v>
      </c>
      <c r="AA491" s="55">
        <f>IF(AND(A491="", B491="", E491=""), "", IF(AB491="", "Válido", IF((LEN(AB491)-LEN(SUBSTITUTE(AB491,"; ","")))/2+1&gt;(LEN(AB491)-LEN(SUBSTITUTE(AB491,"[Aviso]","")))/7, "Con Incidencias", "Válido")))</f>
        <v/>
      </c>
      <c r="AB491" s="56">
        <f>IF(AND(A491="", B491="", E491=""), "", TEXTJOIN("; ", TRUE, IF(OR(TRIM(A491&amp;"")="", ISNUMBER(SEARCH("FALTA", A491))), "UPC faltante/inválido", ""), IF(AND(A491&lt;&gt;"", IFERROR(_xlfn.XMATCH(A491,$A$2:$A$653,0,1)&lt;&gt;_xlfn.XMATCH(A491,$A$2:$A$653,0,-1),FALSE)), "Código de barras duplicado", ""), IF(AND(E491&lt;&gt;"", COUNTIF($E$2:$E$653, E491)&gt;1), "SKU duplicado", ""), IF(OR(J491="", J491=""), "[Aviso] División no capturada ()", IF(ISNA(MATCH(J491, Criterios!$A$123:$A$126, 0)), "División no válida", "")), IF(OR(K491="", K491=""), "[Aviso] Categoría no capturada ()", IF(ISNA(MATCH(K491, Criterios!$A$81:$A$120, 0)), "Categoría no válida", IF(AND(J491&lt;&gt;"", J491&lt;&gt;"", J491&lt;&gt;VLOOKUP(K491, Criterios!$A$81:$B$120, 2, FALSE)), "División no coincide con Categoría", ""))), IF(OR(L491="", L491=""), "[Aviso] Género no capturado ()", IF(ISNA(MATCH(L491, Criterios!$B$123:$B$127, 0)), "Género no válido", "")), IF(OR(N491="", N491=""), "[Aviso] Temporada no capturada ()", IF(ISNA(MATCH(N491, Criterios!$C$123:$C$128, 0)), "Temporada no válida", "")), IF(OR(O491="", O491=""), "[Aviso] Ciclo de vida no capturado ()", IF(ISNA(MATCH(O491, Criterios!$D$123:$D$124, 0)), "Ciclo de vida no válido", ""))))</f>
        <v/>
      </c>
      <c r="AC491" s="56" t="n"/>
      <c r="AD491" s="51" t="n">
        <v>0</v>
      </c>
      <c r="AE491" s="156" t="n"/>
      <c r="AF491" s="51" t="n">
        <v>0</v>
      </c>
      <c r="AG491" s="156" t="inlineStr">
        <is>
          <t>Nuevo – NetSuite sin existencia</t>
        </is>
      </c>
      <c r="AH49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1" s="156" t="inlineStr">
        <is>
          <t>No</t>
        </is>
      </c>
      <c r="AJ491" s="156" t="n"/>
      <c r="AK491" s="155" t="inlineStr">
        <is>
          <t>G1522_Extraccion_Articulos_NetSuite_2026-09-30.xlsx: fila 43918</t>
        </is>
      </c>
      <c r="AL491" s="58" t="n"/>
      <c r="AM491" s="58" t="n"/>
      <c r="AN491" s="155" t="n"/>
      <c r="AO491" s="59" t="n"/>
      <c r="AP491" s="59" t="n"/>
      <c r="AQ491" s="59" t="n"/>
      <c r="AR491" s="155" t="n"/>
    </row>
    <row r="492">
      <c r="A492" s="50" t="inlineStr">
        <is>
          <t>5056658712470</t>
        </is>
      </c>
      <c r="B492" s="51" t="inlineStr">
        <is>
          <t>91210</t>
        </is>
      </c>
      <c r="C492" s="156" t="inlineStr">
        <is>
          <t>REFLO</t>
        </is>
      </c>
      <c r="D492" s="156" t="n"/>
      <c r="E492" s="156" t="n"/>
      <c r="F492" s="156" t="n"/>
      <c r="G492" s="156" t="n"/>
      <c r="H492" s="156" t="inlineStr">
        <is>
          <t>REFLO</t>
        </is>
      </c>
      <c r="I492" s="156" t="n"/>
      <c r="J492" s="156" t="n"/>
      <c r="K492" s="156" t="n"/>
      <c r="L492" s="156" t="n"/>
      <c r="M492" s="156" t="n"/>
      <c r="N492" s="156" t="n"/>
      <c r="O492" s="156" t="n"/>
      <c r="P492" s="156" t="n"/>
      <c r="Q492" s="156" t="n"/>
      <c r="R492" s="156" t="n"/>
      <c r="S492" s="156" t="n"/>
      <c r="T492" s="156" t="n"/>
      <c r="U492" s="156" t="n"/>
      <c r="V492" s="156" t="inlineStr">
        <is>
          <t>PZS</t>
        </is>
      </c>
      <c r="W492" s="51" t="inlineStr">
        <is>
          <t>53103101</t>
        </is>
      </c>
      <c r="X492" s="156" t="n"/>
      <c r="Y492" s="54" t="n">
        <v>46.15</v>
      </c>
      <c r="Z492" s="54" t="n">
        <v>3549</v>
      </c>
      <c r="AA492" s="55">
        <f>IF(AND(A492="", B492="", E492=""), "", IF(AB492="", "Válido", IF((LEN(AB492)-LEN(SUBSTITUTE(AB492,"; ","")))/2+1&gt;(LEN(AB492)-LEN(SUBSTITUTE(AB492,"[Aviso]","")))/7, "Con Incidencias", "Válido")))</f>
        <v/>
      </c>
      <c r="AB492" s="56">
        <f>IF(AND(A492="", B492="", E492=""), "", TEXTJOIN("; ", TRUE, IF(OR(TRIM(A492&amp;"")="", ISNUMBER(SEARCH("FALTA", A492))), "UPC faltante/inválido", ""), IF(AND(A492&lt;&gt;"", IFERROR(_xlfn.XMATCH(A492,$A$2:$A$653,0,1)&lt;&gt;_xlfn.XMATCH(A492,$A$2:$A$653,0,-1),FALSE)), "Código de barras duplicado", ""), IF(AND(E492&lt;&gt;"", COUNTIF($E$2:$E$653, E492)&gt;1), "SKU duplicado", ""), IF(OR(J492="", J492=""), "[Aviso] División no capturada ()", IF(ISNA(MATCH(J492, Criterios!$A$123:$A$126, 0)), "División no válida", "")), IF(OR(K492="", K492=""), "[Aviso] Categoría no capturada ()", IF(ISNA(MATCH(K492, Criterios!$A$81:$A$120, 0)), "Categoría no válida", IF(AND(J492&lt;&gt;"", J492&lt;&gt;"", J492&lt;&gt;VLOOKUP(K492, Criterios!$A$81:$B$120, 2, FALSE)), "División no coincide con Categoría", ""))), IF(OR(L492="", L492=""), "[Aviso] Género no capturado ()", IF(ISNA(MATCH(L492, Criterios!$B$123:$B$127, 0)), "Género no válido", "")), IF(OR(N492="", N492=""), "[Aviso] Temporada no capturada ()", IF(ISNA(MATCH(N492, Criterios!$C$123:$C$128, 0)), "Temporada no válida", "")), IF(OR(O492="", O492=""), "[Aviso] Ciclo de vida no capturado ()", IF(ISNA(MATCH(O492, Criterios!$D$123:$D$124, 0)), "Ciclo de vida no válido", ""))))</f>
        <v/>
      </c>
      <c r="AC492" s="56" t="n"/>
      <c r="AD492" s="51" t="n">
        <v>0</v>
      </c>
      <c r="AE492" s="156" t="n"/>
      <c r="AF492" s="51" t="n">
        <v>0</v>
      </c>
      <c r="AG492" s="156" t="inlineStr">
        <is>
          <t>Nuevo – NetSuite sin existencia</t>
        </is>
      </c>
      <c r="AH49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2" s="156" t="inlineStr">
        <is>
          <t>No</t>
        </is>
      </c>
      <c r="AJ492" s="156" t="n"/>
      <c r="AK492" s="155" t="inlineStr">
        <is>
          <t>G1522_Extraccion_Articulos_NetSuite_2026-09-30.xlsx: fila 43919</t>
        </is>
      </c>
      <c r="AL492" s="58" t="n"/>
      <c r="AM492" s="58" t="n"/>
      <c r="AN492" s="155" t="n"/>
      <c r="AO492" s="59" t="n"/>
      <c r="AP492" s="59" t="n"/>
      <c r="AQ492" s="59" t="n"/>
      <c r="AR492" s="155" t="n"/>
    </row>
    <row r="493">
      <c r="A493" s="50" t="inlineStr">
        <is>
          <t>5056658712487</t>
        </is>
      </c>
      <c r="B493" s="51" t="inlineStr">
        <is>
          <t>91211</t>
        </is>
      </c>
      <c r="C493" s="156" t="inlineStr">
        <is>
          <t>REFLO</t>
        </is>
      </c>
      <c r="D493" s="156" t="n"/>
      <c r="E493" s="156" t="n"/>
      <c r="F493" s="156" t="n"/>
      <c r="G493" s="156" t="n"/>
      <c r="H493" s="156" t="inlineStr">
        <is>
          <t>REFLO</t>
        </is>
      </c>
      <c r="I493" s="156" t="n"/>
      <c r="J493" s="156" t="n"/>
      <c r="K493" s="156" t="n"/>
      <c r="L493" s="156" t="n"/>
      <c r="M493" s="156" t="n"/>
      <c r="N493" s="156" t="n"/>
      <c r="O493" s="156" t="n"/>
      <c r="P493" s="156" t="n"/>
      <c r="Q493" s="156" t="n"/>
      <c r="R493" s="156" t="n"/>
      <c r="S493" s="156" t="n"/>
      <c r="T493" s="156" t="n"/>
      <c r="U493" s="156" t="n"/>
      <c r="V493" s="156" t="inlineStr">
        <is>
          <t>PZS</t>
        </is>
      </c>
      <c r="W493" s="51" t="inlineStr">
        <is>
          <t>53103101</t>
        </is>
      </c>
      <c r="X493" s="156" t="n"/>
      <c r="Y493" s="54" t="n">
        <v>46.15</v>
      </c>
      <c r="Z493" s="54" t="n">
        <v>3549</v>
      </c>
      <c r="AA493" s="55">
        <f>IF(AND(A493="", B493="", E493=""), "", IF(AB493="", "Válido", IF((LEN(AB493)-LEN(SUBSTITUTE(AB493,"; ","")))/2+1&gt;(LEN(AB493)-LEN(SUBSTITUTE(AB493,"[Aviso]","")))/7, "Con Incidencias", "Válido")))</f>
        <v/>
      </c>
      <c r="AB493" s="56">
        <f>IF(AND(A493="", B493="", E493=""), "", TEXTJOIN("; ", TRUE, IF(OR(TRIM(A493&amp;"")="", ISNUMBER(SEARCH("FALTA", A493))), "UPC faltante/inválido", ""), IF(AND(A493&lt;&gt;"", IFERROR(_xlfn.XMATCH(A493,$A$2:$A$653,0,1)&lt;&gt;_xlfn.XMATCH(A493,$A$2:$A$653,0,-1),FALSE)), "Código de barras duplicado", ""), IF(AND(E493&lt;&gt;"", COUNTIF($E$2:$E$653, E493)&gt;1), "SKU duplicado", ""), IF(OR(J493="", J493=""), "[Aviso] División no capturada ()", IF(ISNA(MATCH(J493, Criterios!$A$123:$A$126, 0)), "División no válida", "")), IF(OR(K493="", K493=""), "[Aviso] Categoría no capturada ()", IF(ISNA(MATCH(K493, Criterios!$A$81:$A$120, 0)), "Categoría no válida", IF(AND(J493&lt;&gt;"", J493&lt;&gt;"", J493&lt;&gt;VLOOKUP(K493, Criterios!$A$81:$B$120, 2, FALSE)), "División no coincide con Categoría", ""))), IF(OR(L493="", L493=""), "[Aviso] Género no capturado ()", IF(ISNA(MATCH(L493, Criterios!$B$123:$B$127, 0)), "Género no válido", "")), IF(OR(N493="", N493=""), "[Aviso] Temporada no capturada ()", IF(ISNA(MATCH(N493, Criterios!$C$123:$C$128, 0)), "Temporada no válida", "")), IF(OR(O493="", O493=""), "[Aviso] Ciclo de vida no capturado ()", IF(ISNA(MATCH(O493, Criterios!$D$123:$D$124, 0)), "Ciclo de vida no válido", ""))))</f>
        <v/>
      </c>
      <c r="AC493" s="56" t="n"/>
      <c r="AD493" s="51" t="n">
        <v>0</v>
      </c>
      <c r="AE493" s="156" t="n"/>
      <c r="AF493" s="51" t="n">
        <v>0</v>
      </c>
      <c r="AG493" s="156" t="inlineStr">
        <is>
          <t>Nuevo – NetSuite sin existencia</t>
        </is>
      </c>
      <c r="AH49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3" s="156" t="inlineStr">
        <is>
          <t>No</t>
        </is>
      </c>
      <c r="AJ493" s="156" t="n"/>
      <c r="AK493" s="155" t="inlineStr">
        <is>
          <t>G1522_Extraccion_Articulos_NetSuite_2026-09-30.xlsx: fila 43920</t>
        </is>
      </c>
      <c r="AL493" s="58" t="n"/>
      <c r="AM493" s="58" t="n"/>
      <c r="AN493" s="155" t="n"/>
      <c r="AO493" s="59" t="n"/>
      <c r="AP493" s="59" t="n"/>
      <c r="AQ493" s="59" t="n"/>
      <c r="AR493" s="155" t="n"/>
    </row>
    <row r="494">
      <c r="A494" s="50" t="inlineStr">
        <is>
          <t>5056658712494</t>
        </is>
      </c>
      <c r="B494" s="51" t="inlineStr">
        <is>
          <t>91212</t>
        </is>
      </c>
      <c r="C494" s="156" t="inlineStr">
        <is>
          <t>REFLO</t>
        </is>
      </c>
      <c r="D494" s="156" t="n"/>
      <c r="E494" s="156" t="n"/>
      <c r="F494" s="156" t="n"/>
      <c r="G494" s="156" t="n"/>
      <c r="H494" s="156" t="inlineStr">
        <is>
          <t>REFLO</t>
        </is>
      </c>
      <c r="I494" s="156" t="n"/>
      <c r="J494" s="156" t="n"/>
      <c r="K494" s="156" t="n"/>
      <c r="L494" s="156" t="n"/>
      <c r="M494" s="156" t="n"/>
      <c r="N494" s="156" t="n"/>
      <c r="O494" s="156" t="n"/>
      <c r="P494" s="156" t="n"/>
      <c r="Q494" s="156" t="n"/>
      <c r="R494" s="156" t="n"/>
      <c r="S494" s="156" t="n"/>
      <c r="T494" s="156" t="n"/>
      <c r="U494" s="156" t="n"/>
      <c r="V494" s="156" t="inlineStr">
        <is>
          <t>PZS</t>
        </is>
      </c>
      <c r="W494" s="51" t="inlineStr">
        <is>
          <t>53103101</t>
        </is>
      </c>
      <c r="X494" s="156" t="n"/>
      <c r="Y494" s="54" t="n">
        <v>46.15</v>
      </c>
      <c r="Z494" s="54" t="n">
        <v>3549</v>
      </c>
      <c r="AA494" s="55">
        <f>IF(AND(A494="", B494="", E494=""), "", IF(AB494="", "Válido", IF((LEN(AB494)-LEN(SUBSTITUTE(AB494,"; ","")))/2+1&gt;(LEN(AB494)-LEN(SUBSTITUTE(AB494,"[Aviso]","")))/7, "Con Incidencias", "Válido")))</f>
        <v/>
      </c>
      <c r="AB494" s="56">
        <f>IF(AND(A494="", B494="", E494=""), "", TEXTJOIN("; ", TRUE, IF(OR(TRIM(A494&amp;"")="", ISNUMBER(SEARCH("FALTA", A494))), "UPC faltante/inválido", ""), IF(AND(A494&lt;&gt;"", IFERROR(_xlfn.XMATCH(A494,$A$2:$A$653,0,1)&lt;&gt;_xlfn.XMATCH(A494,$A$2:$A$653,0,-1),FALSE)), "Código de barras duplicado", ""), IF(AND(E494&lt;&gt;"", COUNTIF($E$2:$E$653, E494)&gt;1), "SKU duplicado", ""), IF(OR(J494="", J494=""), "[Aviso] División no capturada ()", IF(ISNA(MATCH(J494, Criterios!$A$123:$A$126, 0)), "División no válida", "")), IF(OR(K494="", K494=""), "[Aviso] Categoría no capturada ()", IF(ISNA(MATCH(K494, Criterios!$A$81:$A$120, 0)), "Categoría no válida", IF(AND(J494&lt;&gt;"", J494&lt;&gt;"", J494&lt;&gt;VLOOKUP(K494, Criterios!$A$81:$B$120, 2, FALSE)), "División no coincide con Categoría", ""))), IF(OR(L494="", L494=""), "[Aviso] Género no capturado ()", IF(ISNA(MATCH(L494, Criterios!$B$123:$B$127, 0)), "Género no válido", "")), IF(OR(N494="", N494=""), "[Aviso] Temporada no capturada ()", IF(ISNA(MATCH(N494, Criterios!$C$123:$C$128, 0)), "Temporada no válida", "")), IF(OR(O494="", O494=""), "[Aviso] Ciclo de vida no capturado ()", IF(ISNA(MATCH(O494, Criterios!$D$123:$D$124, 0)), "Ciclo de vida no válido", ""))))</f>
        <v/>
      </c>
      <c r="AC494" s="56" t="n"/>
      <c r="AD494" s="51" t="n">
        <v>0</v>
      </c>
      <c r="AE494" s="156" t="n"/>
      <c r="AF494" s="51" t="n">
        <v>0</v>
      </c>
      <c r="AG494" s="156" t="inlineStr">
        <is>
          <t>Nuevo – NetSuite sin existencia</t>
        </is>
      </c>
      <c r="AH49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4" s="156" t="inlineStr">
        <is>
          <t>No</t>
        </is>
      </c>
      <c r="AJ494" s="156" t="n"/>
      <c r="AK494" s="155" t="inlineStr">
        <is>
          <t>G1522_Extraccion_Articulos_NetSuite_2026-09-30.xlsx: fila 43921</t>
        </is>
      </c>
      <c r="AL494" s="58" t="n"/>
      <c r="AM494" s="58" t="n"/>
      <c r="AN494" s="155" t="n"/>
      <c r="AO494" s="59" t="n"/>
      <c r="AP494" s="59" t="n"/>
      <c r="AQ494" s="59" t="n"/>
      <c r="AR494" s="155" t="n"/>
    </row>
    <row r="495">
      <c r="A495" s="50" t="inlineStr">
        <is>
          <t>5056658712500</t>
        </is>
      </c>
      <c r="B495" s="51" t="inlineStr">
        <is>
          <t>91213</t>
        </is>
      </c>
      <c r="C495" s="156" t="inlineStr">
        <is>
          <t>REFLO</t>
        </is>
      </c>
      <c r="D495" s="156" t="n"/>
      <c r="E495" s="156" t="n"/>
      <c r="F495" s="156" t="n"/>
      <c r="G495" s="156" t="n"/>
      <c r="H495" s="156" t="inlineStr">
        <is>
          <t>REFLO</t>
        </is>
      </c>
      <c r="I495" s="156" t="n"/>
      <c r="J495" s="156" t="n"/>
      <c r="K495" s="156" t="n"/>
      <c r="L495" s="156" t="n"/>
      <c r="M495" s="156" t="n"/>
      <c r="N495" s="156" t="n"/>
      <c r="O495" s="156" t="n"/>
      <c r="P495" s="156" t="n"/>
      <c r="Q495" s="156" t="n"/>
      <c r="R495" s="156" t="n"/>
      <c r="S495" s="156" t="n"/>
      <c r="T495" s="156" t="n"/>
      <c r="U495" s="156" t="n"/>
      <c r="V495" s="156" t="inlineStr">
        <is>
          <t>PZS</t>
        </is>
      </c>
      <c r="W495" s="51" t="inlineStr">
        <is>
          <t>53103101</t>
        </is>
      </c>
      <c r="X495" s="156" t="n"/>
      <c r="Y495" s="54" t="n">
        <v>46.15</v>
      </c>
      <c r="Z495" s="54" t="n">
        <v>3549</v>
      </c>
      <c r="AA495" s="55">
        <f>IF(AND(A495="", B495="", E495=""), "", IF(AB495="", "Válido", IF((LEN(AB495)-LEN(SUBSTITUTE(AB495,"; ","")))/2+1&gt;(LEN(AB495)-LEN(SUBSTITUTE(AB495,"[Aviso]","")))/7, "Con Incidencias", "Válido")))</f>
        <v/>
      </c>
      <c r="AB495" s="56">
        <f>IF(AND(A495="", B495="", E495=""), "", TEXTJOIN("; ", TRUE, IF(OR(TRIM(A495&amp;"")="", ISNUMBER(SEARCH("FALTA", A495))), "UPC faltante/inválido", ""), IF(AND(A495&lt;&gt;"", IFERROR(_xlfn.XMATCH(A495,$A$2:$A$653,0,1)&lt;&gt;_xlfn.XMATCH(A495,$A$2:$A$653,0,-1),FALSE)), "Código de barras duplicado", ""), IF(AND(E495&lt;&gt;"", COUNTIF($E$2:$E$653, E495)&gt;1), "SKU duplicado", ""), IF(OR(J495="", J495=""), "[Aviso] División no capturada ()", IF(ISNA(MATCH(J495, Criterios!$A$123:$A$126, 0)), "División no válida", "")), IF(OR(K495="", K495=""), "[Aviso] Categoría no capturada ()", IF(ISNA(MATCH(K495, Criterios!$A$81:$A$120, 0)), "Categoría no válida", IF(AND(J495&lt;&gt;"", J495&lt;&gt;"", J495&lt;&gt;VLOOKUP(K495, Criterios!$A$81:$B$120, 2, FALSE)), "División no coincide con Categoría", ""))), IF(OR(L495="", L495=""), "[Aviso] Género no capturado ()", IF(ISNA(MATCH(L495, Criterios!$B$123:$B$127, 0)), "Género no válido", "")), IF(OR(N495="", N495=""), "[Aviso] Temporada no capturada ()", IF(ISNA(MATCH(N495, Criterios!$C$123:$C$128, 0)), "Temporada no válida", "")), IF(OR(O495="", O495=""), "[Aviso] Ciclo de vida no capturado ()", IF(ISNA(MATCH(O495, Criterios!$D$123:$D$124, 0)), "Ciclo de vida no válido", ""))))</f>
        <v/>
      </c>
      <c r="AC495" s="56" t="n"/>
      <c r="AD495" s="51" t="n">
        <v>0</v>
      </c>
      <c r="AE495" s="156" t="n"/>
      <c r="AF495" s="51" t="n">
        <v>0</v>
      </c>
      <c r="AG495" s="156" t="inlineStr">
        <is>
          <t>Nuevo – NetSuite sin existencia</t>
        </is>
      </c>
      <c r="AH49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5" s="156" t="inlineStr">
        <is>
          <t>No</t>
        </is>
      </c>
      <c r="AJ495" s="156" t="n"/>
      <c r="AK495" s="155" t="inlineStr">
        <is>
          <t>G1522_Extraccion_Articulos_NetSuite_2026-09-30.xlsx: fila 43922</t>
        </is>
      </c>
      <c r="AL495" s="58" t="n"/>
      <c r="AM495" s="58" t="n"/>
      <c r="AN495" s="155" t="n"/>
      <c r="AO495" s="59" t="n"/>
      <c r="AP495" s="59" t="n"/>
      <c r="AQ495" s="59" t="n"/>
      <c r="AR495" s="155" t="n"/>
    </row>
    <row r="496">
      <c r="A496" s="50" t="inlineStr">
        <is>
          <t>5056658713033</t>
        </is>
      </c>
      <c r="B496" s="51" t="inlineStr">
        <is>
          <t>91214</t>
        </is>
      </c>
      <c r="C496" s="156" t="inlineStr">
        <is>
          <t>REFLO</t>
        </is>
      </c>
      <c r="D496" s="156" t="n"/>
      <c r="E496" s="156" t="n"/>
      <c r="F496" s="156" t="n"/>
      <c r="G496" s="156" t="n"/>
      <c r="H496" s="156" t="inlineStr">
        <is>
          <t>REFLO</t>
        </is>
      </c>
      <c r="I496" s="156" t="n"/>
      <c r="J496" s="156" t="n"/>
      <c r="K496" s="156" t="n"/>
      <c r="L496" s="156" t="n"/>
      <c r="M496" s="156" t="n"/>
      <c r="N496" s="156" t="n"/>
      <c r="O496" s="156" t="n"/>
      <c r="P496" s="156" t="n"/>
      <c r="Q496" s="156" t="n"/>
      <c r="R496" s="156" t="n"/>
      <c r="S496" s="156" t="n"/>
      <c r="T496" s="156" t="n"/>
      <c r="U496" s="156" t="n"/>
      <c r="V496" s="156" t="inlineStr">
        <is>
          <t>PZS</t>
        </is>
      </c>
      <c r="W496" s="51" t="inlineStr">
        <is>
          <t>53103101</t>
        </is>
      </c>
      <c r="X496" s="156" t="n"/>
      <c r="Y496" s="54" t="n">
        <v>46.15</v>
      </c>
      <c r="Z496" s="54" t="n">
        <v>3549</v>
      </c>
      <c r="AA496" s="55">
        <f>IF(AND(A496="", B496="", E496=""), "", IF(AB496="", "Válido", IF((LEN(AB496)-LEN(SUBSTITUTE(AB496,"; ","")))/2+1&gt;(LEN(AB496)-LEN(SUBSTITUTE(AB496,"[Aviso]","")))/7, "Con Incidencias", "Válido")))</f>
        <v/>
      </c>
      <c r="AB496" s="56">
        <f>IF(AND(A496="", B496="", E496=""), "", TEXTJOIN("; ", TRUE, IF(OR(TRIM(A496&amp;"")="", ISNUMBER(SEARCH("FALTA", A496))), "UPC faltante/inválido", ""), IF(AND(A496&lt;&gt;"", IFERROR(_xlfn.XMATCH(A496,$A$2:$A$653,0,1)&lt;&gt;_xlfn.XMATCH(A496,$A$2:$A$653,0,-1),FALSE)), "Código de barras duplicado", ""), IF(AND(E496&lt;&gt;"", COUNTIF($E$2:$E$653, E496)&gt;1), "SKU duplicado", ""), IF(OR(J496="", J496=""), "[Aviso] División no capturada ()", IF(ISNA(MATCH(J496, Criterios!$A$123:$A$126, 0)), "División no válida", "")), IF(OR(K496="", K496=""), "[Aviso] Categoría no capturada ()", IF(ISNA(MATCH(K496, Criterios!$A$81:$A$120, 0)), "Categoría no válida", IF(AND(J496&lt;&gt;"", J496&lt;&gt;"", J496&lt;&gt;VLOOKUP(K496, Criterios!$A$81:$B$120, 2, FALSE)), "División no coincide con Categoría", ""))), IF(OR(L496="", L496=""), "[Aviso] Género no capturado ()", IF(ISNA(MATCH(L496, Criterios!$B$123:$B$127, 0)), "Género no válido", "")), IF(OR(N496="", N496=""), "[Aviso] Temporada no capturada ()", IF(ISNA(MATCH(N496, Criterios!$C$123:$C$128, 0)), "Temporada no válida", "")), IF(OR(O496="", O496=""), "[Aviso] Ciclo de vida no capturado ()", IF(ISNA(MATCH(O496, Criterios!$D$123:$D$124, 0)), "Ciclo de vida no válido", ""))))</f>
        <v/>
      </c>
      <c r="AC496" s="56" t="n"/>
      <c r="AD496" s="51" t="n">
        <v>0</v>
      </c>
      <c r="AE496" s="156" t="n"/>
      <c r="AF496" s="51" t="n">
        <v>0</v>
      </c>
      <c r="AG496" s="156" t="inlineStr">
        <is>
          <t>Nuevo – NetSuite sin existencia</t>
        </is>
      </c>
      <c r="AH49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6" s="156" t="inlineStr">
        <is>
          <t>No</t>
        </is>
      </c>
      <c r="AJ496" s="156" t="n"/>
      <c r="AK496" s="155" t="inlineStr">
        <is>
          <t>G1522_Extraccion_Articulos_NetSuite_2026-09-30.xlsx: fila 43923</t>
        </is>
      </c>
      <c r="AL496" s="58" t="n"/>
      <c r="AM496" s="58" t="n"/>
      <c r="AN496" s="155" t="n"/>
      <c r="AO496" s="59" t="n"/>
      <c r="AP496" s="59" t="n"/>
      <c r="AQ496" s="59" t="n"/>
      <c r="AR496" s="155" t="n"/>
    </row>
    <row r="497">
      <c r="A497" s="50" t="inlineStr">
        <is>
          <t>5056658713040</t>
        </is>
      </c>
      <c r="B497" s="51" t="inlineStr">
        <is>
          <t>91215</t>
        </is>
      </c>
      <c r="C497" s="156" t="inlineStr">
        <is>
          <t>REFLO</t>
        </is>
      </c>
      <c r="D497" s="156" t="n"/>
      <c r="E497" s="156" t="n"/>
      <c r="F497" s="156" t="n"/>
      <c r="G497" s="156" t="n"/>
      <c r="H497" s="156" t="inlineStr">
        <is>
          <t>REFLO</t>
        </is>
      </c>
      <c r="I497" s="156" t="n"/>
      <c r="J497" s="156" t="n"/>
      <c r="K497" s="156" t="n"/>
      <c r="L497" s="156" t="n"/>
      <c r="M497" s="156" t="n"/>
      <c r="N497" s="156" t="n"/>
      <c r="O497" s="156" t="n"/>
      <c r="P497" s="156" t="n"/>
      <c r="Q497" s="156" t="n"/>
      <c r="R497" s="156" t="n"/>
      <c r="S497" s="156" t="n"/>
      <c r="T497" s="156" t="n"/>
      <c r="U497" s="156" t="n"/>
      <c r="V497" s="156" t="inlineStr">
        <is>
          <t>PZS</t>
        </is>
      </c>
      <c r="W497" s="51" t="inlineStr">
        <is>
          <t>53103101</t>
        </is>
      </c>
      <c r="X497" s="156" t="n"/>
      <c r="Y497" s="54" t="n">
        <v>46.15</v>
      </c>
      <c r="Z497" s="54" t="n">
        <v>3549</v>
      </c>
      <c r="AA497" s="55">
        <f>IF(AND(A497="", B497="", E497=""), "", IF(AB497="", "Válido", IF((LEN(AB497)-LEN(SUBSTITUTE(AB497,"; ","")))/2+1&gt;(LEN(AB497)-LEN(SUBSTITUTE(AB497,"[Aviso]","")))/7, "Con Incidencias", "Válido")))</f>
        <v/>
      </c>
      <c r="AB497" s="56">
        <f>IF(AND(A497="", B497="", E497=""), "", TEXTJOIN("; ", TRUE, IF(OR(TRIM(A497&amp;"")="", ISNUMBER(SEARCH("FALTA", A497))), "UPC faltante/inválido", ""), IF(AND(A497&lt;&gt;"", IFERROR(_xlfn.XMATCH(A497,$A$2:$A$653,0,1)&lt;&gt;_xlfn.XMATCH(A497,$A$2:$A$653,0,-1),FALSE)), "Código de barras duplicado", ""), IF(AND(E497&lt;&gt;"", COUNTIF($E$2:$E$653, E497)&gt;1), "SKU duplicado", ""), IF(OR(J497="", J497=""), "[Aviso] División no capturada ()", IF(ISNA(MATCH(J497, Criterios!$A$123:$A$126, 0)), "División no válida", "")), IF(OR(K497="", K497=""), "[Aviso] Categoría no capturada ()", IF(ISNA(MATCH(K497, Criterios!$A$81:$A$120, 0)), "Categoría no válida", IF(AND(J497&lt;&gt;"", J497&lt;&gt;"", J497&lt;&gt;VLOOKUP(K497, Criterios!$A$81:$B$120, 2, FALSE)), "División no coincide con Categoría", ""))), IF(OR(L497="", L497=""), "[Aviso] Género no capturado ()", IF(ISNA(MATCH(L497, Criterios!$B$123:$B$127, 0)), "Género no válido", "")), IF(OR(N497="", N497=""), "[Aviso] Temporada no capturada ()", IF(ISNA(MATCH(N497, Criterios!$C$123:$C$128, 0)), "Temporada no válida", "")), IF(OR(O497="", O497=""), "[Aviso] Ciclo de vida no capturado ()", IF(ISNA(MATCH(O497, Criterios!$D$123:$D$124, 0)), "Ciclo de vida no válido", ""))))</f>
        <v/>
      </c>
      <c r="AC497" s="56" t="n"/>
      <c r="AD497" s="51" t="n">
        <v>0</v>
      </c>
      <c r="AE497" s="156" t="n"/>
      <c r="AF497" s="51" t="n">
        <v>0</v>
      </c>
      <c r="AG497" s="156" t="inlineStr">
        <is>
          <t>Nuevo – NetSuite sin existencia</t>
        </is>
      </c>
      <c r="AH49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7" s="156" t="inlineStr">
        <is>
          <t>No</t>
        </is>
      </c>
      <c r="AJ497" s="156" t="n"/>
      <c r="AK497" s="155" t="inlineStr">
        <is>
          <t>G1522_Extraccion_Articulos_NetSuite_2026-09-30.xlsx: fila 43924</t>
        </is>
      </c>
      <c r="AL497" s="58" t="n"/>
      <c r="AM497" s="58" t="n"/>
      <c r="AN497" s="155" t="n"/>
      <c r="AO497" s="59" t="n"/>
      <c r="AP497" s="59" t="n"/>
      <c r="AQ497" s="59" t="n"/>
      <c r="AR497" s="155" t="n"/>
    </row>
    <row r="498">
      <c r="A498" s="50" t="inlineStr">
        <is>
          <t>5056658713057</t>
        </is>
      </c>
      <c r="B498" s="51" t="inlineStr">
        <is>
          <t>91216</t>
        </is>
      </c>
      <c r="C498" s="156" t="inlineStr">
        <is>
          <t>REFLO</t>
        </is>
      </c>
      <c r="D498" s="156" t="n"/>
      <c r="E498" s="156" t="n"/>
      <c r="F498" s="156" t="n"/>
      <c r="G498" s="156" t="n"/>
      <c r="H498" s="156" t="inlineStr">
        <is>
          <t>REFLO</t>
        </is>
      </c>
      <c r="I498" s="156" t="n"/>
      <c r="J498" s="156" t="n"/>
      <c r="K498" s="156" t="n"/>
      <c r="L498" s="156" t="n"/>
      <c r="M498" s="156" t="n"/>
      <c r="N498" s="156" t="n"/>
      <c r="O498" s="156" t="n"/>
      <c r="P498" s="156" t="n"/>
      <c r="Q498" s="156" t="n"/>
      <c r="R498" s="156" t="n"/>
      <c r="S498" s="156" t="n"/>
      <c r="T498" s="156" t="n"/>
      <c r="U498" s="156" t="n"/>
      <c r="V498" s="156" t="inlineStr">
        <is>
          <t>PZS</t>
        </is>
      </c>
      <c r="W498" s="51" t="inlineStr">
        <is>
          <t>53103101</t>
        </is>
      </c>
      <c r="X498" s="156" t="n"/>
      <c r="Y498" s="54" t="n">
        <v>46.15</v>
      </c>
      <c r="Z498" s="54" t="n">
        <v>3549</v>
      </c>
      <c r="AA498" s="55">
        <f>IF(AND(A498="", B498="", E498=""), "", IF(AB498="", "Válido", IF((LEN(AB498)-LEN(SUBSTITUTE(AB498,"; ","")))/2+1&gt;(LEN(AB498)-LEN(SUBSTITUTE(AB498,"[Aviso]","")))/7, "Con Incidencias", "Válido")))</f>
        <v/>
      </c>
      <c r="AB498" s="56">
        <f>IF(AND(A498="", B498="", E498=""), "", TEXTJOIN("; ", TRUE, IF(OR(TRIM(A498&amp;"")="", ISNUMBER(SEARCH("FALTA", A498))), "UPC faltante/inválido", ""), IF(AND(A498&lt;&gt;"", IFERROR(_xlfn.XMATCH(A498,$A$2:$A$653,0,1)&lt;&gt;_xlfn.XMATCH(A498,$A$2:$A$653,0,-1),FALSE)), "Código de barras duplicado", ""), IF(AND(E498&lt;&gt;"", COUNTIF($E$2:$E$653, E498)&gt;1), "SKU duplicado", ""), IF(OR(J498="", J498=""), "[Aviso] División no capturada ()", IF(ISNA(MATCH(J498, Criterios!$A$123:$A$126, 0)), "División no válida", "")), IF(OR(K498="", K498=""), "[Aviso] Categoría no capturada ()", IF(ISNA(MATCH(K498, Criterios!$A$81:$A$120, 0)), "Categoría no válida", IF(AND(J498&lt;&gt;"", J498&lt;&gt;"", J498&lt;&gt;VLOOKUP(K498, Criterios!$A$81:$B$120, 2, FALSE)), "División no coincide con Categoría", ""))), IF(OR(L498="", L498=""), "[Aviso] Género no capturado ()", IF(ISNA(MATCH(L498, Criterios!$B$123:$B$127, 0)), "Género no válido", "")), IF(OR(N498="", N498=""), "[Aviso] Temporada no capturada ()", IF(ISNA(MATCH(N498, Criterios!$C$123:$C$128, 0)), "Temporada no válida", "")), IF(OR(O498="", O498=""), "[Aviso] Ciclo de vida no capturado ()", IF(ISNA(MATCH(O498, Criterios!$D$123:$D$124, 0)), "Ciclo de vida no válido", ""))))</f>
        <v/>
      </c>
      <c r="AC498" s="56" t="n"/>
      <c r="AD498" s="51" t="n">
        <v>0</v>
      </c>
      <c r="AE498" s="156" t="n"/>
      <c r="AF498" s="51" t="n">
        <v>0</v>
      </c>
      <c r="AG498" s="156" t="inlineStr">
        <is>
          <t>Nuevo – NetSuite sin existencia</t>
        </is>
      </c>
      <c r="AH49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8" s="156" t="inlineStr">
        <is>
          <t>No</t>
        </is>
      </c>
      <c r="AJ498" s="156" t="n"/>
      <c r="AK498" s="155" t="inlineStr">
        <is>
          <t>G1522_Extraccion_Articulos_NetSuite_2026-09-30.xlsx: fila 43925</t>
        </is>
      </c>
      <c r="AL498" s="58" t="n"/>
      <c r="AM498" s="58" t="n"/>
      <c r="AN498" s="155" t="n"/>
      <c r="AO498" s="59" t="n"/>
      <c r="AP498" s="59" t="n"/>
      <c r="AQ498" s="59" t="n"/>
      <c r="AR498" s="155" t="n"/>
    </row>
    <row r="499">
      <c r="A499" s="50" t="inlineStr">
        <is>
          <t>5056658713064</t>
        </is>
      </c>
      <c r="B499" s="51" t="inlineStr">
        <is>
          <t>91217</t>
        </is>
      </c>
      <c r="C499" s="156" t="inlineStr">
        <is>
          <t>REFLO</t>
        </is>
      </c>
      <c r="D499" s="156" t="n"/>
      <c r="E499" s="156" t="n"/>
      <c r="F499" s="156" t="n"/>
      <c r="G499" s="156" t="n"/>
      <c r="H499" s="156" t="inlineStr">
        <is>
          <t>REFLO</t>
        </is>
      </c>
      <c r="I499" s="156" t="n"/>
      <c r="J499" s="156" t="n"/>
      <c r="K499" s="156" t="n"/>
      <c r="L499" s="156" t="n"/>
      <c r="M499" s="156" t="n"/>
      <c r="N499" s="156" t="n"/>
      <c r="O499" s="156" t="n"/>
      <c r="P499" s="156" t="n"/>
      <c r="Q499" s="156" t="n"/>
      <c r="R499" s="156" t="n"/>
      <c r="S499" s="156" t="n"/>
      <c r="T499" s="156" t="n"/>
      <c r="U499" s="156" t="n"/>
      <c r="V499" s="156" t="inlineStr">
        <is>
          <t>PZS</t>
        </is>
      </c>
      <c r="W499" s="51" t="inlineStr">
        <is>
          <t>53103101</t>
        </is>
      </c>
      <c r="X499" s="156" t="n"/>
      <c r="Y499" s="54" t="n">
        <v>46.15</v>
      </c>
      <c r="Z499" s="54" t="n">
        <v>3549</v>
      </c>
      <c r="AA499" s="55">
        <f>IF(AND(A499="", B499="", E499=""), "", IF(AB499="", "Válido", IF((LEN(AB499)-LEN(SUBSTITUTE(AB499,"; ","")))/2+1&gt;(LEN(AB499)-LEN(SUBSTITUTE(AB499,"[Aviso]","")))/7, "Con Incidencias", "Válido")))</f>
        <v/>
      </c>
      <c r="AB499" s="56">
        <f>IF(AND(A499="", B499="", E499=""), "", TEXTJOIN("; ", TRUE, IF(OR(TRIM(A499&amp;"")="", ISNUMBER(SEARCH("FALTA", A499))), "UPC faltante/inválido", ""), IF(AND(A499&lt;&gt;"", IFERROR(_xlfn.XMATCH(A499,$A$2:$A$653,0,1)&lt;&gt;_xlfn.XMATCH(A499,$A$2:$A$653,0,-1),FALSE)), "Código de barras duplicado", ""), IF(AND(E499&lt;&gt;"", COUNTIF($E$2:$E$653, E499)&gt;1), "SKU duplicado", ""), IF(OR(J499="", J499=""), "[Aviso] División no capturada ()", IF(ISNA(MATCH(J499, Criterios!$A$123:$A$126, 0)), "División no válida", "")), IF(OR(K499="", K499=""), "[Aviso] Categoría no capturada ()", IF(ISNA(MATCH(K499, Criterios!$A$81:$A$120, 0)), "Categoría no válida", IF(AND(J499&lt;&gt;"", J499&lt;&gt;"", J499&lt;&gt;VLOOKUP(K499, Criterios!$A$81:$B$120, 2, FALSE)), "División no coincide con Categoría", ""))), IF(OR(L499="", L499=""), "[Aviso] Género no capturado ()", IF(ISNA(MATCH(L499, Criterios!$B$123:$B$127, 0)), "Género no válido", "")), IF(OR(N499="", N499=""), "[Aviso] Temporada no capturada ()", IF(ISNA(MATCH(N499, Criterios!$C$123:$C$128, 0)), "Temporada no válida", "")), IF(OR(O499="", O499=""), "[Aviso] Ciclo de vida no capturado ()", IF(ISNA(MATCH(O499, Criterios!$D$123:$D$124, 0)), "Ciclo de vida no válido", ""))))</f>
        <v/>
      </c>
      <c r="AC499" s="56" t="n"/>
      <c r="AD499" s="51" t="n">
        <v>0</v>
      </c>
      <c r="AE499" s="156" t="n"/>
      <c r="AF499" s="51" t="n">
        <v>0</v>
      </c>
      <c r="AG499" s="156" t="inlineStr">
        <is>
          <t>Nuevo – NetSuite sin existencia</t>
        </is>
      </c>
      <c r="AH49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9" s="156" t="inlineStr">
        <is>
          <t>No</t>
        </is>
      </c>
      <c r="AJ499" s="156" t="n"/>
      <c r="AK499" s="155" t="inlineStr">
        <is>
          <t>G1522_Extraccion_Articulos_NetSuite_2026-09-30.xlsx: fila 43926</t>
        </is>
      </c>
      <c r="AL499" s="58" t="n"/>
      <c r="AM499" s="58" t="n"/>
      <c r="AN499" s="155" t="n"/>
      <c r="AO499" s="59" t="n"/>
      <c r="AP499" s="59" t="n"/>
      <c r="AQ499" s="59" t="n"/>
      <c r="AR499" s="155" t="n"/>
    </row>
    <row r="500">
      <c r="A500" s="50" t="inlineStr">
        <is>
          <t>5056658712593</t>
        </is>
      </c>
      <c r="B500" s="51" t="inlineStr">
        <is>
          <t>91218</t>
        </is>
      </c>
      <c r="C500" s="156" t="inlineStr">
        <is>
          <t>REFLO</t>
        </is>
      </c>
      <c r="D500" s="156" t="n"/>
      <c r="E500" s="156" t="n"/>
      <c r="F500" s="156" t="n"/>
      <c r="G500" s="156" t="n"/>
      <c r="H500" s="156" t="inlineStr">
        <is>
          <t>REFLO</t>
        </is>
      </c>
      <c r="I500" s="156" t="n"/>
      <c r="J500" s="156" t="n"/>
      <c r="K500" s="156" t="n"/>
      <c r="L500" s="156" t="n"/>
      <c r="M500" s="156" t="n"/>
      <c r="N500" s="156" t="n"/>
      <c r="O500" s="156" t="n"/>
      <c r="P500" s="156" t="n"/>
      <c r="Q500" s="156" t="n"/>
      <c r="R500" s="156" t="n"/>
      <c r="S500" s="156" t="n"/>
      <c r="T500" s="156" t="n"/>
      <c r="U500" s="156" t="n"/>
      <c r="V500" s="156" t="inlineStr">
        <is>
          <t>PZS</t>
        </is>
      </c>
      <c r="W500" s="51" t="inlineStr">
        <is>
          <t>53101802</t>
        </is>
      </c>
      <c r="X500" s="156" t="n"/>
      <c r="Y500" s="54" t="n">
        <v>58.5</v>
      </c>
      <c r="Z500" s="54" t="n">
        <v>4499</v>
      </c>
      <c r="AA500" s="55">
        <f>IF(AND(A500="", B500="", E500=""), "", IF(AB500="", "Válido", IF((LEN(AB500)-LEN(SUBSTITUTE(AB500,"; ","")))/2+1&gt;(LEN(AB500)-LEN(SUBSTITUTE(AB500,"[Aviso]","")))/7, "Con Incidencias", "Válido")))</f>
        <v/>
      </c>
      <c r="AB500" s="56">
        <f>IF(AND(A500="", B500="", E500=""), "", TEXTJOIN("; ", TRUE, IF(OR(TRIM(A500&amp;"")="", ISNUMBER(SEARCH("FALTA", A500))), "UPC faltante/inválido", ""), IF(AND(A500&lt;&gt;"", IFERROR(_xlfn.XMATCH(A500,$A$2:$A$653,0,1)&lt;&gt;_xlfn.XMATCH(A500,$A$2:$A$653,0,-1),FALSE)), "Código de barras duplicado", ""), IF(AND(E500&lt;&gt;"", COUNTIF($E$2:$E$653, E500)&gt;1), "SKU duplicado", ""), IF(OR(J500="", J500=""), "[Aviso] División no capturada ()", IF(ISNA(MATCH(J500, Criterios!$A$123:$A$126, 0)), "División no válida", "")), IF(OR(K500="", K500=""), "[Aviso] Categoría no capturada ()", IF(ISNA(MATCH(K500, Criterios!$A$81:$A$120, 0)), "Categoría no válida", IF(AND(J500&lt;&gt;"", J500&lt;&gt;"", J500&lt;&gt;VLOOKUP(K500, Criterios!$A$81:$B$120, 2, FALSE)), "División no coincide con Categoría", ""))), IF(OR(L500="", L500=""), "[Aviso] Género no capturado ()", IF(ISNA(MATCH(L500, Criterios!$B$123:$B$127, 0)), "Género no válido", "")), IF(OR(N500="", N500=""), "[Aviso] Temporada no capturada ()", IF(ISNA(MATCH(N500, Criterios!$C$123:$C$128, 0)), "Temporada no válida", "")), IF(OR(O500="", O500=""), "[Aviso] Ciclo de vida no capturado ()", IF(ISNA(MATCH(O500, Criterios!$D$123:$D$124, 0)), "Ciclo de vida no válido", ""))))</f>
        <v/>
      </c>
      <c r="AC500" s="56" t="n"/>
      <c r="AD500" s="51" t="n">
        <v>0</v>
      </c>
      <c r="AE500" s="156" t="n"/>
      <c r="AF500" s="51" t="n">
        <v>0</v>
      </c>
      <c r="AG500" s="156" t="inlineStr">
        <is>
          <t>Nuevo – NetSuite sin existencia</t>
        </is>
      </c>
      <c r="AH50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0" s="156" t="inlineStr">
        <is>
          <t>No</t>
        </is>
      </c>
      <c r="AJ500" s="156" t="n"/>
      <c r="AK500" s="155" t="inlineStr">
        <is>
          <t>G1522_Extraccion_Articulos_NetSuite_2026-09-30.xlsx: fila 43927</t>
        </is>
      </c>
      <c r="AL500" s="58" t="n"/>
      <c r="AM500" s="58" t="n"/>
      <c r="AN500" s="155" t="n"/>
      <c r="AO500" s="59" t="n"/>
      <c r="AP500" s="59" t="n"/>
      <c r="AQ500" s="59" t="n"/>
      <c r="AR500" s="155" t="n"/>
    </row>
    <row r="501">
      <c r="A501" s="50" t="inlineStr">
        <is>
          <t>5056658712609</t>
        </is>
      </c>
      <c r="B501" s="51" t="inlineStr">
        <is>
          <t>91219</t>
        </is>
      </c>
      <c r="C501" s="156" t="inlineStr">
        <is>
          <t>REFLO</t>
        </is>
      </c>
      <c r="D501" s="156" t="n"/>
      <c r="E501" s="156" t="n"/>
      <c r="F501" s="156" t="n"/>
      <c r="G501" s="156" t="n"/>
      <c r="H501" s="156" t="inlineStr">
        <is>
          <t>REFLO</t>
        </is>
      </c>
      <c r="I501" s="156" t="n"/>
      <c r="J501" s="156" t="n"/>
      <c r="K501" s="156" t="n"/>
      <c r="L501" s="156" t="n"/>
      <c r="M501" s="156" t="n"/>
      <c r="N501" s="156" t="n"/>
      <c r="O501" s="156" t="n"/>
      <c r="P501" s="156" t="n"/>
      <c r="Q501" s="156" t="n"/>
      <c r="R501" s="156" t="n"/>
      <c r="S501" s="156" t="n"/>
      <c r="T501" s="156" t="n"/>
      <c r="U501" s="156" t="n"/>
      <c r="V501" s="156" t="inlineStr">
        <is>
          <t>PZS</t>
        </is>
      </c>
      <c r="W501" s="51" t="inlineStr">
        <is>
          <t>53101802</t>
        </is>
      </c>
      <c r="X501" s="156" t="n"/>
      <c r="Y501" s="54" t="n">
        <v>58.5</v>
      </c>
      <c r="Z501" s="54" t="n">
        <v>4499</v>
      </c>
      <c r="AA501" s="55">
        <f>IF(AND(A501="", B501="", E501=""), "", IF(AB501="", "Válido", IF((LEN(AB501)-LEN(SUBSTITUTE(AB501,"; ","")))/2+1&gt;(LEN(AB501)-LEN(SUBSTITUTE(AB501,"[Aviso]","")))/7, "Con Incidencias", "Válido")))</f>
        <v/>
      </c>
      <c r="AB501" s="56">
        <f>IF(AND(A501="", B501="", E501=""), "", TEXTJOIN("; ", TRUE, IF(OR(TRIM(A501&amp;"")="", ISNUMBER(SEARCH("FALTA", A501))), "UPC faltante/inválido", ""), IF(AND(A501&lt;&gt;"", IFERROR(_xlfn.XMATCH(A501,$A$2:$A$653,0,1)&lt;&gt;_xlfn.XMATCH(A501,$A$2:$A$653,0,-1),FALSE)), "Código de barras duplicado", ""), IF(AND(E501&lt;&gt;"", COUNTIF($E$2:$E$653, E501)&gt;1), "SKU duplicado", ""), IF(OR(J501="", J501=""), "[Aviso] División no capturada ()", IF(ISNA(MATCH(J501, Criterios!$A$123:$A$126, 0)), "División no válida", "")), IF(OR(K501="", K501=""), "[Aviso] Categoría no capturada ()", IF(ISNA(MATCH(K501, Criterios!$A$81:$A$120, 0)), "Categoría no válida", IF(AND(J501&lt;&gt;"", J501&lt;&gt;"", J501&lt;&gt;VLOOKUP(K501, Criterios!$A$81:$B$120, 2, FALSE)), "División no coincide con Categoría", ""))), IF(OR(L501="", L501=""), "[Aviso] Género no capturado ()", IF(ISNA(MATCH(L501, Criterios!$B$123:$B$127, 0)), "Género no válido", "")), IF(OR(N501="", N501=""), "[Aviso] Temporada no capturada ()", IF(ISNA(MATCH(N501, Criterios!$C$123:$C$128, 0)), "Temporada no válida", "")), IF(OR(O501="", O501=""), "[Aviso] Ciclo de vida no capturado ()", IF(ISNA(MATCH(O501, Criterios!$D$123:$D$124, 0)), "Ciclo de vida no válido", ""))))</f>
        <v/>
      </c>
      <c r="AC501" s="56" t="n"/>
      <c r="AD501" s="51" t="n">
        <v>0</v>
      </c>
      <c r="AE501" s="156" t="n"/>
      <c r="AF501" s="51" t="n">
        <v>0</v>
      </c>
      <c r="AG501" s="156" t="inlineStr">
        <is>
          <t>Nuevo – NetSuite sin existencia</t>
        </is>
      </c>
      <c r="AH50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1" s="156" t="inlineStr">
        <is>
          <t>No</t>
        </is>
      </c>
      <c r="AJ501" s="156" t="n"/>
      <c r="AK501" s="155" t="inlineStr">
        <is>
          <t>G1522_Extraccion_Articulos_NetSuite_2026-09-30.xlsx: fila 43928</t>
        </is>
      </c>
      <c r="AL501" s="58" t="n"/>
      <c r="AM501" s="58" t="n"/>
      <c r="AN501" s="155" t="n"/>
      <c r="AO501" s="59" t="n"/>
      <c r="AP501" s="59" t="n"/>
      <c r="AQ501" s="59" t="n"/>
      <c r="AR501" s="155" t="n"/>
    </row>
    <row r="502">
      <c r="A502" s="50" t="inlineStr">
        <is>
          <t>5056658712616</t>
        </is>
      </c>
      <c r="B502" s="51" t="inlineStr">
        <is>
          <t>91220</t>
        </is>
      </c>
      <c r="C502" s="156" t="inlineStr">
        <is>
          <t>REFLO</t>
        </is>
      </c>
      <c r="D502" s="156" t="n"/>
      <c r="E502" s="156" t="n"/>
      <c r="F502" s="156" t="n"/>
      <c r="G502" s="156" t="n"/>
      <c r="H502" s="156" t="inlineStr">
        <is>
          <t>REFLO</t>
        </is>
      </c>
      <c r="I502" s="156" t="n"/>
      <c r="J502" s="156" t="n"/>
      <c r="K502" s="156" t="n"/>
      <c r="L502" s="156" t="n"/>
      <c r="M502" s="156" t="n"/>
      <c r="N502" s="156" t="n"/>
      <c r="O502" s="156" t="n"/>
      <c r="P502" s="156" t="n"/>
      <c r="Q502" s="156" t="n"/>
      <c r="R502" s="156" t="n"/>
      <c r="S502" s="156" t="n"/>
      <c r="T502" s="156" t="n"/>
      <c r="U502" s="156" t="n"/>
      <c r="V502" s="156" t="inlineStr">
        <is>
          <t>PZS</t>
        </is>
      </c>
      <c r="W502" s="51" t="inlineStr">
        <is>
          <t>53101802</t>
        </is>
      </c>
      <c r="X502" s="156" t="n"/>
      <c r="Y502" s="54" t="n">
        <v>58.5</v>
      </c>
      <c r="Z502" s="54" t="n">
        <v>4499</v>
      </c>
      <c r="AA502" s="55">
        <f>IF(AND(A502="", B502="", E502=""), "", IF(AB502="", "Válido", IF((LEN(AB502)-LEN(SUBSTITUTE(AB502,"; ","")))/2+1&gt;(LEN(AB502)-LEN(SUBSTITUTE(AB502,"[Aviso]","")))/7, "Con Incidencias", "Válido")))</f>
        <v/>
      </c>
      <c r="AB502" s="56">
        <f>IF(AND(A502="", B502="", E502=""), "", TEXTJOIN("; ", TRUE, IF(OR(TRIM(A502&amp;"")="", ISNUMBER(SEARCH("FALTA", A502))), "UPC faltante/inválido", ""), IF(AND(A502&lt;&gt;"", IFERROR(_xlfn.XMATCH(A502,$A$2:$A$653,0,1)&lt;&gt;_xlfn.XMATCH(A502,$A$2:$A$653,0,-1),FALSE)), "Código de barras duplicado", ""), IF(AND(E502&lt;&gt;"", COUNTIF($E$2:$E$653, E502)&gt;1), "SKU duplicado", ""), IF(OR(J502="", J502=""), "[Aviso] División no capturada ()", IF(ISNA(MATCH(J502, Criterios!$A$123:$A$126, 0)), "División no válida", "")), IF(OR(K502="", K502=""), "[Aviso] Categoría no capturada ()", IF(ISNA(MATCH(K502, Criterios!$A$81:$A$120, 0)), "Categoría no válida", IF(AND(J502&lt;&gt;"", J502&lt;&gt;"", J502&lt;&gt;VLOOKUP(K502, Criterios!$A$81:$B$120, 2, FALSE)), "División no coincide con Categoría", ""))), IF(OR(L502="", L502=""), "[Aviso] Género no capturado ()", IF(ISNA(MATCH(L502, Criterios!$B$123:$B$127, 0)), "Género no válido", "")), IF(OR(N502="", N502=""), "[Aviso] Temporada no capturada ()", IF(ISNA(MATCH(N502, Criterios!$C$123:$C$128, 0)), "Temporada no válida", "")), IF(OR(O502="", O502=""), "[Aviso] Ciclo de vida no capturado ()", IF(ISNA(MATCH(O502, Criterios!$D$123:$D$124, 0)), "Ciclo de vida no válido", ""))))</f>
        <v/>
      </c>
      <c r="AC502" s="56" t="n"/>
      <c r="AD502" s="51" t="n">
        <v>2</v>
      </c>
      <c r="AE502" s="156" t="n"/>
      <c r="AF502" s="51" t="n">
        <v>2</v>
      </c>
      <c r="AG502" s="156" t="inlineStr">
        <is>
          <t>Nuevo – NetSuite con existencia</t>
        </is>
      </c>
      <c r="AH50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2" s="156" t="inlineStr">
        <is>
          <t>No</t>
        </is>
      </c>
      <c r="AJ502" s="156" t="n"/>
      <c r="AK502" s="155" t="inlineStr">
        <is>
          <t>G1522_Extraccion_Articulos_NetSuite_2026-09-30.xlsx: fila 43929</t>
        </is>
      </c>
      <c r="AL502" s="58" t="n"/>
      <c r="AM502" s="58" t="n"/>
      <c r="AN502" s="155" t="n"/>
      <c r="AO502" s="59" t="n"/>
      <c r="AP502" s="59" t="n"/>
      <c r="AQ502" s="59" t="n"/>
      <c r="AR502" s="155" t="n"/>
    </row>
    <row r="503">
      <c r="A503" s="50" t="inlineStr">
        <is>
          <t>5056658712623</t>
        </is>
      </c>
      <c r="B503" s="51" t="inlineStr">
        <is>
          <t>91221</t>
        </is>
      </c>
      <c r="C503" s="156" t="inlineStr">
        <is>
          <t>REFLO</t>
        </is>
      </c>
      <c r="D503" s="156" t="n"/>
      <c r="E503" s="156" t="n"/>
      <c r="F503" s="156" t="n"/>
      <c r="G503" s="156" t="n"/>
      <c r="H503" s="156" t="inlineStr">
        <is>
          <t>REFLO</t>
        </is>
      </c>
      <c r="I503" s="156" t="n"/>
      <c r="J503" s="156" t="n"/>
      <c r="K503" s="156" t="n"/>
      <c r="L503" s="156" t="n"/>
      <c r="M503" s="156" t="n"/>
      <c r="N503" s="156" t="n"/>
      <c r="O503" s="156" t="n"/>
      <c r="P503" s="156" t="n"/>
      <c r="Q503" s="156" t="n"/>
      <c r="R503" s="156" t="n"/>
      <c r="S503" s="156" t="n"/>
      <c r="T503" s="156" t="n"/>
      <c r="U503" s="156" t="n"/>
      <c r="V503" s="156" t="inlineStr">
        <is>
          <t>PZS</t>
        </is>
      </c>
      <c r="W503" s="51" t="inlineStr">
        <is>
          <t>53101802</t>
        </is>
      </c>
      <c r="X503" s="156" t="n"/>
      <c r="Y503" s="54" t="n">
        <v>58.5</v>
      </c>
      <c r="Z503" s="54" t="n">
        <v>4499</v>
      </c>
      <c r="AA503" s="55">
        <f>IF(AND(A503="", B503="", E503=""), "", IF(AB503="", "Válido", IF((LEN(AB503)-LEN(SUBSTITUTE(AB503,"; ","")))/2+1&gt;(LEN(AB503)-LEN(SUBSTITUTE(AB503,"[Aviso]","")))/7, "Con Incidencias", "Válido")))</f>
        <v/>
      </c>
      <c r="AB503" s="56">
        <f>IF(AND(A503="", B503="", E503=""), "", TEXTJOIN("; ", TRUE, IF(OR(TRIM(A503&amp;"")="", ISNUMBER(SEARCH("FALTA", A503))), "UPC faltante/inválido", ""), IF(AND(A503&lt;&gt;"", IFERROR(_xlfn.XMATCH(A503,$A$2:$A$653,0,1)&lt;&gt;_xlfn.XMATCH(A503,$A$2:$A$653,0,-1),FALSE)), "Código de barras duplicado", ""), IF(AND(E503&lt;&gt;"", COUNTIF($E$2:$E$653, E503)&gt;1), "SKU duplicado", ""), IF(OR(J503="", J503=""), "[Aviso] División no capturada ()", IF(ISNA(MATCH(J503, Criterios!$A$123:$A$126, 0)), "División no válida", "")), IF(OR(K503="", K503=""), "[Aviso] Categoría no capturada ()", IF(ISNA(MATCH(K503, Criterios!$A$81:$A$120, 0)), "Categoría no válida", IF(AND(J503&lt;&gt;"", J503&lt;&gt;"", J503&lt;&gt;VLOOKUP(K503, Criterios!$A$81:$B$120, 2, FALSE)), "División no coincide con Categoría", ""))), IF(OR(L503="", L503=""), "[Aviso] Género no capturado ()", IF(ISNA(MATCH(L503, Criterios!$B$123:$B$127, 0)), "Género no válido", "")), IF(OR(N503="", N503=""), "[Aviso] Temporada no capturada ()", IF(ISNA(MATCH(N503, Criterios!$C$123:$C$128, 0)), "Temporada no válida", "")), IF(OR(O503="", O503=""), "[Aviso] Ciclo de vida no capturado ()", IF(ISNA(MATCH(O503, Criterios!$D$123:$D$124, 0)), "Ciclo de vida no válido", ""))))</f>
        <v/>
      </c>
      <c r="AC503" s="56" t="n"/>
      <c r="AD503" s="51" t="n">
        <v>2</v>
      </c>
      <c r="AE503" s="156" t="n"/>
      <c r="AF503" s="51" t="n">
        <v>2</v>
      </c>
      <c r="AG503" s="156" t="inlineStr">
        <is>
          <t>Nuevo – NetSuite con existencia</t>
        </is>
      </c>
      <c r="AH50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3" s="156" t="inlineStr">
        <is>
          <t>No</t>
        </is>
      </c>
      <c r="AJ503" s="156" t="n"/>
      <c r="AK503" s="155" t="inlineStr">
        <is>
          <t>G1522_Extraccion_Articulos_NetSuite_2026-09-30.xlsx: fila 43930</t>
        </is>
      </c>
      <c r="AL503" s="58" t="n"/>
      <c r="AM503" s="58" t="n"/>
      <c r="AN503" s="155" t="n"/>
      <c r="AO503" s="59" t="n"/>
      <c r="AP503" s="59" t="n"/>
      <c r="AQ503" s="59" t="n"/>
      <c r="AR503" s="155" t="n"/>
    </row>
    <row r="504">
      <c r="A504" s="50" t="inlineStr">
        <is>
          <t>5056658712654</t>
        </is>
      </c>
      <c r="B504" s="51" t="inlineStr">
        <is>
          <t>91222</t>
        </is>
      </c>
      <c r="C504" s="156" t="inlineStr">
        <is>
          <t>REFLO</t>
        </is>
      </c>
      <c r="D504" s="156" t="n"/>
      <c r="E504" s="156" t="n"/>
      <c r="F504" s="156" t="n"/>
      <c r="G504" s="156" t="n"/>
      <c r="H504" s="156" t="inlineStr">
        <is>
          <t>REFLO</t>
        </is>
      </c>
      <c r="I504" s="156" t="n"/>
      <c r="J504" s="156" t="n"/>
      <c r="K504" s="156" t="n"/>
      <c r="L504" s="156" t="n"/>
      <c r="M504" s="156" t="n"/>
      <c r="N504" s="156" t="n"/>
      <c r="O504" s="156" t="n"/>
      <c r="P504" s="156" t="n"/>
      <c r="Q504" s="156" t="n"/>
      <c r="R504" s="156" t="n"/>
      <c r="S504" s="156" t="n"/>
      <c r="T504" s="156" t="n"/>
      <c r="U504" s="156" t="n"/>
      <c r="V504" s="156" t="inlineStr">
        <is>
          <t>PZS</t>
        </is>
      </c>
      <c r="W504" s="51" t="inlineStr">
        <is>
          <t>53101802</t>
        </is>
      </c>
      <c r="X504" s="156" t="n"/>
      <c r="Y504" s="54" t="n">
        <v>58.5</v>
      </c>
      <c r="Z504" s="54" t="n">
        <v>4499</v>
      </c>
      <c r="AA504" s="55">
        <f>IF(AND(A504="", B504="", E504=""), "", IF(AB504="", "Válido", IF((LEN(AB504)-LEN(SUBSTITUTE(AB504,"; ","")))/2+1&gt;(LEN(AB504)-LEN(SUBSTITUTE(AB504,"[Aviso]","")))/7, "Con Incidencias", "Válido")))</f>
        <v/>
      </c>
      <c r="AB504" s="56">
        <f>IF(AND(A504="", B504="", E504=""), "", TEXTJOIN("; ", TRUE, IF(OR(TRIM(A504&amp;"")="", ISNUMBER(SEARCH("FALTA", A504))), "UPC faltante/inválido", ""), IF(AND(A504&lt;&gt;"", IFERROR(_xlfn.XMATCH(A504,$A$2:$A$653,0,1)&lt;&gt;_xlfn.XMATCH(A504,$A$2:$A$653,0,-1),FALSE)), "Código de barras duplicado", ""), IF(AND(E504&lt;&gt;"", COUNTIF($E$2:$E$653, E504)&gt;1), "SKU duplicado", ""), IF(OR(J504="", J504=""), "[Aviso] División no capturada ()", IF(ISNA(MATCH(J504, Criterios!$A$123:$A$126, 0)), "División no válida", "")), IF(OR(K504="", K504=""), "[Aviso] Categoría no capturada ()", IF(ISNA(MATCH(K504, Criterios!$A$81:$A$120, 0)), "Categoría no válida", IF(AND(J504&lt;&gt;"", J504&lt;&gt;"", J504&lt;&gt;VLOOKUP(K504, Criterios!$A$81:$B$120, 2, FALSE)), "División no coincide con Categoría", ""))), IF(OR(L504="", L504=""), "[Aviso] Género no capturado ()", IF(ISNA(MATCH(L504, Criterios!$B$123:$B$127, 0)), "Género no válido", "")), IF(OR(N504="", N504=""), "[Aviso] Temporada no capturada ()", IF(ISNA(MATCH(N504, Criterios!$C$123:$C$128, 0)), "Temporada no válida", "")), IF(OR(O504="", O504=""), "[Aviso] Ciclo de vida no capturado ()", IF(ISNA(MATCH(O504, Criterios!$D$123:$D$124, 0)), "Ciclo de vida no válido", ""))))</f>
        <v/>
      </c>
      <c r="AC504" s="56" t="n"/>
      <c r="AD504" s="51" t="n">
        <v>0</v>
      </c>
      <c r="AE504" s="156" t="n"/>
      <c r="AF504" s="51" t="n">
        <v>0</v>
      </c>
      <c r="AG504" s="156" t="inlineStr">
        <is>
          <t>Nuevo – NetSuite sin existencia</t>
        </is>
      </c>
      <c r="AH50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4" s="156" t="inlineStr">
        <is>
          <t>No</t>
        </is>
      </c>
      <c r="AJ504" s="156" t="n"/>
      <c r="AK504" s="155" t="inlineStr">
        <is>
          <t>G1522_Extraccion_Articulos_NetSuite_2026-09-30.xlsx: fila 43931</t>
        </is>
      </c>
      <c r="AL504" s="58" t="n"/>
      <c r="AM504" s="58" t="n"/>
      <c r="AN504" s="155" t="n"/>
      <c r="AO504" s="59" t="n"/>
      <c r="AP504" s="59" t="n"/>
      <c r="AQ504" s="59" t="n"/>
      <c r="AR504" s="155" t="n"/>
    </row>
    <row r="505">
      <c r="A505" s="50" t="inlineStr">
        <is>
          <t>5056658712661</t>
        </is>
      </c>
      <c r="B505" s="51" t="inlineStr">
        <is>
          <t>91223</t>
        </is>
      </c>
      <c r="C505" s="156" t="inlineStr">
        <is>
          <t>REFLO</t>
        </is>
      </c>
      <c r="D505" s="156" t="n"/>
      <c r="E505" s="156" t="n"/>
      <c r="F505" s="156" t="n"/>
      <c r="G505" s="156" t="n"/>
      <c r="H505" s="156" t="inlineStr">
        <is>
          <t>REFLO</t>
        </is>
      </c>
      <c r="I505" s="156" t="n"/>
      <c r="J505" s="156" t="n"/>
      <c r="K505" s="156" t="n"/>
      <c r="L505" s="156" t="n"/>
      <c r="M505" s="156" t="n"/>
      <c r="N505" s="156" t="n"/>
      <c r="O505" s="156" t="n"/>
      <c r="P505" s="156" t="n"/>
      <c r="Q505" s="156" t="n"/>
      <c r="R505" s="156" t="n"/>
      <c r="S505" s="156" t="n"/>
      <c r="T505" s="156" t="n"/>
      <c r="U505" s="156" t="n"/>
      <c r="V505" s="156" t="inlineStr">
        <is>
          <t>PZS</t>
        </is>
      </c>
      <c r="W505" s="51" t="inlineStr">
        <is>
          <t>53101802</t>
        </is>
      </c>
      <c r="X505" s="156" t="n"/>
      <c r="Y505" s="54" t="n">
        <v>58.5</v>
      </c>
      <c r="Z505" s="54" t="n">
        <v>4499</v>
      </c>
      <c r="AA505" s="55">
        <f>IF(AND(A505="", B505="", E505=""), "", IF(AB505="", "Válido", IF((LEN(AB505)-LEN(SUBSTITUTE(AB505,"; ","")))/2+1&gt;(LEN(AB505)-LEN(SUBSTITUTE(AB505,"[Aviso]","")))/7, "Con Incidencias", "Válido")))</f>
        <v/>
      </c>
      <c r="AB505" s="56">
        <f>IF(AND(A505="", B505="", E505=""), "", TEXTJOIN("; ", TRUE, IF(OR(TRIM(A505&amp;"")="", ISNUMBER(SEARCH("FALTA", A505))), "UPC faltante/inválido", ""), IF(AND(A505&lt;&gt;"", IFERROR(_xlfn.XMATCH(A505,$A$2:$A$653,0,1)&lt;&gt;_xlfn.XMATCH(A505,$A$2:$A$653,0,-1),FALSE)), "Código de barras duplicado", ""), IF(AND(E505&lt;&gt;"", COUNTIF($E$2:$E$653, E505)&gt;1), "SKU duplicado", ""), IF(OR(J505="", J505=""), "[Aviso] División no capturada ()", IF(ISNA(MATCH(J505, Criterios!$A$123:$A$126, 0)), "División no válida", "")), IF(OR(K505="", K505=""), "[Aviso] Categoría no capturada ()", IF(ISNA(MATCH(K505, Criterios!$A$81:$A$120, 0)), "Categoría no válida", IF(AND(J505&lt;&gt;"", J505&lt;&gt;"", J505&lt;&gt;VLOOKUP(K505, Criterios!$A$81:$B$120, 2, FALSE)), "División no coincide con Categoría", ""))), IF(OR(L505="", L505=""), "[Aviso] Género no capturado ()", IF(ISNA(MATCH(L505, Criterios!$B$123:$B$127, 0)), "Género no válido", "")), IF(OR(N505="", N505=""), "[Aviso] Temporada no capturada ()", IF(ISNA(MATCH(N505, Criterios!$C$123:$C$128, 0)), "Temporada no válida", "")), IF(OR(O505="", O505=""), "[Aviso] Ciclo de vida no capturado ()", IF(ISNA(MATCH(O505, Criterios!$D$123:$D$124, 0)), "Ciclo de vida no válido", ""))))</f>
        <v/>
      </c>
      <c r="AC505" s="56" t="n"/>
      <c r="AD505" s="51" t="n">
        <v>0</v>
      </c>
      <c r="AE505" s="156" t="n"/>
      <c r="AF505" s="51" t="n">
        <v>0</v>
      </c>
      <c r="AG505" s="156" t="inlineStr">
        <is>
          <t>Nuevo – NetSuite sin existencia</t>
        </is>
      </c>
      <c r="AH50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5" s="156" t="inlineStr">
        <is>
          <t>No</t>
        </is>
      </c>
      <c r="AJ505" s="156" t="n"/>
      <c r="AK505" s="155" t="inlineStr">
        <is>
          <t>G1522_Extraccion_Articulos_NetSuite_2026-09-30.xlsx: fila 43932</t>
        </is>
      </c>
      <c r="AL505" s="58" t="n"/>
      <c r="AM505" s="58" t="n"/>
      <c r="AN505" s="155" t="n"/>
      <c r="AO505" s="59" t="n"/>
      <c r="AP505" s="59" t="n"/>
      <c r="AQ505" s="59" t="n"/>
      <c r="AR505" s="155" t="n"/>
    </row>
    <row r="506">
      <c r="A506" s="50" t="inlineStr">
        <is>
          <t>5056658712678</t>
        </is>
      </c>
      <c r="B506" s="51" t="inlineStr">
        <is>
          <t>91224</t>
        </is>
      </c>
      <c r="C506" s="156" t="inlineStr">
        <is>
          <t>REFLO</t>
        </is>
      </c>
      <c r="D506" s="156" t="n"/>
      <c r="E506" s="156" t="n"/>
      <c r="F506" s="156" t="n"/>
      <c r="G506" s="156" t="n"/>
      <c r="H506" s="156" t="inlineStr">
        <is>
          <t>REFLO</t>
        </is>
      </c>
      <c r="I506" s="156" t="n"/>
      <c r="J506" s="156" t="n"/>
      <c r="K506" s="156" t="n"/>
      <c r="L506" s="156" t="n"/>
      <c r="M506" s="156" t="n"/>
      <c r="N506" s="156" t="n"/>
      <c r="O506" s="156" t="n"/>
      <c r="P506" s="156" t="n"/>
      <c r="Q506" s="156" t="n"/>
      <c r="R506" s="156" t="n"/>
      <c r="S506" s="156" t="n"/>
      <c r="T506" s="156" t="n"/>
      <c r="U506" s="156" t="n"/>
      <c r="V506" s="156" t="inlineStr">
        <is>
          <t>PZS</t>
        </is>
      </c>
      <c r="W506" s="51" t="inlineStr">
        <is>
          <t>53101802</t>
        </is>
      </c>
      <c r="X506" s="156" t="n"/>
      <c r="Y506" s="54" t="n">
        <v>58.5</v>
      </c>
      <c r="Z506" s="54" t="n">
        <v>4499</v>
      </c>
      <c r="AA506" s="55">
        <f>IF(AND(A506="", B506="", E506=""), "", IF(AB506="", "Válido", IF((LEN(AB506)-LEN(SUBSTITUTE(AB506,"; ","")))/2+1&gt;(LEN(AB506)-LEN(SUBSTITUTE(AB506,"[Aviso]","")))/7, "Con Incidencias", "Válido")))</f>
        <v/>
      </c>
      <c r="AB506" s="56">
        <f>IF(AND(A506="", B506="", E506=""), "", TEXTJOIN("; ", TRUE, IF(OR(TRIM(A506&amp;"")="", ISNUMBER(SEARCH("FALTA", A506))), "UPC faltante/inválido", ""), IF(AND(A506&lt;&gt;"", IFERROR(_xlfn.XMATCH(A506,$A$2:$A$653,0,1)&lt;&gt;_xlfn.XMATCH(A506,$A$2:$A$653,0,-1),FALSE)), "Código de barras duplicado", ""), IF(AND(E506&lt;&gt;"", COUNTIF($E$2:$E$653, E506)&gt;1), "SKU duplicado", ""), IF(OR(J506="", J506=""), "[Aviso] División no capturada ()", IF(ISNA(MATCH(J506, Criterios!$A$123:$A$126, 0)), "División no válida", "")), IF(OR(K506="", K506=""), "[Aviso] Categoría no capturada ()", IF(ISNA(MATCH(K506, Criterios!$A$81:$A$120, 0)), "Categoría no válida", IF(AND(J506&lt;&gt;"", J506&lt;&gt;"", J506&lt;&gt;VLOOKUP(K506, Criterios!$A$81:$B$120, 2, FALSE)), "División no coincide con Categoría", ""))), IF(OR(L506="", L506=""), "[Aviso] Género no capturado ()", IF(ISNA(MATCH(L506, Criterios!$B$123:$B$127, 0)), "Género no válido", "")), IF(OR(N506="", N506=""), "[Aviso] Temporada no capturada ()", IF(ISNA(MATCH(N506, Criterios!$C$123:$C$128, 0)), "Temporada no válida", "")), IF(OR(O506="", O506=""), "[Aviso] Ciclo de vida no capturado ()", IF(ISNA(MATCH(O506, Criterios!$D$123:$D$124, 0)), "Ciclo de vida no válido", ""))))</f>
        <v/>
      </c>
      <c r="AC506" s="56" t="n"/>
      <c r="AD506" s="51" t="n">
        <v>2</v>
      </c>
      <c r="AE506" s="156" t="n"/>
      <c r="AF506" s="51" t="n">
        <v>2</v>
      </c>
      <c r="AG506" s="156" t="inlineStr">
        <is>
          <t>Nuevo – NetSuite con existencia</t>
        </is>
      </c>
      <c r="AH50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6" s="156" t="inlineStr">
        <is>
          <t>No</t>
        </is>
      </c>
      <c r="AJ506" s="156" t="n"/>
      <c r="AK506" s="155" t="inlineStr">
        <is>
          <t>G1522_Extraccion_Articulos_NetSuite_2026-09-30.xlsx: fila 43933</t>
        </is>
      </c>
      <c r="AL506" s="58" t="n"/>
      <c r="AM506" s="58" t="n"/>
      <c r="AN506" s="155" t="n"/>
      <c r="AO506" s="59" t="n"/>
      <c r="AP506" s="59" t="n"/>
      <c r="AQ506" s="59" t="n"/>
      <c r="AR506" s="155" t="n"/>
    </row>
    <row r="507">
      <c r="A507" s="50" t="inlineStr">
        <is>
          <t>5056658712685</t>
        </is>
      </c>
      <c r="B507" s="51" t="inlineStr">
        <is>
          <t>91225</t>
        </is>
      </c>
      <c r="C507" s="156" t="inlineStr">
        <is>
          <t>REFLO</t>
        </is>
      </c>
      <c r="D507" s="156" t="n"/>
      <c r="E507" s="156" t="n"/>
      <c r="F507" s="156" t="n"/>
      <c r="G507" s="156" t="n"/>
      <c r="H507" s="156" t="inlineStr">
        <is>
          <t>REFLO</t>
        </is>
      </c>
      <c r="I507" s="156" t="n"/>
      <c r="J507" s="156" t="n"/>
      <c r="K507" s="156" t="n"/>
      <c r="L507" s="156" t="n"/>
      <c r="M507" s="156" t="n"/>
      <c r="N507" s="156" t="n"/>
      <c r="O507" s="156" t="n"/>
      <c r="P507" s="156" t="n"/>
      <c r="Q507" s="156" t="n"/>
      <c r="R507" s="156" t="n"/>
      <c r="S507" s="156" t="n"/>
      <c r="T507" s="156" t="n"/>
      <c r="U507" s="156" t="n"/>
      <c r="V507" s="156" t="inlineStr">
        <is>
          <t>PZS</t>
        </is>
      </c>
      <c r="W507" s="51" t="inlineStr">
        <is>
          <t>53101802</t>
        </is>
      </c>
      <c r="X507" s="156" t="n"/>
      <c r="Y507" s="54" t="n">
        <v>58.5</v>
      </c>
      <c r="Z507" s="54" t="n">
        <v>4499</v>
      </c>
      <c r="AA507" s="55">
        <f>IF(AND(A507="", B507="", E507=""), "", IF(AB507="", "Válido", IF((LEN(AB507)-LEN(SUBSTITUTE(AB507,"; ","")))/2+1&gt;(LEN(AB507)-LEN(SUBSTITUTE(AB507,"[Aviso]","")))/7, "Con Incidencias", "Válido")))</f>
        <v/>
      </c>
      <c r="AB507" s="56">
        <f>IF(AND(A507="", B507="", E507=""), "", TEXTJOIN("; ", TRUE, IF(OR(TRIM(A507&amp;"")="", ISNUMBER(SEARCH("FALTA", A507))), "UPC faltante/inválido", ""), IF(AND(A507&lt;&gt;"", IFERROR(_xlfn.XMATCH(A507,$A$2:$A$653,0,1)&lt;&gt;_xlfn.XMATCH(A507,$A$2:$A$653,0,-1),FALSE)), "Código de barras duplicado", ""), IF(AND(E507&lt;&gt;"", COUNTIF($E$2:$E$653, E507)&gt;1), "SKU duplicado", ""), IF(OR(J507="", J507=""), "[Aviso] División no capturada ()", IF(ISNA(MATCH(J507, Criterios!$A$123:$A$126, 0)), "División no válida", "")), IF(OR(K507="", K507=""), "[Aviso] Categoría no capturada ()", IF(ISNA(MATCH(K507, Criterios!$A$81:$A$120, 0)), "Categoría no válida", IF(AND(J507&lt;&gt;"", J507&lt;&gt;"", J507&lt;&gt;VLOOKUP(K507, Criterios!$A$81:$B$120, 2, FALSE)), "División no coincide con Categoría", ""))), IF(OR(L507="", L507=""), "[Aviso] Género no capturado ()", IF(ISNA(MATCH(L507, Criterios!$B$123:$B$127, 0)), "Género no válido", "")), IF(OR(N507="", N507=""), "[Aviso] Temporada no capturada ()", IF(ISNA(MATCH(N507, Criterios!$C$123:$C$128, 0)), "Temporada no válida", "")), IF(OR(O507="", O507=""), "[Aviso] Ciclo de vida no capturado ()", IF(ISNA(MATCH(O507, Criterios!$D$123:$D$124, 0)), "Ciclo de vida no válido", ""))))</f>
        <v/>
      </c>
      <c r="AC507" s="56" t="n"/>
      <c r="AD507" s="51" t="n">
        <v>2</v>
      </c>
      <c r="AE507" s="156" t="n"/>
      <c r="AF507" s="51" t="n">
        <v>2</v>
      </c>
      <c r="AG507" s="156" t="inlineStr">
        <is>
          <t>Nuevo – NetSuite con existencia</t>
        </is>
      </c>
      <c r="AH50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7" s="156" t="inlineStr">
        <is>
          <t>No</t>
        </is>
      </c>
      <c r="AJ507" s="156" t="n"/>
      <c r="AK507" s="155" t="inlineStr">
        <is>
          <t>G1522_Extraccion_Articulos_NetSuite_2026-09-30.xlsx: fila 43934</t>
        </is>
      </c>
      <c r="AL507" s="58" t="n"/>
      <c r="AM507" s="58" t="n"/>
      <c r="AN507" s="155" t="n"/>
      <c r="AO507" s="59" t="n"/>
      <c r="AP507" s="59" t="n"/>
      <c r="AQ507" s="59" t="n"/>
      <c r="AR507" s="155" t="n"/>
    </row>
    <row r="508">
      <c r="A508" s="50" t="inlineStr">
        <is>
          <t>5056658713095</t>
        </is>
      </c>
      <c r="B508" s="51" t="inlineStr">
        <is>
          <t>91226</t>
        </is>
      </c>
      <c r="C508" s="156" t="inlineStr">
        <is>
          <t>REFLO</t>
        </is>
      </c>
      <c r="D508" s="156" t="n"/>
      <c r="E508" s="156" t="n"/>
      <c r="F508" s="156" t="n"/>
      <c r="G508" s="156" t="n"/>
      <c r="H508" s="156" t="inlineStr">
        <is>
          <t>REFLO</t>
        </is>
      </c>
      <c r="I508" s="156" t="n"/>
      <c r="J508" s="156" t="n"/>
      <c r="K508" s="156" t="n"/>
      <c r="L508" s="156" t="n"/>
      <c r="M508" s="156" t="n"/>
      <c r="N508" s="156" t="n"/>
      <c r="O508" s="156" t="n"/>
      <c r="P508" s="156" t="n"/>
      <c r="Q508" s="156" t="n"/>
      <c r="R508" s="156" t="n"/>
      <c r="S508" s="156" t="n"/>
      <c r="T508" s="156" t="n"/>
      <c r="U508" s="156" t="n"/>
      <c r="V508" s="156" t="inlineStr">
        <is>
          <t>PZS</t>
        </is>
      </c>
      <c r="W508" s="51" t="inlineStr">
        <is>
          <t>53101802</t>
        </is>
      </c>
      <c r="X508" s="156" t="n"/>
      <c r="Y508" s="54" t="n">
        <v>58.5</v>
      </c>
      <c r="Z508" s="54" t="n">
        <v>4499</v>
      </c>
      <c r="AA508" s="55">
        <f>IF(AND(A508="", B508="", E508=""), "", IF(AB508="", "Válido", IF((LEN(AB508)-LEN(SUBSTITUTE(AB508,"; ","")))/2+1&gt;(LEN(AB508)-LEN(SUBSTITUTE(AB508,"[Aviso]","")))/7, "Con Incidencias", "Válido")))</f>
        <v/>
      </c>
      <c r="AB508" s="56">
        <f>IF(AND(A508="", B508="", E508=""), "", TEXTJOIN("; ", TRUE, IF(OR(TRIM(A508&amp;"")="", ISNUMBER(SEARCH("FALTA", A508))), "UPC faltante/inválido", ""), IF(AND(A508&lt;&gt;"", IFERROR(_xlfn.XMATCH(A508,$A$2:$A$653,0,1)&lt;&gt;_xlfn.XMATCH(A508,$A$2:$A$653,0,-1),FALSE)), "Código de barras duplicado", ""), IF(AND(E508&lt;&gt;"", COUNTIF($E$2:$E$653, E508)&gt;1), "SKU duplicado", ""), IF(OR(J508="", J508=""), "[Aviso] División no capturada ()", IF(ISNA(MATCH(J508, Criterios!$A$123:$A$126, 0)), "División no válida", "")), IF(OR(K508="", K508=""), "[Aviso] Categoría no capturada ()", IF(ISNA(MATCH(K508, Criterios!$A$81:$A$120, 0)), "Categoría no válida", IF(AND(J508&lt;&gt;"", J508&lt;&gt;"", J508&lt;&gt;VLOOKUP(K508, Criterios!$A$81:$B$120, 2, FALSE)), "División no coincide con Categoría", ""))), IF(OR(L508="", L508=""), "[Aviso] Género no capturado ()", IF(ISNA(MATCH(L508, Criterios!$B$123:$B$127, 0)), "Género no válido", "")), IF(OR(N508="", N508=""), "[Aviso] Temporada no capturada ()", IF(ISNA(MATCH(N508, Criterios!$C$123:$C$128, 0)), "Temporada no válida", "")), IF(OR(O508="", O508=""), "[Aviso] Ciclo de vida no capturado ()", IF(ISNA(MATCH(O508, Criterios!$D$123:$D$124, 0)), "Ciclo de vida no válido", ""))))</f>
        <v/>
      </c>
      <c r="AC508" s="56" t="n"/>
      <c r="AD508" s="51" t="n">
        <v>0</v>
      </c>
      <c r="AE508" s="156" t="n"/>
      <c r="AF508" s="51" t="n">
        <v>0</v>
      </c>
      <c r="AG508" s="156" t="inlineStr">
        <is>
          <t>Nuevo – NetSuite sin existencia</t>
        </is>
      </c>
      <c r="AH50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8" s="156" t="inlineStr">
        <is>
          <t>No</t>
        </is>
      </c>
      <c r="AJ508" s="156" t="n"/>
      <c r="AK508" s="155" t="inlineStr">
        <is>
          <t>G1522_Extraccion_Articulos_NetSuite_2026-09-30.xlsx: fila 43935</t>
        </is>
      </c>
      <c r="AL508" s="58" t="n"/>
      <c r="AM508" s="58" t="n"/>
      <c r="AN508" s="155" t="n"/>
      <c r="AO508" s="59" t="n"/>
      <c r="AP508" s="59" t="n"/>
      <c r="AQ508" s="59" t="n"/>
      <c r="AR508" s="155" t="n"/>
    </row>
    <row r="509">
      <c r="A509" s="50" t="inlineStr">
        <is>
          <t>5056658713101</t>
        </is>
      </c>
      <c r="B509" s="51" t="inlineStr">
        <is>
          <t>91227</t>
        </is>
      </c>
      <c r="C509" s="156" t="inlineStr">
        <is>
          <t>REFLO</t>
        </is>
      </c>
      <c r="D509" s="156" t="n"/>
      <c r="E509" s="156" t="n"/>
      <c r="F509" s="156" t="n"/>
      <c r="G509" s="156" t="n"/>
      <c r="H509" s="156" t="inlineStr">
        <is>
          <t>REFLO</t>
        </is>
      </c>
      <c r="I509" s="156" t="n"/>
      <c r="J509" s="156" t="n"/>
      <c r="K509" s="156" t="n"/>
      <c r="L509" s="156" t="n"/>
      <c r="M509" s="156" t="n"/>
      <c r="N509" s="156" t="n"/>
      <c r="O509" s="156" t="n"/>
      <c r="P509" s="156" t="n"/>
      <c r="Q509" s="156" t="n"/>
      <c r="R509" s="156" t="n"/>
      <c r="S509" s="156" t="n"/>
      <c r="T509" s="156" t="n"/>
      <c r="U509" s="156" t="n"/>
      <c r="V509" s="156" t="inlineStr">
        <is>
          <t>PZS</t>
        </is>
      </c>
      <c r="W509" s="51" t="inlineStr">
        <is>
          <t>53101802</t>
        </is>
      </c>
      <c r="X509" s="156" t="n"/>
      <c r="Y509" s="54" t="n">
        <v>58.5</v>
      </c>
      <c r="Z509" s="54" t="n">
        <v>4499</v>
      </c>
      <c r="AA509" s="55">
        <f>IF(AND(A509="", B509="", E509=""), "", IF(AB509="", "Válido", IF((LEN(AB509)-LEN(SUBSTITUTE(AB509,"; ","")))/2+1&gt;(LEN(AB509)-LEN(SUBSTITUTE(AB509,"[Aviso]","")))/7, "Con Incidencias", "Válido")))</f>
        <v/>
      </c>
      <c r="AB509" s="56">
        <f>IF(AND(A509="", B509="", E509=""), "", TEXTJOIN("; ", TRUE, IF(OR(TRIM(A509&amp;"")="", ISNUMBER(SEARCH("FALTA", A509))), "UPC faltante/inválido", ""), IF(AND(A509&lt;&gt;"", IFERROR(_xlfn.XMATCH(A509,$A$2:$A$653,0,1)&lt;&gt;_xlfn.XMATCH(A509,$A$2:$A$653,0,-1),FALSE)), "Código de barras duplicado", ""), IF(AND(E509&lt;&gt;"", COUNTIF($E$2:$E$653, E509)&gt;1), "SKU duplicado", ""), IF(OR(J509="", J509=""), "[Aviso] División no capturada ()", IF(ISNA(MATCH(J509, Criterios!$A$123:$A$126, 0)), "División no válida", "")), IF(OR(K509="", K509=""), "[Aviso] Categoría no capturada ()", IF(ISNA(MATCH(K509, Criterios!$A$81:$A$120, 0)), "Categoría no válida", IF(AND(J509&lt;&gt;"", J509&lt;&gt;"", J509&lt;&gt;VLOOKUP(K509, Criterios!$A$81:$B$120, 2, FALSE)), "División no coincide con Categoría", ""))), IF(OR(L509="", L509=""), "[Aviso] Género no capturado ()", IF(ISNA(MATCH(L509, Criterios!$B$123:$B$127, 0)), "Género no válido", "")), IF(OR(N509="", N509=""), "[Aviso] Temporada no capturada ()", IF(ISNA(MATCH(N509, Criterios!$C$123:$C$128, 0)), "Temporada no válida", "")), IF(OR(O509="", O509=""), "[Aviso] Ciclo de vida no capturado ()", IF(ISNA(MATCH(O509, Criterios!$D$123:$D$124, 0)), "Ciclo de vida no válido", ""))))</f>
        <v/>
      </c>
      <c r="AC509" s="56" t="n"/>
      <c r="AD509" s="51" t="n">
        <v>0</v>
      </c>
      <c r="AE509" s="156" t="n"/>
      <c r="AF509" s="51" t="n">
        <v>0</v>
      </c>
      <c r="AG509" s="156" t="inlineStr">
        <is>
          <t>Nuevo – NetSuite sin existencia</t>
        </is>
      </c>
      <c r="AH50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9" s="156" t="inlineStr">
        <is>
          <t>No</t>
        </is>
      </c>
      <c r="AJ509" s="156" t="n"/>
      <c r="AK509" s="155" t="inlineStr">
        <is>
          <t>G1522_Extraccion_Articulos_NetSuite_2026-09-30.xlsx: fila 43936</t>
        </is>
      </c>
      <c r="AL509" s="58" t="n"/>
      <c r="AM509" s="58" t="n"/>
      <c r="AN509" s="155" t="n"/>
      <c r="AO509" s="59" t="n"/>
      <c r="AP509" s="59" t="n"/>
      <c r="AQ509" s="59" t="n"/>
      <c r="AR509" s="155" t="n"/>
    </row>
    <row r="510">
      <c r="A510" s="50" t="inlineStr">
        <is>
          <t>5056658713118</t>
        </is>
      </c>
      <c r="B510" s="51" t="inlineStr">
        <is>
          <t>91228</t>
        </is>
      </c>
      <c r="C510" s="156" t="inlineStr">
        <is>
          <t>REFLO</t>
        </is>
      </c>
      <c r="D510" s="156" t="n"/>
      <c r="E510" s="156" t="n"/>
      <c r="F510" s="156" t="n"/>
      <c r="G510" s="156" t="n"/>
      <c r="H510" s="156" t="inlineStr">
        <is>
          <t>REFLO</t>
        </is>
      </c>
      <c r="I510" s="156" t="n"/>
      <c r="J510" s="156" t="n"/>
      <c r="K510" s="156" t="n"/>
      <c r="L510" s="156" t="n"/>
      <c r="M510" s="156" t="n"/>
      <c r="N510" s="156" t="n"/>
      <c r="O510" s="156" t="n"/>
      <c r="P510" s="156" t="n"/>
      <c r="Q510" s="156" t="n"/>
      <c r="R510" s="156" t="n"/>
      <c r="S510" s="156" t="n"/>
      <c r="T510" s="156" t="n"/>
      <c r="U510" s="156" t="n"/>
      <c r="V510" s="156" t="inlineStr">
        <is>
          <t>PZS</t>
        </is>
      </c>
      <c r="W510" s="51" t="inlineStr">
        <is>
          <t>53101802</t>
        </is>
      </c>
      <c r="X510" s="156" t="n"/>
      <c r="Y510" s="54" t="n">
        <v>58.5</v>
      </c>
      <c r="Z510" s="54" t="n">
        <v>4499</v>
      </c>
      <c r="AA510" s="55">
        <f>IF(AND(A510="", B510="", E510=""), "", IF(AB510="", "Válido", IF((LEN(AB510)-LEN(SUBSTITUTE(AB510,"; ","")))/2+1&gt;(LEN(AB510)-LEN(SUBSTITUTE(AB510,"[Aviso]","")))/7, "Con Incidencias", "Válido")))</f>
        <v/>
      </c>
      <c r="AB510" s="56">
        <f>IF(AND(A510="", B510="", E510=""), "", TEXTJOIN("; ", TRUE, IF(OR(TRIM(A510&amp;"")="", ISNUMBER(SEARCH("FALTA", A510))), "UPC faltante/inválido", ""), IF(AND(A510&lt;&gt;"", IFERROR(_xlfn.XMATCH(A510,$A$2:$A$653,0,1)&lt;&gt;_xlfn.XMATCH(A510,$A$2:$A$653,0,-1),FALSE)), "Código de barras duplicado", ""), IF(AND(E510&lt;&gt;"", COUNTIF($E$2:$E$653, E510)&gt;1), "SKU duplicado", ""), IF(OR(J510="", J510=""), "[Aviso] División no capturada ()", IF(ISNA(MATCH(J510, Criterios!$A$123:$A$126, 0)), "División no válida", "")), IF(OR(K510="", K510=""), "[Aviso] Categoría no capturada ()", IF(ISNA(MATCH(K510, Criterios!$A$81:$A$120, 0)), "Categoría no válida", IF(AND(J510&lt;&gt;"", J510&lt;&gt;"", J510&lt;&gt;VLOOKUP(K510, Criterios!$A$81:$B$120, 2, FALSE)), "División no coincide con Categoría", ""))), IF(OR(L510="", L510=""), "[Aviso] Género no capturado ()", IF(ISNA(MATCH(L510, Criterios!$B$123:$B$127, 0)), "Género no válido", "")), IF(OR(N510="", N510=""), "[Aviso] Temporada no capturada ()", IF(ISNA(MATCH(N510, Criterios!$C$123:$C$128, 0)), "Temporada no válida", "")), IF(OR(O510="", O510=""), "[Aviso] Ciclo de vida no capturado ()", IF(ISNA(MATCH(O510, Criterios!$D$123:$D$124, 0)), "Ciclo de vida no válido", ""))))</f>
        <v/>
      </c>
      <c r="AC510" s="56" t="n"/>
      <c r="AD510" s="51" t="n">
        <v>1</v>
      </c>
      <c r="AE510" s="156" t="n"/>
      <c r="AF510" s="51" t="n">
        <v>1</v>
      </c>
      <c r="AG510" s="156" t="inlineStr">
        <is>
          <t>Nuevo – NetSuite con existencia</t>
        </is>
      </c>
      <c r="AH51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0" s="156" t="inlineStr">
        <is>
          <t>No</t>
        </is>
      </c>
      <c r="AJ510" s="156" t="n"/>
      <c r="AK510" s="155" t="inlineStr">
        <is>
          <t>G1522_Extraccion_Articulos_NetSuite_2026-09-30.xlsx: fila 43937</t>
        </is>
      </c>
      <c r="AL510" s="58" t="n"/>
      <c r="AM510" s="58" t="n"/>
      <c r="AN510" s="155" t="n"/>
      <c r="AO510" s="59" t="n"/>
      <c r="AP510" s="59" t="n"/>
      <c r="AQ510" s="59" t="n"/>
      <c r="AR510" s="155" t="n"/>
    </row>
    <row r="511">
      <c r="A511" s="50" t="inlineStr">
        <is>
          <t>5056658713125</t>
        </is>
      </c>
      <c r="B511" s="51" t="inlineStr">
        <is>
          <t>91229</t>
        </is>
      </c>
      <c r="C511" s="156" t="inlineStr">
        <is>
          <t>REFLO</t>
        </is>
      </c>
      <c r="D511" s="156" t="n"/>
      <c r="E511" s="156" t="n"/>
      <c r="F511" s="156" t="n"/>
      <c r="G511" s="156" t="n"/>
      <c r="H511" s="156" t="inlineStr">
        <is>
          <t>REFLO</t>
        </is>
      </c>
      <c r="I511" s="156" t="n"/>
      <c r="J511" s="156" t="n"/>
      <c r="K511" s="156" t="n"/>
      <c r="L511" s="156" t="n"/>
      <c r="M511" s="156" t="n"/>
      <c r="N511" s="156" t="n"/>
      <c r="O511" s="156" t="n"/>
      <c r="P511" s="156" t="n"/>
      <c r="Q511" s="156" t="n"/>
      <c r="R511" s="156" t="n"/>
      <c r="S511" s="156" t="n"/>
      <c r="T511" s="156" t="n"/>
      <c r="U511" s="156" t="n"/>
      <c r="V511" s="156" t="inlineStr">
        <is>
          <t>PZS</t>
        </is>
      </c>
      <c r="W511" s="51" t="inlineStr">
        <is>
          <t>53101802</t>
        </is>
      </c>
      <c r="X511" s="156" t="n"/>
      <c r="Y511" s="54" t="n">
        <v>58.5</v>
      </c>
      <c r="Z511" s="54" t="n">
        <v>4499</v>
      </c>
      <c r="AA511" s="55">
        <f>IF(AND(A511="", B511="", E511=""), "", IF(AB511="", "Válido", IF((LEN(AB511)-LEN(SUBSTITUTE(AB511,"; ","")))/2+1&gt;(LEN(AB511)-LEN(SUBSTITUTE(AB511,"[Aviso]","")))/7, "Con Incidencias", "Válido")))</f>
        <v/>
      </c>
      <c r="AB511" s="56">
        <f>IF(AND(A511="", B511="", E511=""), "", TEXTJOIN("; ", TRUE, IF(OR(TRIM(A511&amp;"")="", ISNUMBER(SEARCH("FALTA", A511))), "UPC faltante/inválido", ""), IF(AND(A511&lt;&gt;"", IFERROR(_xlfn.XMATCH(A511,$A$2:$A$653,0,1)&lt;&gt;_xlfn.XMATCH(A511,$A$2:$A$653,0,-1),FALSE)), "Código de barras duplicado", ""), IF(AND(E511&lt;&gt;"", COUNTIF($E$2:$E$653, E511)&gt;1), "SKU duplicado", ""), IF(OR(J511="", J511=""), "[Aviso] División no capturada ()", IF(ISNA(MATCH(J511, Criterios!$A$123:$A$126, 0)), "División no válida", "")), IF(OR(K511="", K511=""), "[Aviso] Categoría no capturada ()", IF(ISNA(MATCH(K511, Criterios!$A$81:$A$120, 0)), "Categoría no válida", IF(AND(J511&lt;&gt;"", J511&lt;&gt;"", J511&lt;&gt;VLOOKUP(K511, Criterios!$A$81:$B$120, 2, FALSE)), "División no coincide con Categoría", ""))), IF(OR(L511="", L511=""), "[Aviso] Género no capturado ()", IF(ISNA(MATCH(L511, Criterios!$B$123:$B$127, 0)), "Género no válido", "")), IF(OR(N511="", N511=""), "[Aviso] Temporada no capturada ()", IF(ISNA(MATCH(N511, Criterios!$C$123:$C$128, 0)), "Temporada no válida", "")), IF(OR(O511="", O511=""), "[Aviso] Ciclo de vida no capturado ()", IF(ISNA(MATCH(O511, Criterios!$D$123:$D$124, 0)), "Ciclo de vida no válido", ""))))</f>
        <v/>
      </c>
      <c r="AC511" s="56" t="n"/>
      <c r="AD511" s="51" t="n">
        <v>2</v>
      </c>
      <c r="AE511" s="156" t="n"/>
      <c r="AF511" s="51" t="n">
        <v>2</v>
      </c>
      <c r="AG511" s="156" t="inlineStr">
        <is>
          <t>Nuevo – NetSuite con existencia</t>
        </is>
      </c>
      <c r="AH51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1" s="156" t="inlineStr">
        <is>
          <t>No</t>
        </is>
      </c>
      <c r="AJ511" s="156" t="n"/>
      <c r="AK511" s="155" t="inlineStr">
        <is>
          <t>G1522_Extraccion_Articulos_NetSuite_2026-09-30.xlsx: fila 43938</t>
        </is>
      </c>
      <c r="AL511" s="58" t="n"/>
      <c r="AM511" s="58" t="n"/>
      <c r="AN511" s="155" t="n"/>
      <c r="AO511" s="59" t="n"/>
      <c r="AP511" s="59" t="n"/>
      <c r="AQ511" s="59" t="n"/>
      <c r="AR511" s="155" t="n"/>
    </row>
    <row r="512">
      <c r="A512" s="50" t="inlineStr">
        <is>
          <t>5056658711022</t>
        </is>
      </c>
      <c r="B512" s="51" t="inlineStr">
        <is>
          <t>91231</t>
        </is>
      </c>
      <c r="C512" s="156" t="inlineStr">
        <is>
          <t>REFLO</t>
        </is>
      </c>
      <c r="D512" s="156" t="n"/>
      <c r="E512" s="156" t="n"/>
      <c r="F512" s="156" t="n"/>
      <c r="G512" s="156" t="n"/>
      <c r="H512" s="156" t="inlineStr">
        <is>
          <t>REFLO</t>
        </is>
      </c>
      <c r="I512" s="156" t="n"/>
      <c r="J512" s="156" t="n"/>
      <c r="K512" s="156" t="n"/>
      <c r="L512" s="156" t="n"/>
      <c r="M512" s="156" t="n"/>
      <c r="N512" s="156" t="n"/>
      <c r="O512" s="156" t="n"/>
      <c r="P512" s="156" t="n"/>
      <c r="Q512" s="156" t="n"/>
      <c r="R512" s="156" t="n"/>
      <c r="S512" s="156" t="n"/>
      <c r="T512" s="156" t="n"/>
      <c r="U512" s="156" t="n"/>
      <c r="V512" s="156" t="inlineStr">
        <is>
          <t>PZS</t>
        </is>
      </c>
      <c r="W512" s="51" t="inlineStr">
        <is>
          <t>53101702</t>
        </is>
      </c>
      <c r="X512" s="156" t="n"/>
      <c r="Y512" s="54" t="n">
        <v>43.55</v>
      </c>
      <c r="Z512" s="54" t="n">
        <v>3149</v>
      </c>
      <c r="AA512" s="55">
        <f>IF(AND(A512="", B512="", E512=""), "", IF(AB512="", "Válido", IF((LEN(AB512)-LEN(SUBSTITUTE(AB512,"; ","")))/2+1&gt;(LEN(AB512)-LEN(SUBSTITUTE(AB512,"[Aviso]","")))/7, "Con Incidencias", "Válido")))</f>
        <v/>
      </c>
      <c r="AB512" s="56">
        <f>IF(AND(A512="", B512="", E512=""), "", TEXTJOIN("; ", TRUE, IF(OR(TRIM(A512&amp;"")="", ISNUMBER(SEARCH("FALTA", A512))), "UPC faltante/inválido", ""), IF(AND(A512&lt;&gt;"", IFERROR(_xlfn.XMATCH(A512,$A$2:$A$653,0,1)&lt;&gt;_xlfn.XMATCH(A512,$A$2:$A$653,0,-1),FALSE)), "Código de barras duplicado", ""), IF(AND(E512&lt;&gt;"", COUNTIF($E$2:$E$653, E512)&gt;1), "SKU duplicado", ""), IF(OR(J512="", J512=""), "[Aviso] División no capturada ()", IF(ISNA(MATCH(J512, Criterios!$A$123:$A$126, 0)), "División no válida", "")), IF(OR(K512="", K512=""), "[Aviso] Categoría no capturada ()", IF(ISNA(MATCH(K512, Criterios!$A$81:$A$120, 0)), "Categoría no válida", IF(AND(J512&lt;&gt;"", J512&lt;&gt;"", J512&lt;&gt;VLOOKUP(K512, Criterios!$A$81:$B$120, 2, FALSE)), "División no coincide con Categoría", ""))), IF(OR(L512="", L512=""), "[Aviso] Género no capturado ()", IF(ISNA(MATCH(L512, Criterios!$B$123:$B$127, 0)), "Género no válido", "")), IF(OR(N512="", N512=""), "[Aviso] Temporada no capturada ()", IF(ISNA(MATCH(N512, Criterios!$C$123:$C$128, 0)), "Temporada no válida", "")), IF(OR(O512="", O512=""), "[Aviso] Ciclo de vida no capturado ()", IF(ISNA(MATCH(O512, Criterios!$D$123:$D$124, 0)), "Ciclo de vida no válido", ""))))</f>
        <v/>
      </c>
      <c r="AC512" s="56" t="n"/>
      <c r="AD512" s="51" t="n">
        <v>0</v>
      </c>
      <c r="AE512" s="156" t="n"/>
      <c r="AF512" s="51" t="n">
        <v>0</v>
      </c>
      <c r="AG512" s="156" t="inlineStr">
        <is>
          <t>Nuevo – NetSuite sin existencia</t>
        </is>
      </c>
      <c r="AH51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2" s="156" t="inlineStr">
        <is>
          <t>No</t>
        </is>
      </c>
      <c r="AJ512" s="156" t="n"/>
      <c r="AK512" s="155" t="inlineStr">
        <is>
          <t>G1522_Extraccion_Articulos_NetSuite_2026-09-30.xlsx: fila 43939</t>
        </is>
      </c>
      <c r="AL512" s="58" t="n"/>
      <c r="AM512" s="58" t="n"/>
      <c r="AN512" s="155" t="n"/>
      <c r="AO512" s="59" t="n"/>
      <c r="AP512" s="59" t="n"/>
      <c r="AQ512" s="59" t="n"/>
      <c r="AR512" s="155" t="n"/>
    </row>
    <row r="513">
      <c r="A513" s="50" t="inlineStr">
        <is>
          <t>5056658711039</t>
        </is>
      </c>
      <c r="B513" s="51" t="inlineStr">
        <is>
          <t>91232</t>
        </is>
      </c>
      <c r="C513" s="156" t="inlineStr">
        <is>
          <t>REFLO</t>
        </is>
      </c>
      <c r="D513" s="156" t="n"/>
      <c r="E513" s="156" t="n"/>
      <c r="F513" s="156" t="n"/>
      <c r="G513" s="156" t="n"/>
      <c r="H513" s="156" t="inlineStr">
        <is>
          <t>REFLO</t>
        </is>
      </c>
      <c r="I513" s="156" t="n"/>
      <c r="J513" s="156" t="n"/>
      <c r="K513" s="156" t="n"/>
      <c r="L513" s="156" t="n"/>
      <c r="M513" s="156" t="n"/>
      <c r="N513" s="156" t="n"/>
      <c r="O513" s="156" t="n"/>
      <c r="P513" s="156" t="n"/>
      <c r="Q513" s="156" t="n"/>
      <c r="R513" s="156" t="n"/>
      <c r="S513" s="156" t="n"/>
      <c r="T513" s="156" t="n"/>
      <c r="U513" s="156" t="n"/>
      <c r="V513" s="156" t="inlineStr">
        <is>
          <t>PZS</t>
        </is>
      </c>
      <c r="W513" s="51" t="inlineStr">
        <is>
          <t>53101702</t>
        </is>
      </c>
      <c r="X513" s="156" t="n"/>
      <c r="Y513" s="54" t="n">
        <v>43.55</v>
      </c>
      <c r="Z513" s="54" t="n">
        <v>3149</v>
      </c>
      <c r="AA513" s="55">
        <f>IF(AND(A513="", B513="", E513=""), "", IF(AB513="", "Válido", IF((LEN(AB513)-LEN(SUBSTITUTE(AB513,"; ","")))/2+1&gt;(LEN(AB513)-LEN(SUBSTITUTE(AB513,"[Aviso]","")))/7, "Con Incidencias", "Válido")))</f>
        <v/>
      </c>
      <c r="AB513" s="56">
        <f>IF(AND(A513="", B513="", E513=""), "", TEXTJOIN("; ", TRUE, IF(OR(TRIM(A513&amp;"")="", ISNUMBER(SEARCH("FALTA", A513))), "UPC faltante/inválido", ""), IF(AND(A513&lt;&gt;"", IFERROR(_xlfn.XMATCH(A513,$A$2:$A$653,0,1)&lt;&gt;_xlfn.XMATCH(A513,$A$2:$A$653,0,-1),FALSE)), "Código de barras duplicado", ""), IF(AND(E513&lt;&gt;"", COUNTIF($E$2:$E$653, E513)&gt;1), "SKU duplicado", ""), IF(OR(J513="", J513=""), "[Aviso] División no capturada ()", IF(ISNA(MATCH(J513, Criterios!$A$123:$A$126, 0)), "División no válida", "")), IF(OR(K513="", K513=""), "[Aviso] Categoría no capturada ()", IF(ISNA(MATCH(K513, Criterios!$A$81:$A$120, 0)), "Categoría no válida", IF(AND(J513&lt;&gt;"", J513&lt;&gt;"", J513&lt;&gt;VLOOKUP(K513, Criterios!$A$81:$B$120, 2, FALSE)), "División no coincide con Categoría", ""))), IF(OR(L513="", L513=""), "[Aviso] Género no capturado ()", IF(ISNA(MATCH(L513, Criterios!$B$123:$B$127, 0)), "Género no válido", "")), IF(OR(N513="", N513=""), "[Aviso] Temporada no capturada ()", IF(ISNA(MATCH(N513, Criterios!$C$123:$C$128, 0)), "Temporada no válida", "")), IF(OR(O513="", O513=""), "[Aviso] Ciclo de vida no capturado ()", IF(ISNA(MATCH(O513, Criterios!$D$123:$D$124, 0)), "Ciclo de vida no válido", ""))))</f>
        <v/>
      </c>
      <c r="AC513" s="56" t="n"/>
      <c r="AD513" s="51" t="n">
        <v>0</v>
      </c>
      <c r="AE513" s="156" t="n"/>
      <c r="AF513" s="51" t="n">
        <v>0</v>
      </c>
      <c r="AG513" s="156" t="inlineStr">
        <is>
          <t>Nuevo – NetSuite sin existencia</t>
        </is>
      </c>
      <c r="AH51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3" s="156" t="inlineStr">
        <is>
          <t>No</t>
        </is>
      </c>
      <c r="AJ513" s="156" t="n"/>
      <c r="AK513" s="155" t="inlineStr">
        <is>
          <t>G1522_Extraccion_Articulos_NetSuite_2026-09-30.xlsx: fila 43940</t>
        </is>
      </c>
      <c r="AL513" s="58" t="n"/>
      <c r="AM513" s="58" t="n"/>
      <c r="AN513" s="155" t="n"/>
      <c r="AO513" s="59" t="n"/>
      <c r="AP513" s="59" t="n"/>
      <c r="AQ513" s="59" t="n"/>
      <c r="AR513" s="155" t="n"/>
    </row>
    <row r="514">
      <c r="A514" s="50" t="inlineStr">
        <is>
          <t>5056658711046</t>
        </is>
      </c>
      <c r="B514" s="51" t="inlineStr">
        <is>
          <t>91233</t>
        </is>
      </c>
      <c r="C514" s="156" t="inlineStr">
        <is>
          <t>REFLO</t>
        </is>
      </c>
      <c r="D514" s="156" t="n"/>
      <c r="E514" s="156" t="n"/>
      <c r="F514" s="156" t="n"/>
      <c r="G514" s="156" t="n"/>
      <c r="H514" s="156" t="inlineStr">
        <is>
          <t>REFLO</t>
        </is>
      </c>
      <c r="I514" s="156" t="n"/>
      <c r="J514" s="156" t="n"/>
      <c r="K514" s="156" t="n"/>
      <c r="L514" s="156" t="n"/>
      <c r="M514" s="156" t="n"/>
      <c r="N514" s="156" t="n"/>
      <c r="O514" s="156" t="n"/>
      <c r="P514" s="156" t="n"/>
      <c r="Q514" s="156" t="n"/>
      <c r="R514" s="156" t="n"/>
      <c r="S514" s="156" t="n"/>
      <c r="T514" s="156" t="n"/>
      <c r="U514" s="156" t="n"/>
      <c r="V514" s="156" t="inlineStr">
        <is>
          <t>PZS</t>
        </is>
      </c>
      <c r="W514" s="51" t="inlineStr">
        <is>
          <t>53101702</t>
        </is>
      </c>
      <c r="X514" s="156" t="n"/>
      <c r="Y514" s="54" t="n">
        <v>43.55</v>
      </c>
      <c r="Z514" s="54" t="n">
        <v>3149</v>
      </c>
      <c r="AA514" s="55">
        <f>IF(AND(A514="", B514="", E514=""), "", IF(AB514="", "Válido", IF((LEN(AB514)-LEN(SUBSTITUTE(AB514,"; ","")))/2+1&gt;(LEN(AB514)-LEN(SUBSTITUTE(AB514,"[Aviso]","")))/7, "Con Incidencias", "Válido")))</f>
        <v/>
      </c>
      <c r="AB514" s="56">
        <f>IF(AND(A514="", B514="", E514=""), "", TEXTJOIN("; ", TRUE, IF(OR(TRIM(A514&amp;"")="", ISNUMBER(SEARCH("FALTA", A514))), "UPC faltante/inválido", ""), IF(AND(A514&lt;&gt;"", IFERROR(_xlfn.XMATCH(A514,$A$2:$A$653,0,1)&lt;&gt;_xlfn.XMATCH(A514,$A$2:$A$653,0,-1),FALSE)), "Código de barras duplicado", ""), IF(AND(E514&lt;&gt;"", COUNTIF($E$2:$E$653, E514)&gt;1), "SKU duplicado", ""), IF(OR(J514="", J514=""), "[Aviso] División no capturada ()", IF(ISNA(MATCH(J514, Criterios!$A$123:$A$126, 0)), "División no válida", "")), IF(OR(K514="", K514=""), "[Aviso] Categoría no capturada ()", IF(ISNA(MATCH(K514, Criterios!$A$81:$A$120, 0)), "Categoría no válida", IF(AND(J514&lt;&gt;"", J514&lt;&gt;"", J514&lt;&gt;VLOOKUP(K514, Criterios!$A$81:$B$120, 2, FALSE)), "División no coincide con Categoría", ""))), IF(OR(L514="", L514=""), "[Aviso] Género no capturado ()", IF(ISNA(MATCH(L514, Criterios!$B$123:$B$127, 0)), "Género no válido", "")), IF(OR(N514="", N514=""), "[Aviso] Temporada no capturada ()", IF(ISNA(MATCH(N514, Criterios!$C$123:$C$128, 0)), "Temporada no válida", "")), IF(OR(O514="", O514=""), "[Aviso] Ciclo de vida no capturado ()", IF(ISNA(MATCH(O514, Criterios!$D$123:$D$124, 0)), "Ciclo de vida no válido", ""))))</f>
        <v/>
      </c>
      <c r="AC514" s="56" t="n"/>
      <c r="AD514" s="51" t="n">
        <v>3</v>
      </c>
      <c r="AE514" s="156" t="n"/>
      <c r="AF514" s="51" t="n">
        <v>3</v>
      </c>
      <c r="AG514" s="156" t="inlineStr">
        <is>
          <t>Nuevo – NetSuite con existencia</t>
        </is>
      </c>
      <c r="AH51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4" s="156" t="inlineStr">
        <is>
          <t>No</t>
        </is>
      </c>
      <c r="AJ514" s="156" t="n"/>
      <c r="AK514" s="155" t="inlineStr">
        <is>
          <t>G1522_Extraccion_Articulos_NetSuite_2026-09-30.xlsx: fila 43941</t>
        </is>
      </c>
      <c r="AL514" s="58" t="n"/>
      <c r="AM514" s="58" t="n"/>
      <c r="AN514" s="155" t="n"/>
      <c r="AO514" s="59" t="n"/>
      <c r="AP514" s="59" t="n"/>
      <c r="AQ514" s="59" t="n"/>
      <c r="AR514" s="155" t="n"/>
    </row>
    <row r="515">
      <c r="A515" s="50" t="inlineStr">
        <is>
          <t>5056658711053</t>
        </is>
      </c>
      <c r="B515" s="51" t="inlineStr">
        <is>
          <t>91234</t>
        </is>
      </c>
      <c r="C515" s="156" t="inlineStr">
        <is>
          <t>REFLO</t>
        </is>
      </c>
      <c r="D515" s="156" t="n"/>
      <c r="E515" s="156" t="n"/>
      <c r="F515" s="156" t="n"/>
      <c r="G515" s="156" t="n"/>
      <c r="H515" s="156" t="inlineStr">
        <is>
          <t>REFLO</t>
        </is>
      </c>
      <c r="I515" s="156" t="n"/>
      <c r="J515" s="156" t="n"/>
      <c r="K515" s="156" t="n"/>
      <c r="L515" s="156" t="n"/>
      <c r="M515" s="156" t="n"/>
      <c r="N515" s="156" t="n"/>
      <c r="O515" s="156" t="n"/>
      <c r="P515" s="156" t="n"/>
      <c r="Q515" s="156" t="n"/>
      <c r="R515" s="156" t="n"/>
      <c r="S515" s="156" t="n"/>
      <c r="T515" s="156" t="n"/>
      <c r="U515" s="156" t="n"/>
      <c r="V515" s="156" t="inlineStr">
        <is>
          <t>PZS</t>
        </is>
      </c>
      <c r="W515" s="51" t="inlineStr">
        <is>
          <t>53101702</t>
        </is>
      </c>
      <c r="X515" s="156" t="n"/>
      <c r="Y515" s="54" t="n">
        <v>43.55</v>
      </c>
      <c r="Z515" s="54" t="n">
        <v>3149</v>
      </c>
      <c r="AA515" s="55">
        <f>IF(AND(A515="", B515="", E515=""), "", IF(AB515="", "Válido", IF((LEN(AB515)-LEN(SUBSTITUTE(AB515,"; ","")))/2+1&gt;(LEN(AB515)-LEN(SUBSTITUTE(AB515,"[Aviso]","")))/7, "Con Incidencias", "Válido")))</f>
        <v/>
      </c>
      <c r="AB515" s="56">
        <f>IF(AND(A515="", B515="", E515=""), "", TEXTJOIN("; ", TRUE, IF(OR(TRIM(A515&amp;"")="", ISNUMBER(SEARCH("FALTA", A515))), "UPC faltante/inválido", ""), IF(AND(A515&lt;&gt;"", IFERROR(_xlfn.XMATCH(A515,$A$2:$A$653,0,1)&lt;&gt;_xlfn.XMATCH(A515,$A$2:$A$653,0,-1),FALSE)), "Código de barras duplicado", ""), IF(AND(E515&lt;&gt;"", COUNTIF($E$2:$E$653, E515)&gt;1), "SKU duplicado", ""), IF(OR(J515="", J515=""), "[Aviso] División no capturada ()", IF(ISNA(MATCH(J515, Criterios!$A$123:$A$126, 0)), "División no válida", "")), IF(OR(K515="", K515=""), "[Aviso] Categoría no capturada ()", IF(ISNA(MATCH(K515, Criterios!$A$81:$A$120, 0)), "Categoría no válida", IF(AND(J515&lt;&gt;"", J515&lt;&gt;"", J515&lt;&gt;VLOOKUP(K515, Criterios!$A$81:$B$120, 2, FALSE)), "División no coincide con Categoría", ""))), IF(OR(L515="", L515=""), "[Aviso] Género no capturado ()", IF(ISNA(MATCH(L515, Criterios!$B$123:$B$127, 0)), "Género no válido", "")), IF(OR(N515="", N515=""), "[Aviso] Temporada no capturada ()", IF(ISNA(MATCH(N515, Criterios!$C$123:$C$128, 0)), "Temporada no válida", "")), IF(OR(O515="", O515=""), "[Aviso] Ciclo de vida no capturado ()", IF(ISNA(MATCH(O515, Criterios!$D$123:$D$124, 0)), "Ciclo de vida no válido", ""))))</f>
        <v/>
      </c>
      <c r="AC515" s="56" t="n"/>
      <c r="AD515" s="51" t="n">
        <v>8</v>
      </c>
      <c r="AE515" s="156" t="n"/>
      <c r="AF515" s="51" t="n">
        <v>8</v>
      </c>
      <c r="AG515" s="156" t="inlineStr">
        <is>
          <t>Nuevo – NetSuite con existencia</t>
        </is>
      </c>
      <c r="AH51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5" s="156" t="inlineStr">
        <is>
          <t>No</t>
        </is>
      </c>
      <c r="AJ515" s="156" t="n"/>
      <c r="AK515" s="155" t="inlineStr">
        <is>
          <t>G1522_Extraccion_Articulos_NetSuite_2026-09-30.xlsx: fila 43942</t>
        </is>
      </c>
      <c r="AL515" s="58" t="n"/>
      <c r="AM515" s="58" t="n"/>
      <c r="AN515" s="155" t="n"/>
      <c r="AO515" s="59" t="n"/>
      <c r="AP515" s="59" t="n"/>
      <c r="AQ515" s="59" t="n"/>
      <c r="AR515" s="155" t="n"/>
    </row>
    <row r="516">
      <c r="A516" s="50" t="inlineStr">
        <is>
          <t>5056658711060</t>
        </is>
      </c>
      <c r="B516" s="51" t="inlineStr">
        <is>
          <t>91235</t>
        </is>
      </c>
      <c r="C516" s="156" t="inlineStr">
        <is>
          <t>REFLO</t>
        </is>
      </c>
      <c r="D516" s="156" t="n"/>
      <c r="E516" s="156" t="n"/>
      <c r="F516" s="156" t="n"/>
      <c r="G516" s="156" t="n"/>
      <c r="H516" s="156" t="inlineStr">
        <is>
          <t>REFLO</t>
        </is>
      </c>
      <c r="I516" s="156" t="n"/>
      <c r="J516" s="156" t="n"/>
      <c r="K516" s="156" t="n"/>
      <c r="L516" s="156" t="n"/>
      <c r="M516" s="156" t="n"/>
      <c r="N516" s="156" t="n"/>
      <c r="O516" s="156" t="n"/>
      <c r="P516" s="156" t="n"/>
      <c r="Q516" s="156" t="n"/>
      <c r="R516" s="156" t="n"/>
      <c r="S516" s="156" t="n"/>
      <c r="T516" s="156" t="n"/>
      <c r="U516" s="156" t="n"/>
      <c r="V516" s="156" t="inlineStr">
        <is>
          <t>PZS</t>
        </is>
      </c>
      <c r="W516" s="51" t="inlineStr">
        <is>
          <t>53101702</t>
        </is>
      </c>
      <c r="X516" s="156" t="n"/>
      <c r="Y516" s="54" t="n">
        <v>43.55</v>
      </c>
      <c r="Z516" s="54" t="n">
        <v>3149</v>
      </c>
      <c r="AA516" s="55">
        <f>IF(AND(A516="", B516="", E516=""), "", IF(AB516="", "Válido", IF((LEN(AB516)-LEN(SUBSTITUTE(AB516,"; ","")))/2+1&gt;(LEN(AB516)-LEN(SUBSTITUTE(AB516,"[Aviso]","")))/7, "Con Incidencias", "Válido")))</f>
        <v/>
      </c>
      <c r="AB516" s="56">
        <f>IF(AND(A516="", B516="", E516=""), "", TEXTJOIN("; ", TRUE, IF(OR(TRIM(A516&amp;"")="", ISNUMBER(SEARCH("FALTA", A516))), "UPC faltante/inválido", ""), IF(AND(A516&lt;&gt;"", IFERROR(_xlfn.XMATCH(A516,$A$2:$A$653,0,1)&lt;&gt;_xlfn.XMATCH(A516,$A$2:$A$653,0,-1),FALSE)), "Código de barras duplicado", ""), IF(AND(E516&lt;&gt;"", COUNTIF($E$2:$E$653, E516)&gt;1), "SKU duplicado", ""), IF(OR(J516="", J516=""), "[Aviso] División no capturada ()", IF(ISNA(MATCH(J516, Criterios!$A$123:$A$126, 0)), "División no válida", "")), IF(OR(K516="", K516=""), "[Aviso] Categoría no capturada ()", IF(ISNA(MATCH(K516, Criterios!$A$81:$A$120, 0)), "Categoría no válida", IF(AND(J516&lt;&gt;"", J516&lt;&gt;"", J516&lt;&gt;VLOOKUP(K516, Criterios!$A$81:$B$120, 2, FALSE)), "División no coincide con Categoría", ""))), IF(OR(L516="", L516=""), "[Aviso] Género no capturado ()", IF(ISNA(MATCH(L516, Criterios!$B$123:$B$127, 0)), "Género no válido", "")), IF(OR(N516="", N516=""), "[Aviso] Temporada no capturada ()", IF(ISNA(MATCH(N516, Criterios!$C$123:$C$128, 0)), "Temporada no válida", "")), IF(OR(O516="", O516=""), "[Aviso] Ciclo de vida no capturado ()", IF(ISNA(MATCH(O516, Criterios!$D$123:$D$124, 0)), "Ciclo de vida no válido", ""))))</f>
        <v/>
      </c>
      <c r="AC516" s="56" t="n"/>
      <c r="AD516" s="51" t="n">
        <v>4</v>
      </c>
      <c r="AE516" s="156" t="n"/>
      <c r="AF516" s="51" t="n">
        <v>4</v>
      </c>
      <c r="AG516" s="156" t="inlineStr">
        <is>
          <t>Nuevo – NetSuite con existencia</t>
        </is>
      </c>
      <c r="AH51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6" s="156" t="inlineStr">
        <is>
          <t>No</t>
        </is>
      </c>
      <c r="AJ516" s="156" t="n"/>
      <c r="AK516" s="155" t="inlineStr">
        <is>
          <t>G1522_Extraccion_Articulos_NetSuite_2026-09-30.xlsx: fila 43943</t>
        </is>
      </c>
      <c r="AL516" s="58" t="n"/>
      <c r="AM516" s="58" t="n"/>
      <c r="AN516" s="155" t="n"/>
      <c r="AO516" s="59" t="n"/>
      <c r="AP516" s="59" t="n"/>
      <c r="AQ516" s="59" t="n"/>
      <c r="AR516" s="155" t="n"/>
    </row>
    <row r="517">
      <c r="A517" s="50" t="inlineStr">
        <is>
          <t>5056658713941</t>
        </is>
      </c>
      <c r="B517" s="51" t="inlineStr">
        <is>
          <t>91236</t>
        </is>
      </c>
      <c r="C517" s="156" t="inlineStr">
        <is>
          <t>REFLO</t>
        </is>
      </c>
      <c r="D517" s="156" t="n"/>
      <c r="E517" s="156" t="n"/>
      <c r="F517" s="156" t="n"/>
      <c r="G517" s="156" t="n"/>
      <c r="H517" s="156" t="inlineStr">
        <is>
          <t>REFLO</t>
        </is>
      </c>
      <c r="I517" s="156" t="n"/>
      <c r="J517" s="156" t="n"/>
      <c r="K517" s="156" t="n"/>
      <c r="L517" s="156" t="n"/>
      <c r="M517" s="156" t="n"/>
      <c r="N517" s="156" t="n"/>
      <c r="O517" s="156" t="n"/>
      <c r="P517" s="156" t="n"/>
      <c r="Q517" s="156" t="n"/>
      <c r="R517" s="156" t="n"/>
      <c r="S517" s="156" t="n"/>
      <c r="T517" s="156" t="n"/>
      <c r="U517" s="156" t="n"/>
      <c r="V517" s="156" t="inlineStr">
        <is>
          <t>PZS</t>
        </is>
      </c>
      <c r="W517" s="51" t="inlineStr">
        <is>
          <t>53101702</t>
        </is>
      </c>
      <c r="X517" s="156" t="n"/>
      <c r="Y517" s="54" t="n">
        <v>43.55</v>
      </c>
      <c r="Z517" s="54" t="n">
        <v>3149</v>
      </c>
      <c r="AA517" s="55">
        <f>IF(AND(A517="", B517="", E517=""), "", IF(AB517="", "Válido", IF((LEN(AB517)-LEN(SUBSTITUTE(AB517,"; ","")))/2+1&gt;(LEN(AB517)-LEN(SUBSTITUTE(AB517,"[Aviso]","")))/7, "Con Incidencias", "Válido")))</f>
        <v/>
      </c>
      <c r="AB517" s="56">
        <f>IF(AND(A517="", B517="", E517=""), "", TEXTJOIN("; ", TRUE, IF(OR(TRIM(A517&amp;"")="", ISNUMBER(SEARCH("FALTA", A517))), "UPC faltante/inválido", ""), IF(AND(A517&lt;&gt;"", IFERROR(_xlfn.XMATCH(A517,$A$2:$A$653,0,1)&lt;&gt;_xlfn.XMATCH(A517,$A$2:$A$653,0,-1),FALSE)), "Código de barras duplicado", ""), IF(AND(E517&lt;&gt;"", COUNTIF($E$2:$E$653, E517)&gt;1), "SKU duplicado", ""), IF(OR(J517="", J517=""), "[Aviso] División no capturada ()", IF(ISNA(MATCH(J517, Criterios!$A$123:$A$126, 0)), "División no válida", "")), IF(OR(K517="", K517=""), "[Aviso] Categoría no capturada ()", IF(ISNA(MATCH(K517, Criterios!$A$81:$A$120, 0)), "Categoría no válida", IF(AND(J517&lt;&gt;"", J517&lt;&gt;"", J517&lt;&gt;VLOOKUP(K517, Criterios!$A$81:$B$120, 2, FALSE)), "División no coincide con Categoría", ""))), IF(OR(L517="", L517=""), "[Aviso] Género no capturado ()", IF(ISNA(MATCH(L517, Criterios!$B$123:$B$127, 0)), "Género no válido", "")), IF(OR(N517="", N517=""), "[Aviso] Temporada no capturada ()", IF(ISNA(MATCH(N517, Criterios!$C$123:$C$128, 0)), "Temporada no válida", "")), IF(OR(O517="", O517=""), "[Aviso] Ciclo de vida no capturado ()", IF(ISNA(MATCH(O517, Criterios!$D$123:$D$124, 0)), "Ciclo de vida no válido", ""))))</f>
        <v/>
      </c>
      <c r="AC517" s="56" t="n"/>
      <c r="AD517" s="51" t="n">
        <v>1</v>
      </c>
      <c r="AE517" s="156" t="n"/>
      <c r="AF517" s="51" t="n">
        <v>1</v>
      </c>
      <c r="AG517" s="156" t="inlineStr">
        <is>
          <t>Nuevo – NetSuite con existencia</t>
        </is>
      </c>
      <c r="AH51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7" s="156" t="inlineStr">
        <is>
          <t>No</t>
        </is>
      </c>
      <c r="AJ517" s="156" t="n"/>
      <c r="AK517" s="155" t="inlineStr">
        <is>
          <t>G1522_Extraccion_Articulos_NetSuite_2026-09-30.xlsx: fila 43944</t>
        </is>
      </c>
      <c r="AL517" s="58" t="n"/>
      <c r="AM517" s="58" t="n"/>
      <c r="AN517" s="155" t="n"/>
      <c r="AO517" s="59" t="n"/>
      <c r="AP517" s="59" t="n"/>
      <c r="AQ517" s="59" t="n"/>
      <c r="AR517" s="155" t="n"/>
    </row>
    <row r="518">
      <c r="A518" s="50" t="inlineStr">
        <is>
          <t>5056658711084</t>
        </is>
      </c>
      <c r="B518" s="51" t="inlineStr">
        <is>
          <t>91237</t>
        </is>
      </c>
      <c r="C518" s="156" t="inlineStr">
        <is>
          <t>REFLO</t>
        </is>
      </c>
      <c r="D518" s="156" t="n"/>
      <c r="E518" s="156" t="n"/>
      <c r="F518" s="156" t="n"/>
      <c r="G518" s="156" t="n"/>
      <c r="H518" s="156" t="inlineStr">
        <is>
          <t>REFLO</t>
        </is>
      </c>
      <c r="I518" s="156" t="n"/>
      <c r="J518" s="156" t="n"/>
      <c r="K518" s="156" t="n"/>
      <c r="L518" s="156" t="n"/>
      <c r="M518" s="156" t="n"/>
      <c r="N518" s="156" t="n"/>
      <c r="O518" s="156" t="n"/>
      <c r="P518" s="156" t="n"/>
      <c r="Q518" s="156" t="n"/>
      <c r="R518" s="156" t="n"/>
      <c r="S518" s="156" t="n"/>
      <c r="T518" s="156" t="n"/>
      <c r="U518" s="156" t="n"/>
      <c r="V518" s="156" t="inlineStr">
        <is>
          <t>PZS</t>
        </is>
      </c>
      <c r="W518" s="51" t="inlineStr">
        <is>
          <t>53101702</t>
        </is>
      </c>
      <c r="X518" s="156" t="n"/>
      <c r="Y518" s="54" t="n">
        <v>43.55</v>
      </c>
      <c r="Z518" s="54" t="n">
        <v>3149</v>
      </c>
      <c r="AA518" s="55">
        <f>IF(AND(A518="", B518="", E518=""), "", IF(AB518="", "Válido", IF((LEN(AB518)-LEN(SUBSTITUTE(AB518,"; ","")))/2+1&gt;(LEN(AB518)-LEN(SUBSTITUTE(AB518,"[Aviso]","")))/7, "Con Incidencias", "Válido")))</f>
        <v/>
      </c>
      <c r="AB518" s="56">
        <f>IF(AND(A518="", B518="", E518=""), "", TEXTJOIN("; ", TRUE, IF(OR(TRIM(A518&amp;"")="", ISNUMBER(SEARCH("FALTA", A518))), "UPC faltante/inválido", ""), IF(AND(A518&lt;&gt;"", IFERROR(_xlfn.XMATCH(A518,$A$2:$A$653,0,1)&lt;&gt;_xlfn.XMATCH(A518,$A$2:$A$653,0,-1),FALSE)), "Código de barras duplicado", ""), IF(AND(E518&lt;&gt;"", COUNTIF($E$2:$E$653, E518)&gt;1), "SKU duplicado", ""), IF(OR(J518="", J518=""), "[Aviso] División no capturada ()", IF(ISNA(MATCH(J518, Criterios!$A$123:$A$126, 0)), "División no válida", "")), IF(OR(K518="", K518=""), "[Aviso] Categoría no capturada ()", IF(ISNA(MATCH(K518, Criterios!$A$81:$A$120, 0)), "Categoría no válida", IF(AND(J518&lt;&gt;"", J518&lt;&gt;"", J518&lt;&gt;VLOOKUP(K518, Criterios!$A$81:$B$120, 2, FALSE)), "División no coincide con Categoría", ""))), IF(OR(L518="", L518=""), "[Aviso] Género no capturado ()", IF(ISNA(MATCH(L518, Criterios!$B$123:$B$127, 0)), "Género no válido", "")), IF(OR(N518="", N518=""), "[Aviso] Temporada no capturada ()", IF(ISNA(MATCH(N518, Criterios!$C$123:$C$128, 0)), "Temporada no válida", "")), IF(OR(O518="", O518=""), "[Aviso] Ciclo de vida no capturado ()", IF(ISNA(MATCH(O518, Criterios!$D$123:$D$124, 0)), "Ciclo de vida no válido", ""))))</f>
        <v/>
      </c>
      <c r="AC518" s="56" t="n"/>
      <c r="AD518" s="51" t="n">
        <v>2</v>
      </c>
      <c r="AE518" s="156" t="n"/>
      <c r="AF518" s="51" t="n">
        <v>2</v>
      </c>
      <c r="AG518" s="156" t="inlineStr">
        <is>
          <t>Nuevo – NetSuite con existencia</t>
        </is>
      </c>
      <c r="AH51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8" s="156" t="inlineStr">
        <is>
          <t>No</t>
        </is>
      </c>
      <c r="AJ518" s="156" t="n"/>
      <c r="AK518" s="155" t="inlineStr">
        <is>
          <t>G1522_Extraccion_Articulos_NetSuite_2026-09-30.xlsx: fila 43945</t>
        </is>
      </c>
      <c r="AL518" s="58" t="n"/>
      <c r="AM518" s="58" t="n"/>
      <c r="AN518" s="155" t="n"/>
      <c r="AO518" s="59" t="n"/>
      <c r="AP518" s="59" t="n"/>
      <c r="AQ518" s="59" t="n"/>
      <c r="AR518" s="155" t="n"/>
    </row>
    <row r="519">
      <c r="A519" s="50" t="inlineStr">
        <is>
          <t>5056658711091</t>
        </is>
      </c>
      <c r="B519" s="51" t="inlineStr">
        <is>
          <t>91238</t>
        </is>
      </c>
      <c r="C519" s="156" t="inlineStr">
        <is>
          <t>REFLO</t>
        </is>
      </c>
      <c r="D519" s="156" t="n"/>
      <c r="E519" s="156" t="n"/>
      <c r="F519" s="156" t="n"/>
      <c r="G519" s="156" t="n"/>
      <c r="H519" s="156" t="inlineStr">
        <is>
          <t>REFLO</t>
        </is>
      </c>
      <c r="I519" s="156" t="n"/>
      <c r="J519" s="156" t="n"/>
      <c r="K519" s="156" t="n"/>
      <c r="L519" s="156" t="n"/>
      <c r="M519" s="156" t="n"/>
      <c r="N519" s="156" t="n"/>
      <c r="O519" s="156" t="n"/>
      <c r="P519" s="156" t="n"/>
      <c r="Q519" s="156" t="n"/>
      <c r="R519" s="156" t="n"/>
      <c r="S519" s="156" t="n"/>
      <c r="T519" s="156" t="n"/>
      <c r="U519" s="156" t="n"/>
      <c r="V519" s="156" t="inlineStr">
        <is>
          <t>PZS</t>
        </is>
      </c>
      <c r="W519" s="51" t="inlineStr">
        <is>
          <t>53101702</t>
        </is>
      </c>
      <c r="X519" s="156" t="n"/>
      <c r="Y519" s="54" t="n">
        <v>43.55</v>
      </c>
      <c r="Z519" s="54" t="n">
        <v>3149</v>
      </c>
      <c r="AA519" s="55">
        <f>IF(AND(A519="", B519="", E519=""), "", IF(AB519="", "Válido", IF((LEN(AB519)-LEN(SUBSTITUTE(AB519,"; ","")))/2+1&gt;(LEN(AB519)-LEN(SUBSTITUTE(AB519,"[Aviso]","")))/7, "Con Incidencias", "Válido")))</f>
        <v/>
      </c>
      <c r="AB519" s="56">
        <f>IF(AND(A519="", B519="", E519=""), "", TEXTJOIN("; ", TRUE, IF(OR(TRIM(A519&amp;"")="", ISNUMBER(SEARCH("FALTA", A519))), "UPC faltante/inválido", ""), IF(AND(A519&lt;&gt;"", IFERROR(_xlfn.XMATCH(A519,$A$2:$A$653,0,1)&lt;&gt;_xlfn.XMATCH(A519,$A$2:$A$653,0,-1),FALSE)), "Código de barras duplicado", ""), IF(AND(E519&lt;&gt;"", COUNTIF($E$2:$E$653, E519)&gt;1), "SKU duplicado", ""), IF(OR(J519="", J519=""), "[Aviso] División no capturada ()", IF(ISNA(MATCH(J519, Criterios!$A$123:$A$126, 0)), "División no válida", "")), IF(OR(K519="", K519=""), "[Aviso] Categoría no capturada ()", IF(ISNA(MATCH(K519, Criterios!$A$81:$A$120, 0)), "Categoría no válida", IF(AND(J519&lt;&gt;"", J519&lt;&gt;"", J519&lt;&gt;VLOOKUP(K519, Criterios!$A$81:$B$120, 2, FALSE)), "División no coincide con Categoría", ""))), IF(OR(L519="", L519=""), "[Aviso] Género no capturado ()", IF(ISNA(MATCH(L519, Criterios!$B$123:$B$127, 0)), "Género no válido", "")), IF(OR(N519="", N519=""), "[Aviso] Temporada no capturada ()", IF(ISNA(MATCH(N519, Criterios!$C$123:$C$128, 0)), "Temporada no válida", "")), IF(OR(O519="", O519=""), "[Aviso] Ciclo de vida no capturado ()", IF(ISNA(MATCH(O519, Criterios!$D$123:$D$124, 0)), "Ciclo de vida no válido", ""))))</f>
        <v/>
      </c>
      <c r="AC519" s="56" t="n"/>
      <c r="AD519" s="51" t="n">
        <v>3</v>
      </c>
      <c r="AE519" s="156" t="n"/>
      <c r="AF519" s="51" t="n">
        <v>3</v>
      </c>
      <c r="AG519" s="156" t="inlineStr">
        <is>
          <t>Nuevo – NetSuite con existencia</t>
        </is>
      </c>
      <c r="AH51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9" s="156" t="inlineStr">
        <is>
          <t>No</t>
        </is>
      </c>
      <c r="AJ519" s="156" t="n"/>
      <c r="AK519" s="155" t="inlineStr">
        <is>
          <t>G1522_Extraccion_Articulos_NetSuite_2026-09-30.xlsx: fila 43946</t>
        </is>
      </c>
      <c r="AL519" s="58" t="n"/>
      <c r="AM519" s="58" t="n"/>
      <c r="AN519" s="155" t="n"/>
      <c r="AO519" s="59" t="n"/>
      <c r="AP519" s="59" t="n"/>
      <c r="AQ519" s="59" t="n"/>
      <c r="AR519" s="155" t="n"/>
    </row>
    <row r="520">
      <c r="A520" s="50" t="inlineStr">
        <is>
          <t>5056658711107</t>
        </is>
      </c>
      <c r="B520" s="51" t="inlineStr">
        <is>
          <t>91239</t>
        </is>
      </c>
      <c r="C520" s="156" t="inlineStr">
        <is>
          <t>REFLO</t>
        </is>
      </c>
      <c r="D520" s="156" t="n"/>
      <c r="E520" s="156" t="n"/>
      <c r="F520" s="156" t="n"/>
      <c r="G520" s="156" t="n"/>
      <c r="H520" s="156" t="inlineStr">
        <is>
          <t>REFLO</t>
        </is>
      </c>
      <c r="I520" s="156" t="n"/>
      <c r="J520" s="156" t="n"/>
      <c r="K520" s="156" t="n"/>
      <c r="L520" s="156" t="n"/>
      <c r="M520" s="156" t="n"/>
      <c r="N520" s="156" t="n"/>
      <c r="O520" s="156" t="n"/>
      <c r="P520" s="156" t="n"/>
      <c r="Q520" s="156" t="n"/>
      <c r="R520" s="156" t="n"/>
      <c r="S520" s="156" t="n"/>
      <c r="T520" s="156" t="n"/>
      <c r="U520" s="156" t="n"/>
      <c r="V520" s="156" t="inlineStr">
        <is>
          <t>PZS</t>
        </is>
      </c>
      <c r="W520" s="51" t="inlineStr">
        <is>
          <t>53101702</t>
        </is>
      </c>
      <c r="X520" s="156" t="n"/>
      <c r="Y520" s="54" t="n">
        <v>43.55</v>
      </c>
      <c r="Z520" s="54" t="n">
        <v>3149</v>
      </c>
      <c r="AA520" s="55">
        <f>IF(AND(A520="", B520="", E520=""), "", IF(AB520="", "Válido", IF((LEN(AB520)-LEN(SUBSTITUTE(AB520,"; ","")))/2+1&gt;(LEN(AB520)-LEN(SUBSTITUTE(AB520,"[Aviso]","")))/7, "Con Incidencias", "Válido")))</f>
        <v/>
      </c>
      <c r="AB520" s="56">
        <f>IF(AND(A520="", B520="", E520=""), "", TEXTJOIN("; ", TRUE, IF(OR(TRIM(A520&amp;"")="", ISNUMBER(SEARCH("FALTA", A520))), "UPC faltante/inválido", ""), IF(AND(A520&lt;&gt;"", IFERROR(_xlfn.XMATCH(A520,$A$2:$A$653,0,1)&lt;&gt;_xlfn.XMATCH(A520,$A$2:$A$653,0,-1),FALSE)), "Código de barras duplicado", ""), IF(AND(E520&lt;&gt;"", COUNTIF($E$2:$E$653, E520)&gt;1), "SKU duplicado", ""), IF(OR(J520="", J520=""), "[Aviso] División no capturada ()", IF(ISNA(MATCH(J520, Criterios!$A$123:$A$126, 0)), "División no válida", "")), IF(OR(K520="", K520=""), "[Aviso] Categoría no capturada ()", IF(ISNA(MATCH(K520, Criterios!$A$81:$A$120, 0)), "Categoría no válida", IF(AND(J520&lt;&gt;"", J520&lt;&gt;"", J520&lt;&gt;VLOOKUP(K520, Criterios!$A$81:$B$120, 2, FALSE)), "División no coincide con Categoría", ""))), IF(OR(L520="", L520=""), "[Aviso] Género no capturado ()", IF(ISNA(MATCH(L520, Criterios!$B$123:$B$127, 0)), "Género no válido", "")), IF(OR(N520="", N520=""), "[Aviso] Temporada no capturada ()", IF(ISNA(MATCH(N520, Criterios!$C$123:$C$128, 0)), "Temporada no válida", "")), IF(OR(O520="", O520=""), "[Aviso] Ciclo de vida no capturado ()", IF(ISNA(MATCH(O520, Criterios!$D$123:$D$124, 0)), "Ciclo de vida no válido", ""))))</f>
        <v/>
      </c>
      <c r="AC520" s="56" t="n"/>
      <c r="AD520" s="51" t="n">
        <v>4</v>
      </c>
      <c r="AE520" s="156" t="n"/>
      <c r="AF520" s="51" t="n">
        <v>4</v>
      </c>
      <c r="AG520" s="156" t="inlineStr">
        <is>
          <t>Nuevo – NetSuite con existencia</t>
        </is>
      </c>
      <c r="AH52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0" s="156" t="inlineStr">
        <is>
          <t>No</t>
        </is>
      </c>
      <c r="AJ520" s="156" t="n"/>
      <c r="AK520" s="155" t="inlineStr">
        <is>
          <t>G1522_Extraccion_Articulos_NetSuite_2026-09-30.xlsx: fila 43947</t>
        </is>
      </c>
      <c r="AL520" s="58" t="n"/>
      <c r="AM520" s="58" t="n"/>
      <c r="AN520" s="155" t="n"/>
      <c r="AO520" s="59" t="n"/>
      <c r="AP520" s="59" t="n"/>
      <c r="AQ520" s="59" t="n"/>
      <c r="AR520" s="155" t="n"/>
    </row>
    <row r="521">
      <c r="A521" s="50" t="inlineStr">
        <is>
          <t>5056658711114</t>
        </is>
      </c>
      <c r="B521" s="51" t="inlineStr">
        <is>
          <t>91240</t>
        </is>
      </c>
      <c r="C521" s="156" t="inlineStr">
        <is>
          <t>REFLO</t>
        </is>
      </c>
      <c r="D521" s="156" t="n"/>
      <c r="E521" s="156" t="n"/>
      <c r="F521" s="156" t="n"/>
      <c r="G521" s="156" t="n"/>
      <c r="H521" s="156" t="inlineStr">
        <is>
          <t>REFLO</t>
        </is>
      </c>
      <c r="I521" s="156" t="n"/>
      <c r="J521" s="156" t="n"/>
      <c r="K521" s="156" t="n"/>
      <c r="L521" s="156" t="n"/>
      <c r="M521" s="156" t="n"/>
      <c r="N521" s="156" t="n"/>
      <c r="O521" s="156" t="n"/>
      <c r="P521" s="156" t="n"/>
      <c r="Q521" s="156" t="n"/>
      <c r="R521" s="156" t="n"/>
      <c r="S521" s="156" t="n"/>
      <c r="T521" s="156" t="n"/>
      <c r="U521" s="156" t="n"/>
      <c r="V521" s="156" t="inlineStr">
        <is>
          <t>PZS</t>
        </is>
      </c>
      <c r="W521" s="51" t="inlineStr">
        <is>
          <t>53101702</t>
        </is>
      </c>
      <c r="X521" s="156" t="n"/>
      <c r="Y521" s="54" t="n">
        <v>43.55</v>
      </c>
      <c r="Z521" s="54" t="n">
        <v>3149</v>
      </c>
      <c r="AA521" s="55">
        <f>IF(AND(A521="", B521="", E521=""), "", IF(AB521="", "Válido", IF((LEN(AB521)-LEN(SUBSTITUTE(AB521,"; ","")))/2+1&gt;(LEN(AB521)-LEN(SUBSTITUTE(AB521,"[Aviso]","")))/7, "Con Incidencias", "Válido")))</f>
        <v/>
      </c>
      <c r="AB521" s="56">
        <f>IF(AND(A521="", B521="", E521=""), "", TEXTJOIN("; ", TRUE, IF(OR(TRIM(A521&amp;"")="", ISNUMBER(SEARCH("FALTA", A521))), "UPC faltante/inválido", ""), IF(AND(A521&lt;&gt;"", IFERROR(_xlfn.XMATCH(A521,$A$2:$A$653,0,1)&lt;&gt;_xlfn.XMATCH(A521,$A$2:$A$653,0,-1),FALSE)), "Código de barras duplicado", ""), IF(AND(E521&lt;&gt;"", COUNTIF($E$2:$E$653, E521)&gt;1), "SKU duplicado", ""), IF(OR(J521="", J521=""), "[Aviso] División no capturada ()", IF(ISNA(MATCH(J521, Criterios!$A$123:$A$126, 0)), "División no válida", "")), IF(OR(K521="", K521=""), "[Aviso] Categoría no capturada ()", IF(ISNA(MATCH(K521, Criterios!$A$81:$A$120, 0)), "Categoría no válida", IF(AND(J521&lt;&gt;"", J521&lt;&gt;"", J521&lt;&gt;VLOOKUP(K521, Criterios!$A$81:$B$120, 2, FALSE)), "División no coincide con Categoría", ""))), IF(OR(L521="", L521=""), "[Aviso] Género no capturado ()", IF(ISNA(MATCH(L521, Criterios!$B$123:$B$127, 0)), "Género no válido", "")), IF(OR(N521="", N521=""), "[Aviso] Temporada no capturada ()", IF(ISNA(MATCH(N521, Criterios!$C$123:$C$128, 0)), "Temporada no válida", "")), IF(OR(O521="", O521=""), "[Aviso] Ciclo de vida no capturado ()", IF(ISNA(MATCH(O521, Criterios!$D$123:$D$124, 0)), "Ciclo de vida no válido", ""))))</f>
        <v/>
      </c>
      <c r="AC521" s="56" t="n"/>
      <c r="AD521" s="51" t="n">
        <v>2</v>
      </c>
      <c r="AE521" s="156" t="n"/>
      <c r="AF521" s="51" t="n">
        <v>2</v>
      </c>
      <c r="AG521" s="156" t="inlineStr">
        <is>
          <t>Nuevo – NetSuite con existencia</t>
        </is>
      </c>
      <c r="AH52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1" s="156" t="inlineStr">
        <is>
          <t>No</t>
        </is>
      </c>
      <c r="AJ521" s="156" t="n"/>
      <c r="AK521" s="155" t="inlineStr">
        <is>
          <t>G1522_Extraccion_Articulos_NetSuite_2026-09-30.xlsx: fila 43948</t>
        </is>
      </c>
      <c r="AL521" s="58" t="n"/>
      <c r="AM521" s="58" t="n"/>
      <c r="AN521" s="155" t="n"/>
      <c r="AO521" s="59" t="n"/>
      <c r="AP521" s="59" t="n"/>
      <c r="AQ521" s="59" t="n"/>
      <c r="AR521" s="155" t="n"/>
    </row>
    <row r="522">
      <c r="A522" s="50" t="inlineStr">
        <is>
          <t>5056658711121</t>
        </is>
      </c>
      <c r="B522" s="51" t="inlineStr">
        <is>
          <t>91241</t>
        </is>
      </c>
      <c r="C522" s="156" t="inlineStr">
        <is>
          <t>REFLO</t>
        </is>
      </c>
      <c r="D522" s="156" t="n"/>
      <c r="E522" s="156" t="n"/>
      <c r="F522" s="156" t="n"/>
      <c r="G522" s="156" t="n"/>
      <c r="H522" s="156" t="inlineStr">
        <is>
          <t>REFLO</t>
        </is>
      </c>
      <c r="I522" s="156" t="n"/>
      <c r="J522" s="156" t="n"/>
      <c r="K522" s="156" t="n"/>
      <c r="L522" s="156" t="n"/>
      <c r="M522" s="156" t="n"/>
      <c r="N522" s="156" t="n"/>
      <c r="O522" s="156" t="n"/>
      <c r="P522" s="156" t="n"/>
      <c r="Q522" s="156" t="n"/>
      <c r="R522" s="156" t="n"/>
      <c r="S522" s="156" t="n"/>
      <c r="T522" s="156" t="n"/>
      <c r="U522" s="156" t="n"/>
      <c r="V522" s="156" t="inlineStr">
        <is>
          <t>PZS</t>
        </is>
      </c>
      <c r="W522" s="51" t="inlineStr">
        <is>
          <t>53101702</t>
        </is>
      </c>
      <c r="X522" s="156" t="n"/>
      <c r="Y522" s="54" t="n">
        <v>43.55</v>
      </c>
      <c r="Z522" s="54" t="n">
        <v>3149</v>
      </c>
      <c r="AA522" s="55">
        <f>IF(AND(A522="", B522="", E522=""), "", IF(AB522="", "Válido", IF((LEN(AB522)-LEN(SUBSTITUTE(AB522,"; ","")))/2+1&gt;(LEN(AB522)-LEN(SUBSTITUTE(AB522,"[Aviso]","")))/7, "Con Incidencias", "Válido")))</f>
        <v/>
      </c>
      <c r="AB522" s="56">
        <f>IF(AND(A522="", B522="", E522=""), "", TEXTJOIN("; ", TRUE, IF(OR(TRIM(A522&amp;"")="", ISNUMBER(SEARCH("FALTA", A522))), "UPC faltante/inválido", ""), IF(AND(A522&lt;&gt;"", IFERROR(_xlfn.XMATCH(A522,$A$2:$A$653,0,1)&lt;&gt;_xlfn.XMATCH(A522,$A$2:$A$653,0,-1),FALSE)), "Código de barras duplicado", ""), IF(AND(E522&lt;&gt;"", COUNTIF($E$2:$E$653, E522)&gt;1), "SKU duplicado", ""), IF(OR(J522="", J522=""), "[Aviso] División no capturada ()", IF(ISNA(MATCH(J522, Criterios!$A$123:$A$126, 0)), "División no válida", "")), IF(OR(K522="", K522=""), "[Aviso] Categoría no capturada ()", IF(ISNA(MATCH(K522, Criterios!$A$81:$A$120, 0)), "Categoría no válida", IF(AND(J522&lt;&gt;"", J522&lt;&gt;"", J522&lt;&gt;VLOOKUP(K522, Criterios!$A$81:$B$120, 2, FALSE)), "División no coincide con Categoría", ""))), IF(OR(L522="", L522=""), "[Aviso] Género no capturado ()", IF(ISNA(MATCH(L522, Criterios!$B$123:$B$127, 0)), "Género no válido", "")), IF(OR(N522="", N522=""), "[Aviso] Temporada no capturada ()", IF(ISNA(MATCH(N522, Criterios!$C$123:$C$128, 0)), "Temporada no válida", "")), IF(OR(O522="", O522=""), "[Aviso] Ciclo de vida no capturado ()", IF(ISNA(MATCH(O522, Criterios!$D$123:$D$124, 0)), "Ciclo de vida no válido", ""))))</f>
        <v/>
      </c>
      <c r="AC522" s="56" t="n"/>
      <c r="AD522" s="51" t="n">
        <v>4</v>
      </c>
      <c r="AE522" s="156" t="n"/>
      <c r="AF522" s="51" t="n">
        <v>4</v>
      </c>
      <c r="AG522" s="156" t="inlineStr">
        <is>
          <t>Nuevo – NetSuite con existencia</t>
        </is>
      </c>
      <c r="AH52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2" s="156" t="inlineStr">
        <is>
          <t>No</t>
        </is>
      </c>
      <c r="AJ522" s="156" t="n"/>
      <c r="AK522" s="155" t="inlineStr">
        <is>
          <t>G1522_Extraccion_Articulos_NetSuite_2026-09-30.xlsx: fila 43949</t>
        </is>
      </c>
      <c r="AL522" s="58" t="n"/>
      <c r="AM522" s="58" t="n"/>
      <c r="AN522" s="155" t="n"/>
      <c r="AO522" s="59" t="n"/>
      <c r="AP522" s="59" t="n"/>
      <c r="AQ522" s="59" t="n"/>
      <c r="AR522" s="155" t="n"/>
    </row>
    <row r="523">
      <c r="A523" s="50" t="inlineStr">
        <is>
          <t>5056658713958</t>
        </is>
      </c>
      <c r="B523" s="51" t="inlineStr">
        <is>
          <t>91242</t>
        </is>
      </c>
      <c r="C523" s="156" t="inlineStr">
        <is>
          <t>REFLO</t>
        </is>
      </c>
      <c r="D523" s="156" t="n"/>
      <c r="E523" s="156" t="n"/>
      <c r="F523" s="156" t="n"/>
      <c r="G523" s="156" t="n"/>
      <c r="H523" s="156" t="inlineStr">
        <is>
          <t>REFLO</t>
        </is>
      </c>
      <c r="I523" s="156" t="n"/>
      <c r="J523" s="156" t="n"/>
      <c r="K523" s="156" t="n"/>
      <c r="L523" s="156" t="n"/>
      <c r="M523" s="156" t="n"/>
      <c r="N523" s="156" t="n"/>
      <c r="O523" s="156" t="n"/>
      <c r="P523" s="156" t="n"/>
      <c r="Q523" s="156" t="n"/>
      <c r="R523" s="156" t="n"/>
      <c r="S523" s="156" t="n"/>
      <c r="T523" s="156" t="n"/>
      <c r="U523" s="156" t="n"/>
      <c r="V523" s="156" t="inlineStr">
        <is>
          <t>PZS</t>
        </is>
      </c>
      <c r="W523" s="51" t="inlineStr">
        <is>
          <t>53101702</t>
        </is>
      </c>
      <c r="X523" s="156" t="n"/>
      <c r="Y523" s="54" t="n">
        <v>43.55</v>
      </c>
      <c r="Z523" s="54" t="n">
        <v>3149</v>
      </c>
      <c r="AA523" s="55">
        <f>IF(AND(A523="", B523="", E523=""), "", IF(AB523="", "Válido", IF((LEN(AB523)-LEN(SUBSTITUTE(AB523,"; ","")))/2+1&gt;(LEN(AB523)-LEN(SUBSTITUTE(AB523,"[Aviso]","")))/7, "Con Incidencias", "Válido")))</f>
        <v/>
      </c>
      <c r="AB523" s="56">
        <f>IF(AND(A523="", B523="", E523=""), "", TEXTJOIN("; ", TRUE, IF(OR(TRIM(A523&amp;"")="", ISNUMBER(SEARCH("FALTA", A523))), "UPC faltante/inválido", ""), IF(AND(A523&lt;&gt;"", IFERROR(_xlfn.XMATCH(A523,$A$2:$A$653,0,1)&lt;&gt;_xlfn.XMATCH(A523,$A$2:$A$653,0,-1),FALSE)), "Código de barras duplicado", ""), IF(AND(E523&lt;&gt;"", COUNTIF($E$2:$E$653, E523)&gt;1), "SKU duplicado", ""), IF(OR(J523="", J523=""), "[Aviso] División no capturada ()", IF(ISNA(MATCH(J523, Criterios!$A$123:$A$126, 0)), "División no válida", "")), IF(OR(K523="", K523=""), "[Aviso] Categoría no capturada ()", IF(ISNA(MATCH(K523, Criterios!$A$81:$A$120, 0)), "Categoría no válida", IF(AND(J523&lt;&gt;"", J523&lt;&gt;"", J523&lt;&gt;VLOOKUP(K523, Criterios!$A$81:$B$120, 2, FALSE)), "División no coincide con Categoría", ""))), IF(OR(L523="", L523=""), "[Aviso] Género no capturado ()", IF(ISNA(MATCH(L523, Criterios!$B$123:$B$127, 0)), "Género no válido", "")), IF(OR(N523="", N523=""), "[Aviso] Temporada no capturada ()", IF(ISNA(MATCH(N523, Criterios!$C$123:$C$128, 0)), "Temporada no válida", "")), IF(OR(O523="", O523=""), "[Aviso] Ciclo de vida no capturado ()", IF(ISNA(MATCH(O523, Criterios!$D$123:$D$124, 0)), "Ciclo de vida no válido", ""))))</f>
        <v/>
      </c>
      <c r="AC523" s="56" t="n"/>
      <c r="AD523" s="51" t="n">
        <v>2</v>
      </c>
      <c r="AE523" s="156" t="n"/>
      <c r="AF523" s="51" t="n">
        <v>2</v>
      </c>
      <c r="AG523" s="156" t="inlineStr">
        <is>
          <t>Nuevo – NetSuite con existencia</t>
        </is>
      </c>
      <c r="AH52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3" s="156" t="inlineStr">
        <is>
          <t>No</t>
        </is>
      </c>
      <c r="AJ523" s="156" t="n"/>
      <c r="AK523" s="155" t="inlineStr">
        <is>
          <t>G1522_Extraccion_Articulos_NetSuite_2026-09-30.xlsx: fila 43950</t>
        </is>
      </c>
      <c r="AL523" s="58" t="n"/>
      <c r="AM523" s="58" t="n"/>
      <c r="AN523" s="155" t="n"/>
      <c r="AO523" s="59" t="n"/>
      <c r="AP523" s="59" t="n"/>
      <c r="AQ523" s="59" t="n"/>
      <c r="AR523" s="155" t="n"/>
    </row>
    <row r="524">
      <c r="A524" s="50" t="inlineStr">
        <is>
          <t>5056658711145</t>
        </is>
      </c>
      <c r="B524" s="51" t="inlineStr">
        <is>
          <t>91243</t>
        </is>
      </c>
      <c r="C524" s="156" t="inlineStr">
        <is>
          <t>REFLO</t>
        </is>
      </c>
      <c r="D524" s="156" t="n"/>
      <c r="E524" s="156" t="n"/>
      <c r="F524" s="156" t="n"/>
      <c r="G524" s="156" t="n"/>
      <c r="H524" s="156" t="inlineStr">
        <is>
          <t>REFLO</t>
        </is>
      </c>
      <c r="I524" s="156" t="n"/>
      <c r="J524" s="156" t="n"/>
      <c r="K524" s="156" t="n"/>
      <c r="L524" s="156" t="n"/>
      <c r="M524" s="156" t="n"/>
      <c r="N524" s="156" t="n"/>
      <c r="O524" s="156" t="n"/>
      <c r="P524" s="156" t="n"/>
      <c r="Q524" s="156" t="n"/>
      <c r="R524" s="156" t="n"/>
      <c r="S524" s="156" t="n"/>
      <c r="T524" s="156" t="n"/>
      <c r="U524" s="156" t="n"/>
      <c r="V524" s="156" t="inlineStr">
        <is>
          <t>PZS</t>
        </is>
      </c>
      <c r="W524" s="51" t="inlineStr">
        <is>
          <t>53101702</t>
        </is>
      </c>
      <c r="X524" s="156" t="n"/>
      <c r="Y524" s="54" t="n">
        <v>43.55</v>
      </c>
      <c r="Z524" s="54" t="n">
        <v>3149</v>
      </c>
      <c r="AA524" s="55">
        <f>IF(AND(A524="", B524="", E524=""), "", IF(AB524="", "Válido", IF((LEN(AB524)-LEN(SUBSTITUTE(AB524,"; ","")))/2+1&gt;(LEN(AB524)-LEN(SUBSTITUTE(AB524,"[Aviso]","")))/7, "Con Incidencias", "Válido")))</f>
        <v/>
      </c>
      <c r="AB524" s="56">
        <f>IF(AND(A524="", B524="", E524=""), "", TEXTJOIN("; ", TRUE, IF(OR(TRIM(A524&amp;"")="", ISNUMBER(SEARCH("FALTA", A524))), "UPC faltante/inválido", ""), IF(AND(A524&lt;&gt;"", IFERROR(_xlfn.XMATCH(A524,$A$2:$A$653,0,1)&lt;&gt;_xlfn.XMATCH(A524,$A$2:$A$653,0,-1),FALSE)), "Código de barras duplicado", ""), IF(AND(E524&lt;&gt;"", COUNTIF($E$2:$E$653, E524)&gt;1), "SKU duplicado", ""), IF(OR(J524="", J524=""), "[Aviso] División no capturada ()", IF(ISNA(MATCH(J524, Criterios!$A$123:$A$126, 0)), "División no válida", "")), IF(OR(K524="", K524=""), "[Aviso] Categoría no capturada ()", IF(ISNA(MATCH(K524, Criterios!$A$81:$A$120, 0)), "Categoría no válida", IF(AND(J524&lt;&gt;"", J524&lt;&gt;"", J524&lt;&gt;VLOOKUP(K524, Criterios!$A$81:$B$120, 2, FALSE)), "División no coincide con Categoría", ""))), IF(OR(L524="", L524=""), "[Aviso] Género no capturado ()", IF(ISNA(MATCH(L524, Criterios!$B$123:$B$127, 0)), "Género no válido", "")), IF(OR(N524="", N524=""), "[Aviso] Temporada no capturada ()", IF(ISNA(MATCH(N524, Criterios!$C$123:$C$128, 0)), "Temporada no válida", "")), IF(OR(O524="", O524=""), "[Aviso] Ciclo de vida no capturado ()", IF(ISNA(MATCH(O524, Criterios!$D$123:$D$124, 0)), "Ciclo de vida no válido", ""))))</f>
        <v/>
      </c>
      <c r="AC524" s="56" t="n"/>
      <c r="AD524" s="51" t="n">
        <v>2</v>
      </c>
      <c r="AE524" s="156" t="n"/>
      <c r="AF524" s="51" t="n">
        <v>2</v>
      </c>
      <c r="AG524" s="156" t="inlineStr">
        <is>
          <t>Nuevo – NetSuite con existencia</t>
        </is>
      </c>
      <c r="AH52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4" s="156" t="inlineStr">
        <is>
          <t>No</t>
        </is>
      </c>
      <c r="AJ524" s="156" t="n"/>
      <c r="AK524" s="155" t="inlineStr">
        <is>
          <t>G1522_Extraccion_Articulos_NetSuite_2026-09-30.xlsx: fila 43951</t>
        </is>
      </c>
      <c r="AL524" s="58" t="n"/>
      <c r="AM524" s="58" t="n"/>
      <c r="AN524" s="155" t="n"/>
      <c r="AO524" s="59" t="n"/>
      <c r="AP524" s="59" t="n"/>
      <c r="AQ524" s="59" t="n"/>
      <c r="AR524" s="155" t="n"/>
    </row>
    <row r="525">
      <c r="A525" s="50" t="inlineStr">
        <is>
          <t>5056658711152</t>
        </is>
      </c>
      <c r="B525" s="51" t="inlineStr">
        <is>
          <t>91244</t>
        </is>
      </c>
      <c r="C525" s="156" t="inlineStr">
        <is>
          <t>REFLO</t>
        </is>
      </c>
      <c r="D525" s="156" t="n"/>
      <c r="E525" s="156" t="n"/>
      <c r="F525" s="156" t="n"/>
      <c r="G525" s="156" t="n"/>
      <c r="H525" s="156" t="inlineStr">
        <is>
          <t>REFLO</t>
        </is>
      </c>
      <c r="I525" s="156" t="n"/>
      <c r="J525" s="156" t="n"/>
      <c r="K525" s="156" t="n"/>
      <c r="L525" s="156" t="n"/>
      <c r="M525" s="156" t="n"/>
      <c r="N525" s="156" t="n"/>
      <c r="O525" s="156" t="n"/>
      <c r="P525" s="156" t="n"/>
      <c r="Q525" s="156" t="n"/>
      <c r="R525" s="156" t="n"/>
      <c r="S525" s="156" t="n"/>
      <c r="T525" s="156" t="n"/>
      <c r="U525" s="156" t="n"/>
      <c r="V525" s="156" t="inlineStr">
        <is>
          <t>PZS</t>
        </is>
      </c>
      <c r="W525" s="51" t="inlineStr">
        <is>
          <t>53101702</t>
        </is>
      </c>
      <c r="X525" s="156" t="n"/>
      <c r="Y525" s="54" t="n">
        <v>43.55</v>
      </c>
      <c r="Z525" s="54" t="n">
        <v>3149</v>
      </c>
      <c r="AA525" s="55">
        <f>IF(AND(A525="", B525="", E525=""), "", IF(AB525="", "Válido", IF((LEN(AB525)-LEN(SUBSTITUTE(AB525,"; ","")))/2+1&gt;(LEN(AB525)-LEN(SUBSTITUTE(AB525,"[Aviso]","")))/7, "Con Incidencias", "Válido")))</f>
        <v/>
      </c>
      <c r="AB525" s="56">
        <f>IF(AND(A525="", B525="", E525=""), "", TEXTJOIN("; ", TRUE, IF(OR(TRIM(A525&amp;"")="", ISNUMBER(SEARCH("FALTA", A525))), "UPC faltante/inválido", ""), IF(AND(A525&lt;&gt;"", IFERROR(_xlfn.XMATCH(A525,$A$2:$A$653,0,1)&lt;&gt;_xlfn.XMATCH(A525,$A$2:$A$653,0,-1),FALSE)), "Código de barras duplicado", ""), IF(AND(E525&lt;&gt;"", COUNTIF($E$2:$E$653, E525)&gt;1), "SKU duplicado", ""), IF(OR(J525="", J525=""), "[Aviso] División no capturada ()", IF(ISNA(MATCH(J525, Criterios!$A$123:$A$126, 0)), "División no válida", "")), IF(OR(K525="", K525=""), "[Aviso] Categoría no capturada ()", IF(ISNA(MATCH(K525, Criterios!$A$81:$A$120, 0)), "Categoría no válida", IF(AND(J525&lt;&gt;"", J525&lt;&gt;"", J525&lt;&gt;VLOOKUP(K525, Criterios!$A$81:$B$120, 2, FALSE)), "División no coincide con Categoría", ""))), IF(OR(L525="", L525=""), "[Aviso] Género no capturado ()", IF(ISNA(MATCH(L525, Criterios!$B$123:$B$127, 0)), "Género no válido", "")), IF(OR(N525="", N525=""), "[Aviso] Temporada no capturada ()", IF(ISNA(MATCH(N525, Criterios!$C$123:$C$128, 0)), "Temporada no válida", "")), IF(OR(O525="", O525=""), "[Aviso] Ciclo de vida no capturado ()", IF(ISNA(MATCH(O525, Criterios!$D$123:$D$124, 0)), "Ciclo de vida no válido", ""))))</f>
        <v/>
      </c>
      <c r="AC525" s="56" t="n"/>
      <c r="AD525" s="51" t="n">
        <v>0</v>
      </c>
      <c r="AE525" s="156" t="n"/>
      <c r="AF525" s="51" t="n">
        <v>0</v>
      </c>
      <c r="AG525" s="156" t="inlineStr">
        <is>
          <t>Nuevo – NetSuite sin existencia</t>
        </is>
      </c>
      <c r="AH52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5" s="156" t="inlineStr">
        <is>
          <t>No</t>
        </is>
      </c>
      <c r="AJ525" s="156" t="n"/>
      <c r="AK525" s="155" t="inlineStr">
        <is>
          <t>G1522_Extraccion_Articulos_NetSuite_2026-09-30.xlsx: fila 43952</t>
        </is>
      </c>
      <c r="AL525" s="58" t="n"/>
      <c r="AM525" s="58" t="n"/>
      <c r="AN525" s="155" t="n"/>
      <c r="AO525" s="59" t="n"/>
      <c r="AP525" s="59" t="n"/>
      <c r="AQ525" s="59" t="n"/>
      <c r="AR525" s="155" t="n"/>
    </row>
    <row r="526">
      <c r="A526" s="50" t="inlineStr">
        <is>
          <t>5056658711169</t>
        </is>
      </c>
      <c r="B526" s="51" t="inlineStr">
        <is>
          <t>91245</t>
        </is>
      </c>
      <c r="C526" s="156" t="inlineStr">
        <is>
          <t>REFLO</t>
        </is>
      </c>
      <c r="D526" s="156" t="n"/>
      <c r="E526" s="156" t="n"/>
      <c r="F526" s="156" t="n"/>
      <c r="G526" s="156" t="n"/>
      <c r="H526" s="156" t="inlineStr">
        <is>
          <t>REFLO</t>
        </is>
      </c>
      <c r="I526" s="156" t="n"/>
      <c r="J526" s="156" t="n"/>
      <c r="K526" s="156" t="n"/>
      <c r="L526" s="156" t="n"/>
      <c r="M526" s="156" t="n"/>
      <c r="N526" s="156" t="n"/>
      <c r="O526" s="156" t="n"/>
      <c r="P526" s="156" t="n"/>
      <c r="Q526" s="156" t="n"/>
      <c r="R526" s="156" t="n"/>
      <c r="S526" s="156" t="n"/>
      <c r="T526" s="156" t="n"/>
      <c r="U526" s="156" t="n"/>
      <c r="V526" s="156" t="inlineStr">
        <is>
          <t>PZS</t>
        </is>
      </c>
      <c r="W526" s="51" t="inlineStr">
        <is>
          <t>53101702</t>
        </is>
      </c>
      <c r="X526" s="156" t="n"/>
      <c r="Y526" s="54" t="n">
        <v>43.55</v>
      </c>
      <c r="Z526" s="54" t="n">
        <v>3149</v>
      </c>
      <c r="AA526" s="55">
        <f>IF(AND(A526="", B526="", E526=""), "", IF(AB526="", "Válido", IF((LEN(AB526)-LEN(SUBSTITUTE(AB526,"; ","")))/2+1&gt;(LEN(AB526)-LEN(SUBSTITUTE(AB526,"[Aviso]","")))/7, "Con Incidencias", "Válido")))</f>
        <v/>
      </c>
      <c r="AB526" s="56">
        <f>IF(AND(A526="", B526="", E526=""), "", TEXTJOIN("; ", TRUE, IF(OR(TRIM(A526&amp;"")="", ISNUMBER(SEARCH("FALTA", A526))), "UPC faltante/inválido", ""), IF(AND(A526&lt;&gt;"", IFERROR(_xlfn.XMATCH(A526,$A$2:$A$653,0,1)&lt;&gt;_xlfn.XMATCH(A526,$A$2:$A$653,0,-1),FALSE)), "Código de barras duplicado", ""), IF(AND(E526&lt;&gt;"", COUNTIF($E$2:$E$653, E526)&gt;1), "SKU duplicado", ""), IF(OR(J526="", J526=""), "[Aviso] División no capturada ()", IF(ISNA(MATCH(J526, Criterios!$A$123:$A$126, 0)), "División no válida", "")), IF(OR(K526="", K526=""), "[Aviso] Categoría no capturada ()", IF(ISNA(MATCH(K526, Criterios!$A$81:$A$120, 0)), "Categoría no válida", IF(AND(J526&lt;&gt;"", J526&lt;&gt;"", J526&lt;&gt;VLOOKUP(K526, Criterios!$A$81:$B$120, 2, FALSE)), "División no coincide con Categoría", ""))), IF(OR(L526="", L526=""), "[Aviso] Género no capturado ()", IF(ISNA(MATCH(L526, Criterios!$B$123:$B$127, 0)), "Género no válido", "")), IF(OR(N526="", N526=""), "[Aviso] Temporada no capturada ()", IF(ISNA(MATCH(N526, Criterios!$C$123:$C$128, 0)), "Temporada no válida", "")), IF(OR(O526="", O526=""), "[Aviso] Ciclo de vida no capturado ()", IF(ISNA(MATCH(O526, Criterios!$D$123:$D$124, 0)), "Ciclo de vida no válido", ""))))</f>
        <v/>
      </c>
      <c r="AC526" s="56" t="n"/>
      <c r="AD526" s="51" t="n">
        <v>1</v>
      </c>
      <c r="AE526" s="156" t="n"/>
      <c r="AF526" s="51" t="n">
        <v>1</v>
      </c>
      <c r="AG526" s="156" t="inlineStr">
        <is>
          <t>Nuevo – NetSuite con existencia</t>
        </is>
      </c>
      <c r="AH52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6" s="156" t="inlineStr">
        <is>
          <t>No</t>
        </is>
      </c>
      <c r="AJ526" s="156" t="n"/>
      <c r="AK526" s="155" t="inlineStr">
        <is>
          <t>G1522_Extraccion_Articulos_NetSuite_2026-09-30.xlsx: fila 43953</t>
        </is>
      </c>
      <c r="AL526" s="58" t="n"/>
      <c r="AM526" s="58" t="n"/>
      <c r="AN526" s="155" t="n"/>
      <c r="AO526" s="59" t="n"/>
      <c r="AP526" s="59" t="n"/>
      <c r="AQ526" s="59" t="n"/>
      <c r="AR526" s="155" t="n"/>
    </row>
    <row r="527">
      <c r="A527" s="50" t="inlineStr">
        <is>
          <t>5056658711176</t>
        </is>
      </c>
      <c r="B527" s="51" t="inlineStr">
        <is>
          <t>91246</t>
        </is>
      </c>
      <c r="C527" s="156" t="inlineStr">
        <is>
          <t>REFLO</t>
        </is>
      </c>
      <c r="D527" s="156" t="n"/>
      <c r="E527" s="156" t="n"/>
      <c r="F527" s="156" t="n"/>
      <c r="G527" s="156" t="n"/>
      <c r="H527" s="156" t="inlineStr">
        <is>
          <t>REFLO</t>
        </is>
      </c>
      <c r="I527" s="156" t="n"/>
      <c r="J527" s="156" t="n"/>
      <c r="K527" s="156" t="n"/>
      <c r="L527" s="156" t="n"/>
      <c r="M527" s="156" t="n"/>
      <c r="N527" s="156" t="n"/>
      <c r="O527" s="156" t="n"/>
      <c r="P527" s="156" t="n"/>
      <c r="Q527" s="156" t="n"/>
      <c r="R527" s="156" t="n"/>
      <c r="S527" s="156" t="n"/>
      <c r="T527" s="156" t="n"/>
      <c r="U527" s="156" t="n"/>
      <c r="V527" s="156" t="inlineStr">
        <is>
          <t>PZS</t>
        </is>
      </c>
      <c r="W527" s="51" t="inlineStr">
        <is>
          <t>53101702</t>
        </is>
      </c>
      <c r="X527" s="156" t="n"/>
      <c r="Y527" s="54" t="n">
        <v>43.55</v>
      </c>
      <c r="Z527" s="54" t="n">
        <v>3149</v>
      </c>
      <c r="AA527" s="55">
        <f>IF(AND(A527="", B527="", E527=""), "", IF(AB527="", "Válido", IF((LEN(AB527)-LEN(SUBSTITUTE(AB527,"; ","")))/2+1&gt;(LEN(AB527)-LEN(SUBSTITUTE(AB527,"[Aviso]","")))/7, "Con Incidencias", "Válido")))</f>
        <v/>
      </c>
      <c r="AB527" s="56">
        <f>IF(AND(A527="", B527="", E527=""), "", TEXTJOIN("; ", TRUE, IF(OR(TRIM(A527&amp;"")="", ISNUMBER(SEARCH("FALTA", A527))), "UPC faltante/inválido", ""), IF(AND(A527&lt;&gt;"", IFERROR(_xlfn.XMATCH(A527,$A$2:$A$653,0,1)&lt;&gt;_xlfn.XMATCH(A527,$A$2:$A$653,0,-1),FALSE)), "Código de barras duplicado", ""), IF(AND(E527&lt;&gt;"", COUNTIF($E$2:$E$653, E527)&gt;1), "SKU duplicado", ""), IF(OR(J527="", J527=""), "[Aviso] División no capturada ()", IF(ISNA(MATCH(J527, Criterios!$A$123:$A$126, 0)), "División no válida", "")), IF(OR(K527="", K527=""), "[Aviso] Categoría no capturada ()", IF(ISNA(MATCH(K527, Criterios!$A$81:$A$120, 0)), "Categoría no válida", IF(AND(J527&lt;&gt;"", J527&lt;&gt;"", J527&lt;&gt;VLOOKUP(K527, Criterios!$A$81:$B$120, 2, FALSE)), "División no coincide con Categoría", ""))), IF(OR(L527="", L527=""), "[Aviso] Género no capturado ()", IF(ISNA(MATCH(L527, Criterios!$B$123:$B$127, 0)), "Género no válido", "")), IF(OR(N527="", N527=""), "[Aviso] Temporada no capturada ()", IF(ISNA(MATCH(N527, Criterios!$C$123:$C$128, 0)), "Temporada no válida", "")), IF(OR(O527="", O527=""), "[Aviso] Ciclo de vida no capturado ()", IF(ISNA(MATCH(O527, Criterios!$D$123:$D$124, 0)), "Ciclo de vida no válido", ""))))</f>
        <v/>
      </c>
      <c r="AC527" s="56" t="n"/>
      <c r="AD527" s="51" t="n">
        <v>4</v>
      </c>
      <c r="AE527" s="156" t="n"/>
      <c r="AF527" s="51" t="n">
        <v>4</v>
      </c>
      <c r="AG527" s="156" t="inlineStr">
        <is>
          <t>Nuevo – NetSuite con existencia</t>
        </is>
      </c>
      <c r="AH52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7" s="156" t="inlineStr">
        <is>
          <t>No</t>
        </is>
      </c>
      <c r="AJ527" s="156" t="n"/>
      <c r="AK527" s="155" t="inlineStr">
        <is>
          <t>G1522_Extraccion_Articulos_NetSuite_2026-09-30.xlsx: fila 43954</t>
        </is>
      </c>
      <c r="AL527" s="58" t="n"/>
      <c r="AM527" s="58" t="n"/>
      <c r="AN527" s="155" t="n"/>
      <c r="AO527" s="59" t="n"/>
      <c r="AP527" s="59" t="n"/>
      <c r="AQ527" s="59" t="n"/>
      <c r="AR527" s="155" t="n"/>
    </row>
    <row r="528">
      <c r="A528" s="50" t="inlineStr">
        <is>
          <t>5056658711183</t>
        </is>
      </c>
      <c r="B528" s="51" t="inlineStr">
        <is>
          <t>91247</t>
        </is>
      </c>
      <c r="C528" s="156" t="inlineStr">
        <is>
          <t>REFLO</t>
        </is>
      </c>
      <c r="D528" s="156" t="n"/>
      <c r="E528" s="156" t="n"/>
      <c r="F528" s="156" t="n"/>
      <c r="G528" s="156" t="n"/>
      <c r="H528" s="156" t="inlineStr">
        <is>
          <t>REFLO</t>
        </is>
      </c>
      <c r="I528" s="156" t="n"/>
      <c r="J528" s="156" t="n"/>
      <c r="K528" s="156" t="n"/>
      <c r="L528" s="156" t="n"/>
      <c r="M528" s="156" t="n"/>
      <c r="N528" s="156" t="n"/>
      <c r="O528" s="156" t="n"/>
      <c r="P528" s="156" t="n"/>
      <c r="Q528" s="156" t="n"/>
      <c r="R528" s="156" t="n"/>
      <c r="S528" s="156" t="n"/>
      <c r="T528" s="156" t="n"/>
      <c r="U528" s="156" t="n"/>
      <c r="V528" s="156" t="inlineStr">
        <is>
          <t>PZS</t>
        </is>
      </c>
      <c r="W528" s="51" t="inlineStr">
        <is>
          <t>53101702</t>
        </is>
      </c>
      <c r="X528" s="156" t="n"/>
      <c r="Y528" s="54" t="n">
        <v>43.55</v>
      </c>
      <c r="Z528" s="54" t="n">
        <v>3149</v>
      </c>
      <c r="AA528" s="55">
        <f>IF(AND(A528="", B528="", E528=""), "", IF(AB528="", "Válido", IF((LEN(AB528)-LEN(SUBSTITUTE(AB528,"; ","")))/2+1&gt;(LEN(AB528)-LEN(SUBSTITUTE(AB528,"[Aviso]","")))/7, "Con Incidencias", "Válido")))</f>
        <v/>
      </c>
      <c r="AB528" s="56">
        <f>IF(AND(A528="", B528="", E528=""), "", TEXTJOIN("; ", TRUE, IF(OR(TRIM(A528&amp;"")="", ISNUMBER(SEARCH("FALTA", A528))), "UPC faltante/inválido", ""), IF(AND(A528&lt;&gt;"", IFERROR(_xlfn.XMATCH(A528,$A$2:$A$653,0,1)&lt;&gt;_xlfn.XMATCH(A528,$A$2:$A$653,0,-1),FALSE)), "Código de barras duplicado", ""), IF(AND(E528&lt;&gt;"", COUNTIF($E$2:$E$653, E528)&gt;1), "SKU duplicado", ""), IF(OR(J528="", J528=""), "[Aviso] División no capturada ()", IF(ISNA(MATCH(J528, Criterios!$A$123:$A$126, 0)), "División no válida", "")), IF(OR(K528="", K528=""), "[Aviso] Categoría no capturada ()", IF(ISNA(MATCH(K528, Criterios!$A$81:$A$120, 0)), "Categoría no válida", IF(AND(J528&lt;&gt;"", J528&lt;&gt;"", J528&lt;&gt;VLOOKUP(K528, Criterios!$A$81:$B$120, 2, FALSE)), "División no coincide con Categoría", ""))), IF(OR(L528="", L528=""), "[Aviso] Género no capturado ()", IF(ISNA(MATCH(L528, Criterios!$B$123:$B$127, 0)), "Género no válido", "")), IF(OR(N528="", N528=""), "[Aviso] Temporada no capturada ()", IF(ISNA(MATCH(N528, Criterios!$C$123:$C$128, 0)), "Temporada no válida", "")), IF(OR(O528="", O528=""), "[Aviso] Ciclo de vida no capturado ()", IF(ISNA(MATCH(O528, Criterios!$D$123:$D$124, 0)), "Ciclo de vida no válido", ""))))</f>
        <v/>
      </c>
      <c r="AC528" s="56" t="n"/>
      <c r="AD528" s="51" t="n">
        <v>2</v>
      </c>
      <c r="AE528" s="156" t="n"/>
      <c r="AF528" s="51" t="n">
        <v>2</v>
      </c>
      <c r="AG528" s="156" t="inlineStr">
        <is>
          <t>Nuevo – NetSuite con existencia</t>
        </is>
      </c>
      <c r="AH52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8" s="156" t="inlineStr">
        <is>
          <t>No</t>
        </is>
      </c>
      <c r="AJ528" s="156" t="n"/>
      <c r="AK528" s="155" t="inlineStr">
        <is>
          <t>G1522_Extraccion_Articulos_NetSuite_2026-09-30.xlsx: fila 43955</t>
        </is>
      </c>
      <c r="AL528" s="58" t="n"/>
      <c r="AM528" s="58" t="n"/>
      <c r="AN528" s="155" t="n"/>
      <c r="AO528" s="59" t="n"/>
      <c r="AP528" s="59" t="n"/>
      <c r="AQ528" s="59" t="n"/>
      <c r="AR528" s="155" t="n"/>
    </row>
    <row r="529">
      <c r="A529" s="50" t="inlineStr">
        <is>
          <t>5056658713965</t>
        </is>
      </c>
      <c r="B529" s="51" t="inlineStr">
        <is>
          <t>91248</t>
        </is>
      </c>
      <c r="C529" s="156" t="inlineStr">
        <is>
          <t>REFLO</t>
        </is>
      </c>
      <c r="D529" s="156" t="n"/>
      <c r="E529" s="156" t="n"/>
      <c r="F529" s="156" t="n"/>
      <c r="G529" s="156" t="n"/>
      <c r="H529" s="156" t="inlineStr">
        <is>
          <t>REFLO</t>
        </is>
      </c>
      <c r="I529" s="156" t="n"/>
      <c r="J529" s="156" t="n"/>
      <c r="K529" s="156" t="n"/>
      <c r="L529" s="156" t="n"/>
      <c r="M529" s="156" t="n"/>
      <c r="N529" s="156" t="n"/>
      <c r="O529" s="156" t="n"/>
      <c r="P529" s="156" t="n"/>
      <c r="Q529" s="156" t="n"/>
      <c r="R529" s="156" t="n"/>
      <c r="S529" s="156" t="n"/>
      <c r="T529" s="156" t="n"/>
      <c r="U529" s="156" t="n"/>
      <c r="V529" s="156" t="inlineStr">
        <is>
          <t>PZS</t>
        </is>
      </c>
      <c r="W529" s="51" t="inlineStr">
        <is>
          <t>53101702</t>
        </is>
      </c>
      <c r="X529" s="156" t="n"/>
      <c r="Y529" s="54" t="n">
        <v>43.55</v>
      </c>
      <c r="Z529" s="54" t="n">
        <v>3149</v>
      </c>
      <c r="AA529" s="55">
        <f>IF(AND(A529="", B529="", E529=""), "", IF(AB529="", "Válido", IF((LEN(AB529)-LEN(SUBSTITUTE(AB529,"; ","")))/2+1&gt;(LEN(AB529)-LEN(SUBSTITUTE(AB529,"[Aviso]","")))/7, "Con Incidencias", "Válido")))</f>
        <v/>
      </c>
      <c r="AB529" s="56">
        <f>IF(AND(A529="", B529="", E529=""), "", TEXTJOIN("; ", TRUE, IF(OR(TRIM(A529&amp;"")="", ISNUMBER(SEARCH("FALTA", A529))), "UPC faltante/inválido", ""), IF(AND(A529&lt;&gt;"", IFERROR(_xlfn.XMATCH(A529,$A$2:$A$653,0,1)&lt;&gt;_xlfn.XMATCH(A529,$A$2:$A$653,0,-1),FALSE)), "Código de barras duplicado", ""), IF(AND(E529&lt;&gt;"", COUNTIF($E$2:$E$653, E529)&gt;1), "SKU duplicado", ""), IF(OR(J529="", J529=""), "[Aviso] División no capturada ()", IF(ISNA(MATCH(J529, Criterios!$A$123:$A$126, 0)), "División no válida", "")), IF(OR(K529="", K529=""), "[Aviso] Categoría no capturada ()", IF(ISNA(MATCH(K529, Criterios!$A$81:$A$120, 0)), "Categoría no válida", IF(AND(J529&lt;&gt;"", J529&lt;&gt;"", J529&lt;&gt;VLOOKUP(K529, Criterios!$A$81:$B$120, 2, FALSE)), "División no coincide con Categoría", ""))), IF(OR(L529="", L529=""), "[Aviso] Género no capturado ()", IF(ISNA(MATCH(L529, Criterios!$B$123:$B$127, 0)), "Género no válido", "")), IF(OR(N529="", N529=""), "[Aviso] Temporada no capturada ()", IF(ISNA(MATCH(N529, Criterios!$C$123:$C$128, 0)), "Temporada no válida", "")), IF(OR(O529="", O529=""), "[Aviso] Ciclo de vida no capturado ()", IF(ISNA(MATCH(O529, Criterios!$D$123:$D$124, 0)), "Ciclo de vida no válido", ""))))</f>
        <v/>
      </c>
      <c r="AC529" s="56" t="n"/>
      <c r="AD529" s="51" t="n">
        <v>2</v>
      </c>
      <c r="AE529" s="156" t="n"/>
      <c r="AF529" s="51" t="n">
        <v>2</v>
      </c>
      <c r="AG529" s="156" t="inlineStr">
        <is>
          <t>Nuevo – NetSuite con existencia</t>
        </is>
      </c>
      <c r="AH52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9" s="156" t="inlineStr">
        <is>
          <t>No</t>
        </is>
      </c>
      <c r="AJ529" s="156" t="n"/>
      <c r="AK529" s="155" t="inlineStr">
        <is>
          <t>G1522_Extraccion_Articulos_NetSuite_2026-09-30.xlsx: fila 43956</t>
        </is>
      </c>
      <c r="AL529" s="58" t="n"/>
      <c r="AM529" s="58" t="n"/>
      <c r="AN529" s="155" t="n"/>
      <c r="AO529" s="59" t="n"/>
      <c r="AP529" s="59" t="n"/>
      <c r="AQ529" s="59" t="n"/>
      <c r="AR529" s="155" t="n"/>
    </row>
    <row r="530">
      <c r="A530" s="50" t="inlineStr">
        <is>
          <t>5056658711206</t>
        </is>
      </c>
      <c r="B530" s="51" t="inlineStr">
        <is>
          <t>91249</t>
        </is>
      </c>
      <c r="C530" s="156" t="inlineStr">
        <is>
          <t>REFLO</t>
        </is>
      </c>
      <c r="D530" s="156" t="n"/>
      <c r="E530" s="156" t="n"/>
      <c r="F530" s="156" t="n"/>
      <c r="G530" s="156" t="n"/>
      <c r="H530" s="156" t="inlineStr">
        <is>
          <t>REFLO</t>
        </is>
      </c>
      <c r="I530" s="156" t="n"/>
      <c r="J530" s="156" t="n"/>
      <c r="K530" s="156" t="n"/>
      <c r="L530" s="156" t="n"/>
      <c r="M530" s="156" t="n"/>
      <c r="N530" s="156" t="n"/>
      <c r="O530" s="156" t="n"/>
      <c r="P530" s="156" t="n"/>
      <c r="Q530" s="156" t="n"/>
      <c r="R530" s="156" t="n"/>
      <c r="S530" s="156" t="n"/>
      <c r="T530" s="156" t="n"/>
      <c r="U530" s="156" t="n"/>
      <c r="V530" s="156" t="inlineStr">
        <is>
          <t>PZS</t>
        </is>
      </c>
      <c r="W530" s="51" t="inlineStr">
        <is>
          <t>53101702</t>
        </is>
      </c>
      <c r="X530" s="156" t="n"/>
      <c r="Y530" s="54" t="n">
        <v>43.55</v>
      </c>
      <c r="Z530" s="54" t="n">
        <v>3149</v>
      </c>
      <c r="AA530" s="55">
        <f>IF(AND(A530="", B530="", E530=""), "", IF(AB530="", "Válido", IF((LEN(AB530)-LEN(SUBSTITUTE(AB530,"; ","")))/2+1&gt;(LEN(AB530)-LEN(SUBSTITUTE(AB530,"[Aviso]","")))/7, "Con Incidencias", "Válido")))</f>
        <v/>
      </c>
      <c r="AB530" s="56">
        <f>IF(AND(A530="", B530="", E530=""), "", TEXTJOIN("; ", TRUE, IF(OR(TRIM(A530&amp;"")="", ISNUMBER(SEARCH("FALTA", A530))), "UPC faltante/inválido", ""), IF(AND(A530&lt;&gt;"", IFERROR(_xlfn.XMATCH(A530,$A$2:$A$653,0,1)&lt;&gt;_xlfn.XMATCH(A530,$A$2:$A$653,0,-1),FALSE)), "Código de barras duplicado", ""), IF(AND(E530&lt;&gt;"", COUNTIF($E$2:$E$653, E530)&gt;1), "SKU duplicado", ""), IF(OR(J530="", J530=""), "[Aviso] División no capturada ()", IF(ISNA(MATCH(J530, Criterios!$A$123:$A$126, 0)), "División no válida", "")), IF(OR(K530="", K530=""), "[Aviso] Categoría no capturada ()", IF(ISNA(MATCH(K530, Criterios!$A$81:$A$120, 0)), "Categoría no válida", IF(AND(J530&lt;&gt;"", J530&lt;&gt;"", J530&lt;&gt;VLOOKUP(K530, Criterios!$A$81:$B$120, 2, FALSE)), "División no coincide con Categoría", ""))), IF(OR(L530="", L530=""), "[Aviso] Género no capturado ()", IF(ISNA(MATCH(L530, Criterios!$B$123:$B$127, 0)), "Género no válido", "")), IF(OR(N530="", N530=""), "[Aviso] Temporada no capturada ()", IF(ISNA(MATCH(N530, Criterios!$C$123:$C$128, 0)), "Temporada no válida", "")), IF(OR(O530="", O530=""), "[Aviso] Ciclo de vida no capturado ()", IF(ISNA(MATCH(O530, Criterios!$D$123:$D$124, 0)), "Ciclo de vida no válido", ""))))</f>
        <v/>
      </c>
      <c r="AC530" s="56" t="n"/>
      <c r="AD530" s="51" t="n">
        <v>1</v>
      </c>
      <c r="AE530" s="156" t="n"/>
      <c r="AF530" s="51" t="n">
        <v>1</v>
      </c>
      <c r="AG530" s="156" t="inlineStr">
        <is>
          <t>Nuevo – NetSuite con existencia</t>
        </is>
      </c>
      <c r="AH53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0" s="156" t="inlineStr">
        <is>
          <t>No</t>
        </is>
      </c>
      <c r="AJ530" s="156" t="n"/>
      <c r="AK530" s="155" t="inlineStr">
        <is>
          <t>G1522_Extraccion_Articulos_NetSuite_2026-09-30.xlsx: fila 43957</t>
        </is>
      </c>
      <c r="AL530" s="58" t="n"/>
      <c r="AM530" s="58" t="n"/>
      <c r="AN530" s="155" t="n"/>
      <c r="AO530" s="59" t="n"/>
      <c r="AP530" s="59" t="n"/>
      <c r="AQ530" s="59" t="n"/>
      <c r="AR530" s="155" t="n"/>
    </row>
    <row r="531">
      <c r="A531" s="50" t="inlineStr">
        <is>
          <t>5056658711213</t>
        </is>
      </c>
      <c r="B531" s="51" t="inlineStr">
        <is>
          <t>91250</t>
        </is>
      </c>
      <c r="C531" s="156" t="inlineStr">
        <is>
          <t>REFLO</t>
        </is>
      </c>
      <c r="D531" s="156" t="n"/>
      <c r="E531" s="156" t="n"/>
      <c r="F531" s="156" t="inlineStr">
        <is>
          <t>M</t>
        </is>
      </c>
      <c r="G531" s="156" t="inlineStr">
        <is>
          <t>M</t>
        </is>
      </c>
      <c r="H531" s="156" t="inlineStr">
        <is>
          <t>REFLO</t>
        </is>
      </c>
      <c r="I531" s="156" t="inlineStr">
        <is>
          <t>Tarim Hoodie</t>
        </is>
      </c>
      <c r="J531" s="156" t="inlineStr">
        <is>
          <t>Ropa</t>
        </is>
      </c>
      <c r="K531" s="156" t="inlineStr">
        <is>
          <t>Sudaderas</t>
        </is>
      </c>
      <c r="L531" s="156" t="n"/>
      <c r="M531" s="156" t="n"/>
      <c r="N531" s="156" t="n"/>
      <c r="O531" s="156" t="n"/>
      <c r="P531" s="156" t="inlineStr">
        <is>
          <t>Azul</t>
        </is>
      </c>
      <c r="Q531" s="156" t="n"/>
      <c r="R531" s="156" t="n"/>
      <c r="S531" s="156" t="n"/>
      <c r="T531" s="156" t="n"/>
      <c r="U531" s="156" t="n"/>
      <c r="V531" s="156" t="inlineStr">
        <is>
          <t>PZS</t>
        </is>
      </c>
      <c r="W531" s="51" t="inlineStr">
        <is>
          <t>53101702</t>
        </is>
      </c>
      <c r="X531" s="156" t="inlineStr">
        <is>
          <t>https://cdn.shopify.com/s/files/1/0589/6500/0397/files/211_b94cd100-d7be-430c-9b03-a4d496fbd28f.png?v=1769090041</t>
        </is>
      </c>
      <c r="Y531" s="54" t="n">
        <v>43.55</v>
      </c>
      <c r="Z531" s="54" t="n">
        <v>3149</v>
      </c>
      <c r="AA531" s="55">
        <f>IF(AND(A531="", B531="", E531=""), "", IF(AB531="", "Válido", IF((LEN(AB531)-LEN(SUBSTITUTE(AB531,"; ","")))/2+1&gt;(LEN(AB531)-LEN(SUBSTITUTE(AB531,"[Aviso]","")))/7, "Con Incidencias", "Válido")))</f>
        <v/>
      </c>
      <c r="AB531" s="56">
        <f>IF(AND(A531="", B531="", E531=""), "", TEXTJOIN("; ", TRUE, IF(OR(TRIM(A531&amp;"")="", ISNUMBER(SEARCH("FALTA", A531))), "UPC faltante/inválido", ""), IF(AND(A531&lt;&gt;"", IFERROR(_xlfn.XMATCH(A531,$A$2:$A$653,0,1)&lt;&gt;_xlfn.XMATCH(A531,$A$2:$A$653,0,-1),FALSE)), "Código de barras duplicado", ""), IF(AND(E531&lt;&gt;"", COUNTIF($E$2:$E$653, E531)&gt;1), "SKU duplicado", ""), IF(OR(J531="", J531=""), "[Aviso] División no capturada ()", IF(ISNA(MATCH(J531, Criterios!$A$123:$A$126, 0)), "División no válida", "")), IF(OR(K531="", K531=""), "[Aviso] Categoría no capturada ()", IF(ISNA(MATCH(K531, Criterios!$A$81:$A$120, 0)), "Categoría no válida", IF(AND(J531&lt;&gt;"", J531&lt;&gt;"", J531&lt;&gt;VLOOKUP(K531, Criterios!$A$81:$B$120, 2, FALSE)), "División no coincide con Categoría", ""))), IF(OR(L531="", L531=""), "[Aviso] Género no capturado ()", IF(ISNA(MATCH(L531, Criterios!$B$123:$B$127, 0)), "Género no válido", "")), IF(OR(N531="", N531=""), "[Aviso] Temporada no capturada ()", IF(ISNA(MATCH(N531, Criterios!$C$123:$C$128, 0)), "Temporada no válida", "")), IF(OR(O531="", O531=""), "[Aviso] Ciclo de vida no capturado ()", IF(ISNA(MATCH(O531, Criterios!$D$123:$D$124, 0)), "Ciclo de vida no válido", ""))))</f>
        <v/>
      </c>
      <c r="AC531" s="56" t="n"/>
      <c r="AD531" s="51" t="n">
        <v>0</v>
      </c>
      <c r="AE531" s="156" t="n"/>
      <c r="AF531" s="51" t="n">
        <v>0</v>
      </c>
      <c r="AG531" s="156" t="inlineStr">
        <is>
          <t>Nuevo – NetSuite sin existencia</t>
        </is>
      </c>
      <c r="AH531" s="156" t="inlineStr">
        <is>
          <t>Alta auditoría 30/09/2026 desde extracción NetSuite; Atributos WB vacíos en NetSuite (sin estilo, talla, descripción ni categoría): completar | Homologación G1522 06/10/2026: WB Categoría: «» → «Sudaderas» (Completado por investigación en línea) · Enlace de imagen: «» → «https://cdn.shopify.com/s/files/1/0589/6500/0397/files/211_b94cd100-d7be-430c-9b03-a4d496fbd28f.png?v=1769090041» (Completado por investigación en línea) · WB Color: «» → «Azul» (Completado por investigación en línea) · WB Talla: «» → «M» (Completado por investigación en línea) · WB Talla de EE. UU.: «» → «M» (Completado por investigación en línea) · WB Descripcion: «» → «Tarim Hoodie»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531" s="156" t="inlineStr">
        <is>
          <t>No</t>
        </is>
      </c>
      <c r="AJ531" s="156" t="n"/>
      <c r="AK531" s="155" t="inlineStr">
        <is>
          <t>G1522_Extraccion_Articulos_NetSuite_2026-09-30.xlsx: fila 43958 | Investigación en línea 06/10/2026: https://reflo.com/products/tarim-hoodie</t>
        </is>
      </c>
      <c r="AL531" s="58" t="n"/>
      <c r="AM531" s="58" t="n"/>
      <c r="AN531" s="155" t="n"/>
      <c r="AO531" s="59" t="n"/>
      <c r="AP531" s="59" t="n"/>
      <c r="AQ531" s="59" t="n"/>
      <c r="AR531" s="155" t="n"/>
    </row>
    <row r="532">
      <c r="A532" s="50" t="inlineStr">
        <is>
          <t>5056658711220</t>
        </is>
      </c>
      <c r="B532" s="51" t="inlineStr">
        <is>
          <t>91251</t>
        </is>
      </c>
      <c r="C532" s="156" t="inlineStr">
        <is>
          <t>REFLO</t>
        </is>
      </c>
      <c r="D532" s="156" t="n"/>
      <c r="E532" s="156" t="n"/>
      <c r="F532" s="156" t="inlineStr">
        <is>
          <t>L</t>
        </is>
      </c>
      <c r="G532" s="156" t="inlineStr">
        <is>
          <t>L</t>
        </is>
      </c>
      <c r="H532" s="156" t="inlineStr">
        <is>
          <t>REFLO</t>
        </is>
      </c>
      <c r="I532" s="156" t="inlineStr">
        <is>
          <t>Tarim Hoodie</t>
        </is>
      </c>
      <c r="J532" s="156" t="inlineStr">
        <is>
          <t>Ropa</t>
        </is>
      </c>
      <c r="K532" s="156" t="inlineStr">
        <is>
          <t>Sudaderas</t>
        </is>
      </c>
      <c r="L532" s="156" t="n"/>
      <c r="M532" s="156" t="n"/>
      <c r="N532" s="156" t="n"/>
      <c r="O532" s="156" t="n"/>
      <c r="P532" s="156" t="inlineStr">
        <is>
          <t>Azul</t>
        </is>
      </c>
      <c r="Q532" s="156" t="n"/>
      <c r="R532" s="156" t="n"/>
      <c r="S532" s="156" t="n"/>
      <c r="T532" s="156" t="n"/>
      <c r="U532" s="156" t="n"/>
      <c r="V532" s="156" t="inlineStr">
        <is>
          <t>PZS</t>
        </is>
      </c>
      <c r="W532" s="51" t="inlineStr">
        <is>
          <t>53101702</t>
        </is>
      </c>
      <c r="X532" s="156" t="inlineStr">
        <is>
          <t>https://cdn.shopify.com/s/files/1/0589/6500/0397/files/211_b94cd100-d7be-430c-9b03-a4d496fbd28f.png?v=1769090041</t>
        </is>
      </c>
      <c r="Y532" s="54" t="n">
        <v>43.55</v>
      </c>
      <c r="Z532" s="54" t="n">
        <v>3149</v>
      </c>
      <c r="AA532" s="55">
        <f>IF(AND(A532="", B532="", E532=""), "", IF(AB532="", "Válido", IF((LEN(AB532)-LEN(SUBSTITUTE(AB532,"; ","")))/2+1&gt;(LEN(AB532)-LEN(SUBSTITUTE(AB532,"[Aviso]","")))/7, "Con Incidencias", "Válido")))</f>
        <v/>
      </c>
      <c r="AB532" s="56">
        <f>IF(AND(A532="", B532="", E532=""), "", TEXTJOIN("; ", TRUE, IF(OR(TRIM(A532&amp;"")="", ISNUMBER(SEARCH("FALTA", A532))), "UPC faltante/inválido", ""), IF(AND(A532&lt;&gt;"", IFERROR(_xlfn.XMATCH(A532,$A$2:$A$653,0,1)&lt;&gt;_xlfn.XMATCH(A532,$A$2:$A$653,0,-1),FALSE)), "Código de barras duplicado", ""), IF(AND(E532&lt;&gt;"", COUNTIF($E$2:$E$653, E532)&gt;1), "SKU duplicado", ""), IF(OR(J532="", J532=""), "[Aviso] División no capturada ()", IF(ISNA(MATCH(J532, Criterios!$A$123:$A$126, 0)), "División no válida", "")), IF(OR(K532="", K532=""), "[Aviso] Categoría no capturada ()", IF(ISNA(MATCH(K532, Criterios!$A$81:$A$120, 0)), "Categoría no válida", IF(AND(J532&lt;&gt;"", J532&lt;&gt;"", J532&lt;&gt;VLOOKUP(K532, Criterios!$A$81:$B$120, 2, FALSE)), "División no coincide con Categoría", ""))), IF(OR(L532="", L532=""), "[Aviso] Género no capturado ()", IF(ISNA(MATCH(L532, Criterios!$B$123:$B$127, 0)), "Género no válido", "")), IF(OR(N532="", N532=""), "[Aviso] Temporada no capturada ()", IF(ISNA(MATCH(N532, Criterios!$C$123:$C$128, 0)), "Temporada no válida", "")), IF(OR(O532="", O532=""), "[Aviso] Ciclo de vida no capturado ()", IF(ISNA(MATCH(O532, Criterios!$D$123:$D$124, 0)), "Ciclo de vida no válido", ""))))</f>
        <v/>
      </c>
      <c r="AC532" s="56" t="n"/>
      <c r="AD532" s="51" t="n">
        <v>2</v>
      </c>
      <c r="AE532" s="156" t="n"/>
      <c r="AF532" s="51" t="n">
        <v>2</v>
      </c>
      <c r="AG532" s="156" t="inlineStr">
        <is>
          <t>Nuevo – NetSuite con existencia</t>
        </is>
      </c>
      <c r="AH532" s="156" t="inlineStr">
        <is>
          <t>Alta auditoría 30/09/2026 desde extracción NetSuite; Atributos WB vacíos en NetSuite (sin estilo, talla, descripción ni categoría): completar | Homologación G1522 06/10/2026: WB Categoría: «» → «Sudaderas» (Completado por investigación en línea) · Enlace de imagen: «» → «https://cdn.shopify.com/s/files/1/0589/6500/0397/files/211_b94cd100-d7be-430c-9b03-a4d496fbd28f.png?v=1769090041» (Completado por investigación en línea) · WB Color: «» → «Azul» (Completado por investigación en línea) · WB Talla: «» → «L» (Completado por investigación en línea) · WB Talla de EE. UU.: «» → «L» (Completado por investigación en línea) · WB Descripcion: «» → «Tarim Hoodie»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532" s="156" t="inlineStr">
        <is>
          <t>No</t>
        </is>
      </c>
      <c r="AJ532" s="156" t="n"/>
      <c r="AK532" s="155" t="inlineStr">
        <is>
          <t>G1522_Extraccion_Articulos_NetSuite_2026-09-30.xlsx: fila 43959 | Investigación en línea 06/10/2026: https://reflo.com/products/tarim-hoodie</t>
        </is>
      </c>
      <c r="AL532" s="58" t="n"/>
      <c r="AM532" s="58" t="n"/>
      <c r="AN532" s="155" t="n"/>
      <c r="AO532" s="59" t="n"/>
      <c r="AP532" s="59" t="n"/>
      <c r="AQ532" s="59" t="n"/>
      <c r="AR532" s="155" t="n"/>
    </row>
    <row r="533">
      <c r="A533" s="50" t="inlineStr">
        <is>
          <t>5056658711237</t>
        </is>
      </c>
      <c r="B533" s="51" t="inlineStr">
        <is>
          <t>91252</t>
        </is>
      </c>
      <c r="C533" s="156" t="inlineStr">
        <is>
          <t>REFLO</t>
        </is>
      </c>
      <c r="D533" s="156" t="n"/>
      <c r="E533" s="156" t="n"/>
      <c r="F533" s="156" t="n"/>
      <c r="G533" s="156" t="n"/>
      <c r="H533" s="156" t="inlineStr">
        <is>
          <t>REFLO</t>
        </is>
      </c>
      <c r="I533" s="156" t="n"/>
      <c r="J533" s="156" t="n"/>
      <c r="K533" s="156" t="n"/>
      <c r="L533" s="156" t="n"/>
      <c r="M533" s="156" t="n"/>
      <c r="N533" s="156" t="n"/>
      <c r="O533" s="156" t="n"/>
      <c r="P533" s="156" t="n"/>
      <c r="Q533" s="156" t="n"/>
      <c r="R533" s="156" t="n"/>
      <c r="S533" s="156" t="n"/>
      <c r="T533" s="156" t="n"/>
      <c r="U533" s="156" t="n"/>
      <c r="V533" s="156" t="inlineStr">
        <is>
          <t>PZS</t>
        </is>
      </c>
      <c r="W533" s="51" t="inlineStr">
        <is>
          <t>53101702</t>
        </is>
      </c>
      <c r="X533" s="156" t="n"/>
      <c r="Y533" s="54" t="n">
        <v>43.55</v>
      </c>
      <c r="Z533" s="54" t="n">
        <v>3149</v>
      </c>
      <c r="AA533" s="55">
        <f>IF(AND(A533="", B533="", E533=""), "", IF(AB533="", "Válido", IF((LEN(AB533)-LEN(SUBSTITUTE(AB533,"; ","")))/2+1&gt;(LEN(AB533)-LEN(SUBSTITUTE(AB533,"[Aviso]","")))/7, "Con Incidencias", "Válido")))</f>
        <v/>
      </c>
      <c r="AB533" s="56">
        <f>IF(AND(A533="", B533="", E533=""), "", TEXTJOIN("; ", TRUE, IF(OR(TRIM(A533&amp;"")="", ISNUMBER(SEARCH("FALTA", A533))), "UPC faltante/inválido", ""), IF(AND(A533&lt;&gt;"", IFERROR(_xlfn.XMATCH(A533,$A$2:$A$653,0,1)&lt;&gt;_xlfn.XMATCH(A533,$A$2:$A$653,0,-1),FALSE)), "Código de barras duplicado", ""), IF(AND(E533&lt;&gt;"", COUNTIF($E$2:$E$653, E533)&gt;1), "SKU duplicado", ""), IF(OR(J533="", J533=""), "[Aviso] División no capturada ()", IF(ISNA(MATCH(J533, Criterios!$A$123:$A$126, 0)), "División no válida", "")), IF(OR(K533="", K533=""), "[Aviso] Categoría no capturada ()", IF(ISNA(MATCH(K533, Criterios!$A$81:$A$120, 0)), "Categoría no válida", IF(AND(J533&lt;&gt;"", J533&lt;&gt;"", J533&lt;&gt;VLOOKUP(K533, Criterios!$A$81:$B$120, 2, FALSE)), "División no coincide con Categoría", ""))), IF(OR(L533="", L533=""), "[Aviso] Género no capturado ()", IF(ISNA(MATCH(L533, Criterios!$B$123:$B$127, 0)), "Género no válido", "")), IF(OR(N533="", N533=""), "[Aviso] Temporada no capturada ()", IF(ISNA(MATCH(N533, Criterios!$C$123:$C$128, 0)), "Temporada no válida", "")), IF(OR(O533="", O533=""), "[Aviso] Ciclo de vida no capturado ()", IF(ISNA(MATCH(O533, Criterios!$D$123:$D$124, 0)), "Ciclo de vida no válido", ""))))</f>
        <v/>
      </c>
      <c r="AC533" s="56" t="n"/>
      <c r="AD533" s="51" t="n">
        <v>4</v>
      </c>
      <c r="AE533" s="156" t="n"/>
      <c r="AF533" s="51" t="n">
        <v>4</v>
      </c>
      <c r="AG533" s="156" t="inlineStr">
        <is>
          <t>Nuevo – NetSuite con existencia</t>
        </is>
      </c>
      <c r="AH53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3" s="156" t="inlineStr">
        <is>
          <t>No</t>
        </is>
      </c>
      <c r="AJ533" s="156" t="n"/>
      <c r="AK533" s="155" t="inlineStr">
        <is>
          <t>G1522_Extraccion_Articulos_NetSuite_2026-09-30.xlsx: fila 43960</t>
        </is>
      </c>
      <c r="AL533" s="58" t="n"/>
      <c r="AM533" s="58" t="n"/>
      <c r="AN533" s="155" t="n"/>
      <c r="AO533" s="59" t="n"/>
      <c r="AP533" s="59" t="n"/>
      <c r="AQ533" s="59" t="n"/>
      <c r="AR533" s="155" t="n"/>
    </row>
    <row r="534">
      <c r="A534" s="50" t="inlineStr">
        <is>
          <t>5056658711244</t>
        </is>
      </c>
      <c r="B534" s="51" t="inlineStr">
        <is>
          <t>91253</t>
        </is>
      </c>
      <c r="C534" s="156" t="inlineStr">
        <is>
          <t>REFLO</t>
        </is>
      </c>
      <c r="D534" s="156" t="n"/>
      <c r="E534" s="156" t="n"/>
      <c r="F534" s="156" t="n"/>
      <c r="G534" s="156" t="n"/>
      <c r="H534" s="156" t="inlineStr">
        <is>
          <t>REFLO</t>
        </is>
      </c>
      <c r="I534" s="156" t="n"/>
      <c r="J534" s="156" t="n"/>
      <c r="K534" s="156" t="n"/>
      <c r="L534" s="156" t="n"/>
      <c r="M534" s="156" t="n"/>
      <c r="N534" s="156" t="n"/>
      <c r="O534" s="156" t="n"/>
      <c r="P534" s="156" t="n"/>
      <c r="Q534" s="156" t="n"/>
      <c r="R534" s="156" t="n"/>
      <c r="S534" s="156" t="n"/>
      <c r="T534" s="156" t="n"/>
      <c r="U534" s="156" t="n"/>
      <c r="V534" s="156" t="inlineStr">
        <is>
          <t>PZS</t>
        </is>
      </c>
      <c r="W534" s="51" t="inlineStr">
        <is>
          <t>53101702</t>
        </is>
      </c>
      <c r="X534" s="156" t="n"/>
      <c r="Y534" s="54" t="n">
        <v>43.55</v>
      </c>
      <c r="Z534" s="54" t="n">
        <v>3149</v>
      </c>
      <c r="AA534" s="55">
        <f>IF(AND(A534="", B534="", E534=""), "", IF(AB534="", "Válido", IF((LEN(AB534)-LEN(SUBSTITUTE(AB534,"; ","")))/2+1&gt;(LEN(AB534)-LEN(SUBSTITUTE(AB534,"[Aviso]","")))/7, "Con Incidencias", "Válido")))</f>
        <v/>
      </c>
      <c r="AB534" s="56">
        <f>IF(AND(A534="", B534="", E534=""), "", TEXTJOIN("; ", TRUE, IF(OR(TRIM(A534&amp;"")="", ISNUMBER(SEARCH("FALTA", A534))), "UPC faltante/inválido", ""), IF(AND(A534&lt;&gt;"", IFERROR(_xlfn.XMATCH(A534,$A$2:$A$653,0,1)&lt;&gt;_xlfn.XMATCH(A534,$A$2:$A$653,0,-1),FALSE)), "Código de barras duplicado", ""), IF(AND(E534&lt;&gt;"", COUNTIF($E$2:$E$653, E534)&gt;1), "SKU duplicado", ""), IF(OR(J534="", J534=""), "[Aviso] División no capturada ()", IF(ISNA(MATCH(J534, Criterios!$A$123:$A$126, 0)), "División no válida", "")), IF(OR(K534="", K534=""), "[Aviso] Categoría no capturada ()", IF(ISNA(MATCH(K534, Criterios!$A$81:$A$120, 0)), "Categoría no válida", IF(AND(J534&lt;&gt;"", J534&lt;&gt;"", J534&lt;&gt;VLOOKUP(K534, Criterios!$A$81:$B$120, 2, FALSE)), "División no coincide con Categoría", ""))), IF(OR(L534="", L534=""), "[Aviso] Género no capturado ()", IF(ISNA(MATCH(L534, Criterios!$B$123:$B$127, 0)), "Género no válido", "")), IF(OR(N534="", N534=""), "[Aviso] Temporada no capturada ()", IF(ISNA(MATCH(N534, Criterios!$C$123:$C$128, 0)), "Temporada no válida", "")), IF(OR(O534="", O534=""), "[Aviso] Ciclo de vida no capturado ()", IF(ISNA(MATCH(O534, Criterios!$D$123:$D$124, 0)), "Ciclo de vida no válido", ""))))</f>
        <v/>
      </c>
      <c r="AC534" s="56" t="n"/>
      <c r="AD534" s="51" t="n">
        <v>2</v>
      </c>
      <c r="AE534" s="156" t="n"/>
      <c r="AF534" s="51" t="n">
        <v>2</v>
      </c>
      <c r="AG534" s="156" t="inlineStr">
        <is>
          <t>Nuevo – NetSuite con existencia</t>
        </is>
      </c>
      <c r="AH53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4" s="156" t="inlineStr">
        <is>
          <t>No</t>
        </is>
      </c>
      <c r="AJ534" s="156" t="n"/>
      <c r="AK534" s="155" t="inlineStr">
        <is>
          <t>G1522_Extraccion_Articulos_NetSuite_2026-09-30.xlsx: fila 43961</t>
        </is>
      </c>
      <c r="AL534" s="58" t="n"/>
      <c r="AM534" s="58" t="n"/>
      <c r="AN534" s="155" t="n"/>
      <c r="AO534" s="59" t="n"/>
      <c r="AP534" s="59" t="n"/>
      <c r="AQ534" s="59" t="n"/>
      <c r="AR534" s="155" t="n"/>
    </row>
    <row r="535">
      <c r="A535" s="50" t="inlineStr">
        <is>
          <t>5056658713972</t>
        </is>
      </c>
      <c r="B535" s="51" t="inlineStr">
        <is>
          <t>91254</t>
        </is>
      </c>
      <c r="C535" s="156" t="inlineStr">
        <is>
          <t>REFLO</t>
        </is>
      </c>
      <c r="D535" s="156" t="n"/>
      <c r="E535" s="156" t="n"/>
      <c r="F535" s="156" t="n"/>
      <c r="G535" s="156" t="n"/>
      <c r="H535" s="156" t="inlineStr">
        <is>
          <t>REFLO</t>
        </is>
      </c>
      <c r="I535" s="156" t="n"/>
      <c r="J535" s="156" t="n"/>
      <c r="K535" s="156" t="n"/>
      <c r="L535" s="156" t="n"/>
      <c r="M535" s="156" t="n"/>
      <c r="N535" s="156" t="n"/>
      <c r="O535" s="156" t="n"/>
      <c r="P535" s="156" t="n"/>
      <c r="Q535" s="156" t="n"/>
      <c r="R535" s="156" t="n"/>
      <c r="S535" s="156" t="n"/>
      <c r="T535" s="156" t="n"/>
      <c r="U535" s="156" t="n"/>
      <c r="V535" s="156" t="inlineStr">
        <is>
          <t>PZS</t>
        </is>
      </c>
      <c r="W535" s="51" t="inlineStr">
        <is>
          <t>53101702</t>
        </is>
      </c>
      <c r="X535" s="156" t="n"/>
      <c r="Y535" s="54" t="n">
        <v>43.55</v>
      </c>
      <c r="Z535" s="54" t="n">
        <v>3149</v>
      </c>
      <c r="AA535" s="55">
        <f>IF(AND(A535="", B535="", E535=""), "", IF(AB535="", "Válido", IF((LEN(AB535)-LEN(SUBSTITUTE(AB535,"; ","")))/2+1&gt;(LEN(AB535)-LEN(SUBSTITUTE(AB535,"[Aviso]","")))/7, "Con Incidencias", "Válido")))</f>
        <v/>
      </c>
      <c r="AB535" s="56">
        <f>IF(AND(A535="", B535="", E535=""), "", TEXTJOIN("; ", TRUE, IF(OR(TRIM(A535&amp;"")="", ISNUMBER(SEARCH("FALTA", A535))), "UPC faltante/inválido", ""), IF(AND(A535&lt;&gt;"", IFERROR(_xlfn.XMATCH(A535,$A$2:$A$653,0,1)&lt;&gt;_xlfn.XMATCH(A535,$A$2:$A$653,0,-1),FALSE)), "Código de barras duplicado", ""), IF(AND(E535&lt;&gt;"", COUNTIF($E$2:$E$653, E535)&gt;1), "SKU duplicado", ""), IF(OR(J535="", J535=""), "[Aviso] División no capturada ()", IF(ISNA(MATCH(J535, Criterios!$A$123:$A$126, 0)), "División no válida", "")), IF(OR(K535="", K535=""), "[Aviso] Categoría no capturada ()", IF(ISNA(MATCH(K535, Criterios!$A$81:$A$120, 0)), "Categoría no válida", IF(AND(J535&lt;&gt;"", J535&lt;&gt;"", J535&lt;&gt;VLOOKUP(K535, Criterios!$A$81:$B$120, 2, FALSE)), "División no coincide con Categoría", ""))), IF(OR(L535="", L535=""), "[Aviso] Género no capturado ()", IF(ISNA(MATCH(L535, Criterios!$B$123:$B$127, 0)), "Género no válido", "")), IF(OR(N535="", N535=""), "[Aviso] Temporada no capturada ()", IF(ISNA(MATCH(N535, Criterios!$C$123:$C$128, 0)), "Temporada no válida", "")), IF(OR(O535="", O535=""), "[Aviso] Ciclo de vida no capturado ()", IF(ISNA(MATCH(O535, Criterios!$D$123:$D$124, 0)), "Ciclo de vida no válido", ""))))</f>
        <v/>
      </c>
      <c r="AC535" s="56" t="n"/>
      <c r="AD535" s="51" t="n">
        <v>2</v>
      </c>
      <c r="AE535" s="156" t="n"/>
      <c r="AF535" s="51" t="n">
        <v>2</v>
      </c>
      <c r="AG535" s="156" t="inlineStr">
        <is>
          <t>Nuevo – NetSuite con existencia</t>
        </is>
      </c>
      <c r="AH53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5" s="156" t="inlineStr">
        <is>
          <t>No</t>
        </is>
      </c>
      <c r="AJ535" s="156" t="n"/>
      <c r="AK535" s="155" t="inlineStr">
        <is>
          <t>G1522_Extraccion_Articulos_NetSuite_2026-09-30.xlsx: fila 43962</t>
        </is>
      </c>
      <c r="AL535" s="58" t="n"/>
      <c r="AM535" s="58" t="n"/>
      <c r="AN535" s="155" t="n"/>
      <c r="AO535" s="59" t="n"/>
      <c r="AP535" s="59" t="n"/>
      <c r="AQ535" s="59" t="n"/>
      <c r="AR535" s="155" t="n"/>
    </row>
    <row r="536">
      <c r="A536" s="50" t="inlineStr">
        <is>
          <t>5056658710674</t>
        </is>
      </c>
      <c r="B536" s="51" t="inlineStr">
        <is>
          <t>91255</t>
        </is>
      </c>
      <c r="C536" s="156" t="inlineStr">
        <is>
          <t>REFLO</t>
        </is>
      </c>
      <c r="D536" s="156" t="n"/>
      <c r="E536" s="156" t="n"/>
      <c r="F536" s="156" t="n"/>
      <c r="G536" s="156" t="n"/>
      <c r="H536" s="156" t="inlineStr">
        <is>
          <t>REFLO</t>
        </is>
      </c>
      <c r="I536" s="156" t="n"/>
      <c r="J536" s="156" t="n"/>
      <c r="K536" s="156" t="n"/>
      <c r="L536" s="156" t="n"/>
      <c r="M536" s="156" t="n"/>
      <c r="N536" s="156" t="n"/>
      <c r="O536" s="156" t="n"/>
      <c r="P536" s="156" t="n"/>
      <c r="Q536" s="156" t="n"/>
      <c r="R536" s="156" t="n"/>
      <c r="S536" s="156" t="n"/>
      <c r="T536" s="156" t="n"/>
      <c r="U536" s="156" t="n"/>
      <c r="V536" s="156" t="inlineStr">
        <is>
          <t>PZS</t>
        </is>
      </c>
      <c r="W536" s="51" t="inlineStr">
        <is>
          <t>53101702</t>
        </is>
      </c>
      <c r="X536" s="156" t="n"/>
      <c r="Y536" s="54" t="n">
        <v>34.45</v>
      </c>
      <c r="Z536" s="54" t="n">
        <v>2499</v>
      </c>
      <c r="AA536" s="55">
        <f>IF(AND(A536="", B536="", E536=""), "", IF(AB536="", "Válido", IF((LEN(AB536)-LEN(SUBSTITUTE(AB536,"; ","")))/2+1&gt;(LEN(AB536)-LEN(SUBSTITUTE(AB536,"[Aviso]","")))/7, "Con Incidencias", "Válido")))</f>
        <v/>
      </c>
      <c r="AB536" s="56">
        <f>IF(AND(A536="", B536="", E536=""), "", TEXTJOIN("; ", TRUE, IF(OR(TRIM(A536&amp;"")="", ISNUMBER(SEARCH("FALTA", A536))), "UPC faltante/inválido", ""), IF(AND(A536&lt;&gt;"", IFERROR(_xlfn.XMATCH(A536,$A$2:$A$653,0,1)&lt;&gt;_xlfn.XMATCH(A536,$A$2:$A$653,0,-1),FALSE)), "Código de barras duplicado", ""), IF(AND(E536&lt;&gt;"", COUNTIF($E$2:$E$653, E536)&gt;1), "SKU duplicado", ""), IF(OR(J536="", J536=""), "[Aviso] División no capturada ()", IF(ISNA(MATCH(J536, Criterios!$A$123:$A$126, 0)), "División no válida", "")), IF(OR(K536="", K536=""), "[Aviso] Categoría no capturada ()", IF(ISNA(MATCH(K536, Criterios!$A$81:$A$120, 0)), "Categoría no válida", IF(AND(J536&lt;&gt;"", J536&lt;&gt;"", J536&lt;&gt;VLOOKUP(K536, Criterios!$A$81:$B$120, 2, FALSE)), "División no coincide con Categoría", ""))), IF(OR(L536="", L536=""), "[Aviso] Género no capturado ()", IF(ISNA(MATCH(L536, Criterios!$B$123:$B$127, 0)), "Género no válido", "")), IF(OR(N536="", N536=""), "[Aviso] Temporada no capturada ()", IF(ISNA(MATCH(N536, Criterios!$C$123:$C$128, 0)), "Temporada no válida", "")), IF(OR(O536="", O536=""), "[Aviso] Ciclo de vida no capturado ()", IF(ISNA(MATCH(O536, Criterios!$D$123:$D$124, 0)), "Ciclo de vida no válido", ""))))</f>
        <v/>
      </c>
      <c r="AC536" s="56" t="n"/>
      <c r="AD536" s="51" t="n">
        <v>0</v>
      </c>
      <c r="AE536" s="156" t="n"/>
      <c r="AF536" s="51" t="n">
        <v>0</v>
      </c>
      <c r="AG536" s="156" t="inlineStr">
        <is>
          <t>Nuevo – NetSuite sin existencia</t>
        </is>
      </c>
      <c r="AH53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6" s="156" t="inlineStr">
        <is>
          <t>No</t>
        </is>
      </c>
      <c r="AJ536" s="156" t="n"/>
      <c r="AK536" s="155" t="inlineStr">
        <is>
          <t>G1522_Extraccion_Articulos_NetSuite_2026-09-30.xlsx: fila 43963</t>
        </is>
      </c>
      <c r="AL536" s="58" t="n"/>
      <c r="AM536" s="58" t="n"/>
      <c r="AN536" s="155" t="n"/>
      <c r="AO536" s="59" t="n"/>
      <c r="AP536" s="59" t="n"/>
      <c r="AQ536" s="59" t="n"/>
      <c r="AR536" s="155" t="n"/>
    </row>
    <row r="537">
      <c r="A537" s="50" t="inlineStr">
        <is>
          <t>5056658710681</t>
        </is>
      </c>
      <c r="B537" s="51" t="inlineStr">
        <is>
          <t>91256</t>
        </is>
      </c>
      <c r="C537" s="156" t="inlineStr">
        <is>
          <t>REFLO</t>
        </is>
      </c>
      <c r="D537" s="156" t="n"/>
      <c r="E537" s="156" t="n"/>
      <c r="F537" s="156" t="n"/>
      <c r="G537" s="156" t="n"/>
      <c r="H537" s="156" t="inlineStr">
        <is>
          <t>REFLO</t>
        </is>
      </c>
      <c r="I537" s="156" t="n"/>
      <c r="J537" s="156" t="n"/>
      <c r="K537" s="156" t="n"/>
      <c r="L537" s="156" t="n"/>
      <c r="M537" s="156" t="n"/>
      <c r="N537" s="156" t="n"/>
      <c r="O537" s="156" t="n"/>
      <c r="P537" s="156" t="n"/>
      <c r="Q537" s="156" t="n"/>
      <c r="R537" s="156" t="n"/>
      <c r="S537" s="156" t="n"/>
      <c r="T537" s="156" t="n"/>
      <c r="U537" s="156" t="n"/>
      <c r="V537" s="156" t="inlineStr">
        <is>
          <t>PZS</t>
        </is>
      </c>
      <c r="W537" s="51" t="inlineStr">
        <is>
          <t>53101702</t>
        </is>
      </c>
      <c r="X537" s="156" t="n"/>
      <c r="Y537" s="54" t="n">
        <v>34.45</v>
      </c>
      <c r="Z537" s="54" t="n">
        <v>2499</v>
      </c>
      <c r="AA537" s="55">
        <f>IF(AND(A537="", B537="", E537=""), "", IF(AB537="", "Válido", IF((LEN(AB537)-LEN(SUBSTITUTE(AB537,"; ","")))/2+1&gt;(LEN(AB537)-LEN(SUBSTITUTE(AB537,"[Aviso]","")))/7, "Con Incidencias", "Válido")))</f>
        <v/>
      </c>
      <c r="AB537" s="56">
        <f>IF(AND(A537="", B537="", E537=""), "", TEXTJOIN("; ", TRUE, IF(OR(TRIM(A537&amp;"")="", ISNUMBER(SEARCH("FALTA", A537))), "UPC faltante/inválido", ""), IF(AND(A537&lt;&gt;"", IFERROR(_xlfn.XMATCH(A537,$A$2:$A$653,0,1)&lt;&gt;_xlfn.XMATCH(A537,$A$2:$A$653,0,-1),FALSE)), "Código de barras duplicado", ""), IF(AND(E537&lt;&gt;"", COUNTIF($E$2:$E$653, E537)&gt;1), "SKU duplicado", ""), IF(OR(J537="", J537=""), "[Aviso] División no capturada ()", IF(ISNA(MATCH(J537, Criterios!$A$123:$A$126, 0)), "División no válida", "")), IF(OR(K537="", K537=""), "[Aviso] Categoría no capturada ()", IF(ISNA(MATCH(K537, Criterios!$A$81:$A$120, 0)), "Categoría no válida", IF(AND(J537&lt;&gt;"", J537&lt;&gt;"", J537&lt;&gt;VLOOKUP(K537, Criterios!$A$81:$B$120, 2, FALSE)), "División no coincide con Categoría", ""))), IF(OR(L537="", L537=""), "[Aviso] Género no capturado ()", IF(ISNA(MATCH(L537, Criterios!$B$123:$B$127, 0)), "Género no válido", "")), IF(OR(N537="", N537=""), "[Aviso] Temporada no capturada ()", IF(ISNA(MATCH(N537, Criterios!$C$123:$C$128, 0)), "Temporada no válida", "")), IF(OR(O537="", O537=""), "[Aviso] Ciclo de vida no capturado ()", IF(ISNA(MATCH(O537, Criterios!$D$123:$D$124, 0)), "Ciclo de vida no válido", ""))))</f>
        <v/>
      </c>
      <c r="AC537" s="56" t="n"/>
      <c r="AD537" s="51" t="n">
        <v>0</v>
      </c>
      <c r="AE537" s="156" t="n"/>
      <c r="AF537" s="51" t="n">
        <v>0</v>
      </c>
      <c r="AG537" s="156" t="inlineStr">
        <is>
          <t>Nuevo – NetSuite sin existencia</t>
        </is>
      </c>
      <c r="AH53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7" s="156" t="inlineStr">
        <is>
          <t>No</t>
        </is>
      </c>
      <c r="AJ537" s="156" t="n"/>
      <c r="AK537" s="155" t="inlineStr">
        <is>
          <t>G1522_Extraccion_Articulos_NetSuite_2026-09-30.xlsx: fila 43964</t>
        </is>
      </c>
      <c r="AL537" s="58" t="n"/>
      <c r="AM537" s="58" t="n"/>
      <c r="AN537" s="155" t="n"/>
      <c r="AO537" s="59" t="n"/>
      <c r="AP537" s="59" t="n"/>
      <c r="AQ537" s="59" t="n"/>
      <c r="AR537" s="155" t="n"/>
    </row>
    <row r="538">
      <c r="A538" s="50" t="inlineStr">
        <is>
          <t>5056658710698</t>
        </is>
      </c>
      <c r="B538" s="51" t="inlineStr">
        <is>
          <t>91257</t>
        </is>
      </c>
      <c r="C538" s="156" t="inlineStr">
        <is>
          <t>REFLO</t>
        </is>
      </c>
      <c r="D538" s="156" t="n"/>
      <c r="E538" s="156" t="n"/>
      <c r="F538" s="156" t="n"/>
      <c r="G538" s="156" t="n"/>
      <c r="H538" s="156" t="inlineStr">
        <is>
          <t>REFLO</t>
        </is>
      </c>
      <c r="I538" s="156" t="n"/>
      <c r="J538" s="156" t="n"/>
      <c r="K538" s="156" t="n"/>
      <c r="L538" s="156" t="n"/>
      <c r="M538" s="156" t="n"/>
      <c r="N538" s="156" t="n"/>
      <c r="O538" s="156" t="n"/>
      <c r="P538" s="156" t="n"/>
      <c r="Q538" s="156" t="n"/>
      <c r="R538" s="156" t="n"/>
      <c r="S538" s="156" t="n"/>
      <c r="T538" s="156" t="n"/>
      <c r="U538" s="156" t="n"/>
      <c r="V538" s="156" t="inlineStr">
        <is>
          <t>PZS</t>
        </is>
      </c>
      <c r="W538" s="51" t="inlineStr">
        <is>
          <t>53101702</t>
        </is>
      </c>
      <c r="X538" s="156" t="n"/>
      <c r="Y538" s="54" t="n">
        <v>34.45</v>
      </c>
      <c r="Z538" s="54" t="n">
        <v>2499</v>
      </c>
      <c r="AA538" s="55">
        <f>IF(AND(A538="", B538="", E538=""), "", IF(AB538="", "Válido", IF((LEN(AB538)-LEN(SUBSTITUTE(AB538,"; ","")))/2+1&gt;(LEN(AB538)-LEN(SUBSTITUTE(AB538,"[Aviso]","")))/7, "Con Incidencias", "Válido")))</f>
        <v/>
      </c>
      <c r="AB538" s="56">
        <f>IF(AND(A538="", B538="", E538=""), "", TEXTJOIN("; ", TRUE, IF(OR(TRIM(A538&amp;"")="", ISNUMBER(SEARCH("FALTA", A538))), "UPC faltante/inválido", ""), IF(AND(A538&lt;&gt;"", IFERROR(_xlfn.XMATCH(A538,$A$2:$A$653,0,1)&lt;&gt;_xlfn.XMATCH(A538,$A$2:$A$653,0,-1),FALSE)), "Código de barras duplicado", ""), IF(AND(E538&lt;&gt;"", COUNTIF($E$2:$E$653, E538)&gt;1), "SKU duplicado", ""), IF(OR(J538="", J538=""), "[Aviso] División no capturada ()", IF(ISNA(MATCH(J538, Criterios!$A$123:$A$126, 0)), "División no válida", "")), IF(OR(K538="", K538=""), "[Aviso] Categoría no capturada ()", IF(ISNA(MATCH(K538, Criterios!$A$81:$A$120, 0)), "Categoría no válida", IF(AND(J538&lt;&gt;"", J538&lt;&gt;"", J538&lt;&gt;VLOOKUP(K538, Criterios!$A$81:$B$120, 2, FALSE)), "División no coincide con Categoría", ""))), IF(OR(L538="", L538=""), "[Aviso] Género no capturado ()", IF(ISNA(MATCH(L538, Criterios!$B$123:$B$127, 0)), "Género no válido", "")), IF(OR(N538="", N538=""), "[Aviso] Temporada no capturada ()", IF(ISNA(MATCH(N538, Criterios!$C$123:$C$128, 0)), "Temporada no válida", "")), IF(OR(O538="", O538=""), "[Aviso] Ciclo de vida no capturado ()", IF(ISNA(MATCH(O538, Criterios!$D$123:$D$124, 0)), "Ciclo de vida no válido", ""))))</f>
        <v/>
      </c>
      <c r="AC538" s="56" t="n"/>
      <c r="AD538" s="51" t="n">
        <v>4</v>
      </c>
      <c r="AE538" s="156" t="n"/>
      <c r="AF538" s="51" t="n">
        <v>4</v>
      </c>
      <c r="AG538" s="156" t="inlineStr">
        <is>
          <t>Nuevo – NetSuite con existencia</t>
        </is>
      </c>
      <c r="AH53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8" s="156" t="inlineStr">
        <is>
          <t>No</t>
        </is>
      </c>
      <c r="AJ538" s="156" t="n"/>
      <c r="AK538" s="155" t="inlineStr">
        <is>
          <t>G1522_Extraccion_Articulos_NetSuite_2026-09-30.xlsx: fila 43965</t>
        </is>
      </c>
      <c r="AL538" s="58" t="n"/>
      <c r="AM538" s="58" t="n"/>
      <c r="AN538" s="155" t="n"/>
      <c r="AO538" s="59" t="n"/>
      <c r="AP538" s="59" t="n"/>
      <c r="AQ538" s="59" t="n"/>
      <c r="AR538" s="155" t="n"/>
    </row>
    <row r="539">
      <c r="A539" s="50" t="inlineStr">
        <is>
          <t>5056658710704</t>
        </is>
      </c>
      <c r="B539" s="51" t="inlineStr">
        <is>
          <t>91258</t>
        </is>
      </c>
      <c r="C539" s="156" t="inlineStr">
        <is>
          <t>REFLO</t>
        </is>
      </c>
      <c r="D539" s="156" t="n"/>
      <c r="E539" s="156" t="n"/>
      <c r="F539" s="156" t="n"/>
      <c r="G539" s="156" t="n"/>
      <c r="H539" s="156" t="inlineStr">
        <is>
          <t>REFLO</t>
        </is>
      </c>
      <c r="I539" s="156" t="n"/>
      <c r="J539" s="156" t="n"/>
      <c r="K539" s="156" t="n"/>
      <c r="L539" s="156" t="n"/>
      <c r="M539" s="156" t="n"/>
      <c r="N539" s="156" t="n"/>
      <c r="O539" s="156" t="n"/>
      <c r="P539" s="156" t="n"/>
      <c r="Q539" s="156" t="n"/>
      <c r="R539" s="156" t="n"/>
      <c r="S539" s="156" t="n"/>
      <c r="T539" s="156" t="n"/>
      <c r="U539" s="156" t="n"/>
      <c r="V539" s="156" t="inlineStr">
        <is>
          <t>PZS</t>
        </is>
      </c>
      <c r="W539" s="51" t="inlineStr">
        <is>
          <t>53101702</t>
        </is>
      </c>
      <c r="X539" s="156" t="n"/>
      <c r="Y539" s="54" t="n">
        <v>34.45</v>
      </c>
      <c r="Z539" s="54" t="n">
        <v>2499</v>
      </c>
      <c r="AA539" s="55">
        <f>IF(AND(A539="", B539="", E539=""), "", IF(AB539="", "Válido", IF((LEN(AB539)-LEN(SUBSTITUTE(AB539,"; ","")))/2+1&gt;(LEN(AB539)-LEN(SUBSTITUTE(AB539,"[Aviso]","")))/7, "Con Incidencias", "Válido")))</f>
        <v/>
      </c>
      <c r="AB539" s="56">
        <f>IF(AND(A539="", B539="", E539=""), "", TEXTJOIN("; ", TRUE, IF(OR(TRIM(A539&amp;"")="", ISNUMBER(SEARCH("FALTA", A539))), "UPC faltante/inválido", ""), IF(AND(A539&lt;&gt;"", IFERROR(_xlfn.XMATCH(A539,$A$2:$A$653,0,1)&lt;&gt;_xlfn.XMATCH(A539,$A$2:$A$653,0,-1),FALSE)), "Código de barras duplicado", ""), IF(AND(E539&lt;&gt;"", COUNTIF($E$2:$E$653, E539)&gt;1), "SKU duplicado", ""), IF(OR(J539="", J539=""), "[Aviso] División no capturada ()", IF(ISNA(MATCH(J539, Criterios!$A$123:$A$126, 0)), "División no válida", "")), IF(OR(K539="", K539=""), "[Aviso] Categoría no capturada ()", IF(ISNA(MATCH(K539, Criterios!$A$81:$A$120, 0)), "Categoría no válida", IF(AND(J539&lt;&gt;"", J539&lt;&gt;"", J539&lt;&gt;VLOOKUP(K539, Criterios!$A$81:$B$120, 2, FALSE)), "División no coincide con Categoría", ""))), IF(OR(L539="", L539=""), "[Aviso] Género no capturado ()", IF(ISNA(MATCH(L539, Criterios!$B$123:$B$127, 0)), "Género no válido", "")), IF(OR(N539="", N539=""), "[Aviso] Temporada no capturada ()", IF(ISNA(MATCH(N539, Criterios!$C$123:$C$128, 0)), "Temporada no válida", "")), IF(OR(O539="", O539=""), "[Aviso] Ciclo de vida no capturado ()", IF(ISNA(MATCH(O539, Criterios!$D$123:$D$124, 0)), "Ciclo de vida no válido", ""))))</f>
        <v/>
      </c>
      <c r="AC539" s="56" t="n"/>
      <c r="AD539" s="51" t="n">
        <v>1</v>
      </c>
      <c r="AE539" s="156" t="n"/>
      <c r="AF539" s="51" t="n">
        <v>1</v>
      </c>
      <c r="AG539" s="156" t="inlineStr">
        <is>
          <t>Nuevo – NetSuite con existencia</t>
        </is>
      </c>
      <c r="AH53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9" s="156" t="inlineStr">
        <is>
          <t>No</t>
        </is>
      </c>
      <c r="AJ539" s="156" t="n"/>
      <c r="AK539" s="155" t="inlineStr">
        <is>
          <t>G1522_Extraccion_Articulos_NetSuite_2026-09-30.xlsx: fila 43966</t>
        </is>
      </c>
      <c r="AL539" s="58" t="n"/>
      <c r="AM539" s="58" t="n"/>
      <c r="AN539" s="155" t="n"/>
      <c r="AO539" s="59" t="n"/>
      <c r="AP539" s="59" t="n"/>
      <c r="AQ539" s="59" t="n"/>
      <c r="AR539" s="155" t="n"/>
    </row>
    <row r="540">
      <c r="A540" s="50" t="inlineStr">
        <is>
          <t>5056658710735</t>
        </is>
      </c>
      <c r="B540" s="51" t="inlineStr">
        <is>
          <t>91259</t>
        </is>
      </c>
      <c r="C540" s="156" t="inlineStr">
        <is>
          <t>REFLO</t>
        </is>
      </c>
      <c r="D540" s="156" t="n"/>
      <c r="E540" s="156" t="n"/>
      <c r="F540" s="156" t="n"/>
      <c r="G540" s="156" t="n"/>
      <c r="H540" s="156" t="inlineStr">
        <is>
          <t>REFLO</t>
        </is>
      </c>
      <c r="I540" s="156" t="n"/>
      <c r="J540" s="156" t="n"/>
      <c r="K540" s="156" t="n"/>
      <c r="L540" s="156" t="n"/>
      <c r="M540" s="156" t="n"/>
      <c r="N540" s="156" t="n"/>
      <c r="O540" s="156" t="n"/>
      <c r="P540" s="156" t="n"/>
      <c r="Q540" s="156" t="n"/>
      <c r="R540" s="156" t="n"/>
      <c r="S540" s="156" t="n"/>
      <c r="T540" s="156" t="n"/>
      <c r="U540" s="156" t="n"/>
      <c r="V540" s="156" t="inlineStr">
        <is>
          <t>PZS</t>
        </is>
      </c>
      <c r="W540" s="51" t="inlineStr">
        <is>
          <t>53101702</t>
        </is>
      </c>
      <c r="X540" s="156" t="n"/>
      <c r="Y540" s="54" t="n">
        <v>34.45</v>
      </c>
      <c r="Z540" s="54" t="n">
        <v>2499</v>
      </c>
      <c r="AA540" s="55">
        <f>IF(AND(A540="", B540="", E540=""), "", IF(AB540="", "Válido", IF((LEN(AB540)-LEN(SUBSTITUTE(AB540,"; ","")))/2+1&gt;(LEN(AB540)-LEN(SUBSTITUTE(AB540,"[Aviso]","")))/7, "Con Incidencias", "Válido")))</f>
        <v/>
      </c>
      <c r="AB540" s="56">
        <f>IF(AND(A540="", B540="", E540=""), "", TEXTJOIN("; ", TRUE, IF(OR(TRIM(A540&amp;"")="", ISNUMBER(SEARCH("FALTA", A540))), "UPC faltante/inválido", ""), IF(AND(A540&lt;&gt;"", IFERROR(_xlfn.XMATCH(A540,$A$2:$A$653,0,1)&lt;&gt;_xlfn.XMATCH(A540,$A$2:$A$653,0,-1),FALSE)), "Código de barras duplicado", ""), IF(AND(E540&lt;&gt;"", COUNTIF($E$2:$E$653, E540)&gt;1), "SKU duplicado", ""), IF(OR(J540="", J540=""), "[Aviso] División no capturada ()", IF(ISNA(MATCH(J540, Criterios!$A$123:$A$126, 0)), "División no válida", "")), IF(OR(K540="", K540=""), "[Aviso] Categoría no capturada ()", IF(ISNA(MATCH(K540, Criterios!$A$81:$A$120, 0)), "Categoría no válida", IF(AND(J540&lt;&gt;"", J540&lt;&gt;"", J540&lt;&gt;VLOOKUP(K540, Criterios!$A$81:$B$120, 2, FALSE)), "División no coincide con Categoría", ""))), IF(OR(L540="", L540=""), "[Aviso] Género no capturado ()", IF(ISNA(MATCH(L540, Criterios!$B$123:$B$127, 0)), "Género no válido", "")), IF(OR(N540="", N540=""), "[Aviso] Temporada no capturada ()", IF(ISNA(MATCH(N540, Criterios!$C$123:$C$128, 0)), "Temporada no válida", "")), IF(OR(O540="", O540=""), "[Aviso] Ciclo de vida no capturado ()", IF(ISNA(MATCH(O540, Criterios!$D$123:$D$124, 0)), "Ciclo de vida no válido", ""))))</f>
        <v/>
      </c>
      <c r="AC540" s="56" t="n"/>
      <c r="AD540" s="51" t="n">
        <v>1</v>
      </c>
      <c r="AE540" s="156" t="n"/>
      <c r="AF540" s="51" t="n">
        <v>1</v>
      </c>
      <c r="AG540" s="156" t="inlineStr">
        <is>
          <t>Nuevo – NetSuite con existencia</t>
        </is>
      </c>
      <c r="AH54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0" s="156" t="inlineStr">
        <is>
          <t>No</t>
        </is>
      </c>
      <c r="AJ540" s="156" t="n"/>
      <c r="AK540" s="155" t="inlineStr">
        <is>
          <t>G1522_Extraccion_Articulos_NetSuite_2026-09-30.xlsx: fila 43967</t>
        </is>
      </c>
      <c r="AL540" s="58" t="n"/>
      <c r="AM540" s="58" t="n"/>
      <c r="AN540" s="155" t="n"/>
      <c r="AO540" s="59" t="n"/>
      <c r="AP540" s="59" t="n"/>
      <c r="AQ540" s="59" t="n"/>
      <c r="AR540" s="155" t="n"/>
    </row>
    <row r="541">
      <c r="A541" s="50" t="inlineStr">
        <is>
          <t>5056658710742</t>
        </is>
      </c>
      <c r="B541" s="51" t="inlineStr">
        <is>
          <t>91260</t>
        </is>
      </c>
      <c r="C541" s="156" t="inlineStr">
        <is>
          <t>REFLO</t>
        </is>
      </c>
      <c r="D541" s="156" t="n"/>
      <c r="E541" s="156" t="n"/>
      <c r="F541" s="156" t="n"/>
      <c r="G541" s="156" t="n"/>
      <c r="H541" s="156" t="inlineStr">
        <is>
          <t>REFLO</t>
        </is>
      </c>
      <c r="I541" s="156" t="n"/>
      <c r="J541" s="156" t="n"/>
      <c r="K541" s="156" t="n"/>
      <c r="L541" s="156" t="n"/>
      <c r="M541" s="156" t="n"/>
      <c r="N541" s="156" t="n"/>
      <c r="O541" s="156" t="n"/>
      <c r="P541" s="156" t="n"/>
      <c r="Q541" s="156" t="n"/>
      <c r="R541" s="156" t="n"/>
      <c r="S541" s="156" t="n"/>
      <c r="T541" s="156" t="n"/>
      <c r="U541" s="156" t="n"/>
      <c r="V541" s="156" t="inlineStr">
        <is>
          <t>PZS</t>
        </is>
      </c>
      <c r="W541" s="51" t="inlineStr">
        <is>
          <t>53101702</t>
        </is>
      </c>
      <c r="X541" s="156" t="n"/>
      <c r="Y541" s="54" t="n">
        <v>34.45</v>
      </c>
      <c r="Z541" s="54" t="n">
        <v>2499</v>
      </c>
      <c r="AA541" s="55">
        <f>IF(AND(A541="", B541="", E541=""), "", IF(AB541="", "Válido", IF((LEN(AB541)-LEN(SUBSTITUTE(AB541,"; ","")))/2+1&gt;(LEN(AB541)-LEN(SUBSTITUTE(AB541,"[Aviso]","")))/7, "Con Incidencias", "Válido")))</f>
        <v/>
      </c>
      <c r="AB541" s="56">
        <f>IF(AND(A541="", B541="", E541=""), "", TEXTJOIN("; ", TRUE, IF(OR(TRIM(A541&amp;"")="", ISNUMBER(SEARCH("FALTA", A541))), "UPC faltante/inválido", ""), IF(AND(A541&lt;&gt;"", IFERROR(_xlfn.XMATCH(A541,$A$2:$A$653,0,1)&lt;&gt;_xlfn.XMATCH(A541,$A$2:$A$653,0,-1),FALSE)), "Código de barras duplicado", ""), IF(AND(E541&lt;&gt;"", COUNTIF($E$2:$E$653, E541)&gt;1), "SKU duplicado", ""), IF(OR(J541="", J541=""), "[Aviso] División no capturada ()", IF(ISNA(MATCH(J541, Criterios!$A$123:$A$126, 0)), "División no válida", "")), IF(OR(K541="", K541=""), "[Aviso] Categoría no capturada ()", IF(ISNA(MATCH(K541, Criterios!$A$81:$A$120, 0)), "Categoría no válida", IF(AND(J541&lt;&gt;"", J541&lt;&gt;"", J541&lt;&gt;VLOOKUP(K541, Criterios!$A$81:$B$120, 2, FALSE)), "División no coincide con Categoría", ""))), IF(OR(L541="", L541=""), "[Aviso] Género no capturado ()", IF(ISNA(MATCH(L541, Criterios!$B$123:$B$127, 0)), "Género no válido", "")), IF(OR(N541="", N541=""), "[Aviso] Temporada no capturada ()", IF(ISNA(MATCH(N541, Criterios!$C$123:$C$128, 0)), "Temporada no válida", "")), IF(OR(O541="", O541=""), "[Aviso] Ciclo de vida no capturado ()", IF(ISNA(MATCH(O541, Criterios!$D$123:$D$124, 0)), "Ciclo de vida no válido", ""))))</f>
        <v/>
      </c>
      <c r="AC541" s="56" t="n"/>
      <c r="AD541" s="51" t="n">
        <v>2</v>
      </c>
      <c r="AE541" s="156" t="n"/>
      <c r="AF541" s="51" t="n">
        <v>2</v>
      </c>
      <c r="AG541" s="156" t="inlineStr">
        <is>
          <t>Nuevo – NetSuite con existencia</t>
        </is>
      </c>
      <c r="AH54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1" s="156" t="inlineStr">
        <is>
          <t>No</t>
        </is>
      </c>
      <c r="AJ541" s="156" t="n"/>
      <c r="AK541" s="155" t="inlineStr">
        <is>
          <t>G1522_Extraccion_Articulos_NetSuite_2026-09-30.xlsx: fila 43968</t>
        </is>
      </c>
      <c r="AL541" s="58" t="n"/>
      <c r="AM541" s="58" t="n"/>
      <c r="AN541" s="155" t="n"/>
      <c r="AO541" s="59" t="n"/>
      <c r="AP541" s="59" t="n"/>
      <c r="AQ541" s="59" t="n"/>
      <c r="AR541" s="155" t="n"/>
    </row>
    <row r="542">
      <c r="A542" s="50" t="inlineStr">
        <is>
          <t>5056658710759</t>
        </is>
      </c>
      <c r="B542" s="51" t="inlineStr">
        <is>
          <t>91261</t>
        </is>
      </c>
      <c r="C542" s="156" t="inlineStr">
        <is>
          <t>REFLO</t>
        </is>
      </c>
      <c r="D542" s="156" t="n"/>
      <c r="E542" s="156" t="n"/>
      <c r="F542" s="156" t="n"/>
      <c r="G542" s="156" t="n"/>
      <c r="H542" s="156" t="inlineStr">
        <is>
          <t>REFLO</t>
        </is>
      </c>
      <c r="I542" s="156" t="n"/>
      <c r="J542" s="156" t="n"/>
      <c r="K542" s="156" t="n"/>
      <c r="L542" s="156" t="n"/>
      <c r="M542" s="156" t="n"/>
      <c r="N542" s="156" t="n"/>
      <c r="O542" s="156" t="n"/>
      <c r="P542" s="156" t="n"/>
      <c r="Q542" s="156" t="n"/>
      <c r="R542" s="156" t="n"/>
      <c r="S542" s="156" t="n"/>
      <c r="T542" s="156" t="n"/>
      <c r="U542" s="156" t="n"/>
      <c r="V542" s="156" t="inlineStr">
        <is>
          <t>PZS</t>
        </is>
      </c>
      <c r="W542" s="51" t="inlineStr">
        <is>
          <t>53101702</t>
        </is>
      </c>
      <c r="X542" s="156" t="n"/>
      <c r="Y542" s="54" t="n">
        <v>34.45</v>
      </c>
      <c r="Z542" s="54" t="n">
        <v>2499</v>
      </c>
      <c r="AA542" s="55">
        <f>IF(AND(A542="", B542="", E542=""), "", IF(AB542="", "Válido", IF((LEN(AB542)-LEN(SUBSTITUTE(AB542,"; ","")))/2+1&gt;(LEN(AB542)-LEN(SUBSTITUTE(AB542,"[Aviso]","")))/7, "Con Incidencias", "Válido")))</f>
        <v/>
      </c>
      <c r="AB542" s="56">
        <f>IF(AND(A542="", B542="", E542=""), "", TEXTJOIN("; ", TRUE, IF(OR(TRIM(A542&amp;"")="", ISNUMBER(SEARCH("FALTA", A542))), "UPC faltante/inválido", ""), IF(AND(A542&lt;&gt;"", IFERROR(_xlfn.XMATCH(A542,$A$2:$A$653,0,1)&lt;&gt;_xlfn.XMATCH(A542,$A$2:$A$653,0,-1),FALSE)), "Código de barras duplicado", ""), IF(AND(E542&lt;&gt;"", COUNTIF($E$2:$E$653, E542)&gt;1), "SKU duplicado", ""), IF(OR(J542="", J542=""), "[Aviso] División no capturada ()", IF(ISNA(MATCH(J542, Criterios!$A$123:$A$126, 0)), "División no válida", "")), IF(OR(K542="", K542=""), "[Aviso] Categoría no capturada ()", IF(ISNA(MATCH(K542, Criterios!$A$81:$A$120, 0)), "Categoría no válida", IF(AND(J542&lt;&gt;"", J542&lt;&gt;"", J542&lt;&gt;VLOOKUP(K542, Criterios!$A$81:$B$120, 2, FALSE)), "División no coincide con Categoría", ""))), IF(OR(L542="", L542=""), "[Aviso] Género no capturado ()", IF(ISNA(MATCH(L542, Criterios!$B$123:$B$127, 0)), "Género no válido", "")), IF(OR(N542="", N542=""), "[Aviso] Temporada no capturada ()", IF(ISNA(MATCH(N542, Criterios!$C$123:$C$128, 0)), "Temporada no válida", "")), IF(OR(O542="", O542=""), "[Aviso] Ciclo de vida no capturado ()", IF(ISNA(MATCH(O542, Criterios!$D$123:$D$124, 0)), "Ciclo de vida no válido", ""))))</f>
        <v/>
      </c>
      <c r="AC542" s="56" t="n"/>
      <c r="AD542" s="51" t="n">
        <v>2</v>
      </c>
      <c r="AE542" s="156" t="n"/>
      <c r="AF542" s="51" t="n">
        <v>2</v>
      </c>
      <c r="AG542" s="156" t="inlineStr">
        <is>
          <t>Nuevo – NetSuite con existencia</t>
        </is>
      </c>
      <c r="AH54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2" s="156" t="inlineStr">
        <is>
          <t>No</t>
        </is>
      </c>
      <c r="AJ542" s="156" t="n"/>
      <c r="AK542" s="155" t="inlineStr">
        <is>
          <t>G1522_Extraccion_Articulos_NetSuite_2026-09-30.xlsx: fila 43969</t>
        </is>
      </c>
      <c r="AL542" s="58" t="n"/>
      <c r="AM542" s="58" t="n"/>
      <c r="AN542" s="155" t="n"/>
      <c r="AO542" s="59" t="n"/>
      <c r="AP542" s="59" t="n"/>
      <c r="AQ542" s="59" t="n"/>
      <c r="AR542" s="155" t="n"/>
    </row>
    <row r="543">
      <c r="A543" s="50" t="inlineStr">
        <is>
          <t>5056658710766</t>
        </is>
      </c>
      <c r="B543" s="51" t="inlineStr">
        <is>
          <t>91262</t>
        </is>
      </c>
      <c r="C543" s="156" t="inlineStr">
        <is>
          <t>REFLO</t>
        </is>
      </c>
      <c r="D543" s="156" t="n"/>
      <c r="E543" s="156" t="n"/>
      <c r="F543" s="156" t="n"/>
      <c r="G543" s="156" t="n"/>
      <c r="H543" s="156" t="inlineStr">
        <is>
          <t>REFLO</t>
        </is>
      </c>
      <c r="I543" s="156" t="n"/>
      <c r="J543" s="156" t="n"/>
      <c r="K543" s="156" t="n"/>
      <c r="L543" s="156" t="n"/>
      <c r="M543" s="156" t="n"/>
      <c r="N543" s="156" t="n"/>
      <c r="O543" s="156" t="n"/>
      <c r="P543" s="156" t="n"/>
      <c r="Q543" s="156" t="n"/>
      <c r="R543" s="156" t="n"/>
      <c r="S543" s="156" t="n"/>
      <c r="T543" s="156" t="n"/>
      <c r="U543" s="156" t="n"/>
      <c r="V543" s="156" t="inlineStr">
        <is>
          <t>PZS</t>
        </is>
      </c>
      <c r="W543" s="51" t="inlineStr">
        <is>
          <t>53101702</t>
        </is>
      </c>
      <c r="X543" s="156" t="n"/>
      <c r="Y543" s="54" t="n">
        <v>34.45</v>
      </c>
      <c r="Z543" s="54" t="n">
        <v>2499</v>
      </c>
      <c r="AA543" s="55">
        <f>IF(AND(A543="", B543="", E543=""), "", IF(AB543="", "Válido", IF((LEN(AB543)-LEN(SUBSTITUTE(AB543,"; ","")))/2+1&gt;(LEN(AB543)-LEN(SUBSTITUTE(AB543,"[Aviso]","")))/7, "Con Incidencias", "Válido")))</f>
        <v/>
      </c>
      <c r="AB543" s="56">
        <f>IF(AND(A543="", B543="", E543=""), "", TEXTJOIN("; ", TRUE, IF(OR(TRIM(A543&amp;"")="", ISNUMBER(SEARCH("FALTA", A543))), "UPC faltante/inválido", ""), IF(AND(A543&lt;&gt;"", IFERROR(_xlfn.XMATCH(A543,$A$2:$A$653,0,1)&lt;&gt;_xlfn.XMATCH(A543,$A$2:$A$653,0,-1),FALSE)), "Código de barras duplicado", ""), IF(AND(E543&lt;&gt;"", COUNTIF($E$2:$E$653, E543)&gt;1), "SKU duplicado", ""), IF(OR(J543="", J543=""), "[Aviso] División no capturada ()", IF(ISNA(MATCH(J543, Criterios!$A$123:$A$126, 0)), "División no válida", "")), IF(OR(K543="", K543=""), "[Aviso] Categoría no capturada ()", IF(ISNA(MATCH(K543, Criterios!$A$81:$A$120, 0)), "Categoría no válida", IF(AND(J543&lt;&gt;"", J543&lt;&gt;"", J543&lt;&gt;VLOOKUP(K543, Criterios!$A$81:$B$120, 2, FALSE)), "División no coincide con Categoría", ""))), IF(OR(L543="", L543=""), "[Aviso] Género no capturado ()", IF(ISNA(MATCH(L543, Criterios!$B$123:$B$127, 0)), "Género no válido", "")), IF(OR(N543="", N543=""), "[Aviso] Temporada no capturada ()", IF(ISNA(MATCH(N543, Criterios!$C$123:$C$128, 0)), "Temporada no válida", "")), IF(OR(O543="", O543=""), "[Aviso] Ciclo de vida no capturado ()", IF(ISNA(MATCH(O543, Criterios!$D$123:$D$124, 0)), "Ciclo de vida no válido", ""))))</f>
        <v/>
      </c>
      <c r="AC543" s="56" t="n"/>
      <c r="AD543" s="51" t="n">
        <v>1</v>
      </c>
      <c r="AE543" s="156" t="n"/>
      <c r="AF543" s="51" t="n">
        <v>1</v>
      </c>
      <c r="AG543" s="156" t="inlineStr">
        <is>
          <t>Nuevo – NetSuite con existencia</t>
        </is>
      </c>
      <c r="AH54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3" s="156" t="inlineStr">
        <is>
          <t>No</t>
        </is>
      </c>
      <c r="AJ543" s="156" t="n"/>
      <c r="AK543" s="155" t="inlineStr">
        <is>
          <t>G1522_Extraccion_Articulos_NetSuite_2026-09-30.xlsx: fila 43970</t>
        </is>
      </c>
      <c r="AL543" s="58" t="n"/>
      <c r="AM543" s="58" t="n"/>
      <c r="AN543" s="155" t="n"/>
      <c r="AO543" s="59" t="n"/>
      <c r="AP543" s="59" t="n"/>
      <c r="AQ543" s="59" t="n"/>
      <c r="AR543" s="155" t="n"/>
    </row>
    <row r="544">
      <c r="A544" s="50" t="inlineStr">
        <is>
          <t>5056658708084</t>
        </is>
      </c>
      <c r="B544" s="51" t="inlineStr">
        <is>
          <t>91263</t>
        </is>
      </c>
      <c r="C544" s="156" t="inlineStr">
        <is>
          <t>REFLO</t>
        </is>
      </c>
      <c r="D544" s="156" t="n"/>
      <c r="E544" s="156" t="n"/>
      <c r="F544" s="156" t="n"/>
      <c r="G544" s="156" t="n"/>
      <c r="H544" s="156" t="inlineStr">
        <is>
          <t>REFLO</t>
        </is>
      </c>
      <c r="I544" s="156" t="n"/>
      <c r="J544" s="156" t="n"/>
      <c r="K544" s="156" t="n"/>
      <c r="L544" s="156" t="n"/>
      <c r="M544" s="156" t="n"/>
      <c r="N544" s="156" t="n"/>
      <c r="O544" s="156" t="n"/>
      <c r="P544" s="156" t="n"/>
      <c r="Q544" s="156" t="n"/>
      <c r="R544" s="156" t="n"/>
      <c r="S544" s="156" t="n"/>
      <c r="T544" s="156" t="n"/>
      <c r="U544" s="156" t="n"/>
      <c r="V544" s="156" t="inlineStr">
        <is>
          <t>PZS</t>
        </is>
      </c>
      <c r="W544" s="51" t="inlineStr">
        <is>
          <t>53131602</t>
        </is>
      </c>
      <c r="X544" s="156" t="n"/>
      <c r="Y544" s="54" t="n">
        <v>14.3</v>
      </c>
      <c r="Z544" s="54" t="n">
        <v>899</v>
      </c>
      <c r="AA544" s="55">
        <f>IF(AND(A544="", B544="", E544=""), "", IF(AB544="", "Válido", IF((LEN(AB544)-LEN(SUBSTITUTE(AB544,"; ","")))/2+1&gt;(LEN(AB544)-LEN(SUBSTITUTE(AB544,"[Aviso]","")))/7, "Con Incidencias", "Válido")))</f>
        <v/>
      </c>
      <c r="AB544" s="56">
        <f>IF(AND(A544="", B544="", E544=""), "", TEXTJOIN("; ", TRUE, IF(OR(TRIM(A544&amp;"")="", ISNUMBER(SEARCH("FALTA", A544))), "UPC faltante/inválido", ""), IF(AND(A544&lt;&gt;"", IFERROR(_xlfn.XMATCH(A544,$A$2:$A$653,0,1)&lt;&gt;_xlfn.XMATCH(A544,$A$2:$A$653,0,-1),FALSE)), "Código de barras duplicado", ""), IF(AND(E544&lt;&gt;"", COUNTIF($E$2:$E$653, E544)&gt;1), "SKU duplicado", ""), IF(OR(J544="", J544=""), "[Aviso] División no capturada ()", IF(ISNA(MATCH(J544, Criterios!$A$123:$A$126, 0)), "División no válida", "")), IF(OR(K544="", K544=""), "[Aviso] Categoría no capturada ()", IF(ISNA(MATCH(K544, Criterios!$A$81:$A$120, 0)), "Categoría no válida", IF(AND(J544&lt;&gt;"", J544&lt;&gt;"", J544&lt;&gt;VLOOKUP(K544, Criterios!$A$81:$B$120, 2, FALSE)), "División no coincide con Categoría", ""))), IF(OR(L544="", L544=""), "[Aviso] Género no capturado ()", IF(ISNA(MATCH(L544, Criterios!$B$123:$B$127, 0)), "Género no válido", "")), IF(OR(N544="", N544=""), "[Aviso] Temporada no capturada ()", IF(ISNA(MATCH(N544, Criterios!$C$123:$C$128, 0)), "Temporada no válida", "")), IF(OR(O544="", O544=""), "[Aviso] Ciclo de vida no capturado ()", IF(ISNA(MATCH(O544, Criterios!$D$123:$D$124, 0)), "Ciclo de vida no válido", ""))))</f>
        <v/>
      </c>
      <c r="AC544" s="56" t="n"/>
      <c r="AD544" s="51" t="n">
        <v>2</v>
      </c>
      <c r="AE544" s="156" t="n"/>
      <c r="AF544" s="51" t="n">
        <v>2</v>
      </c>
      <c r="AG544" s="156" t="inlineStr">
        <is>
          <t>Nuevo – NetSuite con existencia</t>
        </is>
      </c>
      <c r="AH54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44" s="156" t="inlineStr">
        <is>
          <t>No</t>
        </is>
      </c>
      <c r="AJ544" s="156" t="n"/>
      <c r="AK544" s="155" t="inlineStr">
        <is>
          <t>G1522_Extraccion_Articulos_NetSuite_2026-09-30.xlsx: fila 43971</t>
        </is>
      </c>
      <c r="AL544" s="58" t="n"/>
      <c r="AM544" s="58" t="n"/>
      <c r="AN544" s="155" t="n"/>
      <c r="AO544" s="59" t="n"/>
      <c r="AP544" s="59" t="n"/>
      <c r="AQ544" s="59" t="n"/>
      <c r="AR544" s="155" t="n"/>
    </row>
    <row r="545">
      <c r="A545" s="50" t="inlineStr">
        <is>
          <t>5056658708121</t>
        </is>
      </c>
      <c r="B545" s="51" t="inlineStr">
        <is>
          <t>91264</t>
        </is>
      </c>
      <c r="C545" s="156" t="inlineStr">
        <is>
          <t>REFLO</t>
        </is>
      </c>
      <c r="D545" s="156" t="n"/>
      <c r="E545" s="156" t="n"/>
      <c r="F545" s="156" t="n"/>
      <c r="G545" s="156" t="n"/>
      <c r="H545" s="156" t="inlineStr">
        <is>
          <t>REFLO</t>
        </is>
      </c>
      <c r="I545" s="156" t="n"/>
      <c r="J545" s="156" t="n"/>
      <c r="K545" s="156" t="n"/>
      <c r="L545" s="156" t="n"/>
      <c r="M545" s="156" t="n"/>
      <c r="N545" s="156" t="n"/>
      <c r="O545" s="156" t="n"/>
      <c r="P545" s="156" t="n"/>
      <c r="Q545" s="156" t="n"/>
      <c r="R545" s="156" t="n"/>
      <c r="S545" s="156" t="n"/>
      <c r="T545" s="156" t="n"/>
      <c r="U545" s="156" t="n"/>
      <c r="V545" s="156" t="inlineStr">
        <is>
          <t>PZS</t>
        </is>
      </c>
      <c r="W545" s="51" t="inlineStr">
        <is>
          <t>53131602</t>
        </is>
      </c>
      <c r="X545" s="156" t="n"/>
      <c r="Y545" s="54" t="n">
        <v>14.3</v>
      </c>
      <c r="Z545" s="54" t="n">
        <v>899</v>
      </c>
      <c r="AA545" s="55">
        <f>IF(AND(A545="", B545="", E545=""), "", IF(AB545="", "Válido", IF((LEN(AB545)-LEN(SUBSTITUTE(AB545,"; ","")))/2+1&gt;(LEN(AB545)-LEN(SUBSTITUTE(AB545,"[Aviso]","")))/7, "Con Incidencias", "Válido")))</f>
        <v/>
      </c>
      <c r="AB545" s="56">
        <f>IF(AND(A545="", B545="", E545=""), "", TEXTJOIN("; ", TRUE, IF(OR(TRIM(A545&amp;"")="", ISNUMBER(SEARCH("FALTA", A545))), "UPC faltante/inválido", ""), IF(AND(A545&lt;&gt;"", IFERROR(_xlfn.XMATCH(A545,$A$2:$A$653,0,1)&lt;&gt;_xlfn.XMATCH(A545,$A$2:$A$653,0,-1),FALSE)), "Código de barras duplicado", ""), IF(AND(E545&lt;&gt;"", COUNTIF($E$2:$E$653, E545)&gt;1), "SKU duplicado", ""), IF(OR(J545="", J545=""), "[Aviso] División no capturada ()", IF(ISNA(MATCH(J545, Criterios!$A$123:$A$126, 0)), "División no válida", "")), IF(OR(K545="", K545=""), "[Aviso] Categoría no capturada ()", IF(ISNA(MATCH(K545, Criterios!$A$81:$A$120, 0)), "Categoría no válida", IF(AND(J545&lt;&gt;"", J545&lt;&gt;"", J545&lt;&gt;VLOOKUP(K545, Criterios!$A$81:$B$120, 2, FALSE)), "División no coincide con Categoría", ""))), IF(OR(L545="", L545=""), "[Aviso] Género no capturado ()", IF(ISNA(MATCH(L545, Criterios!$B$123:$B$127, 0)), "Género no válido", "")), IF(OR(N545="", N545=""), "[Aviso] Temporada no capturada ()", IF(ISNA(MATCH(N545, Criterios!$C$123:$C$128, 0)), "Temporada no válida", "")), IF(OR(O545="", O545=""), "[Aviso] Ciclo de vida no capturado ()", IF(ISNA(MATCH(O545, Criterios!$D$123:$D$124, 0)), "Ciclo de vida no válido", ""))))</f>
        <v/>
      </c>
      <c r="AC545" s="56" t="n"/>
      <c r="AD545" s="51" t="n">
        <v>8</v>
      </c>
      <c r="AE545" s="156" t="n"/>
      <c r="AF545" s="51" t="n">
        <v>8</v>
      </c>
      <c r="AG545" s="156" t="inlineStr">
        <is>
          <t>Nuevo – NetSuite con existencia</t>
        </is>
      </c>
      <c r="AH54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45" s="156" t="inlineStr">
        <is>
          <t>No</t>
        </is>
      </c>
      <c r="AJ545" s="156" t="n"/>
      <c r="AK545" s="155" t="inlineStr">
        <is>
          <t>G1522_Extraccion_Articulos_NetSuite_2026-09-30.xlsx: fila 43972</t>
        </is>
      </c>
      <c r="AL545" s="58" t="n"/>
      <c r="AM545" s="58" t="n"/>
      <c r="AN545" s="155" t="n"/>
      <c r="AO545" s="59" t="n"/>
      <c r="AP545" s="59" t="n"/>
      <c r="AQ545" s="59" t="n"/>
      <c r="AR545" s="155" t="n"/>
    </row>
    <row r="546">
      <c r="A546" s="50" t="inlineStr">
        <is>
          <t>5056658714146</t>
        </is>
      </c>
      <c r="B546" s="51" t="inlineStr">
        <is>
          <t>91265</t>
        </is>
      </c>
      <c r="C546" s="156" t="inlineStr">
        <is>
          <t>REFLO</t>
        </is>
      </c>
      <c r="D546" s="156" t="n"/>
      <c r="E546" s="156" t="n"/>
      <c r="F546" s="156" t="n"/>
      <c r="G546" s="156" t="n"/>
      <c r="H546" s="156" t="inlineStr">
        <is>
          <t>REFLO</t>
        </is>
      </c>
      <c r="I546" s="156" t="n"/>
      <c r="J546" s="156" t="n"/>
      <c r="K546" s="156" t="n"/>
      <c r="L546" s="156" t="n"/>
      <c r="M546" s="156" t="n"/>
      <c r="N546" s="156" t="n"/>
      <c r="O546" s="156" t="n"/>
      <c r="P546" s="156" t="n"/>
      <c r="Q546" s="156" t="n"/>
      <c r="R546" s="156" t="n"/>
      <c r="S546" s="156" t="n"/>
      <c r="T546" s="156" t="n"/>
      <c r="U546" s="156" t="n"/>
      <c r="V546" s="156" t="inlineStr">
        <is>
          <t>PZS</t>
        </is>
      </c>
      <c r="W546" s="51" t="inlineStr">
        <is>
          <t>53131602</t>
        </is>
      </c>
      <c r="X546" s="156" t="n"/>
      <c r="Y546" s="54" t="n">
        <v>14.3</v>
      </c>
      <c r="Z546" s="54" t="n">
        <v>899</v>
      </c>
      <c r="AA546" s="55">
        <f>IF(AND(A546="", B546="", E546=""), "", IF(AB546="", "Válido", IF((LEN(AB546)-LEN(SUBSTITUTE(AB546,"; ","")))/2+1&gt;(LEN(AB546)-LEN(SUBSTITUTE(AB546,"[Aviso]","")))/7, "Con Incidencias", "Válido")))</f>
        <v/>
      </c>
      <c r="AB546" s="56">
        <f>IF(AND(A546="", B546="", E546=""), "", TEXTJOIN("; ", TRUE, IF(OR(TRIM(A546&amp;"")="", ISNUMBER(SEARCH("FALTA", A546))), "UPC faltante/inválido", ""), IF(AND(A546&lt;&gt;"", IFERROR(_xlfn.XMATCH(A546,$A$2:$A$653,0,1)&lt;&gt;_xlfn.XMATCH(A546,$A$2:$A$653,0,-1),FALSE)), "Código de barras duplicado", ""), IF(AND(E546&lt;&gt;"", COUNTIF($E$2:$E$653, E546)&gt;1), "SKU duplicado", ""), IF(OR(J546="", J546=""), "[Aviso] División no capturada ()", IF(ISNA(MATCH(J546, Criterios!$A$123:$A$126, 0)), "División no válida", "")), IF(OR(K546="", K546=""), "[Aviso] Categoría no capturada ()", IF(ISNA(MATCH(K546, Criterios!$A$81:$A$120, 0)), "Categoría no válida", IF(AND(J546&lt;&gt;"", J546&lt;&gt;"", J546&lt;&gt;VLOOKUP(K546, Criterios!$A$81:$B$120, 2, FALSE)), "División no coincide con Categoría", ""))), IF(OR(L546="", L546=""), "[Aviso] Género no capturado ()", IF(ISNA(MATCH(L546, Criterios!$B$123:$B$127, 0)), "Género no válido", "")), IF(OR(N546="", N546=""), "[Aviso] Temporada no capturada ()", IF(ISNA(MATCH(N546, Criterios!$C$123:$C$128, 0)), "Temporada no válida", "")), IF(OR(O546="", O546=""), "[Aviso] Ciclo de vida no capturado ()", IF(ISNA(MATCH(O546, Criterios!$D$123:$D$124, 0)), "Ciclo de vida no válido", ""))))</f>
        <v/>
      </c>
      <c r="AC546" s="56" t="n"/>
      <c r="AD546" s="51" t="n">
        <v>4</v>
      </c>
      <c r="AE546" s="156" t="n"/>
      <c r="AF546" s="51" t="n">
        <v>4</v>
      </c>
      <c r="AG546" s="156" t="inlineStr">
        <is>
          <t>Nuevo – NetSuite con existencia</t>
        </is>
      </c>
      <c r="AH54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46" s="156" t="inlineStr">
        <is>
          <t>No</t>
        </is>
      </c>
      <c r="AJ546" s="156" t="n"/>
      <c r="AK546" s="155" t="inlineStr">
        <is>
          <t>G1522_Extraccion_Articulos_NetSuite_2026-09-30.xlsx: fila 43973</t>
        </is>
      </c>
      <c r="AL546" s="58" t="n"/>
      <c r="AM546" s="58" t="n"/>
      <c r="AN546" s="155" t="n"/>
      <c r="AO546" s="59" t="n"/>
      <c r="AP546" s="59" t="n"/>
      <c r="AQ546" s="59" t="n"/>
      <c r="AR546" s="155" t="n"/>
    </row>
    <row r="547">
      <c r="A547" s="50" t="inlineStr">
        <is>
          <t>5056658708145</t>
        </is>
      </c>
      <c r="B547" s="51" t="inlineStr">
        <is>
          <t>91266</t>
        </is>
      </c>
      <c r="C547" s="156" t="inlineStr">
        <is>
          <t>REFLO</t>
        </is>
      </c>
      <c r="D547" s="156" t="n"/>
      <c r="E547" s="156" t="n"/>
      <c r="F547" s="156" t="n"/>
      <c r="G547" s="156" t="n"/>
      <c r="H547" s="156" t="inlineStr">
        <is>
          <t>REFLO</t>
        </is>
      </c>
      <c r="I547" s="156" t="n"/>
      <c r="J547" s="156" t="n"/>
      <c r="K547" s="156" t="n"/>
      <c r="L547" s="156" t="n"/>
      <c r="M547" s="156" t="n"/>
      <c r="N547" s="156" t="n"/>
      <c r="O547" s="156" t="n"/>
      <c r="P547" s="156" t="n"/>
      <c r="Q547" s="156" t="n"/>
      <c r="R547" s="156" t="n"/>
      <c r="S547" s="156" t="n"/>
      <c r="T547" s="156" t="n"/>
      <c r="U547" s="156" t="n"/>
      <c r="V547" s="156" t="inlineStr">
        <is>
          <t>PZS</t>
        </is>
      </c>
      <c r="W547" s="51" t="inlineStr">
        <is>
          <t>53131602</t>
        </is>
      </c>
      <c r="X547" s="156" t="n"/>
      <c r="Y547" s="54" t="n">
        <v>14.3</v>
      </c>
      <c r="Z547" s="54" t="n">
        <v>1049</v>
      </c>
      <c r="AA547" s="55">
        <f>IF(AND(A547="", B547="", E547=""), "", IF(AB547="", "Válido", IF((LEN(AB547)-LEN(SUBSTITUTE(AB547,"; ","")))/2+1&gt;(LEN(AB547)-LEN(SUBSTITUTE(AB547,"[Aviso]","")))/7, "Con Incidencias", "Válido")))</f>
        <v/>
      </c>
      <c r="AB547" s="56">
        <f>IF(AND(A547="", B547="", E547=""), "", TEXTJOIN("; ", TRUE, IF(OR(TRIM(A547&amp;"")="", ISNUMBER(SEARCH("FALTA", A547))), "UPC faltante/inválido", ""), IF(AND(A547&lt;&gt;"", IFERROR(_xlfn.XMATCH(A547,$A$2:$A$653,0,1)&lt;&gt;_xlfn.XMATCH(A547,$A$2:$A$653,0,-1),FALSE)), "Código de barras duplicado", ""), IF(AND(E547&lt;&gt;"", COUNTIF($E$2:$E$653, E547)&gt;1), "SKU duplicado", ""), IF(OR(J547="", J547=""), "[Aviso] División no capturada ()", IF(ISNA(MATCH(J547, Criterios!$A$123:$A$126, 0)), "División no válida", "")), IF(OR(K547="", K547=""), "[Aviso] Categoría no capturada ()", IF(ISNA(MATCH(K547, Criterios!$A$81:$A$120, 0)), "Categoría no válida", IF(AND(J547&lt;&gt;"", J547&lt;&gt;"", J547&lt;&gt;VLOOKUP(K547, Criterios!$A$81:$B$120, 2, FALSE)), "División no coincide con Categoría", ""))), IF(OR(L547="", L547=""), "[Aviso] Género no capturado ()", IF(ISNA(MATCH(L547, Criterios!$B$123:$B$127, 0)), "Género no válido", "")), IF(OR(N547="", N547=""), "[Aviso] Temporada no capturada ()", IF(ISNA(MATCH(N547, Criterios!$C$123:$C$128, 0)), "Temporada no válida", "")), IF(OR(O547="", O547=""), "[Aviso] Ciclo de vida no capturado ()", IF(ISNA(MATCH(O547, Criterios!$D$123:$D$124, 0)), "Ciclo de vida no válido", ""))))</f>
        <v/>
      </c>
      <c r="AC547" s="56" t="n"/>
      <c r="AD547" s="51" t="n">
        <v>2</v>
      </c>
      <c r="AE547" s="156" t="n"/>
      <c r="AF547" s="51" t="n">
        <v>2</v>
      </c>
      <c r="AG547" s="156" t="inlineStr">
        <is>
          <t>Nuevo – NetSuite con existencia</t>
        </is>
      </c>
      <c r="AH54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47" s="156" t="inlineStr">
        <is>
          <t>No</t>
        </is>
      </c>
      <c r="AJ547" s="156" t="n"/>
      <c r="AK547" s="155" t="inlineStr">
        <is>
          <t>G1522_Extraccion_Articulos_NetSuite_2026-09-30.xlsx: fila 43974</t>
        </is>
      </c>
      <c r="AL547" s="58" t="n"/>
      <c r="AM547" s="58" t="n"/>
      <c r="AN547" s="155" t="n"/>
      <c r="AO547" s="59" t="n"/>
      <c r="AP547" s="59" t="n"/>
      <c r="AQ547" s="59" t="n"/>
      <c r="AR547" s="155" t="n"/>
    </row>
    <row r="548">
      <c r="A548" s="50" t="inlineStr">
        <is>
          <t>5056658708152</t>
        </is>
      </c>
      <c r="B548" s="51" t="inlineStr">
        <is>
          <t>91267</t>
        </is>
      </c>
      <c r="C548" s="156" t="inlineStr">
        <is>
          <t>REFLO</t>
        </is>
      </c>
      <c r="D548" s="156" t="n"/>
      <c r="E548" s="156" t="n"/>
      <c r="F548" s="156" t="n"/>
      <c r="G548" s="156" t="n"/>
      <c r="H548" s="156" t="inlineStr">
        <is>
          <t>REFLO</t>
        </is>
      </c>
      <c r="I548" s="156" t="n"/>
      <c r="J548" s="156" t="n"/>
      <c r="K548" s="156" t="n"/>
      <c r="L548" s="156" t="n"/>
      <c r="M548" s="156" t="n"/>
      <c r="N548" s="156" t="n"/>
      <c r="O548" s="156" t="n"/>
      <c r="P548" s="156" t="n"/>
      <c r="Q548" s="156" t="n"/>
      <c r="R548" s="156" t="n"/>
      <c r="S548" s="156" t="n"/>
      <c r="T548" s="156" t="n"/>
      <c r="U548" s="156" t="n"/>
      <c r="V548" s="156" t="inlineStr">
        <is>
          <t>PZS</t>
        </is>
      </c>
      <c r="W548" s="51" t="inlineStr">
        <is>
          <t>53131602</t>
        </is>
      </c>
      <c r="X548" s="156" t="n"/>
      <c r="Y548" s="54" t="n">
        <v>14.3</v>
      </c>
      <c r="Z548" s="54" t="n">
        <v>1049</v>
      </c>
      <c r="AA548" s="55">
        <f>IF(AND(A548="", B548="", E548=""), "", IF(AB548="", "Válido", IF((LEN(AB548)-LEN(SUBSTITUTE(AB548,"; ","")))/2+1&gt;(LEN(AB548)-LEN(SUBSTITUTE(AB548,"[Aviso]","")))/7, "Con Incidencias", "Válido")))</f>
        <v/>
      </c>
      <c r="AB548" s="56">
        <f>IF(AND(A548="", B548="", E548=""), "", TEXTJOIN("; ", TRUE, IF(OR(TRIM(A548&amp;"")="", ISNUMBER(SEARCH("FALTA", A548))), "UPC faltante/inválido", ""), IF(AND(A548&lt;&gt;"", IFERROR(_xlfn.XMATCH(A548,$A$2:$A$653,0,1)&lt;&gt;_xlfn.XMATCH(A548,$A$2:$A$653,0,-1),FALSE)), "Código de barras duplicado", ""), IF(AND(E548&lt;&gt;"", COUNTIF($E$2:$E$653, E548)&gt;1), "SKU duplicado", ""), IF(OR(J548="", J548=""), "[Aviso] División no capturada ()", IF(ISNA(MATCH(J548, Criterios!$A$123:$A$126, 0)), "División no válida", "")), IF(OR(K548="", K548=""), "[Aviso] Categoría no capturada ()", IF(ISNA(MATCH(K548, Criterios!$A$81:$A$120, 0)), "Categoría no válida", IF(AND(J548&lt;&gt;"", J548&lt;&gt;"", J548&lt;&gt;VLOOKUP(K548, Criterios!$A$81:$B$120, 2, FALSE)), "División no coincide con Categoría", ""))), IF(OR(L548="", L548=""), "[Aviso] Género no capturado ()", IF(ISNA(MATCH(L548, Criterios!$B$123:$B$127, 0)), "Género no válido", "")), IF(OR(N548="", N548=""), "[Aviso] Temporada no capturada ()", IF(ISNA(MATCH(N548, Criterios!$C$123:$C$128, 0)), "Temporada no válida", "")), IF(OR(O548="", O548=""), "[Aviso] Ciclo de vida no capturado ()", IF(ISNA(MATCH(O548, Criterios!$D$123:$D$124, 0)), "Ciclo de vida no válido", ""))))</f>
        <v/>
      </c>
      <c r="AC548" s="56" t="n"/>
      <c r="AD548" s="51" t="n">
        <v>5</v>
      </c>
      <c r="AE548" s="156" t="n"/>
      <c r="AF548" s="51" t="n">
        <v>5</v>
      </c>
      <c r="AG548" s="156" t="inlineStr">
        <is>
          <t>Nuevo – NetSuite con existencia</t>
        </is>
      </c>
      <c r="AH54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48" s="156" t="inlineStr">
        <is>
          <t>No</t>
        </is>
      </c>
      <c r="AJ548" s="156" t="n"/>
      <c r="AK548" s="155" t="inlineStr">
        <is>
          <t>G1522_Extraccion_Articulos_NetSuite_2026-09-30.xlsx: fila 43975</t>
        </is>
      </c>
      <c r="AL548" s="58" t="n"/>
      <c r="AM548" s="58" t="n"/>
      <c r="AN548" s="155" t="n"/>
      <c r="AO548" s="59" t="n"/>
      <c r="AP548" s="59" t="n"/>
      <c r="AQ548" s="59" t="n"/>
      <c r="AR548" s="155" t="n"/>
    </row>
    <row r="549">
      <c r="A549" s="50" t="inlineStr">
        <is>
          <t>5056658708169</t>
        </is>
      </c>
      <c r="B549" s="51" t="inlineStr">
        <is>
          <t>91268</t>
        </is>
      </c>
      <c r="C549" s="156" t="inlineStr">
        <is>
          <t>REFLO</t>
        </is>
      </c>
      <c r="D549" s="156" t="n"/>
      <c r="E549" s="156" t="n"/>
      <c r="F549" s="156" t="n"/>
      <c r="G549" s="156" t="n"/>
      <c r="H549" s="156" t="inlineStr">
        <is>
          <t>REFLO</t>
        </is>
      </c>
      <c r="I549" s="156" t="n"/>
      <c r="J549" s="156" t="n"/>
      <c r="K549" s="156" t="n"/>
      <c r="L549" s="156" t="n"/>
      <c r="M549" s="156" t="n"/>
      <c r="N549" s="156" t="n"/>
      <c r="O549" s="156" t="n"/>
      <c r="P549" s="156" t="n"/>
      <c r="Q549" s="156" t="n"/>
      <c r="R549" s="156" t="n"/>
      <c r="S549" s="156" t="n"/>
      <c r="T549" s="156" t="n"/>
      <c r="U549" s="156" t="n"/>
      <c r="V549" s="156" t="inlineStr">
        <is>
          <t>PZS</t>
        </is>
      </c>
      <c r="W549" s="51" t="inlineStr">
        <is>
          <t>53131602</t>
        </is>
      </c>
      <c r="X549" s="156" t="n"/>
      <c r="Y549" s="54" t="n">
        <v>14.3</v>
      </c>
      <c r="Z549" s="54" t="n">
        <v>1049</v>
      </c>
      <c r="AA549" s="55">
        <f>IF(AND(A549="", B549="", E549=""), "", IF(AB549="", "Válido", IF((LEN(AB549)-LEN(SUBSTITUTE(AB549,"; ","")))/2+1&gt;(LEN(AB549)-LEN(SUBSTITUTE(AB549,"[Aviso]","")))/7, "Con Incidencias", "Válido")))</f>
        <v/>
      </c>
      <c r="AB549" s="56">
        <f>IF(AND(A549="", B549="", E549=""), "", TEXTJOIN("; ", TRUE, IF(OR(TRIM(A549&amp;"")="", ISNUMBER(SEARCH("FALTA", A549))), "UPC faltante/inválido", ""), IF(AND(A549&lt;&gt;"", IFERROR(_xlfn.XMATCH(A549,$A$2:$A$653,0,1)&lt;&gt;_xlfn.XMATCH(A549,$A$2:$A$653,0,-1),FALSE)), "Código de barras duplicado", ""), IF(AND(E549&lt;&gt;"", COUNTIF($E$2:$E$653, E549)&gt;1), "SKU duplicado", ""), IF(OR(J549="", J549=""), "[Aviso] División no capturada ()", IF(ISNA(MATCH(J549, Criterios!$A$123:$A$126, 0)), "División no válida", "")), IF(OR(K549="", K549=""), "[Aviso] Categoría no capturada ()", IF(ISNA(MATCH(K549, Criterios!$A$81:$A$120, 0)), "Categoría no válida", IF(AND(J549&lt;&gt;"", J549&lt;&gt;"", J549&lt;&gt;VLOOKUP(K549, Criterios!$A$81:$B$120, 2, FALSE)), "División no coincide con Categoría", ""))), IF(OR(L549="", L549=""), "[Aviso] Género no capturado ()", IF(ISNA(MATCH(L549, Criterios!$B$123:$B$127, 0)), "Género no válido", "")), IF(OR(N549="", N549=""), "[Aviso] Temporada no capturada ()", IF(ISNA(MATCH(N549, Criterios!$C$123:$C$128, 0)), "Temporada no válida", "")), IF(OR(O549="", O549=""), "[Aviso] Ciclo de vida no capturado ()", IF(ISNA(MATCH(O549, Criterios!$D$123:$D$124, 0)), "Ciclo de vida no válido", ""))))</f>
        <v/>
      </c>
      <c r="AC549" s="56" t="n"/>
      <c r="AD549" s="51" t="n">
        <v>13</v>
      </c>
      <c r="AE549" s="156" t="n"/>
      <c r="AF549" s="51" t="n">
        <v>13</v>
      </c>
      <c r="AG549" s="156" t="inlineStr">
        <is>
          <t>Nuevo – NetSuite con existencia</t>
        </is>
      </c>
      <c r="AH54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49" s="156" t="inlineStr">
        <is>
          <t>No</t>
        </is>
      </c>
      <c r="AJ549" s="156" t="n"/>
      <c r="AK549" s="155" t="inlineStr">
        <is>
          <t>G1522_Extraccion_Articulos_NetSuite_2026-09-30.xlsx: fila 43976</t>
        </is>
      </c>
      <c r="AL549" s="58" t="n"/>
      <c r="AM549" s="58" t="n"/>
      <c r="AN549" s="155" t="n"/>
      <c r="AO549" s="59" t="n"/>
      <c r="AP549" s="59" t="n"/>
      <c r="AQ549" s="59" t="n"/>
      <c r="AR549" s="155" t="n"/>
    </row>
    <row r="550">
      <c r="A550" s="50" t="inlineStr">
        <is>
          <t>5056658708176</t>
        </is>
      </c>
      <c r="B550" s="51" t="inlineStr">
        <is>
          <t>91269</t>
        </is>
      </c>
      <c r="C550" s="156" t="inlineStr">
        <is>
          <t>REFLO</t>
        </is>
      </c>
      <c r="D550" s="156" t="n"/>
      <c r="E550" s="156" t="n"/>
      <c r="F550" s="156" t="n"/>
      <c r="G550" s="156" t="n"/>
      <c r="H550" s="156" t="inlineStr">
        <is>
          <t>REFLO</t>
        </is>
      </c>
      <c r="I550" s="156" t="n"/>
      <c r="J550" s="156" t="n"/>
      <c r="K550" s="156" t="n"/>
      <c r="L550" s="156" t="n"/>
      <c r="M550" s="156" t="n"/>
      <c r="N550" s="156" t="n"/>
      <c r="O550" s="156" t="n"/>
      <c r="P550" s="156" t="n"/>
      <c r="Q550" s="156" t="n"/>
      <c r="R550" s="156" t="n"/>
      <c r="S550" s="156" t="n"/>
      <c r="T550" s="156" t="n"/>
      <c r="U550" s="156" t="n"/>
      <c r="V550" s="156" t="inlineStr">
        <is>
          <t>PZS</t>
        </is>
      </c>
      <c r="W550" s="51" t="inlineStr">
        <is>
          <t>53131602</t>
        </is>
      </c>
      <c r="X550" s="156" t="n"/>
      <c r="Y550" s="54" t="n">
        <v>14.3</v>
      </c>
      <c r="Z550" s="54" t="n">
        <v>1049</v>
      </c>
      <c r="AA550" s="55">
        <f>IF(AND(A550="", B550="", E550=""), "", IF(AB550="", "Válido", IF((LEN(AB550)-LEN(SUBSTITUTE(AB550,"; ","")))/2+1&gt;(LEN(AB550)-LEN(SUBSTITUTE(AB550,"[Aviso]","")))/7, "Con Incidencias", "Válido")))</f>
        <v/>
      </c>
      <c r="AB550" s="56">
        <f>IF(AND(A550="", B550="", E550=""), "", TEXTJOIN("; ", TRUE, IF(OR(TRIM(A550&amp;"")="", ISNUMBER(SEARCH("FALTA", A550))), "UPC faltante/inválido", ""), IF(AND(A550&lt;&gt;"", IFERROR(_xlfn.XMATCH(A550,$A$2:$A$653,0,1)&lt;&gt;_xlfn.XMATCH(A550,$A$2:$A$653,0,-1),FALSE)), "Código de barras duplicado", ""), IF(AND(E550&lt;&gt;"", COUNTIF($E$2:$E$653, E550)&gt;1), "SKU duplicado", ""), IF(OR(J550="", J550=""), "[Aviso] División no capturada ()", IF(ISNA(MATCH(J550, Criterios!$A$123:$A$126, 0)), "División no válida", "")), IF(OR(K550="", K550=""), "[Aviso] Categoría no capturada ()", IF(ISNA(MATCH(K550, Criterios!$A$81:$A$120, 0)), "Categoría no válida", IF(AND(J550&lt;&gt;"", J550&lt;&gt;"", J550&lt;&gt;VLOOKUP(K550, Criterios!$A$81:$B$120, 2, FALSE)), "División no coincide con Categoría", ""))), IF(OR(L550="", L550=""), "[Aviso] Género no capturado ()", IF(ISNA(MATCH(L550, Criterios!$B$123:$B$127, 0)), "Género no válido", "")), IF(OR(N550="", N550=""), "[Aviso] Temporada no capturada ()", IF(ISNA(MATCH(N550, Criterios!$C$123:$C$128, 0)), "Temporada no válida", "")), IF(OR(O550="", O550=""), "[Aviso] Ciclo de vida no capturado ()", IF(ISNA(MATCH(O550, Criterios!$D$123:$D$124, 0)), "Ciclo de vida no válido", ""))))</f>
        <v/>
      </c>
      <c r="AC550" s="56" t="n"/>
      <c r="AD550" s="51" t="n">
        <v>13</v>
      </c>
      <c r="AE550" s="156" t="n"/>
      <c r="AF550" s="51" t="n">
        <v>13</v>
      </c>
      <c r="AG550" s="156" t="inlineStr">
        <is>
          <t>Nuevo – NetSuite con existencia</t>
        </is>
      </c>
      <c r="AH55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0" s="156" t="inlineStr">
        <is>
          <t>No</t>
        </is>
      </c>
      <c r="AJ550" s="156" t="n"/>
      <c r="AK550" s="155" t="inlineStr">
        <is>
          <t>G1522_Extraccion_Articulos_NetSuite_2026-09-30.xlsx: fila 43977</t>
        </is>
      </c>
      <c r="AL550" s="58" t="n"/>
      <c r="AM550" s="58" t="n"/>
      <c r="AN550" s="155" t="n"/>
      <c r="AO550" s="59" t="n"/>
      <c r="AP550" s="59" t="n"/>
      <c r="AQ550" s="59" t="n"/>
      <c r="AR550" s="155" t="n"/>
    </row>
    <row r="551">
      <c r="A551" s="50" t="inlineStr">
        <is>
          <t>5056658708183</t>
        </is>
      </c>
      <c r="B551" s="51" t="inlineStr">
        <is>
          <t>91270</t>
        </is>
      </c>
      <c r="C551" s="156" t="inlineStr">
        <is>
          <t>REFLO</t>
        </is>
      </c>
      <c r="D551" s="156" t="n"/>
      <c r="E551" s="156" t="n"/>
      <c r="F551" s="156" t="n"/>
      <c r="G551" s="156" t="n"/>
      <c r="H551" s="156" t="inlineStr">
        <is>
          <t>REFLO</t>
        </is>
      </c>
      <c r="I551" s="156" t="n"/>
      <c r="J551" s="156" t="n"/>
      <c r="K551" s="156" t="n"/>
      <c r="L551" s="156" t="n"/>
      <c r="M551" s="156" t="n"/>
      <c r="N551" s="156" t="n"/>
      <c r="O551" s="156" t="n"/>
      <c r="P551" s="156" t="n"/>
      <c r="Q551" s="156" t="n"/>
      <c r="R551" s="156" t="n"/>
      <c r="S551" s="156" t="n"/>
      <c r="T551" s="156" t="n"/>
      <c r="U551" s="156" t="n"/>
      <c r="V551" s="156" t="inlineStr">
        <is>
          <t>PZS</t>
        </is>
      </c>
      <c r="W551" s="51" t="inlineStr">
        <is>
          <t>53131602</t>
        </is>
      </c>
      <c r="X551" s="156" t="n"/>
      <c r="Y551" s="54" t="n">
        <v>14.3</v>
      </c>
      <c r="Z551" s="54" t="n">
        <v>1049</v>
      </c>
      <c r="AA551" s="55">
        <f>IF(AND(A551="", B551="", E551=""), "", IF(AB551="", "Válido", IF((LEN(AB551)-LEN(SUBSTITUTE(AB551,"; ","")))/2+1&gt;(LEN(AB551)-LEN(SUBSTITUTE(AB551,"[Aviso]","")))/7, "Con Incidencias", "Válido")))</f>
        <v/>
      </c>
      <c r="AB551" s="56">
        <f>IF(AND(A551="", B551="", E551=""), "", TEXTJOIN("; ", TRUE, IF(OR(TRIM(A551&amp;"")="", ISNUMBER(SEARCH("FALTA", A551))), "UPC faltante/inválido", ""), IF(AND(A551&lt;&gt;"", IFERROR(_xlfn.XMATCH(A551,$A$2:$A$653,0,1)&lt;&gt;_xlfn.XMATCH(A551,$A$2:$A$653,0,-1),FALSE)), "Código de barras duplicado", ""), IF(AND(E551&lt;&gt;"", COUNTIF($E$2:$E$653, E551)&gt;1), "SKU duplicado", ""), IF(OR(J551="", J551=""), "[Aviso] División no capturada ()", IF(ISNA(MATCH(J551, Criterios!$A$123:$A$126, 0)), "División no válida", "")), IF(OR(K551="", K551=""), "[Aviso] Categoría no capturada ()", IF(ISNA(MATCH(K551, Criterios!$A$81:$A$120, 0)), "Categoría no válida", IF(AND(J551&lt;&gt;"", J551&lt;&gt;"", J551&lt;&gt;VLOOKUP(K551, Criterios!$A$81:$B$120, 2, FALSE)), "División no coincide con Categoría", ""))), IF(OR(L551="", L551=""), "[Aviso] Género no capturado ()", IF(ISNA(MATCH(L551, Criterios!$B$123:$B$127, 0)), "Género no válido", "")), IF(OR(N551="", N551=""), "[Aviso] Temporada no capturada ()", IF(ISNA(MATCH(N551, Criterios!$C$123:$C$128, 0)), "Temporada no válida", "")), IF(OR(O551="", O551=""), "[Aviso] Ciclo de vida no capturado ()", IF(ISNA(MATCH(O551, Criterios!$D$123:$D$124, 0)), "Ciclo de vida no válido", ""))))</f>
        <v/>
      </c>
      <c r="AC551" s="56" t="n"/>
      <c r="AD551" s="51" t="n">
        <v>8</v>
      </c>
      <c r="AE551" s="156" t="n"/>
      <c r="AF551" s="51" t="n">
        <v>8</v>
      </c>
      <c r="AG551" s="156" t="inlineStr">
        <is>
          <t>Nuevo – NetSuite con existencia</t>
        </is>
      </c>
      <c r="AH55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1" s="156" t="inlineStr">
        <is>
          <t>No</t>
        </is>
      </c>
      <c r="AJ551" s="156" t="n"/>
      <c r="AK551" s="155" t="inlineStr">
        <is>
          <t>G1522_Extraccion_Articulos_NetSuite_2026-09-30.xlsx: fila 43978</t>
        </is>
      </c>
      <c r="AL551" s="58" t="n"/>
      <c r="AM551" s="58" t="n"/>
      <c r="AN551" s="155" t="n"/>
      <c r="AO551" s="59" t="n"/>
      <c r="AP551" s="59" t="n"/>
      <c r="AQ551" s="59" t="n"/>
      <c r="AR551" s="155" t="n"/>
    </row>
    <row r="552">
      <c r="A552" s="50" t="inlineStr">
        <is>
          <t>5056658714153</t>
        </is>
      </c>
      <c r="B552" s="51" t="inlineStr">
        <is>
          <t>91271</t>
        </is>
      </c>
      <c r="C552" s="156" t="inlineStr">
        <is>
          <t>REFLO</t>
        </is>
      </c>
      <c r="D552" s="156" t="n"/>
      <c r="E552" s="156" t="n"/>
      <c r="F552" s="156" t="n"/>
      <c r="G552" s="156" t="n"/>
      <c r="H552" s="156" t="inlineStr">
        <is>
          <t>REFLO</t>
        </is>
      </c>
      <c r="I552" s="156" t="n"/>
      <c r="J552" s="156" t="n"/>
      <c r="K552" s="156" t="n"/>
      <c r="L552" s="156" t="n"/>
      <c r="M552" s="156" t="n"/>
      <c r="N552" s="156" t="n"/>
      <c r="O552" s="156" t="n"/>
      <c r="P552" s="156" t="n"/>
      <c r="Q552" s="156" t="n"/>
      <c r="R552" s="156" t="n"/>
      <c r="S552" s="156" t="n"/>
      <c r="T552" s="156" t="n"/>
      <c r="U552" s="156" t="n"/>
      <c r="V552" s="156" t="inlineStr">
        <is>
          <t>PZS</t>
        </is>
      </c>
      <c r="W552" s="51" t="inlineStr">
        <is>
          <t>53131602</t>
        </is>
      </c>
      <c r="X552" s="156" t="n"/>
      <c r="Y552" s="54" t="n">
        <v>14.3</v>
      </c>
      <c r="Z552" s="54" t="n">
        <v>1049</v>
      </c>
      <c r="AA552" s="55">
        <f>IF(AND(A552="", B552="", E552=""), "", IF(AB552="", "Válido", IF((LEN(AB552)-LEN(SUBSTITUTE(AB552,"; ","")))/2+1&gt;(LEN(AB552)-LEN(SUBSTITUTE(AB552,"[Aviso]","")))/7, "Con Incidencias", "Válido")))</f>
        <v/>
      </c>
      <c r="AB552" s="56">
        <f>IF(AND(A552="", B552="", E552=""), "", TEXTJOIN("; ", TRUE, IF(OR(TRIM(A552&amp;"")="", ISNUMBER(SEARCH("FALTA", A552))), "UPC faltante/inválido", ""), IF(AND(A552&lt;&gt;"", IFERROR(_xlfn.XMATCH(A552,$A$2:$A$653,0,1)&lt;&gt;_xlfn.XMATCH(A552,$A$2:$A$653,0,-1),FALSE)), "Código de barras duplicado", ""), IF(AND(E552&lt;&gt;"", COUNTIF($E$2:$E$653, E552)&gt;1), "SKU duplicado", ""), IF(OR(J552="", J552=""), "[Aviso] División no capturada ()", IF(ISNA(MATCH(J552, Criterios!$A$123:$A$126, 0)), "División no válida", "")), IF(OR(K552="", K552=""), "[Aviso] Categoría no capturada ()", IF(ISNA(MATCH(K552, Criterios!$A$81:$A$120, 0)), "Categoría no válida", IF(AND(J552&lt;&gt;"", J552&lt;&gt;"", J552&lt;&gt;VLOOKUP(K552, Criterios!$A$81:$B$120, 2, FALSE)), "División no coincide con Categoría", ""))), IF(OR(L552="", L552=""), "[Aviso] Género no capturado ()", IF(ISNA(MATCH(L552, Criterios!$B$123:$B$127, 0)), "Género no válido", "")), IF(OR(N552="", N552=""), "[Aviso] Temporada no capturada ()", IF(ISNA(MATCH(N552, Criterios!$C$123:$C$128, 0)), "Temporada no válida", "")), IF(OR(O552="", O552=""), "[Aviso] Ciclo de vida no capturado ()", IF(ISNA(MATCH(O552, Criterios!$D$123:$D$124, 0)), "Ciclo de vida no válido", ""))))</f>
        <v/>
      </c>
      <c r="AC552" s="56" t="n"/>
      <c r="AD552" s="51" t="n">
        <v>4</v>
      </c>
      <c r="AE552" s="156" t="n"/>
      <c r="AF552" s="51" t="n">
        <v>4</v>
      </c>
      <c r="AG552" s="156" t="inlineStr">
        <is>
          <t>Nuevo – NetSuite con existencia</t>
        </is>
      </c>
      <c r="AH55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2" s="156" t="inlineStr">
        <is>
          <t>No</t>
        </is>
      </c>
      <c r="AJ552" s="156" t="n"/>
      <c r="AK552" s="155" t="inlineStr">
        <is>
          <t>G1522_Extraccion_Articulos_NetSuite_2026-09-30.xlsx: fila 43979</t>
        </is>
      </c>
      <c r="AL552" s="58" t="n"/>
      <c r="AM552" s="58" t="n"/>
      <c r="AN552" s="155" t="n"/>
      <c r="AO552" s="59" t="n"/>
      <c r="AP552" s="59" t="n"/>
      <c r="AQ552" s="59" t="n"/>
      <c r="AR552" s="155" t="n"/>
    </row>
    <row r="553">
      <c r="A553" s="50" t="inlineStr">
        <is>
          <t>5056658708206</t>
        </is>
      </c>
      <c r="B553" s="51" t="inlineStr">
        <is>
          <t>91272</t>
        </is>
      </c>
      <c r="C553" s="156" t="inlineStr">
        <is>
          <t>REFLO</t>
        </is>
      </c>
      <c r="D553" s="156" t="n"/>
      <c r="E553" s="156" t="n"/>
      <c r="F553" s="156" t="n"/>
      <c r="G553" s="156" t="n"/>
      <c r="H553" s="156" t="inlineStr">
        <is>
          <t>REFLO</t>
        </is>
      </c>
      <c r="I553" s="156" t="n"/>
      <c r="J553" s="156" t="n"/>
      <c r="K553" s="156" t="n"/>
      <c r="L553" s="156" t="n"/>
      <c r="M553" s="156" t="n"/>
      <c r="N553" s="156" t="n"/>
      <c r="O553" s="156" t="n"/>
      <c r="P553" s="156" t="n"/>
      <c r="Q553" s="156" t="n"/>
      <c r="R553" s="156" t="n"/>
      <c r="S553" s="156" t="n"/>
      <c r="T553" s="156" t="n"/>
      <c r="U553" s="156" t="n"/>
      <c r="V553" s="156" t="inlineStr">
        <is>
          <t>PZS</t>
        </is>
      </c>
      <c r="W553" s="51" t="inlineStr">
        <is>
          <t>53131602</t>
        </is>
      </c>
      <c r="X553" s="156" t="n"/>
      <c r="Y553" s="54" t="n">
        <v>14.3</v>
      </c>
      <c r="Z553" s="54" t="n">
        <v>1049</v>
      </c>
      <c r="AA553" s="55">
        <f>IF(AND(A553="", B553="", E553=""), "", IF(AB553="", "Válido", IF((LEN(AB553)-LEN(SUBSTITUTE(AB553,"; ","")))/2+1&gt;(LEN(AB553)-LEN(SUBSTITUTE(AB553,"[Aviso]","")))/7, "Con Incidencias", "Válido")))</f>
        <v/>
      </c>
      <c r="AB553" s="56">
        <f>IF(AND(A553="", B553="", E553=""), "", TEXTJOIN("; ", TRUE, IF(OR(TRIM(A553&amp;"")="", ISNUMBER(SEARCH("FALTA", A553))), "UPC faltante/inválido", ""), IF(AND(A553&lt;&gt;"", IFERROR(_xlfn.XMATCH(A553,$A$2:$A$653,0,1)&lt;&gt;_xlfn.XMATCH(A553,$A$2:$A$653,0,-1),FALSE)), "Código de barras duplicado", ""), IF(AND(E553&lt;&gt;"", COUNTIF($E$2:$E$653, E553)&gt;1), "SKU duplicado", ""), IF(OR(J553="", J553=""), "[Aviso] División no capturada ()", IF(ISNA(MATCH(J553, Criterios!$A$123:$A$126, 0)), "División no válida", "")), IF(OR(K553="", K553=""), "[Aviso] Categoría no capturada ()", IF(ISNA(MATCH(K553, Criterios!$A$81:$A$120, 0)), "Categoría no válida", IF(AND(J553&lt;&gt;"", J553&lt;&gt;"", J553&lt;&gt;VLOOKUP(K553, Criterios!$A$81:$B$120, 2, FALSE)), "División no coincide con Categoría", ""))), IF(OR(L553="", L553=""), "[Aviso] Género no capturado ()", IF(ISNA(MATCH(L553, Criterios!$B$123:$B$127, 0)), "Género no válido", "")), IF(OR(N553="", N553=""), "[Aviso] Temporada no capturada ()", IF(ISNA(MATCH(N553, Criterios!$C$123:$C$128, 0)), "Temporada no válida", "")), IF(OR(O553="", O553=""), "[Aviso] Ciclo de vida no capturado ()", IF(ISNA(MATCH(O553, Criterios!$D$123:$D$124, 0)), "Ciclo de vida no válido", ""))))</f>
        <v/>
      </c>
      <c r="AC553" s="56" t="n"/>
      <c r="AD553" s="51" t="n">
        <v>2</v>
      </c>
      <c r="AE553" s="156" t="n"/>
      <c r="AF553" s="51" t="n">
        <v>2</v>
      </c>
      <c r="AG553" s="156" t="inlineStr">
        <is>
          <t>Nuevo – NetSuite con existencia</t>
        </is>
      </c>
      <c r="AH55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3" s="156" t="inlineStr">
        <is>
          <t>No</t>
        </is>
      </c>
      <c r="AJ553" s="156" t="n"/>
      <c r="AK553" s="155" t="inlineStr">
        <is>
          <t>G1522_Extraccion_Articulos_NetSuite_2026-09-30.xlsx: fila 43980</t>
        </is>
      </c>
      <c r="AL553" s="58" t="n"/>
      <c r="AM553" s="58" t="n"/>
      <c r="AN553" s="155" t="n"/>
      <c r="AO553" s="59" t="n"/>
      <c r="AP553" s="59" t="n"/>
      <c r="AQ553" s="59" t="n"/>
      <c r="AR553" s="155" t="n"/>
    </row>
    <row r="554">
      <c r="A554" s="50" t="inlineStr">
        <is>
          <t>5056658708213</t>
        </is>
      </c>
      <c r="B554" s="51" t="inlineStr">
        <is>
          <t>91273</t>
        </is>
      </c>
      <c r="C554" s="156" t="inlineStr">
        <is>
          <t>REFLO</t>
        </is>
      </c>
      <c r="D554" s="156" t="n"/>
      <c r="E554" s="156" t="n"/>
      <c r="F554" s="156" t="n"/>
      <c r="G554" s="156" t="n"/>
      <c r="H554" s="156" t="inlineStr">
        <is>
          <t>REFLO</t>
        </is>
      </c>
      <c r="I554" s="156" t="n"/>
      <c r="J554" s="156" t="n"/>
      <c r="K554" s="156" t="n"/>
      <c r="L554" s="156" t="n"/>
      <c r="M554" s="156" t="n"/>
      <c r="N554" s="156" t="n"/>
      <c r="O554" s="156" t="n"/>
      <c r="P554" s="156" t="n"/>
      <c r="Q554" s="156" t="n"/>
      <c r="R554" s="156" t="n"/>
      <c r="S554" s="156" t="n"/>
      <c r="T554" s="156" t="n"/>
      <c r="U554" s="156" t="n"/>
      <c r="V554" s="156" t="inlineStr">
        <is>
          <t>PZS</t>
        </is>
      </c>
      <c r="W554" s="51" t="inlineStr">
        <is>
          <t>53131602</t>
        </is>
      </c>
      <c r="X554" s="156" t="n"/>
      <c r="Y554" s="54" t="n">
        <v>14.3</v>
      </c>
      <c r="Z554" s="54" t="n">
        <v>1049</v>
      </c>
      <c r="AA554" s="55">
        <f>IF(AND(A554="", B554="", E554=""), "", IF(AB554="", "Válido", IF((LEN(AB554)-LEN(SUBSTITUTE(AB554,"; ","")))/2+1&gt;(LEN(AB554)-LEN(SUBSTITUTE(AB554,"[Aviso]","")))/7, "Con Incidencias", "Válido")))</f>
        <v/>
      </c>
      <c r="AB554" s="56">
        <f>IF(AND(A554="", B554="", E554=""), "", TEXTJOIN("; ", TRUE, IF(OR(TRIM(A554&amp;"")="", ISNUMBER(SEARCH("FALTA", A554))), "UPC faltante/inválido", ""), IF(AND(A554&lt;&gt;"", IFERROR(_xlfn.XMATCH(A554,$A$2:$A$653,0,1)&lt;&gt;_xlfn.XMATCH(A554,$A$2:$A$653,0,-1),FALSE)), "Código de barras duplicado", ""), IF(AND(E554&lt;&gt;"", COUNTIF($E$2:$E$653, E554)&gt;1), "SKU duplicado", ""), IF(OR(J554="", J554=""), "[Aviso] División no capturada ()", IF(ISNA(MATCH(J554, Criterios!$A$123:$A$126, 0)), "División no válida", "")), IF(OR(K554="", K554=""), "[Aviso] Categoría no capturada ()", IF(ISNA(MATCH(K554, Criterios!$A$81:$A$120, 0)), "Categoría no válida", IF(AND(J554&lt;&gt;"", J554&lt;&gt;"", J554&lt;&gt;VLOOKUP(K554, Criterios!$A$81:$B$120, 2, FALSE)), "División no coincide con Categoría", ""))), IF(OR(L554="", L554=""), "[Aviso] Género no capturado ()", IF(ISNA(MATCH(L554, Criterios!$B$123:$B$127, 0)), "Género no válido", "")), IF(OR(N554="", N554=""), "[Aviso] Temporada no capturada ()", IF(ISNA(MATCH(N554, Criterios!$C$123:$C$128, 0)), "Temporada no válida", "")), IF(OR(O554="", O554=""), "[Aviso] Ciclo de vida no capturado ()", IF(ISNA(MATCH(O554, Criterios!$D$123:$D$124, 0)), "Ciclo de vida no válido", ""))))</f>
        <v/>
      </c>
      <c r="AC554" s="56" t="n"/>
      <c r="AD554" s="51" t="n">
        <v>6</v>
      </c>
      <c r="AE554" s="156" t="n"/>
      <c r="AF554" s="51" t="n">
        <v>6</v>
      </c>
      <c r="AG554" s="156" t="inlineStr">
        <is>
          <t>Nuevo – NetSuite con existencia</t>
        </is>
      </c>
      <c r="AH55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4" s="156" t="inlineStr">
        <is>
          <t>No</t>
        </is>
      </c>
      <c r="AJ554" s="156" t="n"/>
      <c r="AK554" s="155" t="inlineStr">
        <is>
          <t>G1522_Extraccion_Articulos_NetSuite_2026-09-30.xlsx: fila 43981</t>
        </is>
      </c>
      <c r="AL554" s="58" t="n"/>
      <c r="AM554" s="58" t="n"/>
      <c r="AN554" s="155" t="n"/>
      <c r="AO554" s="59" t="n"/>
      <c r="AP554" s="59" t="n"/>
      <c r="AQ554" s="59" t="n"/>
      <c r="AR554" s="155" t="n"/>
    </row>
    <row r="555">
      <c r="A555" s="50" t="inlineStr">
        <is>
          <t>5056658708220</t>
        </is>
      </c>
      <c r="B555" s="51" t="inlineStr">
        <is>
          <t>91274</t>
        </is>
      </c>
      <c r="C555" s="156" t="inlineStr">
        <is>
          <t>REFLO</t>
        </is>
      </c>
      <c r="D555" s="156" t="n"/>
      <c r="E555" s="156" t="n"/>
      <c r="F555" s="156" t="n"/>
      <c r="G555" s="156" t="n"/>
      <c r="H555" s="156" t="inlineStr">
        <is>
          <t>REFLO</t>
        </is>
      </c>
      <c r="I555" s="156" t="n"/>
      <c r="J555" s="156" t="n"/>
      <c r="K555" s="156" t="n"/>
      <c r="L555" s="156" t="n"/>
      <c r="M555" s="156" t="n"/>
      <c r="N555" s="156" t="n"/>
      <c r="O555" s="156" t="n"/>
      <c r="P555" s="156" t="n"/>
      <c r="Q555" s="156" t="n"/>
      <c r="R555" s="156" t="n"/>
      <c r="S555" s="156" t="n"/>
      <c r="T555" s="156" t="n"/>
      <c r="U555" s="156" t="n"/>
      <c r="V555" s="156" t="inlineStr">
        <is>
          <t>PZS</t>
        </is>
      </c>
      <c r="W555" s="51" t="inlineStr">
        <is>
          <t>53131602</t>
        </is>
      </c>
      <c r="X555" s="156" t="n"/>
      <c r="Y555" s="54" t="n">
        <v>14.3</v>
      </c>
      <c r="Z555" s="54" t="n">
        <v>1049</v>
      </c>
      <c r="AA555" s="55">
        <f>IF(AND(A555="", B555="", E555=""), "", IF(AB555="", "Válido", IF((LEN(AB555)-LEN(SUBSTITUTE(AB555,"; ","")))/2+1&gt;(LEN(AB555)-LEN(SUBSTITUTE(AB555,"[Aviso]","")))/7, "Con Incidencias", "Válido")))</f>
        <v/>
      </c>
      <c r="AB555" s="56">
        <f>IF(AND(A555="", B555="", E555=""), "", TEXTJOIN("; ", TRUE, IF(OR(TRIM(A555&amp;"")="", ISNUMBER(SEARCH("FALTA", A555))), "UPC faltante/inválido", ""), IF(AND(A555&lt;&gt;"", IFERROR(_xlfn.XMATCH(A555,$A$2:$A$653,0,1)&lt;&gt;_xlfn.XMATCH(A555,$A$2:$A$653,0,-1),FALSE)), "Código de barras duplicado", ""), IF(AND(E555&lt;&gt;"", COUNTIF($E$2:$E$653, E555)&gt;1), "SKU duplicado", ""), IF(OR(J555="", J555=""), "[Aviso] División no capturada ()", IF(ISNA(MATCH(J555, Criterios!$A$123:$A$126, 0)), "División no válida", "")), IF(OR(K555="", K555=""), "[Aviso] Categoría no capturada ()", IF(ISNA(MATCH(K555, Criterios!$A$81:$A$120, 0)), "Categoría no válida", IF(AND(J555&lt;&gt;"", J555&lt;&gt;"", J555&lt;&gt;VLOOKUP(K555, Criterios!$A$81:$B$120, 2, FALSE)), "División no coincide con Categoría", ""))), IF(OR(L555="", L555=""), "[Aviso] Género no capturado ()", IF(ISNA(MATCH(L555, Criterios!$B$123:$B$127, 0)), "Género no válido", "")), IF(OR(N555="", N555=""), "[Aviso] Temporada no capturada ()", IF(ISNA(MATCH(N555, Criterios!$C$123:$C$128, 0)), "Temporada no válida", "")), IF(OR(O555="", O555=""), "[Aviso] Ciclo de vida no capturado ()", IF(ISNA(MATCH(O555, Criterios!$D$123:$D$124, 0)), "Ciclo de vida no válido", ""))))</f>
        <v/>
      </c>
      <c r="AC555" s="56" t="n"/>
      <c r="AD555" s="51" t="n">
        <v>13</v>
      </c>
      <c r="AE555" s="156" t="n"/>
      <c r="AF555" s="51" t="n">
        <v>13</v>
      </c>
      <c r="AG555" s="156" t="inlineStr">
        <is>
          <t>Nuevo – NetSuite con existencia</t>
        </is>
      </c>
      <c r="AH55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5" s="156" t="inlineStr">
        <is>
          <t>No</t>
        </is>
      </c>
      <c r="AJ555" s="156" t="n"/>
      <c r="AK555" s="155" t="inlineStr">
        <is>
          <t>G1522_Extraccion_Articulos_NetSuite_2026-09-30.xlsx: fila 43982</t>
        </is>
      </c>
      <c r="AL555" s="58" t="n"/>
      <c r="AM555" s="58" t="n"/>
      <c r="AN555" s="155" t="n"/>
      <c r="AO555" s="59" t="n"/>
      <c r="AP555" s="59" t="n"/>
      <c r="AQ555" s="59" t="n"/>
      <c r="AR555" s="155" t="n"/>
    </row>
    <row r="556">
      <c r="A556" s="50" t="inlineStr">
        <is>
          <t>5056658708237</t>
        </is>
      </c>
      <c r="B556" s="51" t="inlineStr">
        <is>
          <t>91275</t>
        </is>
      </c>
      <c r="C556" s="156" t="inlineStr">
        <is>
          <t>REFLO</t>
        </is>
      </c>
      <c r="D556" s="156" t="n"/>
      <c r="E556" s="156" t="n"/>
      <c r="F556" s="156" t="n"/>
      <c r="G556" s="156" t="n"/>
      <c r="H556" s="156" t="inlineStr">
        <is>
          <t>REFLO</t>
        </is>
      </c>
      <c r="I556" s="156" t="n"/>
      <c r="J556" s="156" t="n"/>
      <c r="K556" s="156" t="n"/>
      <c r="L556" s="156" t="n"/>
      <c r="M556" s="156" t="n"/>
      <c r="N556" s="156" t="n"/>
      <c r="O556" s="156" t="n"/>
      <c r="P556" s="156" t="n"/>
      <c r="Q556" s="156" t="n"/>
      <c r="R556" s="156" t="n"/>
      <c r="S556" s="156" t="n"/>
      <c r="T556" s="156" t="n"/>
      <c r="U556" s="156" t="n"/>
      <c r="V556" s="156" t="inlineStr">
        <is>
          <t>PZS</t>
        </is>
      </c>
      <c r="W556" s="51" t="inlineStr">
        <is>
          <t>53131602</t>
        </is>
      </c>
      <c r="X556" s="156" t="n"/>
      <c r="Y556" s="54" t="n">
        <v>14.3</v>
      </c>
      <c r="Z556" s="54" t="n">
        <v>1049</v>
      </c>
      <c r="AA556" s="55">
        <f>IF(AND(A556="", B556="", E556=""), "", IF(AB556="", "Válido", IF((LEN(AB556)-LEN(SUBSTITUTE(AB556,"; ","")))/2+1&gt;(LEN(AB556)-LEN(SUBSTITUTE(AB556,"[Aviso]","")))/7, "Con Incidencias", "Válido")))</f>
        <v/>
      </c>
      <c r="AB556" s="56">
        <f>IF(AND(A556="", B556="", E556=""), "", TEXTJOIN("; ", TRUE, IF(OR(TRIM(A556&amp;"")="", ISNUMBER(SEARCH("FALTA", A556))), "UPC faltante/inválido", ""), IF(AND(A556&lt;&gt;"", IFERROR(_xlfn.XMATCH(A556,$A$2:$A$653,0,1)&lt;&gt;_xlfn.XMATCH(A556,$A$2:$A$653,0,-1),FALSE)), "Código de barras duplicado", ""), IF(AND(E556&lt;&gt;"", COUNTIF($E$2:$E$653, E556)&gt;1), "SKU duplicado", ""), IF(OR(J556="", J556=""), "[Aviso] División no capturada ()", IF(ISNA(MATCH(J556, Criterios!$A$123:$A$126, 0)), "División no válida", "")), IF(OR(K556="", K556=""), "[Aviso] Categoría no capturada ()", IF(ISNA(MATCH(K556, Criterios!$A$81:$A$120, 0)), "Categoría no válida", IF(AND(J556&lt;&gt;"", J556&lt;&gt;"", J556&lt;&gt;VLOOKUP(K556, Criterios!$A$81:$B$120, 2, FALSE)), "División no coincide con Categoría", ""))), IF(OR(L556="", L556=""), "[Aviso] Género no capturado ()", IF(ISNA(MATCH(L556, Criterios!$B$123:$B$127, 0)), "Género no válido", "")), IF(OR(N556="", N556=""), "[Aviso] Temporada no capturada ()", IF(ISNA(MATCH(N556, Criterios!$C$123:$C$128, 0)), "Temporada no válida", "")), IF(OR(O556="", O556=""), "[Aviso] Ciclo de vida no capturado ()", IF(ISNA(MATCH(O556, Criterios!$D$123:$D$124, 0)), "Ciclo de vida no válido", ""))))</f>
        <v/>
      </c>
      <c r="AC556" s="56" t="n"/>
      <c r="AD556" s="51" t="n">
        <v>14</v>
      </c>
      <c r="AE556" s="156" t="n"/>
      <c r="AF556" s="51" t="n">
        <v>14</v>
      </c>
      <c r="AG556" s="156" t="inlineStr">
        <is>
          <t>Nuevo – NetSuite con existencia</t>
        </is>
      </c>
      <c r="AH55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6" s="156" t="inlineStr">
        <is>
          <t>No</t>
        </is>
      </c>
      <c r="AJ556" s="156" t="n"/>
      <c r="AK556" s="155" t="inlineStr">
        <is>
          <t>G1522_Extraccion_Articulos_NetSuite_2026-09-30.xlsx: fila 43983</t>
        </is>
      </c>
      <c r="AL556" s="58" t="n"/>
      <c r="AM556" s="58" t="n"/>
      <c r="AN556" s="155" t="n"/>
      <c r="AO556" s="59" t="n"/>
      <c r="AP556" s="59" t="n"/>
      <c r="AQ556" s="59" t="n"/>
      <c r="AR556" s="155" t="n"/>
    </row>
    <row r="557">
      <c r="A557" s="50" t="inlineStr">
        <is>
          <t>5056658708244</t>
        </is>
      </c>
      <c r="B557" s="51" t="inlineStr">
        <is>
          <t>91276</t>
        </is>
      </c>
      <c r="C557" s="156" t="inlineStr">
        <is>
          <t>REFLO</t>
        </is>
      </c>
      <c r="D557" s="156" t="n"/>
      <c r="E557" s="156" t="n"/>
      <c r="F557" s="156" t="n"/>
      <c r="G557" s="156" t="n"/>
      <c r="H557" s="156" t="inlineStr">
        <is>
          <t>REFLO</t>
        </is>
      </c>
      <c r="I557" s="156" t="n"/>
      <c r="J557" s="156" t="n"/>
      <c r="K557" s="156" t="n"/>
      <c r="L557" s="156" t="n"/>
      <c r="M557" s="156" t="n"/>
      <c r="N557" s="156" t="n"/>
      <c r="O557" s="156" t="n"/>
      <c r="P557" s="156" t="n"/>
      <c r="Q557" s="156" t="n"/>
      <c r="R557" s="156" t="n"/>
      <c r="S557" s="156" t="n"/>
      <c r="T557" s="156" t="n"/>
      <c r="U557" s="156" t="n"/>
      <c r="V557" s="156" t="inlineStr">
        <is>
          <t>PZS</t>
        </is>
      </c>
      <c r="W557" s="51" t="inlineStr">
        <is>
          <t>53131602</t>
        </is>
      </c>
      <c r="X557" s="156" t="n"/>
      <c r="Y557" s="54" t="n">
        <v>14.3</v>
      </c>
      <c r="Z557" s="54" t="n">
        <v>1049</v>
      </c>
      <c r="AA557" s="55">
        <f>IF(AND(A557="", B557="", E557=""), "", IF(AB557="", "Válido", IF((LEN(AB557)-LEN(SUBSTITUTE(AB557,"; ","")))/2+1&gt;(LEN(AB557)-LEN(SUBSTITUTE(AB557,"[Aviso]","")))/7, "Con Incidencias", "Válido")))</f>
        <v/>
      </c>
      <c r="AB557" s="56">
        <f>IF(AND(A557="", B557="", E557=""), "", TEXTJOIN("; ", TRUE, IF(OR(TRIM(A557&amp;"")="", ISNUMBER(SEARCH("FALTA", A557))), "UPC faltante/inválido", ""), IF(AND(A557&lt;&gt;"", IFERROR(_xlfn.XMATCH(A557,$A$2:$A$653,0,1)&lt;&gt;_xlfn.XMATCH(A557,$A$2:$A$653,0,-1),FALSE)), "Código de barras duplicado", ""), IF(AND(E557&lt;&gt;"", COUNTIF($E$2:$E$653, E557)&gt;1), "SKU duplicado", ""), IF(OR(J557="", J557=""), "[Aviso] División no capturada ()", IF(ISNA(MATCH(J557, Criterios!$A$123:$A$126, 0)), "División no válida", "")), IF(OR(K557="", K557=""), "[Aviso] Categoría no capturada ()", IF(ISNA(MATCH(K557, Criterios!$A$81:$A$120, 0)), "Categoría no válida", IF(AND(J557&lt;&gt;"", J557&lt;&gt;"", J557&lt;&gt;VLOOKUP(K557, Criterios!$A$81:$B$120, 2, FALSE)), "División no coincide con Categoría", ""))), IF(OR(L557="", L557=""), "[Aviso] Género no capturado ()", IF(ISNA(MATCH(L557, Criterios!$B$123:$B$127, 0)), "Género no válido", "")), IF(OR(N557="", N557=""), "[Aviso] Temporada no capturada ()", IF(ISNA(MATCH(N557, Criterios!$C$123:$C$128, 0)), "Temporada no válida", "")), IF(OR(O557="", O557=""), "[Aviso] Ciclo de vida no capturado ()", IF(ISNA(MATCH(O557, Criterios!$D$123:$D$124, 0)), "Ciclo de vida no válido", ""))))</f>
        <v/>
      </c>
      <c r="AC557" s="56" t="n"/>
      <c r="AD557" s="51" t="n">
        <v>8</v>
      </c>
      <c r="AE557" s="156" t="n"/>
      <c r="AF557" s="51" t="n">
        <v>8</v>
      </c>
      <c r="AG557" s="156" t="inlineStr">
        <is>
          <t>Nuevo – NetSuite con existencia</t>
        </is>
      </c>
      <c r="AH55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7" s="156" t="inlineStr">
        <is>
          <t>No</t>
        </is>
      </c>
      <c r="AJ557" s="156" t="n"/>
      <c r="AK557" s="155" t="inlineStr">
        <is>
          <t>G1522_Extraccion_Articulos_NetSuite_2026-09-30.xlsx: fila 43984</t>
        </is>
      </c>
      <c r="AL557" s="58" t="n"/>
      <c r="AM557" s="58" t="n"/>
      <c r="AN557" s="155" t="n"/>
      <c r="AO557" s="59" t="n"/>
      <c r="AP557" s="59" t="n"/>
      <c r="AQ557" s="59" t="n"/>
      <c r="AR557" s="155" t="n"/>
    </row>
    <row r="558">
      <c r="A558" s="50" t="inlineStr">
        <is>
          <t>5056658714160</t>
        </is>
      </c>
      <c r="B558" s="51" t="inlineStr">
        <is>
          <t>91277</t>
        </is>
      </c>
      <c r="C558" s="156" t="inlineStr">
        <is>
          <t>REFLO</t>
        </is>
      </c>
      <c r="D558" s="156" t="n"/>
      <c r="E558" s="156" t="n"/>
      <c r="F558" s="156" t="n"/>
      <c r="G558" s="156" t="n"/>
      <c r="H558" s="156" t="inlineStr">
        <is>
          <t>REFLO</t>
        </is>
      </c>
      <c r="I558" s="156" t="n"/>
      <c r="J558" s="156" t="n"/>
      <c r="K558" s="156" t="n"/>
      <c r="L558" s="156" t="n"/>
      <c r="M558" s="156" t="n"/>
      <c r="N558" s="156" t="n"/>
      <c r="O558" s="156" t="n"/>
      <c r="P558" s="156" t="n"/>
      <c r="Q558" s="156" t="n"/>
      <c r="R558" s="156" t="n"/>
      <c r="S558" s="156" t="n"/>
      <c r="T558" s="156" t="n"/>
      <c r="U558" s="156" t="n"/>
      <c r="V558" s="156" t="inlineStr">
        <is>
          <t>PZS</t>
        </is>
      </c>
      <c r="W558" s="51" t="inlineStr">
        <is>
          <t>53131602</t>
        </is>
      </c>
      <c r="X558" s="156" t="n"/>
      <c r="Y558" s="54" t="n">
        <v>14.3</v>
      </c>
      <c r="Z558" s="54" t="n">
        <v>1049</v>
      </c>
      <c r="AA558" s="55">
        <f>IF(AND(A558="", B558="", E558=""), "", IF(AB558="", "Válido", IF((LEN(AB558)-LEN(SUBSTITUTE(AB558,"; ","")))/2+1&gt;(LEN(AB558)-LEN(SUBSTITUTE(AB558,"[Aviso]","")))/7, "Con Incidencias", "Válido")))</f>
        <v/>
      </c>
      <c r="AB558" s="56">
        <f>IF(AND(A558="", B558="", E558=""), "", TEXTJOIN("; ", TRUE, IF(OR(TRIM(A558&amp;"")="", ISNUMBER(SEARCH("FALTA", A558))), "UPC faltante/inválido", ""), IF(AND(A558&lt;&gt;"", IFERROR(_xlfn.XMATCH(A558,$A$2:$A$653,0,1)&lt;&gt;_xlfn.XMATCH(A558,$A$2:$A$653,0,-1),FALSE)), "Código de barras duplicado", ""), IF(AND(E558&lt;&gt;"", COUNTIF($E$2:$E$653, E558)&gt;1), "SKU duplicado", ""), IF(OR(J558="", J558=""), "[Aviso] División no capturada ()", IF(ISNA(MATCH(J558, Criterios!$A$123:$A$126, 0)), "División no válida", "")), IF(OR(K558="", K558=""), "[Aviso] Categoría no capturada ()", IF(ISNA(MATCH(K558, Criterios!$A$81:$A$120, 0)), "Categoría no válida", IF(AND(J558&lt;&gt;"", J558&lt;&gt;"", J558&lt;&gt;VLOOKUP(K558, Criterios!$A$81:$B$120, 2, FALSE)), "División no coincide con Categoría", ""))), IF(OR(L558="", L558=""), "[Aviso] Género no capturado ()", IF(ISNA(MATCH(L558, Criterios!$B$123:$B$127, 0)), "Género no válido", "")), IF(OR(N558="", N558=""), "[Aviso] Temporada no capturada ()", IF(ISNA(MATCH(N558, Criterios!$C$123:$C$128, 0)), "Temporada no válida", "")), IF(OR(O558="", O558=""), "[Aviso] Ciclo de vida no capturado ()", IF(ISNA(MATCH(O558, Criterios!$D$123:$D$124, 0)), "Ciclo de vida no válido", ""))))</f>
        <v/>
      </c>
      <c r="AC558" s="56" t="n"/>
      <c r="AD558" s="51" t="n">
        <v>4</v>
      </c>
      <c r="AE558" s="156" t="n"/>
      <c r="AF558" s="51" t="n">
        <v>4</v>
      </c>
      <c r="AG558" s="156" t="inlineStr">
        <is>
          <t>Nuevo – NetSuite con existencia</t>
        </is>
      </c>
      <c r="AH55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8" s="156" t="inlineStr">
        <is>
          <t>No</t>
        </is>
      </c>
      <c r="AJ558" s="156" t="n"/>
      <c r="AK558" s="155" t="inlineStr">
        <is>
          <t>G1522_Extraccion_Articulos_NetSuite_2026-09-30.xlsx: fila 43985</t>
        </is>
      </c>
      <c r="AL558" s="58" t="n"/>
      <c r="AM558" s="58" t="n"/>
      <c r="AN558" s="155" t="n"/>
      <c r="AO558" s="59" t="n"/>
      <c r="AP558" s="59" t="n"/>
      <c r="AQ558" s="59" t="n"/>
      <c r="AR558" s="155" t="n"/>
    </row>
    <row r="559">
      <c r="A559" s="50" t="inlineStr">
        <is>
          <t>5056658708268</t>
        </is>
      </c>
      <c r="B559" s="51" t="inlineStr">
        <is>
          <t>91278</t>
        </is>
      </c>
      <c r="C559" s="156" t="inlineStr">
        <is>
          <t>REFLO</t>
        </is>
      </c>
      <c r="D559" s="156" t="n"/>
      <c r="E559" s="156" t="n"/>
      <c r="F559" s="156" t="n"/>
      <c r="G559" s="156" t="n"/>
      <c r="H559" s="156" t="inlineStr">
        <is>
          <t>REFLO</t>
        </is>
      </c>
      <c r="I559" s="156" t="n"/>
      <c r="J559" s="156" t="n"/>
      <c r="K559" s="156" t="n"/>
      <c r="L559" s="156" t="n"/>
      <c r="M559" s="156" t="n"/>
      <c r="N559" s="156" t="n"/>
      <c r="O559" s="156" t="n"/>
      <c r="P559" s="156" t="n"/>
      <c r="Q559" s="156" t="n"/>
      <c r="R559" s="156" t="n"/>
      <c r="S559" s="156" t="n"/>
      <c r="T559" s="156" t="n"/>
      <c r="U559" s="156" t="n"/>
      <c r="V559" s="156" t="inlineStr">
        <is>
          <t>PZS</t>
        </is>
      </c>
      <c r="W559" s="51" t="inlineStr">
        <is>
          <t>53131602</t>
        </is>
      </c>
      <c r="X559" s="156" t="n"/>
      <c r="Y559" s="54" t="n">
        <v>14.3</v>
      </c>
      <c r="Z559" s="54" t="n">
        <v>1049</v>
      </c>
      <c r="AA559" s="55">
        <f>IF(AND(A559="", B559="", E559=""), "", IF(AB559="", "Válido", IF((LEN(AB559)-LEN(SUBSTITUTE(AB559,"; ","")))/2+1&gt;(LEN(AB559)-LEN(SUBSTITUTE(AB559,"[Aviso]","")))/7, "Con Incidencias", "Válido")))</f>
        <v/>
      </c>
      <c r="AB559" s="56">
        <f>IF(AND(A559="", B559="", E559=""), "", TEXTJOIN("; ", TRUE, IF(OR(TRIM(A559&amp;"")="", ISNUMBER(SEARCH("FALTA", A559))), "UPC faltante/inválido", ""), IF(AND(A559&lt;&gt;"", IFERROR(_xlfn.XMATCH(A559,$A$2:$A$653,0,1)&lt;&gt;_xlfn.XMATCH(A559,$A$2:$A$653,0,-1),FALSE)), "Código de barras duplicado", ""), IF(AND(E559&lt;&gt;"", COUNTIF($E$2:$E$653, E559)&gt;1), "SKU duplicado", ""), IF(OR(J559="", J559=""), "[Aviso] División no capturada ()", IF(ISNA(MATCH(J559, Criterios!$A$123:$A$126, 0)), "División no válida", "")), IF(OR(K559="", K559=""), "[Aviso] Categoría no capturada ()", IF(ISNA(MATCH(K559, Criterios!$A$81:$A$120, 0)), "Categoría no válida", IF(AND(J559&lt;&gt;"", J559&lt;&gt;"", J559&lt;&gt;VLOOKUP(K559, Criterios!$A$81:$B$120, 2, FALSE)), "División no coincide con Categoría", ""))), IF(OR(L559="", L559=""), "[Aviso] Género no capturado ()", IF(ISNA(MATCH(L559, Criterios!$B$123:$B$127, 0)), "Género no válido", "")), IF(OR(N559="", N559=""), "[Aviso] Temporada no capturada ()", IF(ISNA(MATCH(N559, Criterios!$C$123:$C$128, 0)), "Temporada no válida", "")), IF(OR(O559="", O559=""), "[Aviso] Ciclo de vida no capturado ()", IF(ISNA(MATCH(O559, Criterios!$D$123:$D$124, 0)), "Ciclo de vida no válido", ""))))</f>
        <v/>
      </c>
      <c r="AC559" s="56" t="n"/>
      <c r="AD559" s="51" t="n">
        <v>1</v>
      </c>
      <c r="AE559" s="156" t="n"/>
      <c r="AF559" s="51" t="n">
        <v>1</v>
      </c>
      <c r="AG559" s="156" t="inlineStr">
        <is>
          <t>Nuevo – NetSuite con existencia</t>
        </is>
      </c>
      <c r="AH55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59" s="156" t="inlineStr">
        <is>
          <t>No</t>
        </is>
      </c>
      <c r="AJ559" s="156" t="n"/>
      <c r="AK559" s="155" t="inlineStr">
        <is>
          <t>G1522_Extraccion_Articulos_NetSuite_2026-09-30.xlsx: fila 43986</t>
        </is>
      </c>
      <c r="AL559" s="58" t="n"/>
      <c r="AM559" s="58" t="n"/>
      <c r="AN559" s="155" t="n"/>
      <c r="AO559" s="59" t="n"/>
      <c r="AP559" s="59" t="n"/>
      <c r="AQ559" s="59" t="n"/>
      <c r="AR559" s="155" t="n"/>
    </row>
    <row r="560">
      <c r="A560" s="50" t="inlineStr">
        <is>
          <t>5056658708275</t>
        </is>
      </c>
      <c r="B560" s="51" t="inlineStr">
        <is>
          <t>91279</t>
        </is>
      </c>
      <c r="C560" s="156" t="inlineStr">
        <is>
          <t>REFLO</t>
        </is>
      </c>
      <c r="D560" s="156" t="n"/>
      <c r="E560" s="156" t="n"/>
      <c r="F560" s="156" t="n"/>
      <c r="G560" s="156" t="n"/>
      <c r="H560" s="156" t="inlineStr">
        <is>
          <t>REFLO</t>
        </is>
      </c>
      <c r="I560" s="156" t="n"/>
      <c r="J560" s="156" t="n"/>
      <c r="K560" s="156" t="n"/>
      <c r="L560" s="156" t="n"/>
      <c r="M560" s="156" t="n"/>
      <c r="N560" s="156" t="n"/>
      <c r="O560" s="156" t="n"/>
      <c r="P560" s="156" t="n"/>
      <c r="Q560" s="156" t="n"/>
      <c r="R560" s="156" t="n"/>
      <c r="S560" s="156" t="n"/>
      <c r="T560" s="156" t="n"/>
      <c r="U560" s="156" t="n"/>
      <c r="V560" s="156" t="inlineStr">
        <is>
          <t>PZS</t>
        </is>
      </c>
      <c r="W560" s="51" t="inlineStr">
        <is>
          <t>53131602</t>
        </is>
      </c>
      <c r="X560" s="156" t="n"/>
      <c r="Y560" s="54" t="n">
        <v>14.3</v>
      </c>
      <c r="Z560" s="54" t="n">
        <v>1049</v>
      </c>
      <c r="AA560" s="55">
        <f>IF(AND(A560="", B560="", E560=""), "", IF(AB560="", "Válido", IF((LEN(AB560)-LEN(SUBSTITUTE(AB560,"; ","")))/2+1&gt;(LEN(AB560)-LEN(SUBSTITUTE(AB560,"[Aviso]","")))/7, "Con Incidencias", "Válido")))</f>
        <v/>
      </c>
      <c r="AB560" s="56">
        <f>IF(AND(A560="", B560="", E560=""), "", TEXTJOIN("; ", TRUE, IF(OR(TRIM(A560&amp;"")="", ISNUMBER(SEARCH("FALTA", A560))), "UPC faltante/inválido", ""), IF(AND(A560&lt;&gt;"", IFERROR(_xlfn.XMATCH(A560,$A$2:$A$653,0,1)&lt;&gt;_xlfn.XMATCH(A560,$A$2:$A$653,0,-1),FALSE)), "Código de barras duplicado", ""), IF(AND(E560&lt;&gt;"", COUNTIF($E$2:$E$653, E560)&gt;1), "SKU duplicado", ""), IF(OR(J560="", J560=""), "[Aviso] División no capturada ()", IF(ISNA(MATCH(J560, Criterios!$A$123:$A$126, 0)), "División no válida", "")), IF(OR(K560="", K560=""), "[Aviso] Categoría no capturada ()", IF(ISNA(MATCH(K560, Criterios!$A$81:$A$120, 0)), "Categoría no válida", IF(AND(J560&lt;&gt;"", J560&lt;&gt;"", J560&lt;&gt;VLOOKUP(K560, Criterios!$A$81:$B$120, 2, FALSE)), "División no coincide con Categoría", ""))), IF(OR(L560="", L560=""), "[Aviso] Género no capturado ()", IF(ISNA(MATCH(L560, Criterios!$B$123:$B$127, 0)), "Género no válido", "")), IF(OR(N560="", N560=""), "[Aviso] Temporada no capturada ()", IF(ISNA(MATCH(N560, Criterios!$C$123:$C$128, 0)), "Temporada no válida", "")), IF(OR(O560="", O560=""), "[Aviso] Ciclo de vida no capturado ()", IF(ISNA(MATCH(O560, Criterios!$D$123:$D$124, 0)), "Ciclo de vida no válido", ""))))</f>
        <v/>
      </c>
      <c r="AC560" s="56" t="n"/>
      <c r="AD560" s="51" t="n">
        <v>6</v>
      </c>
      <c r="AE560" s="156" t="n"/>
      <c r="AF560" s="51" t="n">
        <v>6</v>
      </c>
      <c r="AG560" s="156" t="inlineStr">
        <is>
          <t>Nuevo – NetSuite con existencia</t>
        </is>
      </c>
      <c r="AH56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0" s="156" t="inlineStr">
        <is>
          <t>No</t>
        </is>
      </c>
      <c r="AJ560" s="156" t="n"/>
      <c r="AK560" s="155" t="inlineStr">
        <is>
          <t>G1522_Extraccion_Articulos_NetSuite_2026-09-30.xlsx: fila 43987</t>
        </is>
      </c>
      <c r="AL560" s="58" t="n"/>
      <c r="AM560" s="58" t="n"/>
      <c r="AN560" s="155" t="n"/>
      <c r="AO560" s="59" t="n"/>
      <c r="AP560" s="59" t="n"/>
      <c r="AQ560" s="59" t="n"/>
      <c r="AR560" s="155" t="n"/>
    </row>
    <row r="561">
      <c r="A561" s="50" t="inlineStr">
        <is>
          <t>5056658708282</t>
        </is>
      </c>
      <c r="B561" s="51" t="inlineStr">
        <is>
          <t>91280</t>
        </is>
      </c>
      <c r="C561" s="156" t="inlineStr">
        <is>
          <t>REFLO</t>
        </is>
      </c>
      <c r="D561" s="156" t="n"/>
      <c r="E561" s="156" t="n"/>
      <c r="F561" s="156" t="n"/>
      <c r="G561" s="156" t="n"/>
      <c r="H561" s="156" t="inlineStr">
        <is>
          <t>REFLO</t>
        </is>
      </c>
      <c r="I561" s="156" t="n"/>
      <c r="J561" s="156" t="n"/>
      <c r="K561" s="156" t="n"/>
      <c r="L561" s="156" t="n"/>
      <c r="M561" s="156" t="n"/>
      <c r="N561" s="156" t="n"/>
      <c r="O561" s="156" t="n"/>
      <c r="P561" s="156" t="n"/>
      <c r="Q561" s="156" t="n"/>
      <c r="R561" s="156" t="n"/>
      <c r="S561" s="156" t="n"/>
      <c r="T561" s="156" t="n"/>
      <c r="U561" s="156" t="n"/>
      <c r="V561" s="156" t="inlineStr">
        <is>
          <t>PZS</t>
        </is>
      </c>
      <c r="W561" s="51" t="inlineStr">
        <is>
          <t>53131602</t>
        </is>
      </c>
      <c r="X561" s="156" t="n"/>
      <c r="Y561" s="54" t="n">
        <v>14.3</v>
      </c>
      <c r="Z561" s="54" t="n">
        <v>1049</v>
      </c>
      <c r="AA561" s="55">
        <f>IF(AND(A561="", B561="", E561=""), "", IF(AB561="", "Válido", IF((LEN(AB561)-LEN(SUBSTITUTE(AB561,"; ","")))/2+1&gt;(LEN(AB561)-LEN(SUBSTITUTE(AB561,"[Aviso]","")))/7, "Con Incidencias", "Válido")))</f>
        <v/>
      </c>
      <c r="AB561" s="56">
        <f>IF(AND(A561="", B561="", E561=""), "", TEXTJOIN("; ", TRUE, IF(OR(TRIM(A561&amp;"")="", ISNUMBER(SEARCH("FALTA", A561))), "UPC faltante/inválido", ""), IF(AND(A561&lt;&gt;"", IFERROR(_xlfn.XMATCH(A561,$A$2:$A$653,0,1)&lt;&gt;_xlfn.XMATCH(A561,$A$2:$A$653,0,-1),FALSE)), "Código de barras duplicado", ""), IF(AND(E561&lt;&gt;"", COUNTIF($E$2:$E$653, E561)&gt;1), "SKU duplicado", ""), IF(OR(J561="", J561=""), "[Aviso] División no capturada ()", IF(ISNA(MATCH(J561, Criterios!$A$123:$A$126, 0)), "División no válida", "")), IF(OR(K561="", K561=""), "[Aviso] Categoría no capturada ()", IF(ISNA(MATCH(K561, Criterios!$A$81:$A$120, 0)), "Categoría no válida", IF(AND(J561&lt;&gt;"", J561&lt;&gt;"", J561&lt;&gt;VLOOKUP(K561, Criterios!$A$81:$B$120, 2, FALSE)), "División no coincide con Categoría", ""))), IF(OR(L561="", L561=""), "[Aviso] Género no capturado ()", IF(ISNA(MATCH(L561, Criterios!$B$123:$B$127, 0)), "Género no válido", "")), IF(OR(N561="", N561=""), "[Aviso] Temporada no capturada ()", IF(ISNA(MATCH(N561, Criterios!$C$123:$C$128, 0)), "Temporada no válida", "")), IF(OR(O561="", O561=""), "[Aviso] Ciclo de vida no capturado ()", IF(ISNA(MATCH(O561, Criterios!$D$123:$D$124, 0)), "Ciclo de vida no válido", ""))))</f>
        <v/>
      </c>
      <c r="AC561" s="56" t="n"/>
      <c r="AD561" s="51" t="n">
        <v>12</v>
      </c>
      <c r="AE561" s="156" t="n"/>
      <c r="AF561" s="51" t="n">
        <v>12</v>
      </c>
      <c r="AG561" s="156" t="inlineStr">
        <is>
          <t>Nuevo – NetSuite con existencia</t>
        </is>
      </c>
      <c r="AH56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1" s="156" t="inlineStr">
        <is>
          <t>No</t>
        </is>
      </c>
      <c r="AJ561" s="156" t="n"/>
      <c r="AK561" s="155" t="inlineStr">
        <is>
          <t>G1522_Extraccion_Articulos_NetSuite_2026-09-30.xlsx: fila 43988</t>
        </is>
      </c>
      <c r="AL561" s="58" t="n"/>
      <c r="AM561" s="58" t="n"/>
      <c r="AN561" s="155" t="n"/>
      <c r="AO561" s="59" t="n"/>
      <c r="AP561" s="59" t="n"/>
      <c r="AQ561" s="59" t="n"/>
      <c r="AR561" s="155" t="n"/>
    </row>
    <row r="562">
      <c r="A562" s="50" t="inlineStr">
        <is>
          <t>5056658708299</t>
        </is>
      </c>
      <c r="B562" s="51" t="inlineStr">
        <is>
          <t>91281</t>
        </is>
      </c>
      <c r="C562" s="156" t="inlineStr">
        <is>
          <t>REFLO</t>
        </is>
      </c>
      <c r="D562" s="156" t="n"/>
      <c r="E562" s="156" t="n"/>
      <c r="F562" s="156" t="n"/>
      <c r="G562" s="156" t="n"/>
      <c r="H562" s="156" t="inlineStr">
        <is>
          <t>REFLO</t>
        </is>
      </c>
      <c r="I562" s="156" t="n"/>
      <c r="J562" s="156" t="n"/>
      <c r="K562" s="156" t="n"/>
      <c r="L562" s="156" t="n"/>
      <c r="M562" s="156" t="n"/>
      <c r="N562" s="156" t="n"/>
      <c r="O562" s="156" t="n"/>
      <c r="P562" s="156" t="n"/>
      <c r="Q562" s="156" t="n"/>
      <c r="R562" s="156" t="n"/>
      <c r="S562" s="156" t="n"/>
      <c r="T562" s="156" t="n"/>
      <c r="U562" s="156" t="n"/>
      <c r="V562" s="156" t="inlineStr">
        <is>
          <t>PZS</t>
        </is>
      </c>
      <c r="W562" s="51" t="inlineStr">
        <is>
          <t>53131602</t>
        </is>
      </c>
      <c r="X562" s="156" t="n"/>
      <c r="Y562" s="54" t="n">
        <v>14.3</v>
      </c>
      <c r="Z562" s="54" t="n">
        <v>1049</v>
      </c>
      <c r="AA562" s="55">
        <f>IF(AND(A562="", B562="", E562=""), "", IF(AB562="", "Válido", IF((LEN(AB562)-LEN(SUBSTITUTE(AB562,"; ","")))/2+1&gt;(LEN(AB562)-LEN(SUBSTITUTE(AB562,"[Aviso]","")))/7, "Con Incidencias", "Válido")))</f>
        <v/>
      </c>
      <c r="AB562" s="56">
        <f>IF(AND(A562="", B562="", E562=""), "", TEXTJOIN("; ", TRUE, IF(OR(TRIM(A562&amp;"")="", ISNUMBER(SEARCH("FALTA", A562))), "UPC faltante/inválido", ""), IF(AND(A562&lt;&gt;"", IFERROR(_xlfn.XMATCH(A562,$A$2:$A$653,0,1)&lt;&gt;_xlfn.XMATCH(A562,$A$2:$A$653,0,-1),FALSE)), "Código de barras duplicado", ""), IF(AND(E562&lt;&gt;"", COUNTIF($E$2:$E$653, E562)&gt;1), "SKU duplicado", ""), IF(OR(J562="", J562=""), "[Aviso] División no capturada ()", IF(ISNA(MATCH(J562, Criterios!$A$123:$A$126, 0)), "División no válida", "")), IF(OR(K562="", K562=""), "[Aviso] Categoría no capturada ()", IF(ISNA(MATCH(K562, Criterios!$A$81:$A$120, 0)), "Categoría no válida", IF(AND(J562&lt;&gt;"", J562&lt;&gt;"", J562&lt;&gt;VLOOKUP(K562, Criterios!$A$81:$B$120, 2, FALSE)), "División no coincide con Categoría", ""))), IF(OR(L562="", L562=""), "[Aviso] Género no capturado ()", IF(ISNA(MATCH(L562, Criterios!$B$123:$B$127, 0)), "Género no válido", "")), IF(OR(N562="", N562=""), "[Aviso] Temporada no capturada ()", IF(ISNA(MATCH(N562, Criterios!$C$123:$C$128, 0)), "Temporada no válida", "")), IF(OR(O562="", O562=""), "[Aviso] Ciclo de vida no capturado ()", IF(ISNA(MATCH(O562, Criterios!$D$123:$D$124, 0)), "Ciclo de vida no válido", ""))))</f>
        <v/>
      </c>
      <c r="AC562" s="56" t="n"/>
      <c r="AD562" s="51" t="n">
        <v>14</v>
      </c>
      <c r="AE562" s="156" t="n"/>
      <c r="AF562" s="51" t="n">
        <v>14</v>
      </c>
      <c r="AG562" s="156" t="inlineStr">
        <is>
          <t>Nuevo – NetSuite con existencia</t>
        </is>
      </c>
      <c r="AH56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2" s="156" t="inlineStr">
        <is>
          <t>No</t>
        </is>
      </c>
      <c r="AJ562" s="156" t="n"/>
      <c r="AK562" s="155" t="inlineStr">
        <is>
          <t>G1522_Extraccion_Articulos_NetSuite_2026-09-30.xlsx: fila 43989</t>
        </is>
      </c>
      <c r="AL562" s="58" t="n"/>
      <c r="AM562" s="58" t="n"/>
      <c r="AN562" s="155" t="n"/>
      <c r="AO562" s="59" t="n"/>
      <c r="AP562" s="59" t="n"/>
      <c r="AQ562" s="59" t="n"/>
      <c r="AR562" s="155" t="n"/>
    </row>
    <row r="563">
      <c r="A563" s="50" t="inlineStr">
        <is>
          <t>5056658708305</t>
        </is>
      </c>
      <c r="B563" s="51" t="inlineStr">
        <is>
          <t>91282</t>
        </is>
      </c>
      <c r="C563" s="156" t="inlineStr">
        <is>
          <t>REFLO</t>
        </is>
      </c>
      <c r="D563" s="156" t="n"/>
      <c r="E563" s="156" t="n"/>
      <c r="F563" s="156" t="n"/>
      <c r="G563" s="156" t="n"/>
      <c r="H563" s="156" t="inlineStr">
        <is>
          <t>REFLO</t>
        </is>
      </c>
      <c r="I563" s="156" t="n"/>
      <c r="J563" s="156" t="n"/>
      <c r="K563" s="156" t="n"/>
      <c r="L563" s="156" t="n"/>
      <c r="M563" s="156" t="n"/>
      <c r="N563" s="156" t="n"/>
      <c r="O563" s="156" t="n"/>
      <c r="P563" s="156" t="n"/>
      <c r="Q563" s="156" t="n"/>
      <c r="R563" s="156" t="n"/>
      <c r="S563" s="156" t="n"/>
      <c r="T563" s="156" t="n"/>
      <c r="U563" s="156" t="n"/>
      <c r="V563" s="156" t="inlineStr">
        <is>
          <t>PZS</t>
        </is>
      </c>
      <c r="W563" s="51" t="inlineStr">
        <is>
          <t>53131602</t>
        </is>
      </c>
      <c r="X563" s="156" t="n"/>
      <c r="Y563" s="54" t="n">
        <v>14.3</v>
      </c>
      <c r="Z563" s="54" t="n">
        <v>1049</v>
      </c>
      <c r="AA563" s="55">
        <f>IF(AND(A563="", B563="", E563=""), "", IF(AB563="", "Válido", IF((LEN(AB563)-LEN(SUBSTITUTE(AB563,"; ","")))/2+1&gt;(LEN(AB563)-LEN(SUBSTITUTE(AB563,"[Aviso]","")))/7, "Con Incidencias", "Válido")))</f>
        <v/>
      </c>
      <c r="AB563" s="56">
        <f>IF(AND(A563="", B563="", E563=""), "", TEXTJOIN("; ", TRUE, IF(OR(TRIM(A563&amp;"")="", ISNUMBER(SEARCH("FALTA", A563))), "UPC faltante/inválido", ""), IF(AND(A563&lt;&gt;"", IFERROR(_xlfn.XMATCH(A563,$A$2:$A$653,0,1)&lt;&gt;_xlfn.XMATCH(A563,$A$2:$A$653,0,-1),FALSE)), "Código de barras duplicado", ""), IF(AND(E563&lt;&gt;"", COUNTIF($E$2:$E$653, E563)&gt;1), "SKU duplicado", ""), IF(OR(J563="", J563=""), "[Aviso] División no capturada ()", IF(ISNA(MATCH(J563, Criterios!$A$123:$A$126, 0)), "División no válida", "")), IF(OR(K563="", K563=""), "[Aviso] Categoría no capturada ()", IF(ISNA(MATCH(K563, Criterios!$A$81:$A$120, 0)), "Categoría no válida", IF(AND(J563&lt;&gt;"", J563&lt;&gt;"", J563&lt;&gt;VLOOKUP(K563, Criterios!$A$81:$B$120, 2, FALSE)), "División no coincide con Categoría", ""))), IF(OR(L563="", L563=""), "[Aviso] Género no capturado ()", IF(ISNA(MATCH(L563, Criterios!$B$123:$B$127, 0)), "Género no válido", "")), IF(OR(N563="", N563=""), "[Aviso] Temporada no capturada ()", IF(ISNA(MATCH(N563, Criterios!$C$123:$C$128, 0)), "Temporada no válida", "")), IF(OR(O563="", O563=""), "[Aviso] Ciclo de vida no capturado ()", IF(ISNA(MATCH(O563, Criterios!$D$123:$D$124, 0)), "Ciclo de vida no válido", ""))))</f>
        <v/>
      </c>
      <c r="AC563" s="56" t="n"/>
      <c r="AD563" s="51" t="n">
        <v>8</v>
      </c>
      <c r="AE563" s="156" t="n"/>
      <c r="AF563" s="51" t="n">
        <v>8</v>
      </c>
      <c r="AG563" s="156" t="inlineStr">
        <is>
          <t>Nuevo – NetSuite con existencia</t>
        </is>
      </c>
      <c r="AH56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3" s="156" t="inlineStr">
        <is>
          <t>No</t>
        </is>
      </c>
      <c r="AJ563" s="156" t="n"/>
      <c r="AK563" s="155" t="inlineStr">
        <is>
          <t>G1522_Extraccion_Articulos_NetSuite_2026-09-30.xlsx: fila 43990</t>
        </is>
      </c>
      <c r="AL563" s="58" t="n"/>
      <c r="AM563" s="58" t="n"/>
      <c r="AN563" s="155" t="n"/>
      <c r="AO563" s="59" t="n"/>
      <c r="AP563" s="59" t="n"/>
      <c r="AQ563" s="59" t="n"/>
      <c r="AR563" s="155" t="n"/>
    </row>
    <row r="564">
      <c r="A564" s="50" t="inlineStr">
        <is>
          <t>5056658714177</t>
        </is>
      </c>
      <c r="B564" s="51" t="inlineStr">
        <is>
          <t>91283</t>
        </is>
      </c>
      <c r="C564" s="156" t="inlineStr">
        <is>
          <t>REFLO</t>
        </is>
      </c>
      <c r="D564" s="156" t="n"/>
      <c r="E564" s="156" t="n"/>
      <c r="F564" s="156" t="n"/>
      <c r="G564" s="156" t="n"/>
      <c r="H564" s="156" t="inlineStr">
        <is>
          <t>REFLO</t>
        </is>
      </c>
      <c r="I564" s="156" t="n"/>
      <c r="J564" s="156" t="n"/>
      <c r="K564" s="156" t="n"/>
      <c r="L564" s="156" t="n"/>
      <c r="M564" s="156" t="n"/>
      <c r="N564" s="156" t="n"/>
      <c r="O564" s="156" t="n"/>
      <c r="P564" s="156" t="n"/>
      <c r="Q564" s="156" t="n"/>
      <c r="R564" s="156" t="n"/>
      <c r="S564" s="156" t="n"/>
      <c r="T564" s="156" t="n"/>
      <c r="U564" s="156" t="n"/>
      <c r="V564" s="156" t="inlineStr">
        <is>
          <t>PZS</t>
        </is>
      </c>
      <c r="W564" s="51" t="inlineStr">
        <is>
          <t>53131602</t>
        </is>
      </c>
      <c r="X564" s="156" t="n"/>
      <c r="Y564" s="54" t="n">
        <v>14.3</v>
      </c>
      <c r="Z564" s="54" t="n">
        <v>1049</v>
      </c>
      <c r="AA564" s="55">
        <f>IF(AND(A564="", B564="", E564=""), "", IF(AB564="", "Válido", IF((LEN(AB564)-LEN(SUBSTITUTE(AB564,"; ","")))/2+1&gt;(LEN(AB564)-LEN(SUBSTITUTE(AB564,"[Aviso]","")))/7, "Con Incidencias", "Válido")))</f>
        <v/>
      </c>
      <c r="AB564" s="56">
        <f>IF(AND(A564="", B564="", E564=""), "", TEXTJOIN("; ", TRUE, IF(OR(TRIM(A564&amp;"")="", ISNUMBER(SEARCH("FALTA", A564))), "UPC faltante/inválido", ""), IF(AND(A564&lt;&gt;"", IFERROR(_xlfn.XMATCH(A564,$A$2:$A$653,0,1)&lt;&gt;_xlfn.XMATCH(A564,$A$2:$A$653,0,-1),FALSE)), "Código de barras duplicado", ""), IF(AND(E564&lt;&gt;"", COUNTIF($E$2:$E$653, E564)&gt;1), "SKU duplicado", ""), IF(OR(J564="", J564=""), "[Aviso] División no capturada ()", IF(ISNA(MATCH(J564, Criterios!$A$123:$A$126, 0)), "División no válida", "")), IF(OR(K564="", K564=""), "[Aviso] Categoría no capturada ()", IF(ISNA(MATCH(K564, Criterios!$A$81:$A$120, 0)), "Categoría no válida", IF(AND(J564&lt;&gt;"", J564&lt;&gt;"", J564&lt;&gt;VLOOKUP(K564, Criterios!$A$81:$B$120, 2, FALSE)), "División no coincide con Categoría", ""))), IF(OR(L564="", L564=""), "[Aviso] Género no capturado ()", IF(ISNA(MATCH(L564, Criterios!$B$123:$B$127, 0)), "Género no válido", "")), IF(OR(N564="", N564=""), "[Aviso] Temporada no capturada ()", IF(ISNA(MATCH(N564, Criterios!$C$123:$C$128, 0)), "Temporada no válida", "")), IF(OR(O564="", O564=""), "[Aviso] Ciclo de vida no capturado ()", IF(ISNA(MATCH(O564, Criterios!$D$123:$D$124, 0)), "Ciclo de vida no válido", ""))))</f>
        <v/>
      </c>
      <c r="AC564" s="56" t="n"/>
      <c r="AD564" s="51" t="n">
        <v>3</v>
      </c>
      <c r="AE564" s="156" t="n"/>
      <c r="AF564" s="51" t="n">
        <v>3</v>
      </c>
      <c r="AG564" s="156" t="inlineStr">
        <is>
          <t>Nuevo – NetSuite con existencia</t>
        </is>
      </c>
      <c r="AH56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4" s="156" t="inlineStr">
        <is>
          <t>No</t>
        </is>
      </c>
      <c r="AJ564" s="156" t="n"/>
      <c r="AK564" s="155" t="inlineStr">
        <is>
          <t>G1522_Extraccion_Articulos_NetSuite_2026-09-30.xlsx: fila 43991</t>
        </is>
      </c>
      <c r="AL564" s="58" t="n"/>
      <c r="AM564" s="58" t="n"/>
      <c r="AN564" s="155" t="n"/>
      <c r="AO564" s="59" t="n"/>
      <c r="AP564" s="59" t="n"/>
      <c r="AQ564" s="59" t="n"/>
      <c r="AR564" s="155" t="n"/>
    </row>
    <row r="565">
      <c r="A565" s="50" t="inlineStr">
        <is>
          <t>5056658708381</t>
        </is>
      </c>
      <c r="B565" s="51" t="inlineStr">
        <is>
          <t>91284</t>
        </is>
      </c>
      <c r="C565" s="156" t="inlineStr">
        <is>
          <t>REFLO</t>
        </is>
      </c>
      <c r="D565" s="156" t="n"/>
      <c r="E565" s="156" t="n"/>
      <c r="F565" s="156" t="n"/>
      <c r="G565" s="156" t="n"/>
      <c r="H565" s="156" t="inlineStr">
        <is>
          <t>REFLO</t>
        </is>
      </c>
      <c r="I565" s="156" t="n"/>
      <c r="J565" s="156" t="n"/>
      <c r="K565" s="156" t="n"/>
      <c r="L565" s="156" t="n"/>
      <c r="M565" s="156" t="n"/>
      <c r="N565" s="156" t="n"/>
      <c r="O565" s="156" t="n"/>
      <c r="P565" s="156" t="n"/>
      <c r="Q565" s="156" t="n"/>
      <c r="R565" s="156" t="n"/>
      <c r="S565" s="156" t="n"/>
      <c r="T565" s="156" t="n"/>
      <c r="U565" s="156" t="n"/>
      <c r="V565" s="156" t="inlineStr">
        <is>
          <t>PZS</t>
        </is>
      </c>
      <c r="W565" s="51" t="inlineStr">
        <is>
          <t>53131602</t>
        </is>
      </c>
      <c r="X565" s="156" t="n"/>
      <c r="Y565" s="54" t="n">
        <v>19.5</v>
      </c>
      <c r="Z565" s="54" t="n">
        <v>1449</v>
      </c>
      <c r="AA565" s="55">
        <f>IF(AND(A565="", B565="", E565=""), "", IF(AB565="", "Válido", IF((LEN(AB565)-LEN(SUBSTITUTE(AB565,"; ","")))/2+1&gt;(LEN(AB565)-LEN(SUBSTITUTE(AB565,"[Aviso]","")))/7, "Con Incidencias", "Válido")))</f>
        <v/>
      </c>
      <c r="AB565" s="56">
        <f>IF(AND(A565="", B565="", E565=""), "", TEXTJOIN("; ", TRUE, IF(OR(TRIM(A565&amp;"")="", ISNUMBER(SEARCH("FALTA", A565))), "UPC faltante/inválido", ""), IF(AND(A565&lt;&gt;"", IFERROR(_xlfn.XMATCH(A565,$A$2:$A$653,0,1)&lt;&gt;_xlfn.XMATCH(A565,$A$2:$A$653,0,-1),FALSE)), "Código de barras duplicado", ""), IF(AND(E565&lt;&gt;"", COUNTIF($E$2:$E$653, E565)&gt;1), "SKU duplicado", ""), IF(OR(J565="", J565=""), "[Aviso] División no capturada ()", IF(ISNA(MATCH(J565, Criterios!$A$123:$A$126, 0)), "División no válida", "")), IF(OR(K565="", K565=""), "[Aviso] Categoría no capturada ()", IF(ISNA(MATCH(K565, Criterios!$A$81:$A$120, 0)), "Categoría no válida", IF(AND(J565&lt;&gt;"", J565&lt;&gt;"", J565&lt;&gt;VLOOKUP(K565, Criterios!$A$81:$B$120, 2, FALSE)), "División no coincide con Categoría", ""))), IF(OR(L565="", L565=""), "[Aviso] Género no capturado ()", IF(ISNA(MATCH(L565, Criterios!$B$123:$B$127, 0)), "Género no válido", "")), IF(OR(N565="", N565=""), "[Aviso] Temporada no capturada ()", IF(ISNA(MATCH(N565, Criterios!$C$123:$C$128, 0)), "Temporada no válida", "")), IF(OR(O565="", O565=""), "[Aviso] Ciclo de vida no capturado ()", IF(ISNA(MATCH(O565, Criterios!$D$123:$D$124, 0)), "Ciclo de vida no válido", ""))))</f>
        <v/>
      </c>
      <c r="AC565" s="56" t="n"/>
      <c r="AD565" s="51" t="n">
        <v>1</v>
      </c>
      <c r="AE565" s="156" t="n"/>
      <c r="AF565" s="51" t="n">
        <v>1</v>
      </c>
      <c r="AG565" s="156" t="inlineStr">
        <is>
          <t>Nuevo – NetSuite con existencia</t>
        </is>
      </c>
      <c r="AH56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5" s="156" t="inlineStr">
        <is>
          <t>No</t>
        </is>
      </c>
      <c r="AJ565" s="156" t="n"/>
      <c r="AK565" s="155" t="inlineStr">
        <is>
          <t>G1522_Extraccion_Articulos_NetSuite_2026-09-30.xlsx: fila 43992</t>
        </is>
      </c>
      <c r="AL565" s="58" t="n"/>
      <c r="AM565" s="58" t="n"/>
      <c r="AN565" s="155" t="n"/>
      <c r="AO565" s="59" t="n"/>
      <c r="AP565" s="59" t="n"/>
      <c r="AQ565" s="59" t="n"/>
      <c r="AR565" s="155" t="n"/>
    </row>
    <row r="566">
      <c r="A566" s="50" t="inlineStr">
        <is>
          <t>5056658708398</t>
        </is>
      </c>
      <c r="B566" s="51" t="inlineStr">
        <is>
          <t>91285</t>
        </is>
      </c>
      <c r="C566" s="156" t="inlineStr">
        <is>
          <t>REFLO</t>
        </is>
      </c>
      <c r="D566" s="156" t="n"/>
      <c r="E566" s="156" t="n"/>
      <c r="F566" s="156" t="n"/>
      <c r="G566" s="156" t="n"/>
      <c r="H566" s="156" t="inlineStr">
        <is>
          <t>REFLO</t>
        </is>
      </c>
      <c r="I566" s="156" t="n"/>
      <c r="J566" s="156" t="n"/>
      <c r="K566" s="156" t="n"/>
      <c r="L566" s="156" t="n"/>
      <c r="M566" s="156" t="n"/>
      <c r="N566" s="156" t="n"/>
      <c r="O566" s="156" t="n"/>
      <c r="P566" s="156" t="n"/>
      <c r="Q566" s="156" t="n"/>
      <c r="R566" s="156" t="n"/>
      <c r="S566" s="156" t="n"/>
      <c r="T566" s="156" t="n"/>
      <c r="U566" s="156" t="n"/>
      <c r="V566" s="156" t="inlineStr">
        <is>
          <t>PZS</t>
        </is>
      </c>
      <c r="W566" s="51" t="inlineStr">
        <is>
          <t>53131602</t>
        </is>
      </c>
      <c r="X566" s="156" t="n"/>
      <c r="Y566" s="54" t="n">
        <v>19.5</v>
      </c>
      <c r="Z566" s="54" t="n">
        <v>1449</v>
      </c>
      <c r="AA566" s="55">
        <f>IF(AND(A566="", B566="", E566=""), "", IF(AB566="", "Válido", IF((LEN(AB566)-LEN(SUBSTITUTE(AB566,"; ","")))/2+1&gt;(LEN(AB566)-LEN(SUBSTITUTE(AB566,"[Aviso]","")))/7, "Con Incidencias", "Válido")))</f>
        <v/>
      </c>
      <c r="AB566" s="56">
        <f>IF(AND(A566="", B566="", E566=""), "", TEXTJOIN("; ", TRUE, IF(OR(TRIM(A566&amp;"")="", ISNUMBER(SEARCH("FALTA", A566))), "UPC faltante/inválido", ""), IF(AND(A566&lt;&gt;"", IFERROR(_xlfn.XMATCH(A566,$A$2:$A$653,0,1)&lt;&gt;_xlfn.XMATCH(A566,$A$2:$A$653,0,-1),FALSE)), "Código de barras duplicado", ""), IF(AND(E566&lt;&gt;"", COUNTIF($E$2:$E$653, E566)&gt;1), "SKU duplicado", ""), IF(OR(J566="", J566=""), "[Aviso] División no capturada ()", IF(ISNA(MATCH(J566, Criterios!$A$123:$A$126, 0)), "División no válida", "")), IF(OR(K566="", K566=""), "[Aviso] Categoría no capturada ()", IF(ISNA(MATCH(K566, Criterios!$A$81:$A$120, 0)), "Categoría no válida", IF(AND(J566&lt;&gt;"", J566&lt;&gt;"", J566&lt;&gt;VLOOKUP(K566, Criterios!$A$81:$B$120, 2, FALSE)), "División no coincide con Categoría", ""))), IF(OR(L566="", L566=""), "[Aviso] Género no capturado ()", IF(ISNA(MATCH(L566, Criterios!$B$123:$B$127, 0)), "Género no válido", "")), IF(OR(N566="", N566=""), "[Aviso] Temporada no capturada ()", IF(ISNA(MATCH(N566, Criterios!$C$123:$C$128, 0)), "Temporada no válida", "")), IF(OR(O566="", O566=""), "[Aviso] Ciclo de vida no capturado ()", IF(ISNA(MATCH(O566, Criterios!$D$123:$D$124, 0)), "Ciclo de vida no válido", ""))))</f>
        <v/>
      </c>
      <c r="AC566" s="56" t="n"/>
      <c r="AD566" s="51" t="n">
        <v>6</v>
      </c>
      <c r="AE566" s="156" t="n"/>
      <c r="AF566" s="51" t="n">
        <v>6</v>
      </c>
      <c r="AG566" s="156" t="inlineStr">
        <is>
          <t>Nuevo – NetSuite con existencia</t>
        </is>
      </c>
      <c r="AH56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6" s="156" t="inlineStr">
        <is>
          <t>No</t>
        </is>
      </c>
      <c r="AJ566" s="156" t="n"/>
      <c r="AK566" s="155" t="inlineStr">
        <is>
          <t>G1522_Extraccion_Articulos_NetSuite_2026-09-30.xlsx: fila 43993</t>
        </is>
      </c>
      <c r="AL566" s="58" t="n"/>
      <c r="AM566" s="58" t="n"/>
      <c r="AN566" s="155" t="n"/>
      <c r="AO566" s="59" t="n"/>
      <c r="AP566" s="59" t="n"/>
      <c r="AQ566" s="59" t="n"/>
      <c r="AR566" s="155" t="n"/>
    </row>
    <row r="567">
      <c r="A567" s="50" t="inlineStr">
        <is>
          <t>5056658708404</t>
        </is>
      </c>
      <c r="B567" s="51" t="inlineStr">
        <is>
          <t>91286</t>
        </is>
      </c>
      <c r="C567" s="156" t="inlineStr">
        <is>
          <t>REFLO</t>
        </is>
      </c>
      <c r="D567" s="156" t="n"/>
      <c r="E567" s="156" t="n"/>
      <c r="F567" s="156" t="n"/>
      <c r="G567" s="156" t="n"/>
      <c r="H567" s="156" t="inlineStr">
        <is>
          <t>REFLO</t>
        </is>
      </c>
      <c r="I567" s="156" t="n"/>
      <c r="J567" s="156" t="n"/>
      <c r="K567" s="156" t="n"/>
      <c r="L567" s="156" t="n"/>
      <c r="M567" s="156" t="n"/>
      <c r="N567" s="156" t="n"/>
      <c r="O567" s="156" t="n"/>
      <c r="P567" s="156" t="n"/>
      <c r="Q567" s="156" t="n"/>
      <c r="R567" s="156" t="n"/>
      <c r="S567" s="156" t="n"/>
      <c r="T567" s="156" t="n"/>
      <c r="U567" s="156" t="n"/>
      <c r="V567" s="156" t="inlineStr">
        <is>
          <t>PZS</t>
        </is>
      </c>
      <c r="W567" s="51" t="inlineStr">
        <is>
          <t>53131602</t>
        </is>
      </c>
      <c r="X567" s="156" t="n"/>
      <c r="Y567" s="54" t="n">
        <v>19.5</v>
      </c>
      <c r="Z567" s="54" t="n">
        <v>1449</v>
      </c>
      <c r="AA567" s="55">
        <f>IF(AND(A567="", B567="", E567=""), "", IF(AB567="", "Válido", IF((LEN(AB567)-LEN(SUBSTITUTE(AB567,"; ","")))/2+1&gt;(LEN(AB567)-LEN(SUBSTITUTE(AB567,"[Aviso]","")))/7, "Con Incidencias", "Válido")))</f>
        <v/>
      </c>
      <c r="AB567" s="56">
        <f>IF(AND(A567="", B567="", E567=""), "", TEXTJOIN("; ", TRUE, IF(OR(TRIM(A567&amp;"")="", ISNUMBER(SEARCH("FALTA", A567))), "UPC faltante/inválido", ""), IF(AND(A567&lt;&gt;"", IFERROR(_xlfn.XMATCH(A567,$A$2:$A$653,0,1)&lt;&gt;_xlfn.XMATCH(A567,$A$2:$A$653,0,-1),FALSE)), "Código de barras duplicado", ""), IF(AND(E567&lt;&gt;"", COUNTIF($E$2:$E$653, E567)&gt;1), "SKU duplicado", ""), IF(OR(J567="", J567=""), "[Aviso] División no capturada ()", IF(ISNA(MATCH(J567, Criterios!$A$123:$A$126, 0)), "División no válida", "")), IF(OR(K567="", K567=""), "[Aviso] Categoría no capturada ()", IF(ISNA(MATCH(K567, Criterios!$A$81:$A$120, 0)), "Categoría no válida", IF(AND(J567&lt;&gt;"", J567&lt;&gt;"", J567&lt;&gt;VLOOKUP(K567, Criterios!$A$81:$B$120, 2, FALSE)), "División no coincide con Categoría", ""))), IF(OR(L567="", L567=""), "[Aviso] Género no capturado ()", IF(ISNA(MATCH(L567, Criterios!$B$123:$B$127, 0)), "Género no válido", "")), IF(OR(N567="", N567=""), "[Aviso] Temporada no capturada ()", IF(ISNA(MATCH(N567, Criterios!$C$123:$C$128, 0)), "Temporada no válida", "")), IF(OR(O567="", O567=""), "[Aviso] Ciclo de vida no capturado ()", IF(ISNA(MATCH(O567, Criterios!$D$123:$D$124, 0)), "Ciclo de vida no válido", ""))))</f>
        <v/>
      </c>
      <c r="AC567" s="56" t="n"/>
      <c r="AD567" s="51" t="n">
        <v>13</v>
      </c>
      <c r="AE567" s="156" t="n"/>
      <c r="AF567" s="51" t="n">
        <v>13</v>
      </c>
      <c r="AG567" s="156" t="inlineStr">
        <is>
          <t>Nuevo – NetSuite con existencia</t>
        </is>
      </c>
      <c r="AH56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7" s="156" t="inlineStr">
        <is>
          <t>No</t>
        </is>
      </c>
      <c r="AJ567" s="156" t="n"/>
      <c r="AK567" s="155" t="inlineStr">
        <is>
          <t>G1522_Extraccion_Articulos_NetSuite_2026-09-30.xlsx: fila 43994</t>
        </is>
      </c>
      <c r="AL567" s="58" t="n"/>
      <c r="AM567" s="58" t="n"/>
      <c r="AN567" s="155" t="n"/>
      <c r="AO567" s="59" t="n"/>
      <c r="AP567" s="59" t="n"/>
      <c r="AQ567" s="59" t="n"/>
      <c r="AR567" s="155" t="n"/>
    </row>
    <row r="568">
      <c r="A568" s="50" t="inlineStr">
        <is>
          <t>5056658708411</t>
        </is>
      </c>
      <c r="B568" s="51" t="inlineStr">
        <is>
          <t>91287</t>
        </is>
      </c>
      <c r="C568" s="156" t="inlineStr">
        <is>
          <t>REFLO</t>
        </is>
      </c>
      <c r="D568" s="156" t="n"/>
      <c r="E568" s="156" t="n"/>
      <c r="F568" s="156" t="n"/>
      <c r="G568" s="156" t="n"/>
      <c r="H568" s="156" t="inlineStr">
        <is>
          <t>REFLO</t>
        </is>
      </c>
      <c r="I568" s="156" t="n"/>
      <c r="J568" s="156" t="n"/>
      <c r="K568" s="156" t="n"/>
      <c r="L568" s="156" t="n"/>
      <c r="M568" s="156" t="n"/>
      <c r="N568" s="156" t="n"/>
      <c r="O568" s="156" t="n"/>
      <c r="P568" s="156" t="n"/>
      <c r="Q568" s="156" t="n"/>
      <c r="R568" s="156" t="n"/>
      <c r="S568" s="156" t="n"/>
      <c r="T568" s="156" t="n"/>
      <c r="U568" s="156" t="n"/>
      <c r="V568" s="156" t="inlineStr">
        <is>
          <t>PZS</t>
        </is>
      </c>
      <c r="W568" s="51" t="inlineStr">
        <is>
          <t>53131602</t>
        </is>
      </c>
      <c r="X568" s="156" t="n"/>
      <c r="Y568" s="54" t="n">
        <v>19.5</v>
      </c>
      <c r="Z568" s="54" t="n">
        <v>1449</v>
      </c>
      <c r="AA568" s="55">
        <f>IF(AND(A568="", B568="", E568=""), "", IF(AB568="", "Válido", IF((LEN(AB568)-LEN(SUBSTITUTE(AB568,"; ","")))/2+1&gt;(LEN(AB568)-LEN(SUBSTITUTE(AB568,"[Aviso]","")))/7, "Con Incidencias", "Válido")))</f>
        <v/>
      </c>
      <c r="AB568" s="56">
        <f>IF(AND(A568="", B568="", E568=""), "", TEXTJOIN("; ", TRUE, IF(OR(TRIM(A568&amp;"")="", ISNUMBER(SEARCH("FALTA", A568))), "UPC faltante/inválido", ""), IF(AND(A568&lt;&gt;"", IFERROR(_xlfn.XMATCH(A568,$A$2:$A$653,0,1)&lt;&gt;_xlfn.XMATCH(A568,$A$2:$A$653,0,-1),FALSE)), "Código de barras duplicado", ""), IF(AND(E568&lt;&gt;"", COUNTIF($E$2:$E$653, E568)&gt;1), "SKU duplicado", ""), IF(OR(J568="", J568=""), "[Aviso] División no capturada ()", IF(ISNA(MATCH(J568, Criterios!$A$123:$A$126, 0)), "División no válida", "")), IF(OR(K568="", K568=""), "[Aviso] Categoría no capturada ()", IF(ISNA(MATCH(K568, Criterios!$A$81:$A$120, 0)), "Categoría no válida", IF(AND(J568&lt;&gt;"", J568&lt;&gt;"", J568&lt;&gt;VLOOKUP(K568, Criterios!$A$81:$B$120, 2, FALSE)), "División no coincide con Categoría", ""))), IF(OR(L568="", L568=""), "[Aviso] Género no capturado ()", IF(ISNA(MATCH(L568, Criterios!$B$123:$B$127, 0)), "Género no válido", "")), IF(OR(N568="", N568=""), "[Aviso] Temporada no capturada ()", IF(ISNA(MATCH(N568, Criterios!$C$123:$C$128, 0)), "Temporada no válida", "")), IF(OR(O568="", O568=""), "[Aviso] Ciclo de vida no capturado ()", IF(ISNA(MATCH(O568, Criterios!$D$123:$D$124, 0)), "Ciclo de vida no válido", ""))))</f>
        <v/>
      </c>
      <c r="AC568" s="56" t="n"/>
      <c r="AD568" s="51" t="n">
        <v>14</v>
      </c>
      <c r="AE568" s="156" t="n"/>
      <c r="AF568" s="51" t="n">
        <v>14</v>
      </c>
      <c r="AG568" s="156" t="inlineStr">
        <is>
          <t>Nuevo – NetSuite con existencia</t>
        </is>
      </c>
      <c r="AH56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8" s="156" t="inlineStr">
        <is>
          <t>No</t>
        </is>
      </c>
      <c r="AJ568" s="156" t="n"/>
      <c r="AK568" s="155" t="inlineStr">
        <is>
          <t>G1522_Extraccion_Articulos_NetSuite_2026-09-30.xlsx: fila 43995</t>
        </is>
      </c>
      <c r="AL568" s="58" t="n"/>
      <c r="AM568" s="58" t="n"/>
      <c r="AN568" s="155" t="n"/>
      <c r="AO568" s="59" t="n"/>
      <c r="AP568" s="59" t="n"/>
      <c r="AQ568" s="59" t="n"/>
      <c r="AR568" s="155" t="n"/>
    </row>
    <row r="569">
      <c r="A569" s="50" t="inlineStr">
        <is>
          <t>5056658708428</t>
        </is>
      </c>
      <c r="B569" s="51" t="inlineStr">
        <is>
          <t>91288</t>
        </is>
      </c>
      <c r="C569" s="156" t="inlineStr">
        <is>
          <t>REFLO</t>
        </is>
      </c>
      <c r="D569" s="156" t="n"/>
      <c r="E569" s="156" t="n"/>
      <c r="F569" s="156" t="n"/>
      <c r="G569" s="156" t="n"/>
      <c r="H569" s="156" t="inlineStr">
        <is>
          <t>REFLO</t>
        </is>
      </c>
      <c r="I569" s="156" t="n"/>
      <c r="J569" s="156" t="n"/>
      <c r="K569" s="156" t="n"/>
      <c r="L569" s="156" t="n"/>
      <c r="M569" s="156" t="n"/>
      <c r="N569" s="156" t="n"/>
      <c r="O569" s="156" t="n"/>
      <c r="P569" s="156" t="n"/>
      <c r="Q569" s="156" t="n"/>
      <c r="R569" s="156" t="n"/>
      <c r="S569" s="156" t="n"/>
      <c r="T569" s="156" t="n"/>
      <c r="U569" s="156" t="n"/>
      <c r="V569" s="156" t="inlineStr">
        <is>
          <t>PZS</t>
        </is>
      </c>
      <c r="W569" s="51" t="inlineStr">
        <is>
          <t>53131602</t>
        </is>
      </c>
      <c r="X569" s="156" t="n"/>
      <c r="Y569" s="54" t="n">
        <v>19.5</v>
      </c>
      <c r="Z569" s="54" t="n">
        <v>1449</v>
      </c>
      <c r="AA569" s="55">
        <f>IF(AND(A569="", B569="", E569=""), "", IF(AB569="", "Válido", IF((LEN(AB569)-LEN(SUBSTITUTE(AB569,"; ","")))/2+1&gt;(LEN(AB569)-LEN(SUBSTITUTE(AB569,"[Aviso]","")))/7, "Con Incidencias", "Válido")))</f>
        <v/>
      </c>
      <c r="AB569" s="56">
        <f>IF(AND(A569="", B569="", E569=""), "", TEXTJOIN("; ", TRUE, IF(OR(TRIM(A569&amp;"")="", ISNUMBER(SEARCH("FALTA", A569))), "UPC faltante/inválido", ""), IF(AND(A569&lt;&gt;"", IFERROR(_xlfn.XMATCH(A569,$A$2:$A$653,0,1)&lt;&gt;_xlfn.XMATCH(A569,$A$2:$A$653,0,-1),FALSE)), "Código de barras duplicado", ""), IF(AND(E569&lt;&gt;"", COUNTIF($E$2:$E$653, E569)&gt;1), "SKU duplicado", ""), IF(OR(J569="", J569=""), "[Aviso] División no capturada ()", IF(ISNA(MATCH(J569, Criterios!$A$123:$A$126, 0)), "División no válida", "")), IF(OR(K569="", K569=""), "[Aviso] Categoría no capturada ()", IF(ISNA(MATCH(K569, Criterios!$A$81:$A$120, 0)), "Categoría no válida", IF(AND(J569&lt;&gt;"", J569&lt;&gt;"", J569&lt;&gt;VLOOKUP(K569, Criterios!$A$81:$B$120, 2, FALSE)), "División no coincide con Categoría", ""))), IF(OR(L569="", L569=""), "[Aviso] Género no capturado ()", IF(ISNA(MATCH(L569, Criterios!$B$123:$B$127, 0)), "Género no válido", "")), IF(OR(N569="", N569=""), "[Aviso] Temporada no capturada ()", IF(ISNA(MATCH(N569, Criterios!$C$123:$C$128, 0)), "Temporada no válida", "")), IF(OR(O569="", O569=""), "[Aviso] Ciclo de vida no capturado ()", IF(ISNA(MATCH(O569, Criterios!$D$123:$D$124, 0)), "Ciclo de vida no válido", ""))))</f>
        <v/>
      </c>
      <c r="AC569" s="56" t="n"/>
      <c r="AD569" s="51" t="n">
        <v>8</v>
      </c>
      <c r="AE569" s="156" t="n"/>
      <c r="AF569" s="51" t="n">
        <v>8</v>
      </c>
      <c r="AG569" s="156" t="inlineStr">
        <is>
          <t>Nuevo – NetSuite con existencia</t>
        </is>
      </c>
      <c r="AH56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69" s="156" t="inlineStr">
        <is>
          <t>No</t>
        </is>
      </c>
      <c r="AJ569" s="156" t="n"/>
      <c r="AK569" s="155" t="inlineStr">
        <is>
          <t>G1522_Extraccion_Articulos_NetSuite_2026-09-30.xlsx: fila 43996</t>
        </is>
      </c>
      <c r="AL569" s="58" t="n"/>
      <c r="AM569" s="58" t="n"/>
      <c r="AN569" s="155" t="n"/>
      <c r="AO569" s="59" t="n"/>
      <c r="AP569" s="59" t="n"/>
      <c r="AQ569" s="59" t="n"/>
      <c r="AR569" s="155" t="n"/>
    </row>
    <row r="570">
      <c r="A570" s="50" t="inlineStr">
        <is>
          <t>5056658714191</t>
        </is>
      </c>
      <c r="B570" s="51" t="inlineStr">
        <is>
          <t>91289</t>
        </is>
      </c>
      <c r="C570" s="156" t="inlineStr">
        <is>
          <t>REFLO</t>
        </is>
      </c>
      <c r="D570" s="156" t="n"/>
      <c r="E570" s="156" t="n"/>
      <c r="F570" s="156" t="n"/>
      <c r="G570" s="156" t="n"/>
      <c r="H570" s="156" t="inlineStr">
        <is>
          <t>REFLO</t>
        </is>
      </c>
      <c r="I570" s="156" t="n"/>
      <c r="J570" s="156" t="n"/>
      <c r="K570" s="156" t="n"/>
      <c r="L570" s="156" t="n"/>
      <c r="M570" s="156" t="n"/>
      <c r="N570" s="156" t="n"/>
      <c r="O570" s="156" t="n"/>
      <c r="P570" s="156" t="n"/>
      <c r="Q570" s="156" t="n"/>
      <c r="R570" s="156" t="n"/>
      <c r="S570" s="156" t="n"/>
      <c r="T570" s="156" t="n"/>
      <c r="U570" s="156" t="n"/>
      <c r="V570" s="156" t="inlineStr">
        <is>
          <t>PZS</t>
        </is>
      </c>
      <c r="W570" s="51" t="inlineStr">
        <is>
          <t>53131602</t>
        </is>
      </c>
      <c r="X570" s="156" t="n"/>
      <c r="Y570" s="54" t="n">
        <v>19.5</v>
      </c>
      <c r="Z570" s="54" t="n">
        <v>1449</v>
      </c>
      <c r="AA570" s="55">
        <f>IF(AND(A570="", B570="", E570=""), "", IF(AB570="", "Válido", IF((LEN(AB570)-LEN(SUBSTITUTE(AB570,"; ","")))/2+1&gt;(LEN(AB570)-LEN(SUBSTITUTE(AB570,"[Aviso]","")))/7, "Con Incidencias", "Válido")))</f>
        <v/>
      </c>
      <c r="AB570" s="56">
        <f>IF(AND(A570="", B570="", E570=""), "", TEXTJOIN("; ", TRUE, IF(OR(TRIM(A570&amp;"")="", ISNUMBER(SEARCH("FALTA", A570))), "UPC faltante/inválido", ""), IF(AND(A570&lt;&gt;"", IFERROR(_xlfn.XMATCH(A570,$A$2:$A$653,0,1)&lt;&gt;_xlfn.XMATCH(A570,$A$2:$A$653,0,-1),FALSE)), "Código de barras duplicado", ""), IF(AND(E570&lt;&gt;"", COUNTIF($E$2:$E$653, E570)&gt;1), "SKU duplicado", ""), IF(OR(J570="", J570=""), "[Aviso] División no capturada ()", IF(ISNA(MATCH(J570, Criterios!$A$123:$A$126, 0)), "División no válida", "")), IF(OR(K570="", K570=""), "[Aviso] Categoría no capturada ()", IF(ISNA(MATCH(K570, Criterios!$A$81:$A$120, 0)), "Categoría no válida", IF(AND(J570&lt;&gt;"", J570&lt;&gt;"", J570&lt;&gt;VLOOKUP(K570, Criterios!$A$81:$B$120, 2, FALSE)), "División no coincide con Categoría", ""))), IF(OR(L570="", L570=""), "[Aviso] Género no capturado ()", IF(ISNA(MATCH(L570, Criterios!$B$123:$B$127, 0)), "Género no válido", "")), IF(OR(N570="", N570=""), "[Aviso] Temporada no capturada ()", IF(ISNA(MATCH(N570, Criterios!$C$123:$C$128, 0)), "Temporada no válida", "")), IF(OR(O570="", O570=""), "[Aviso] Ciclo de vida no capturado ()", IF(ISNA(MATCH(O570, Criterios!$D$123:$D$124, 0)), "Ciclo de vida no válido", ""))))</f>
        <v/>
      </c>
      <c r="AC570" s="56" t="n"/>
      <c r="AD570" s="51" t="n">
        <v>3</v>
      </c>
      <c r="AE570" s="156" t="n"/>
      <c r="AF570" s="51" t="n">
        <v>3</v>
      </c>
      <c r="AG570" s="156" t="inlineStr">
        <is>
          <t>Nuevo – NetSuite con existencia</t>
        </is>
      </c>
      <c r="AH57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0" s="156" t="inlineStr">
        <is>
          <t>No</t>
        </is>
      </c>
      <c r="AJ570" s="156" t="n"/>
      <c r="AK570" s="155" t="inlineStr">
        <is>
          <t>G1522_Extraccion_Articulos_NetSuite_2026-09-30.xlsx: fila 43997</t>
        </is>
      </c>
      <c r="AL570" s="58" t="n"/>
      <c r="AM570" s="58" t="n"/>
      <c r="AN570" s="155" t="n"/>
      <c r="AO570" s="59" t="n"/>
      <c r="AP570" s="59" t="n"/>
      <c r="AQ570" s="59" t="n"/>
      <c r="AR570" s="155" t="n"/>
    </row>
    <row r="571">
      <c r="A571" s="50" t="inlineStr">
        <is>
          <t>5056658708442</t>
        </is>
      </c>
      <c r="B571" s="51" t="inlineStr">
        <is>
          <t>91290</t>
        </is>
      </c>
      <c r="C571" s="156" t="inlineStr">
        <is>
          <t>REFLO</t>
        </is>
      </c>
      <c r="D571" s="156" t="n"/>
      <c r="E571" s="156" t="n"/>
      <c r="F571" s="156" t="n"/>
      <c r="G571" s="156" t="n"/>
      <c r="H571" s="156" t="inlineStr">
        <is>
          <t>REFLO</t>
        </is>
      </c>
      <c r="I571" s="156" t="n"/>
      <c r="J571" s="156" t="n"/>
      <c r="K571" s="156" t="n"/>
      <c r="L571" s="156" t="n"/>
      <c r="M571" s="156" t="n"/>
      <c r="N571" s="156" t="n"/>
      <c r="O571" s="156" t="n"/>
      <c r="P571" s="156" t="n"/>
      <c r="Q571" s="156" t="n"/>
      <c r="R571" s="156" t="n"/>
      <c r="S571" s="156" t="n"/>
      <c r="T571" s="156" t="n"/>
      <c r="U571" s="156" t="n"/>
      <c r="V571" s="156" t="inlineStr">
        <is>
          <t>PZS</t>
        </is>
      </c>
      <c r="W571" s="51" t="inlineStr">
        <is>
          <t>53131602</t>
        </is>
      </c>
      <c r="X571" s="156" t="n"/>
      <c r="Y571" s="54" t="n">
        <v>19.5</v>
      </c>
      <c r="Z571" s="54" t="n">
        <v>1449</v>
      </c>
      <c r="AA571" s="55">
        <f>IF(AND(A571="", B571="", E571=""), "", IF(AB571="", "Válido", IF((LEN(AB571)-LEN(SUBSTITUTE(AB571,"; ","")))/2+1&gt;(LEN(AB571)-LEN(SUBSTITUTE(AB571,"[Aviso]","")))/7, "Con Incidencias", "Válido")))</f>
        <v/>
      </c>
      <c r="AB571" s="56">
        <f>IF(AND(A571="", B571="", E571=""), "", TEXTJOIN("; ", TRUE, IF(OR(TRIM(A571&amp;"")="", ISNUMBER(SEARCH("FALTA", A571))), "UPC faltante/inválido", ""), IF(AND(A571&lt;&gt;"", IFERROR(_xlfn.XMATCH(A571,$A$2:$A$653,0,1)&lt;&gt;_xlfn.XMATCH(A571,$A$2:$A$653,0,-1),FALSE)), "Código de barras duplicado", ""), IF(AND(E571&lt;&gt;"", COUNTIF($E$2:$E$653, E571)&gt;1), "SKU duplicado", ""), IF(OR(J571="", J571=""), "[Aviso] División no capturada ()", IF(ISNA(MATCH(J571, Criterios!$A$123:$A$126, 0)), "División no válida", "")), IF(OR(K571="", K571=""), "[Aviso] Categoría no capturada ()", IF(ISNA(MATCH(K571, Criterios!$A$81:$A$120, 0)), "Categoría no válida", IF(AND(J571&lt;&gt;"", J571&lt;&gt;"", J571&lt;&gt;VLOOKUP(K571, Criterios!$A$81:$B$120, 2, FALSE)), "División no coincide con Categoría", ""))), IF(OR(L571="", L571=""), "[Aviso] Género no capturado ()", IF(ISNA(MATCH(L571, Criterios!$B$123:$B$127, 0)), "Género no válido", "")), IF(OR(N571="", N571=""), "[Aviso] Temporada no capturada ()", IF(ISNA(MATCH(N571, Criterios!$C$123:$C$128, 0)), "Temporada no válida", "")), IF(OR(O571="", O571=""), "[Aviso] Ciclo de vida no capturado ()", IF(ISNA(MATCH(O571, Criterios!$D$123:$D$124, 0)), "Ciclo de vida no válido", ""))))</f>
        <v/>
      </c>
      <c r="AC571" s="56" t="n"/>
      <c r="AD571" s="51" t="n">
        <v>2</v>
      </c>
      <c r="AE571" s="156" t="n"/>
      <c r="AF571" s="51" t="n">
        <v>2</v>
      </c>
      <c r="AG571" s="156" t="inlineStr">
        <is>
          <t>Nuevo – NetSuite con existencia</t>
        </is>
      </c>
      <c r="AH57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1" s="156" t="inlineStr">
        <is>
          <t>No</t>
        </is>
      </c>
      <c r="AJ571" s="156" t="n"/>
      <c r="AK571" s="155" t="inlineStr">
        <is>
          <t>G1522_Extraccion_Articulos_NetSuite_2026-09-30.xlsx: fila 43998</t>
        </is>
      </c>
      <c r="AL571" s="58" t="n"/>
      <c r="AM571" s="58" t="n"/>
      <c r="AN571" s="155" t="n"/>
      <c r="AO571" s="59" t="n"/>
      <c r="AP571" s="59" t="n"/>
      <c r="AQ571" s="59" t="n"/>
      <c r="AR571" s="155" t="n"/>
    </row>
    <row r="572">
      <c r="A572" s="50" t="inlineStr">
        <is>
          <t>5056658708459</t>
        </is>
      </c>
      <c r="B572" s="51" t="inlineStr">
        <is>
          <t>91291</t>
        </is>
      </c>
      <c r="C572" s="156" t="inlineStr">
        <is>
          <t>REFLO</t>
        </is>
      </c>
      <c r="D572" s="156" t="n"/>
      <c r="E572" s="156" t="n"/>
      <c r="F572" s="156" t="n"/>
      <c r="G572" s="156" t="n"/>
      <c r="H572" s="156" t="inlineStr">
        <is>
          <t>REFLO</t>
        </is>
      </c>
      <c r="I572" s="156" t="n"/>
      <c r="J572" s="156" t="n"/>
      <c r="K572" s="156" t="n"/>
      <c r="L572" s="156" t="n"/>
      <c r="M572" s="156" t="n"/>
      <c r="N572" s="156" t="n"/>
      <c r="O572" s="156" t="n"/>
      <c r="P572" s="156" t="n"/>
      <c r="Q572" s="156" t="n"/>
      <c r="R572" s="156" t="n"/>
      <c r="S572" s="156" t="n"/>
      <c r="T572" s="156" t="n"/>
      <c r="U572" s="156" t="n"/>
      <c r="V572" s="156" t="inlineStr">
        <is>
          <t>PZS</t>
        </is>
      </c>
      <c r="W572" s="51" t="inlineStr">
        <is>
          <t>53131602</t>
        </is>
      </c>
      <c r="X572" s="156" t="n"/>
      <c r="Y572" s="54" t="n">
        <v>19.5</v>
      </c>
      <c r="Z572" s="54" t="n">
        <v>1449</v>
      </c>
      <c r="AA572" s="55">
        <f>IF(AND(A572="", B572="", E572=""), "", IF(AB572="", "Válido", IF((LEN(AB572)-LEN(SUBSTITUTE(AB572,"; ","")))/2+1&gt;(LEN(AB572)-LEN(SUBSTITUTE(AB572,"[Aviso]","")))/7, "Con Incidencias", "Válido")))</f>
        <v/>
      </c>
      <c r="AB572" s="56">
        <f>IF(AND(A572="", B572="", E572=""), "", TEXTJOIN("; ", TRUE, IF(OR(TRIM(A572&amp;"")="", ISNUMBER(SEARCH("FALTA", A572))), "UPC faltante/inválido", ""), IF(AND(A572&lt;&gt;"", IFERROR(_xlfn.XMATCH(A572,$A$2:$A$653,0,1)&lt;&gt;_xlfn.XMATCH(A572,$A$2:$A$653,0,-1),FALSE)), "Código de barras duplicado", ""), IF(AND(E572&lt;&gt;"", COUNTIF($E$2:$E$653, E572)&gt;1), "SKU duplicado", ""), IF(OR(J572="", J572=""), "[Aviso] División no capturada ()", IF(ISNA(MATCH(J572, Criterios!$A$123:$A$126, 0)), "División no válida", "")), IF(OR(K572="", K572=""), "[Aviso] Categoría no capturada ()", IF(ISNA(MATCH(K572, Criterios!$A$81:$A$120, 0)), "Categoría no válida", IF(AND(J572&lt;&gt;"", J572&lt;&gt;"", J572&lt;&gt;VLOOKUP(K572, Criterios!$A$81:$B$120, 2, FALSE)), "División no coincide con Categoría", ""))), IF(OR(L572="", L572=""), "[Aviso] Género no capturado ()", IF(ISNA(MATCH(L572, Criterios!$B$123:$B$127, 0)), "Género no válido", "")), IF(OR(N572="", N572=""), "[Aviso] Temporada no capturada ()", IF(ISNA(MATCH(N572, Criterios!$C$123:$C$128, 0)), "Temporada no válida", "")), IF(OR(O572="", O572=""), "[Aviso] Ciclo de vida no capturado ()", IF(ISNA(MATCH(O572, Criterios!$D$123:$D$124, 0)), "Ciclo de vida no válido", ""))))</f>
        <v/>
      </c>
      <c r="AC572" s="56" t="n"/>
      <c r="AD572" s="51" t="n">
        <v>5</v>
      </c>
      <c r="AE572" s="156" t="n"/>
      <c r="AF572" s="51" t="n">
        <v>5</v>
      </c>
      <c r="AG572" s="156" t="inlineStr">
        <is>
          <t>Nuevo – NetSuite con existencia</t>
        </is>
      </c>
      <c r="AH57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2" s="156" t="inlineStr">
        <is>
          <t>No</t>
        </is>
      </c>
      <c r="AJ572" s="156" t="n"/>
      <c r="AK572" s="155" t="inlineStr">
        <is>
          <t>G1522_Extraccion_Articulos_NetSuite_2026-09-30.xlsx: fila 43999</t>
        </is>
      </c>
      <c r="AL572" s="58" t="n"/>
      <c r="AM572" s="58" t="n"/>
      <c r="AN572" s="155" t="n"/>
      <c r="AO572" s="59" t="n"/>
      <c r="AP572" s="59" t="n"/>
      <c r="AQ572" s="59" t="n"/>
      <c r="AR572" s="155" t="n"/>
    </row>
    <row r="573">
      <c r="A573" s="50" t="inlineStr">
        <is>
          <t>5056658708466</t>
        </is>
      </c>
      <c r="B573" s="51" t="inlineStr">
        <is>
          <t>91292</t>
        </is>
      </c>
      <c r="C573" s="156" t="inlineStr">
        <is>
          <t>REFLO</t>
        </is>
      </c>
      <c r="D573" s="156" t="n"/>
      <c r="E573" s="156" t="n"/>
      <c r="F573" s="156" t="n"/>
      <c r="G573" s="156" t="n"/>
      <c r="H573" s="156" t="inlineStr">
        <is>
          <t>REFLO</t>
        </is>
      </c>
      <c r="I573" s="156" t="n"/>
      <c r="J573" s="156" t="n"/>
      <c r="K573" s="156" t="n"/>
      <c r="L573" s="156" t="n"/>
      <c r="M573" s="156" t="n"/>
      <c r="N573" s="156" t="n"/>
      <c r="O573" s="156" t="n"/>
      <c r="P573" s="156" t="n"/>
      <c r="Q573" s="156" t="n"/>
      <c r="R573" s="156" t="n"/>
      <c r="S573" s="156" t="n"/>
      <c r="T573" s="156" t="n"/>
      <c r="U573" s="156" t="n"/>
      <c r="V573" s="156" t="inlineStr">
        <is>
          <t>PZS</t>
        </is>
      </c>
      <c r="W573" s="51" t="inlineStr">
        <is>
          <t>53131602</t>
        </is>
      </c>
      <c r="X573" s="156" t="n"/>
      <c r="Y573" s="54" t="n">
        <v>19.5</v>
      </c>
      <c r="Z573" s="54" t="n">
        <v>1449</v>
      </c>
      <c r="AA573" s="55">
        <f>IF(AND(A573="", B573="", E573=""), "", IF(AB573="", "Válido", IF((LEN(AB573)-LEN(SUBSTITUTE(AB573,"; ","")))/2+1&gt;(LEN(AB573)-LEN(SUBSTITUTE(AB573,"[Aviso]","")))/7, "Con Incidencias", "Válido")))</f>
        <v/>
      </c>
      <c r="AB573" s="56">
        <f>IF(AND(A573="", B573="", E573=""), "", TEXTJOIN("; ", TRUE, IF(OR(TRIM(A573&amp;"")="", ISNUMBER(SEARCH("FALTA", A573))), "UPC faltante/inválido", ""), IF(AND(A573&lt;&gt;"", IFERROR(_xlfn.XMATCH(A573,$A$2:$A$653,0,1)&lt;&gt;_xlfn.XMATCH(A573,$A$2:$A$653,0,-1),FALSE)), "Código de barras duplicado", ""), IF(AND(E573&lt;&gt;"", COUNTIF($E$2:$E$653, E573)&gt;1), "SKU duplicado", ""), IF(OR(J573="", J573=""), "[Aviso] División no capturada ()", IF(ISNA(MATCH(J573, Criterios!$A$123:$A$126, 0)), "División no válida", "")), IF(OR(K573="", K573=""), "[Aviso] Categoría no capturada ()", IF(ISNA(MATCH(K573, Criterios!$A$81:$A$120, 0)), "Categoría no válida", IF(AND(J573&lt;&gt;"", J573&lt;&gt;"", J573&lt;&gt;VLOOKUP(K573, Criterios!$A$81:$B$120, 2, FALSE)), "División no coincide con Categoría", ""))), IF(OR(L573="", L573=""), "[Aviso] Género no capturado ()", IF(ISNA(MATCH(L573, Criterios!$B$123:$B$127, 0)), "Género no válido", "")), IF(OR(N573="", N573=""), "[Aviso] Temporada no capturada ()", IF(ISNA(MATCH(N573, Criterios!$C$123:$C$128, 0)), "Temporada no válida", "")), IF(OR(O573="", O573=""), "[Aviso] Ciclo de vida no capturado ()", IF(ISNA(MATCH(O573, Criterios!$D$123:$D$124, 0)), "Ciclo de vida no válido", ""))))</f>
        <v/>
      </c>
      <c r="AC573" s="56" t="n"/>
      <c r="AD573" s="51" t="n">
        <v>12</v>
      </c>
      <c r="AE573" s="156" t="n"/>
      <c r="AF573" s="51" t="n">
        <v>12</v>
      </c>
      <c r="AG573" s="156" t="inlineStr">
        <is>
          <t>Nuevo – NetSuite con existencia</t>
        </is>
      </c>
      <c r="AH57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3" s="156" t="inlineStr">
        <is>
          <t>No</t>
        </is>
      </c>
      <c r="AJ573" s="156" t="n"/>
      <c r="AK573" s="155" t="inlineStr">
        <is>
          <t>G1522_Extraccion_Articulos_NetSuite_2026-09-30.xlsx: fila 44000</t>
        </is>
      </c>
      <c r="AL573" s="58" t="n"/>
      <c r="AM573" s="58" t="n"/>
      <c r="AN573" s="155" t="n"/>
      <c r="AO573" s="59" t="n"/>
      <c r="AP573" s="59" t="n"/>
      <c r="AQ573" s="59" t="n"/>
      <c r="AR573" s="155" t="n"/>
    </row>
    <row r="574">
      <c r="A574" s="50" t="inlineStr">
        <is>
          <t>5056658708473</t>
        </is>
      </c>
      <c r="B574" s="51" t="inlineStr">
        <is>
          <t>91293</t>
        </is>
      </c>
      <c r="C574" s="156" t="inlineStr">
        <is>
          <t>REFLO</t>
        </is>
      </c>
      <c r="D574" s="156" t="n"/>
      <c r="E574" s="156" t="n"/>
      <c r="F574" s="156" t="n"/>
      <c r="G574" s="156" t="n"/>
      <c r="H574" s="156" t="inlineStr">
        <is>
          <t>REFLO</t>
        </is>
      </c>
      <c r="I574" s="156" t="n"/>
      <c r="J574" s="156" t="n"/>
      <c r="K574" s="156" t="n"/>
      <c r="L574" s="156" t="n"/>
      <c r="M574" s="156" t="n"/>
      <c r="N574" s="156" t="n"/>
      <c r="O574" s="156" t="n"/>
      <c r="P574" s="156" t="n"/>
      <c r="Q574" s="156" t="n"/>
      <c r="R574" s="156" t="n"/>
      <c r="S574" s="156" t="n"/>
      <c r="T574" s="156" t="n"/>
      <c r="U574" s="156" t="n"/>
      <c r="V574" s="156" t="inlineStr">
        <is>
          <t>PZS</t>
        </is>
      </c>
      <c r="W574" s="51" t="inlineStr">
        <is>
          <t>53131602</t>
        </is>
      </c>
      <c r="X574" s="156" t="n"/>
      <c r="Y574" s="54" t="n">
        <v>19.5</v>
      </c>
      <c r="Z574" s="54" t="n">
        <v>1449</v>
      </c>
      <c r="AA574" s="55">
        <f>IF(AND(A574="", B574="", E574=""), "", IF(AB574="", "Válido", IF((LEN(AB574)-LEN(SUBSTITUTE(AB574,"; ","")))/2+1&gt;(LEN(AB574)-LEN(SUBSTITUTE(AB574,"[Aviso]","")))/7, "Con Incidencias", "Válido")))</f>
        <v/>
      </c>
      <c r="AB574" s="56">
        <f>IF(AND(A574="", B574="", E574=""), "", TEXTJOIN("; ", TRUE, IF(OR(TRIM(A574&amp;"")="", ISNUMBER(SEARCH("FALTA", A574))), "UPC faltante/inválido", ""), IF(AND(A574&lt;&gt;"", IFERROR(_xlfn.XMATCH(A574,$A$2:$A$653,0,1)&lt;&gt;_xlfn.XMATCH(A574,$A$2:$A$653,0,-1),FALSE)), "Código de barras duplicado", ""), IF(AND(E574&lt;&gt;"", COUNTIF($E$2:$E$653, E574)&gt;1), "SKU duplicado", ""), IF(OR(J574="", J574=""), "[Aviso] División no capturada ()", IF(ISNA(MATCH(J574, Criterios!$A$123:$A$126, 0)), "División no válida", "")), IF(OR(K574="", K574=""), "[Aviso] Categoría no capturada ()", IF(ISNA(MATCH(K574, Criterios!$A$81:$A$120, 0)), "Categoría no válida", IF(AND(J574&lt;&gt;"", J574&lt;&gt;"", J574&lt;&gt;VLOOKUP(K574, Criterios!$A$81:$B$120, 2, FALSE)), "División no coincide con Categoría", ""))), IF(OR(L574="", L574=""), "[Aviso] Género no capturado ()", IF(ISNA(MATCH(L574, Criterios!$B$123:$B$127, 0)), "Género no válido", "")), IF(OR(N574="", N574=""), "[Aviso] Temporada no capturada ()", IF(ISNA(MATCH(N574, Criterios!$C$123:$C$128, 0)), "Temporada no válida", "")), IF(OR(O574="", O574=""), "[Aviso] Ciclo de vida no capturado ()", IF(ISNA(MATCH(O574, Criterios!$D$123:$D$124, 0)), "Ciclo de vida no válido", ""))))</f>
        <v/>
      </c>
      <c r="AC574" s="56" t="n"/>
      <c r="AD574" s="51" t="n">
        <v>14</v>
      </c>
      <c r="AE574" s="156" t="n"/>
      <c r="AF574" s="51" t="n">
        <v>14</v>
      </c>
      <c r="AG574" s="156" t="inlineStr">
        <is>
          <t>Nuevo – NetSuite con existencia</t>
        </is>
      </c>
      <c r="AH57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4" s="156" t="inlineStr">
        <is>
          <t>No</t>
        </is>
      </c>
      <c r="AJ574" s="156" t="n"/>
      <c r="AK574" s="155" t="inlineStr">
        <is>
          <t>G1522_Extraccion_Articulos_NetSuite_2026-09-30.xlsx: fila 44001</t>
        </is>
      </c>
      <c r="AL574" s="58" t="n"/>
      <c r="AM574" s="58" t="n"/>
      <c r="AN574" s="155" t="n"/>
      <c r="AO574" s="59" t="n"/>
      <c r="AP574" s="59" t="n"/>
      <c r="AQ574" s="59" t="n"/>
      <c r="AR574" s="155" t="n"/>
    </row>
    <row r="575">
      <c r="A575" s="50" t="inlineStr">
        <is>
          <t>5056658708480</t>
        </is>
      </c>
      <c r="B575" s="51" t="inlineStr">
        <is>
          <t>91294</t>
        </is>
      </c>
      <c r="C575" s="156" t="inlineStr">
        <is>
          <t>REFLO</t>
        </is>
      </c>
      <c r="D575" s="156" t="n"/>
      <c r="E575" s="156" t="n"/>
      <c r="F575" s="156" t="n"/>
      <c r="G575" s="156" t="n"/>
      <c r="H575" s="156" t="inlineStr">
        <is>
          <t>REFLO</t>
        </is>
      </c>
      <c r="I575" s="156" t="n"/>
      <c r="J575" s="156" t="n"/>
      <c r="K575" s="156" t="n"/>
      <c r="L575" s="156" t="n"/>
      <c r="M575" s="156" t="n"/>
      <c r="N575" s="156" t="n"/>
      <c r="O575" s="156" t="n"/>
      <c r="P575" s="156" t="n"/>
      <c r="Q575" s="156" t="n"/>
      <c r="R575" s="156" t="n"/>
      <c r="S575" s="156" t="n"/>
      <c r="T575" s="156" t="n"/>
      <c r="U575" s="156" t="n"/>
      <c r="V575" s="156" t="inlineStr">
        <is>
          <t>PZS</t>
        </is>
      </c>
      <c r="W575" s="51" t="inlineStr">
        <is>
          <t>53131602</t>
        </is>
      </c>
      <c r="X575" s="156" t="n"/>
      <c r="Y575" s="54" t="n">
        <v>19.5</v>
      </c>
      <c r="Z575" s="54" t="n">
        <v>1449</v>
      </c>
      <c r="AA575" s="55">
        <f>IF(AND(A575="", B575="", E575=""), "", IF(AB575="", "Válido", IF((LEN(AB575)-LEN(SUBSTITUTE(AB575,"; ","")))/2+1&gt;(LEN(AB575)-LEN(SUBSTITUTE(AB575,"[Aviso]","")))/7, "Con Incidencias", "Válido")))</f>
        <v/>
      </c>
      <c r="AB575" s="56">
        <f>IF(AND(A575="", B575="", E575=""), "", TEXTJOIN("; ", TRUE, IF(OR(TRIM(A575&amp;"")="", ISNUMBER(SEARCH("FALTA", A575))), "UPC faltante/inválido", ""), IF(AND(A575&lt;&gt;"", IFERROR(_xlfn.XMATCH(A575,$A$2:$A$653,0,1)&lt;&gt;_xlfn.XMATCH(A575,$A$2:$A$653,0,-1),FALSE)), "Código de barras duplicado", ""), IF(AND(E575&lt;&gt;"", COUNTIF($E$2:$E$653, E575)&gt;1), "SKU duplicado", ""), IF(OR(J575="", J575=""), "[Aviso] División no capturada ()", IF(ISNA(MATCH(J575, Criterios!$A$123:$A$126, 0)), "División no válida", "")), IF(OR(K575="", K575=""), "[Aviso] Categoría no capturada ()", IF(ISNA(MATCH(K575, Criterios!$A$81:$A$120, 0)), "Categoría no válida", IF(AND(J575&lt;&gt;"", J575&lt;&gt;"", J575&lt;&gt;VLOOKUP(K575, Criterios!$A$81:$B$120, 2, FALSE)), "División no coincide con Categoría", ""))), IF(OR(L575="", L575=""), "[Aviso] Género no capturado ()", IF(ISNA(MATCH(L575, Criterios!$B$123:$B$127, 0)), "Género no válido", "")), IF(OR(N575="", N575=""), "[Aviso] Temporada no capturada ()", IF(ISNA(MATCH(N575, Criterios!$C$123:$C$128, 0)), "Temporada no válida", "")), IF(OR(O575="", O575=""), "[Aviso] Ciclo de vida no capturado ()", IF(ISNA(MATCH(O575, Criterios!$D$123:$D$124, 0)), "Ciclo de vida no válido", ""))))</f>
        <v/>
      </c>
      <c r="AC575" s="56" t="n"/>
      <c r="AD575" s="51" t="n">
        <v>7</v>
      </c>
      <c r="AE575" s="156" t="n"/>
      <c r="AF575" s="51" t="n">
        <v>7</v>
      </c>
      <c r="AG575" s="156" t="inlineStr">
        <is>
          <t>Nuevo – NetSuite con existencia</t>
        </is>
      </c>
      <c r="AH57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5" s="156" t="inlineStr">
        <is>
          <t>No</t>
        </is>
      </c>
      <c r="AJ575" s="156" t="n"/>
      <c r="AK575" s="155" t="inlineStr">
        <is>
          <t>G1522_Extraccion_Articulos_NetSuite_2026-09-30.xlsx: fila 44002</t>
        </is>
      </c>
      <c r="AL575" s="58" t="n"/>
      <c r="AM575" s="58" t="n"/>
      <c r="AN575" s="155" t="n"/>
      <c r="AO575" s="59" t="n"/>
      <c r="AP575" s="59" t="n"/>
      <c r="AQ575" s="59" t="n"/>
      <c r="AR575" s="155" t="n"/>
    </row>
    <row r="576">
      <c r="A576" s="50" t="inlineStr">
        <is>
          <t>5056658714207</t>
        </is>
      </c>
      <c r="B576" s="51" t="inlineStr">
        <is>
          <t>91295</t>
        </is>
      </c>
      <c r="C576" s="156" t="inlineStr">
        <is>
          <t>REFLO</t>
        </is>
      </c>
      <c r="D576" s="156" t="n"/>
      <c r="E576" s="156" t="n"/>
      <c r="F576" s="156" t="n"/>
      <c r="G576" s="156" t="n"/>
      <c r="H576" s="156" t="inlineStr">
        <is>
          <t>REFLO</t>
        </is>
      </c>
      <c r="I576" s="156" t="n"/>
      <c r="J576" s="156" t="n"/>
      <c r="K576" s="156" t="n"/>
      <c r="L576" s="156" t="n"/>
      <c r="M576" s="156" t="n"/>
      <c r="N576" s="156" t="n"/>
      <c r="O576" s="156" t="n"/>
      <c r="P576" s="156" t="n"/>
      <c r="Q576" s="156" t="n"/>
      <c r="R576" s="156" t="n"/>
      <c r="S576" s="156" t="n"/>
      <c r="T576" s="156" t="n"/>
      <c r="U576" s="156" t="n"/>
      <c r="V576" s="156" t="inlineStr">
        <is>
          <t>PZS</t>
        </is>
      </c>
      <c r="W576" s="51" t="inlineStr">
        <is>
          <t>53131602</t>
        </is>
      </c>
      <c r="X576" s="156" t="n"/>
      <c r="Y576" s="54" t="n">
        <v>19.5</v>
      </c>
      <c r="Z576" s="54" t="n">
        <v>1449</v>
      </c>
      <c r="AA576" s="55">
        <f>IF(AND(A576="", B576="", E576=""), "", IF(AB576="", "Válido", IF((LEN(AB576)-LEN(SUBSTITUTE(AB576,"; ","")))/2+1&gt;(LEN(AB576)-LEN(SUBSTITUTE(AB576,"[Aviso]","")))/7, "Con Incidencias", "Válido")))</f>
        <v/>
      </c>
      <c r="AB576" s="56">
        <f>IF(AND(A576="", B576="", E576=""), "", TEXTJOIN("; ", TRUE, IF(OR(TRIM(A576&amp;"")="", ISNUMBER(SEARCH("FALTA", A576))), "UPC faltante/inválido", ""), IF(AND(A576&lt;&gt;"", IFERROR(_xlfn.XMATCH(A576,$A$2:$A$653,0,1)&lt;&gt;_xlfn.XMATCH(A576,$A$2:$A$653,0,-1),FALSE)), "Código de barras duplicado", ""), IF(AND(E576&lt;&gt;"", COUNTIF($E$2:$E$653, E576)&gt;1), "SKU duplicado", ""), IF(OR(J576="", J576=""), "[Aviso] División no capturada ()", IF(ISNA(MATCH(J576, Criterios!$A$123:$A$126, 0)), "División no válida", "")), IF(OR(K576="", K576=""), "[Aviso] Categoría no capturada ()", IF(ISNA(MATCH(K576, Criterios!$A$81:$A$120, 0)), "Categoría no válida", IF(AND(J576&lt;&gt;"", J576&lt;&gt;"", J576&lt;&gt;VLOOKUP(K576, Criterios!$A$81:$B$120, 2, FALSE)), "División no coincide con Categoría", ""))), IF(OR(L576="", L576=""), "[Aviso] Género no capturado ()", IF(ISNA(MATCH(L576, Criterios!$B$123:$B$127, 0)), "Género no válido", "")), IF(OR(N576="", N576=""), "[Aviso] Temporada no capturada ()", IF(ISNA(MATCH(N576, Criterios!$C$123:$C$128, 0)), "Temporada no válida", "")), IF(OR(O576="", O576=""), "[Aviso] Ciclo de vida no capturado ()", IF(ISNA(MATCH(O576, Criterios!$D$123:$D$124, 0)), "Ciclo de vida no válido", ""))))</f>
        <v/>
      </c>
      <c r="AC576" s="56" t="n"/>
      <c r="AD576" s="51" t="n">
        <v>3</v>
      </c>
      <c r="AE576" s="156" t="n"/>
      <c r="AF576" s="51" t="n">
        <v>3</v>
      </c>
      <c r="AG576" s="156" t="inlineStr">
        <is>
          <t>Nuevo – NetSuite con existencia</t>
        </is>
      </c>
      <c r="AH57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6" s="156" t="inlineStr">
        <is>
          <t>No</t>
        </is>
      </c>
      <c r="AJ576" s="156" t="n"/>
      <c r="AK576" s="155" t="inlineStr">
        <is>
          <t>G1522_Extraccion_Articulos_NetSuite_2026-09-30.xlsx: fila 44003</t>
        </is>
      </c>
      <c r="AL576" s="58" t="n"/>
      <c r="AM576" s="58" t="n"/>
      <c r="AN576" s="155" t="n"/>
      <c r="AO576" s="59" t="n"/>
      <c r="AP576" s="59" t="n"/>
      <c r="AQ576" s="59" t="n"/>
      <c r="AR576" s="155" t="n"/>
    </row>
    <row r="577">
      <c r="A577" s="50" t="inlineStr">
        <is>
          <t>5056658708503</t>
        </is>
      </c>
      <c r="B577" s="51" t="inlineStr">
        <is>
          <t>91296</t>
        </is>
      </c>
      <c r="C577" s="156" t="inlineStr">
        <is>
          <t>REFLO</t>
        </is>
      </c>
      <c r="D577" s="156" t="n"/>
      <c r="E577" s="156" t="n"/>
      <c r="F577" s="156" t="n"/>
      <c r="G577" s="156" t="n"/>
      <c r="H577" s="156" t="inlineStr">
        <is>
          <t>REFLO</t>
        </is>
      </c>
      <c r="I577" s="156" t="n"/>
      <c r="J577" s="156" t="n"/>
      <c r="K577" s="156" t="n"/>
      <c r="L577" s="156" t="n"/>
      <c r="M577" s="156" t="n"/>
      <c r="N577" s="156" t="n"/>
      <c r="O577" s="156" t="n"/>
      <c r="P577" s="156" t="n"/>
      <c r="Q577" s="156" t="n"/>
      <c r="R577" s="156" t="n"/>
      <c r="S577" s="156" t="n"/>
      <c r="T577" s="156" t="n"/>
      <c r="U577" s="156" t="n"/>
      <c r="V577" s="156" t="inlineStr">
        <is>
          <t>PZS</t>
        </is>
      </c>
      <c r="W577" s="51" t="inlineStr">
        <is>
          <t>53131602</t>
        </is>
      </c>
      <c r="X577" s="156" t="n"/>
      <c r="Y577" s="54" t="n">
        <v>19.5</v>
      </c>
      <c r="Z577" s="54" t="n">
        <v>1449</v>
      </c>
      <c r="AA577" s="55">
        <f>IF(AND(A577="", B577="", E577=""), "", IF(AB577="", "Válido", IF((LEN(AB577)-LEN(SUBSTITUTE(AB577,"; ","")))/2+1&gt;(LEN(AB577)-LEN(SUBSTITUTE(AB577,"[Aviso]","")))/7, "Con Incidencias", "Válido")))</f>
        <v/>
      </c>
      <c r="AB577" s="56">
        <f>IF(AND(A577="", B577="", E577=""), "", TEXTJOIN("; ", TRUE, IF(OR(TRIM(A577&amp;"")="", ISNUMBER(SEARCH("FALTA", A577))), "UPC faltante/inválido", ""), IF(AND(A577&lt;&gt;"", IFERROR(_xlfn.XMATCH(A577,$A$2:$A$653,0,1)&lt;&gt;_xlfn.XMATCH(A577,$A$2:$A$653,0,-1),FALSE)), "Código de barras duplicado", ""), IF(AND(E577&lt;&gt;"", COUNTIF($E$2:$E$653, E577)&gt;1), "SKU duplicado", ""), IF(OR(J577="", J577=""), "[Aviso] División no capturada ()", IF(ISNA(MATCH(J577, Criterios!$A$123:$A$126, 0)), "División no válida", "")), IF(OR(K577="", K577=""), "[Aviso] Categoría no capturada ()", IF(ISNA(MATCH(K577, Criterios!$A$81:$A$120, 0)), "Categoría no válida", IF(AND(J577&lt;&gt;"", J577&lt;&gt;"", J577&lt;&gt;VLOOKUP(K577, Criterios!$A$81:$B$120, 2, FALSE)), "División no coincide con Categoría", ""))), IF(OR(L577="", L577=""), "[Aviso] Género no capturado ()", IF(ISNA(MATCH(L577, Criterios!$B$123:$B$127, 0)), "Género no válido", "")), IF(OR(N577="", N577=""), "[Aviso] Temporada no capturada ()", IF(ISNA(MATCH(N577, Criterios!$C$123:$C$128, 0)), "Temporada no válida", "")), IF(OR(O577="", O577=""), "[Aviso] Ciclo de vida no capturado ()", IF(ISNA(MATCH(O577, Criterios!$D$123:$D$124, 0)), "Ciclo de vida no válido", ""))))</f>
        <v/>
      </c>
      <c r="AC577" s="56" t="n"/>
      <c r="AD577" s="51" t="n">
        <v>2</v>
      </c>
      <c r="AE577" s="156" t="n"/>
      <c r="AF577" s="51" t="n">
        <v>2</v>
      </c>
      <c r="AG577" s="156" t="inlineStr">
        <is>
          <t>Nuevo – NetSuite con existencia</t>
        </is>
      </c>
      <c r="AH57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7" s="156" t="inlineStr">
        <is>
          <t>No</t>
        </is>
      </c>
      <c r="AJ577" s="156" t="n"/>
      <c r="AK577" s="155" t="inlineStr">
        <is>
          <t>G1522_Extraccion_Articulos_NetSuite_2026-09-30.xlsx: fila 44004</t>
        </is>
      </c>
      <c r="AL577" s="58" t="n"/>
      <c r="AM577" s="58" t="n"/>
      <c r="AN577" s="155" t="n"/>
      <c r="AO577" s="59" t="n"/>
      <c r="AP577" s="59" t="n"/>
      <c r="AQ577" s="59" t="n"/>
      <c r="AR577" s="155" t="n"/>
    </row>
    <row r="578">
      <c r="A578" s="50" t="inlineStr">
        <is>
          <t>5056658708510</t>
        </is>
      </c>
      <c r="B578" s="51" t="inlineStr">
        <is>
          <t>91297</t>
        </is>
      </c>
      <c r="C578" s="156" t="inlineStr">
        <is>
          <t>REFLO</t>
        </is>
      </c>
      <c r="D578" s="156" t="n"/>
      <c r="E578" s="156" t="n"/>
      <c r="F578" s="156" t="n"/>
      <c r="G578" s="156" t="n"/>
      <c r="H578" s="156" t="inlineStr">
        <is>
          <t>REFLO</t>
        </is>
      </c>
      <c r="I578" s="156" t="n"/>
      <c r="J578" s="156" t="n"/>
      <c r="K578" s="156" t="n"/>
      <c r="L578" s="156" t="n"/>
      <c r="M578" s="156" t="n"/>
      <c r="N578" s="156" t="n"/>
      <c r="O578" s="156" t="n"/>
      <c r="P578" s="156" t="n"/>
      <c r="Q578" s="156" t="n"/>
      <c r="R578" s="156" t="n"/>
      <c r="S578" s="156" t="n"/>
      <c r="T578" s="156" t="n"/>
      <c r="U578" s="156" t="n"/>
      <c r="V578" s="156" t="inlineStr">
        <is>
          <t>PZS</t>
        </is>
      </c>
      <c r="W578" s="51" t="inlineStr">
        <is>
          <t>53131602</t>
        </is>
      </c>
      <c r="X578" s="156" t="n"/>
      <c r="Y578" s="54" t="n">
        <v>19.5</v>
      </c>
      <c r="Z578" s="54" t="n">
        <v>1449</v>
      </c>
      <c r="AA578" s="55">
        <f>IF(AND(A578="", B578="", E578=""), "", IF(AB578="", "Válido", IF((LEN(AB578)-LEN(SUBSTITUTE(AB578,"; ","")))/2+1&gt;(LEN(AB578)-LEN(SUBSTITUTE(AB578,"[Aviso]","")))/7, "Con Incidencias", "Válido")))</f>
        <v/>
      </c>
      <c r="AB578" s="56">
        <f>IF(AND(A578="", B578="", E578=""), "", TEXTJOIN("; ", TRUE, IF(OR(TRIM(A578&amp;"")="", ISNUMBER(SEARCH("FALTA", A578))), "UPC faltante/inválido", ""), IF(AND(A578&lt;&gt;"", IFERROR(_xlfn.XMATCH(A578,$A$2:$A$653,0,1)&lt;&gt;_xlfn.XMATCH(A578,$A$2:$A$653,0,-1),FALSE)), "Código de barras duplicado", ""), IF(AND(E578&lt;&gt;"", COUNTIF($E$2:$E$653, E578)&gt;1), "SKU duplicado", ""), IF(OR(J578="", J578=""), "[Aviso] División no capturada ()", IF(ISNA(MATCH(J578, Criterios!$A$123:$A$126, 0)), "División no válida", "")), IF(OR(K578="", K578=""), "[Aviso] Categoría no capturada ()", IF(ISNA(MATCH(K578, Criterios!$A$81:$A$120, 0)), "Categoría no válida", IF(AND(J578&lt;&gt;"", J578&lt;&gt;"", J578&lt;&gt;VLOOKUP(K578, Criterios!$A$81:$B$120, 2, FALSE)), "División no coincide con Categoría", ""))), IF(OR(L578="", L578=""), "[Aviso] Género no capturado ()", IF(ISNA(MATCH(L578, Criterios!$B$123:$B$127, 0)), "Género no válido", "")), IF(OR(N578="", N578=""), "[Aviso] Temporada no capturada ()", IF(ISNA(MATCH(N578, Criterios!$C$123:$C$128, 0)), "Temporada no válida", "")), IF(OR(O578="", O578=""), "[Aviso] Ciclo de vida no capturado ()", IF(ISNA(MATCH(O578, Criterios!$D$123:$D$124, 0)), "Ciclo de vida no válido", ""))))</f>
        <v/>
      </c>
      <c r="AC578" s="56" t="n"/>
      <c r="AD578" s="51" t="n">
        <v>4</v>
      </c>
      <c r="AE578" s="156" t="n"/>
      <c r="AF578" s="51" t="n">
        <v>4</v>
      </c>
      <c r="AG578" s="156" t="inlineStr">
        <is>
          <t>Nuevo – NetSuite con existencia</t>
        </is>
      </c>
      <c r="AH57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8" s="156" t="inlineStr">
        <is>
          <t>No</t>
        </is>
      </c>
      <c r="AJ578" s="156" t="n"/>
      <c r="AK578" s="155" t="inlineStr">
        <is>
          <t>G1522_Extraccion_Articulos_NetSuite_2026-09-30.xlsx: fila 44005</t>
        </is>
      </c>
      <c r="AL578" s="58" t="n"/>
      <c r="AM578" s="58" t="n"/>
      <c r="AN578" s="155" t="n"/>
      <c r="AO578" s="59" t="n"/>
      <c r="AP578" s="59" t="n"/>
      <c r="AQ578" s="59" t="n"/>
      <c r="AR578" s="155" t="n"/>
    </row>
    <row r="579">
      <c r="A579" s="50" t="inlineStr">
        <is>
          <t>5056658708527</t>
        </is>
      </c>
      <c r="B579" s="51" t="inlineStr">
        <is>
          <t>91298</t>
        </is>
      </c>
      <c r="C579" s="156" t="inlineStr">
        <is>
          <t>REFLO</t>
        </is>
      </c>
      <c r="D579" s="156" t="n"/>
      <c r="E579" s="156" t="n"/>
      <c r="F579" s="156" t="n"/>
      <c r="G579" s="156" t="n"/>
      <c r="H579" s="156" t="inlineStr">
        <is>
          <t>REFLO</t>
        </is>
      </c>
      <c r="I579" s="156" t="n"/>
      <c r="J579" s="156" t="n"/>
      <c r="K579" s="156" t="n"/>
      <c r="L579" s="156" t="n"/>
      <c r="M579" s="156" t="n"/>
      <c r="N579" s="156" t="n"/>
      <c r="O579" s="156" t="n"/>
      <c r="P579" s="156" t="n"/>
      <c r="Q579" s="156" t="n"/>
      <c r="R579" s="156" t="n"/>
      <c r="S579" s="156" t="n"/>
      <c r="T579" s="156" t="n"/>
      <c r="U579" s="156" t="n"/>
      <c r="V579" s="156" t="inlineStr">
        <is>
          <t>PZS</t>
        </is>
      </c>
      <c r="W579" s="51" t="inlineStr">
        <is>
          <t>53131602</t>
        </is>
      </c>
      <c r="X579" s="156" t="n"/>
      <c r="Y579" s="54" t="n">
        <v>19.5</v>
      </c>
      <c r="Z579" s="54" t="n">
        <v>1449</v>
      </c>
      <c r="AA579" s="55">
        <f>IF(AND(A579="", B579="", E579=""), "", IF(AB579="", "Válido", IF((LEN(AB579)-LEN(SUBSTITUTE(AB579,"; ","")))/2+1&gt;(LEN(AB579)-LEN(SUBSTITUTE(AB579,"[Aviso]","")))/7, "Con Incidencias", "Válido")))</f>
        <v/>
      </c>
      <c r="AB579" s="56">
        <f>IF(AND(A579="", B579="", E579=""), "", TEXTJOIN("; ", TRUE, IF(OR(TRIM(A579&amp;"")="", ISNUMBER(SEARCH("FALTA", A579))), "UPC faltante/inválido", ""), IF(AND(A579&lt;&gt;"", IFERROR(_xlfn.XMATCH(A579,$A$2:$A$653,0,1)&lt;&gt;_xlfn.XMATCH(A579,$A$2:$A$653,0,-1),FALSE)), "Código de barras duplicado", ""), IF(AND(E579&lt;&gt;"", COUNTIF($E$2:$E$653, E579)&gt;1), "SKU duplicado", ""), IF(OR(J579="", J579=""), "[Aviso] División no capturada ()", IF(ISNA(MATCH(J579, Criterios!$A$123:$A$126, 0)), "División no válida", "")), IF(OR(K579="", K579=""), "[Aviso] Categoría no capturada ()", IF(ISNA(MATCH(K579, Criterios!$A$81:$A$120, 0)), "Categoría no válida", IF(AND(J579&lt;&gt;"", J579&lt;&gt;"", J579&lt;&gt;VLOOKUP(K579, Criterios!$A$81:$B$120, 2, FALSE)), "División no coincide con Categoría", ""))), IF(OR(L579="", L579=""), "[Aviso] Género no capturado ()", IF(ISNA(MATCH(L579, Criterios!$B$123:$B$127, 0)), "Género no válido", "")), IF(OR(N579="", N579=""), "[Aviso] Temporada no capturada ()", IF(ISNA(MATCH(N579, Criterios!$C$123:$C$128, 0)), "Temporada no válida", "")), IF(OR(O579="", O579=""), "[Aviso] Ciclo de vida no capturado ()", IF(ISNA(MATCH(O579, Criterios!$D$123:$D$124, 0)), "Ciclo de vida no válido", ""))))</f>
        <v/>
      </c>
      <c r="AC579" s="56" t="n"/>
      <c r="AD579" s="51" t="n">
        <v>7</v>
      </c>
      <c r="AE579" s="156" t="n"/>
      <c r="AF579" s="51" t="n">
        <v>7</v>
      </c>
      <c r="AG579" s="156" t="inlineStr">
        <is>
          <t>Nuevo – NetSuite con existencia</t>
        </is>
      </c>
      <c r="AH57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79" s="156" t="inlineStr">
        <is>
          <t>No</t>
        </is>
      </c>
      <c r="AJ579" s="156" t="n"/>
      <c r="AK579" s="155" t="inlineStr">
        <is>
          <t>G1522_Extraccion_Articulos_NetSuite_2026-09-30.xlsx: fila 44006</t>
        </is>
      </c>
      <c r="AL579" s="58" t="n"/>
      <c r="AM579" s="58" t="n"/>
      <c r="AN579" s="155" t="n"/>
      <c r="AO579" s="59" t="n"/>
      <c r="AP579" s="59" t="n"/>
      <c r="AQ579" s="59" t="n"/>
      <c r="AR579" s="155" t="n"/>
    </row>
    <row r="580">
      <c r="A580" s="50" t="inlineStr">
        <is>
          <t>5056658708534</t>
        </is>
      </c>
      <c r="B580" s="51" t="inlineStr">
        <is>
          <t>91299</t>
        </is>
      </c>
      <c r="C580" s="156" t="inlineStr">
        <is>
          <t>REFLO</t>
        </is>
      </c>
      <c r="D580" s="156" t="n"/>
      <c r="E580" s="156" t="n"/>
      <c r="F580" s="156" t="n"/>
      <c r="G580" s="156" t="n"/>
      <c r="H580" s="156" t="inlineStr">
        <is>
          <t>REFLO</t>
        </is>
      </c>
      <c r="I580" s="156" t="n"/>
      <c r="J580" s="156" t="n"/>
      <c r="K580" s="156" t="n"/>
      <c r="L580" s="156" t="n"/>
      <c r="M580" s="156" t="n"/>
      <c r="N580" s="156" t="n"/>
      <c r="O580" s="156" t="n"/>
      <c r="P580" s="156" t="n"/>
      <c r="Q580" s="156" t="n"/>
      <c r="R580" s="156" t="n"/>
      <c r="S580" s="156" t="n"/>
      <c r="T580" s="156" t="n"/>
      <c r="U580" s="156" t="n"/>
      <c r="V580" s="156" t="inlineStr">
        <is>
          <t>PZS</t>
        </is>
      </c>
      <c r="W580" s="51" t="inlineStr">
        <is>
          <t>53131602</t>
        </is>
      </c>
      <c r="X580" s="156" t="n"/>
      <c r="Y580" s="54" t="n">
        <v>19.5</v>
      </c>
      <c r="Z580" s="54" t="n">
        <v>1449</v>
      </c>
      <c r="AA580" s="55">
        <f>IF(AND(A580="", B580="", E580=""), "", IF(AB580="", "Válido", IF((LEN(AB580)-LEN(SUBSTITUTE(AB580,"; ","")))/2+1&gt;(LEN(AB580)-LEN(SUBSTITUTE(AB580,"[Aviso]","")))/7, "Con Incidencias", "Válido")))</f>
        <v/>
      </c>
      <c r="AB580" s="56">
        <f>IF(AND(A580="", B580="", E580=""), "", TEXTJOIN("; ", TRUE, IF(OR(TRIM(A580&amp;"")="", ISNUMBER(SEARCH("FALTA", A580))), "UPC faltante/inválido", ""), IF(AND(A580&lt;&gt;"", IFERROR(_xlfn.XMATCH(A580,$A$2:$A$653,0,1)&lt;&gt;_xlfn.XMATCH(A580,$A$2:$A$653,0,-1),FALSE)), "Código de barras duplicado", ""), IF(AND(E580&lt;&gt;"", COUNTIF($E$2:$E$653, E580)&gt;1), "SKU duplicado", ""), IF(OR(J580="", J580=""), "[Aviso] División no capturada ()", IF(ISNA(MATCH(J580, Criterios!$A$123:$A$126, 0)), "División no válida", "")), IF(OR(K580="", K580=""), "[Aviso] Categoría no capturada ()", IF(ISNA(MATCH(K580, Criterios!$A$81:$A$120, 0)), "Categoría no válida", IF(AND(J580&lt;&gt;"", J580&lt;&gt;"", J580&lt;&gt;VLOOKUP(K580, Criterios!$A$81:$B$120, 2, FALSE)), "División no coincide con Categoría", ""))), IF(OR(L580="", L580=""), "[Aviso] Género no capturado ()", IF(ISNA(MATCH(L580, Criterios!$B$123:$B$127, 0)), "Género no válido", "")), IF(OR(N580="", N580=""), "[Aviso] Temporada no capturada ()", IF(ISNA(MATCH(N580, Criterios!$C$123:$C$128, 0)), "Temporada no válida", "")), IF(OR(O580="", O580=""), "[Aviso] Ciclo de vida no capturado ()", IF(ISNA(MATCH(O580, Criterios!$D$123:$D$124, 0)), "Ciclo de vida no válido", ""))))</f>
        <v/>
      </c>
      <c r="AC580" s="56" t="n"/>
      <c r="AD580" s="51" t="n">
        <v>8</v>
      </c>
      <c r="AE580" s="156" t="n"/>
      <c r="AF580" s="51" t="n">
        <v>8</v>
      </c>
      <c r="AG580" s="156" t="inlineStr">
        <is>
          <t>Nuevo – NetSuite con existencia</t>
        </is>
      </c>
      <c r="AH58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80" s="156" t="inlineStr">
        <is>
          <t>No</t>
        </is>
      </c>
      <c r="AJ580" s="156" t="n"/>
      <c r="AK580" s="155" t="inlineStr">
        <is>
          <t>G1522_Extraccion_Articulos_NetSuite_2026-09-30.xlsx: fila 44007</t>
        </is>
      </c>
      <c r="AL580" s="58" t="n"/>
      <c r="AM580" s="58" t="n"/>
      <c r="AN580" s="155" t="n"/>
      <c r="AO580" s="59" t="n"/>
      <c r="AP580" s="59" t="n"/>
      <c r="AQ580" s="59" t="n"/>
      <c r="AR580" s="155" t="n"/>
    </row>
    <row r="581">
      <c r="A581" s="50" t="inlineStr">
        <is>
          <t>5056658708541</t>
        </is>
      </c>
      <c r="B581" s="51" t="inlineStr">
        <is>
          <t>91300</t>
        </is>
      </c>
      <c r="C581" s="156" t="inlineStr">
        <is>
          <t>REFLO</t>
        </is>
      </c>
      <c r="D581" s="156" t="n"/>
      <c r="E581" s="156" t="n"/>
      <c r="F581" s="156" t="n"/>
      <c r="G581" s="156" t="n"/>
      <c r="H581" s="156" t="inlineStr">
        <is>
          <t>REFLO</t>
        </is>
      </c>
      <c r="I581" s="156" t="n"/>
      <c r="J581" s="156" t="n"/>
      <c r="K581" s="156" t="n"/>
      <c r="L581" s="156" t="n"/>
      <c r="M581" s="156" t="n"/>
      <c r="N581" s="156" t="n"/>
      <c r="O581" s="156" t="n"/>
      <c r="P581" s="156" t="n"/>
      <c r="Q581" s="156" t="n"/>
      <c r="R581" s="156" t="n"/>
      <c r="S581" s="156" t="n"/>
      <c r="T581" s="156" t="n"/>
      <c r="U581" s="156" t="n"/>
      <c r="V581" s="156" t="inlineStr">
        <is>
          <t>PZS</t>
        </is>
      </c>
      <c r="W581" s="51" t="inlineStr">
        <is>
          <t>53131602</t>
        </is>
      </c>
      <c r="X581" s="156" t="n"/>
      <c r="Y581" s="54" t="n">
        <v>19.5</v>
      </c>
      <c r="Z581" s="54" t="n">
        <v>1449</v>
      </c>
      <c r="AA581" s="55">
        <f>IF(AND(A581="", B581="", E581=""), "", IF(AB581="", "Válido", IF((LEN(AB581)-LEN(SUBSTITUTE(AB581,"; ","")))/2+1&gt;(LEN(AB581)-LEN(SUBSTITUTE(AB581,"[Aviso]","")))/7, "Con Incidencias", "Válido")))</f>
        <v/>
      </c>
      <c r="AB581" s="56">
        <f>IF(AND(A581="", B581="", E581=""), "", TEXTJOIN("; ", TRUE, IF(OR(TRIM(A581&amp;"")="", ISNUMBER(SEARCH("FALTA", A581))), "UPC faltante/inválido", ""), IF(AND(A581&lt;&gt;"", IFERROR(_xlfn.XMATCH(A581,$A$2:$A$653,0,1)&lt;&gt;_xlfn.XMATCH(A581,$A$2:$A$653,0,-1),FALSE)), "Código de barras duplicado", ""), IF(AND(E581&lt;&gt;"", COUNTIF($E$2:$E$653, E581)&gt;1), "SKU duplicado", ""), IF(OR(J581="", J581=""), "[Aviso] División no capturada ()", IF(ISNA(MATCH(J581, Criterios!$A$123:$A$126, 0)), "División no válida", "")), IF(OR(K581="", K581=""), "[Aviso] Categoría no capturada ()", IF(ISNA(MATCH(K581, Criterios!$A$81:$A$120, 0)), "Categoría no válida", IF(AND(J581&lt;&gt;"", J581&lt;&gt;"", J581&lt;&gt;VLOOKUP(K581, Criterios!$A$81:$B$120, 2, FALSE)), "División no coincide con Categoría", ""))), IF(OR(L581="", L581=""), "[Aviso] Género no capturado ()", IF(ISNA(MATCH(L581, Criterios!$B$123:$B$127, 0)), "Género no válido", "")), IF(OR(N581="", N581=""), "[Aviso] Temporada no capturada ()", IF(ISNA(MATCH(N581, Criterios!$C$123:$C$128, 0)), "Temporada no válida", "")), IF(OR(O581="", O581=""), "[Aviso] Ciclo de vida no capturado ()", IF(ISNA(MATCH(O581, Criterios!$D$123:$D$124, 0)), "Ciclo de vida no válido", ""))))</f>
        <v/>
      </c>
      <c r="AC581" s="56" t="n"/>
      <c r="AD581" s="51" t="n">
        <v>4</v>
      </c>
      <c r="AE581" s="156" t="n"/>
      <c r="AF581" s="51" t="n">
        <v>4</v>
      </c>
      <c r="AG581" s="156" t="inlineStr">
        <is>
          <t>Nuevo – NetSuite con existencia</t>
        </is>
      </c>
      <c r="AH58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81" s="156" t="inlineStr">
        <is>
          <t>No</t>
        </is>
      </c>
      <c r="AJ581" s="156" t="n"/>
      <c r="AK581" s="155" t="inlineStr">
        <is>
          <t>G1522_Extraccion_Articulos_NetSuite_2026-09-30.xlsx: fila 44008</t>
        </is>
      </c>
      <c r="AL581" s="58" t="n"/>
      <c r="AM581" s="58" t="n"/>
      <c r="AN581" s="155" t="n"/>
      <c r="AO581" s="59" t="n"/>
      <c r="AP581" s="59" t="n"/>
      <c r="AQ581" s="59" t="n"/>
      <c r="AR581" s="155" t="n"/>
    </row>
    <row r="582">
      <c r="A582" s="50" t="inlineStr">
        <is>
          <t>5056658714214</t>
        </is>
      </c>
      <c r="B582" s="51" t="inlineStr">
        <is>
          <t>91301</t>
        </is>
      </c>
      <c r="C582" s="156" t="inlineStr">
        <is>
          <t>REFLO</t>
        </is>
      </c>
      <c r="D582" s="156" t="n"/>
      <c r="E582" s="156" t="n"/>
      <c r="F582" s="156" t="n"/>
      <c r="G582" s="156" t="n"/>
      <c r="H582" s="156" t="inlineStr">
        <is>
          <t>REFLO</t>
        </is>
      </c>
      <c r="I582" s="156" t="n"/>
      <c r="J582" s="156" t="n"/>
      <c r="K582" s="156" t="n"/>
      <c r="L582" s="156" t="n"/>
      <c r="M582" s="156" t="n"/>
      <c r="N582" s="156" t="n"/>
      <c r="O582" s="156" t="n"/>
      <c r="P582" s="156" t="n"/>
      <c r="Q582" s="156" t="n"/>
      <c r="R582" s="156" t="n"/>
      <c r="S582" s="156" t="n"/>
      <c r="T582" s="156" t="n"/>
      <c r="U582" s="156" t="n"/>
      <c r="V582" s="156" t="inlineStr">
        <is>
          <t>PZS</t>
        </is>
      </c>
      <c r="W582" s="51" t="inlineStr">
        <is>
          <t>53131602</t>
        </is>
      </c>
      <c r="X582" s="156" t="n"/>
      <c r="Y582" s="54" t="n">
        <v>19.5</v>
      </c>
      <c r="Z582" s="54" t="n">
        <v>1449</v>
      </c>
      <c r="AA582" s="55">
        <f>IF(AND(A582="", B582="", E582=""), "", IF(AB582="", "Válido", IF((LEN(AB582)-LEN(SUBSTITUTE(AB582,"; ","")))/2+1&gt;(LEN(AB582)-LEN(SUBSTITUTE(AB582,"[Aviso]","")))/7, "Con Incidencias", "Válido")))</f>
        <v/>
      </c>
      <c r="AB582" s="56">
        <f>IF(AND(A582="", B582="", E582=""), "", TEXTJOIN("; ", TRUE, IF(OR(TRIM(A582&amp;"")="", ISNUMBER(SEARCH("FALTA", A582))), "UPC faltante/inválido", ""), IF(AND(A582&lt;&gt;"", IFERROR(_xlfn.XMATCH(A582,$A$2:$A$653,0,1)&lt;&gt;_xlfn.XMATCH(A582,$A$2:$A$653,0,-1),FALSE)), "Código de barras duplicado", ""), IF(AND(E582&lt;&gt;"", COUNTIF($E$2:$E$653, E582)&gt;1), "SKU duplicado", ""), IF(OR(J582="", J582=""), "[Aviso] División no capturada ()", IF(ISNA(MATCH(J582, Criterios!$A$123:$A$126, 0)), "División no válida", "")), IF(OR(K582="", K582=""), "[Aviso] Categoría no capturada ()", IF(ISNA(MATCH(K582, Criterios!$A$81:$A$120, 0)), "Categoría no válida", IF(AND(J582&lt;&gt;"", J582&lt;&gt;"", J582&lt;&gt;VLOOKUP(K582, Criterios!$A$81:$B$120, 2, FALSE)), "División no coincide con Categoría", ""))), IF(OR(L582="", L582=""), "[Aviso] Género no capturado ()", IF(ISNA(MATCH(L582, Criterios!$B$123:$B$127, 0)), "Género no válido", "")), IF(OR(N582="", N582=""), "[Aviso] Temporada no capturada ()", IF(ISNA(MATCH(N582, Criterios!$C$123:$C$128, 0)), "Temporada no válida", "")), IF(OR(O582="", O582=""), "[Aviso] Ciclo de vida no capturado ()", IF(ISNA(MATCH(O582, Criterios!$D$123:$D$124, 0)), "Ciclo de vida no válido", ""))))</f>
        <v/>
      </c>
      <c r="AC582" s="56" t="n"/>
      <c r="AD582" s="51" t="n">
        <v>2</v>
      </c>
      <c r="AE582" s="156" t="n"/>
      <c r="AF582" s="51" t="n">
        <v>2</v>
      </c>
      <c r="AG582" s="156" t="inlineStr">
        <is>
          <t>Nuevo – NetSuite con existencia</t>
        </is>
      </c>
      <c r="AH58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82" s="156" t="inlineStr">
        <is>
          <t>No</t>
        </is>
      </c>
      <c r="AJ582" s="156" t="n"/>
      <c r="AK582" s="155" t="inlineStr">
        <is>
          <t>G1522_Extraccion_Articulos_NetSuite_2026-09-30.xlsx: fila 44009</t>
        </is>
      </c>
      <c r="AL582" s="58" t="n"/>
      <c r="AM582" s="58" t="n"/>
      <c r="AN582" s="155" t="n"/>
      <c r="AO582" s="59" t="n"/>
      <c r="AP582" s="59" t="n"/>
      <c r="AQ582" s="59" t="n"/>
      <c r="AR582" s="155" t="n"/>
    </row>
    <row r="583">
      <c r="A583" s="50" t="inlineStr">
        <is>
          <t>5056658708565</t>
        </is>
      </c>
      <c r="B583" s="51" t="inlineStr">
        <is>
          <t>91302</t>
        </is>
      </c>
      <c r="C583" s="156" t="inlineStr">
        <is>
          <t>REFLO</t>
        </is>
      </c>
      <c r="D583" s="156" t="n"/>
      <c r="E583" s="156" t="n"/>
      <c r="F583" s="156" t="n"/>
      <c r="G583" s="156" t="n"/>
      <c r="H583" s="156" t="inlineStr">
        <is>
          <t>REFLO</t>
        </is>
      </c>
      <c r="I583" s="156" t="n"/>
      <c r="J583" s="156" t="n"/>
      <c r="K583" s="156" t="n"/>
      <c r="L583" s="156" t="n"/>
      <c r="M583" s="156" t="n"/>
      <c r="N583" s="156" t="n"/>
      <c r="O583" s="156" t="n"/>
      <c r="P583" s="156" t="n"/>
      <c r="Q583" s="156" t="n"/>
      <c r="R583" s="156" t="n"/>
      <c r="S583" s="156" t="n"/>
      <c r="T583" s="156" t="n"/>
      <c r="U583" s="156" t="n"/>
      <c r="V583" s="156" t="inlineStr">
        <is>
          <t>PZS</t>
        </is>
      </c>
      <c r="W583" s="51" t="inlineStr">
        <is>
          <t>53131602</t>
        </is>
      </c>
      <c r="X583" s="156" t="n"/>
      <c r="Y583" s="54" t="n">
        <v>19.5</v>
      </c>
      <c r="Z583" s="54" t="n">
        <v>1449</v>
      </c>
      <c r="AA583" s="55">
        <f>IF(AND(A583="", B583="", E583=""), "", IF(AB583="", "Válido", IF((LEN(AB583)-LEN(SUBSTITUTE(AB583,"; ","")))/2+1&gt;(LEN(AB583)-LEN(SUBSTITUTE(AB583,"[Aviso]","")))/7, "Con Incidencias", "Válido")))</f>
        <v/>
      </c>
      <c r="AB583" s="56">
        <f>IF(AND(A583="", B583="", E583=""), "", TEXTJOIN("; ", TRUE, IF(OR(TRIM(A583&amp;"")="", ISNUMBER(SEARCH("FALTA", A583))), "UPC faltante/inválido", ""), IF(AND(A583&lt;&gt;"", IFERROR(_xlfn.XMATCH(A583,$A$2:$A$653,0,1)&lt;&gt;_xlfn.XMATCH(A583,$A$2:$A$653,0,-1),FALSE)), "Código de barras duplicado", ""), IF(AND(E583&lt;&gt;"", COUNTIF($E$2:$E$653, E583)&gt;1), "SKU duplicado", ""), IF(OR(J583="", J583=""), "[Aviso] División no capturada ()", IF(ISNA(MATCH(J583, Criterios!$A$123:$A$126, 0)), "División no válida", "")), IF(OR(K583="", K583=""), "[Aviso] Categoría no capturada ()", IF(ISNA(MATCH(K583, Criterios!$A$81:$A$120, 0)), "Categoría no válida", IF(AND(J583&lt;&gt;"", J583&lt;&gt;"", J583&lt;&gt;VLOOKUP(K583, Criterios!$A$81:$B$120, 2, FALSE)), "División no coincide con Categoría", ""))), IF(OR(L583="", L583=""), "[Aviso] Género no capturado ()", IF(ISNA(MATCH(L583, Criterios!$B$123:$B$127, 0)), "Género no válido", "")), IF(OR(N583="", N583=""), "[Aviso] Temporada no capturada ()", IF(ISNA(MATCH(N583, Criterios!$C$123:$C$128, 0)), "Temporada no válida", "")), IF(OR(O583="", O583=""), "[Aviso] Ciclo de vida no capturado ()", IF(ISNA(MATCH(O583, Criterios!$D$123:$D$124, 0)), "Ciclo de vida no válido", ""))))</f>
        <v/>
      </c>
      <c r="AC583" s="56" t="n"/>
      <c r="AD583" s="51" t="n">
        <v>2</v>
      </c>
      <c r="AE583" s="156" t="n"/>
      <c r="AF583" s="51" t="n">
        <v>2</v>
      </c>
      <c r="AG583" s="156" t="inlineStr">
        <is>
          <t>Nuevo – NetSuite con existencia</t>
        </is>
      </c>
      <c r="AH58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83" s="156" t="inlineStr">
        <is>
          <t>No</t>
        </is>
      </c>
      <c r="AJ583" s="156" t="n"/>
      <c r="AK583" s="155" t="inlineStr">
        <is>
          <t>G1522_Extraccion_Articulos_NetSuite_2026-09-30.xlsx: fila 44010</t>
        </is>
      </c>
      <c r="AL583" s="58" t="n"/>
      <c r="AM583" s="58" t="n"/>
      <c r="AN583" s="155" t="n"/>
      <c r="AO583" s="59" t="n"/>
      <c r="AP583" s="59" t="n"/>
      <c r="AQ583" s="59" t="n"/>
      <c r="AR583" s="155" t="n"/>
    </row>
    <row r="584">
      <c r="A584" s="50" t="inlineStr">
        <is>
          <t>5056658708572</t>
        </is>
      </c>
      <c r="B584" s="51" t="inlineStr">
        <is>
          <t>91303</t>
        </is>
      </c>
      <c r="C584" s="156" t="inlineStr">
        <is>
          <t>REFLO</t>
        </is>
      </c>
      <c r="D584" s="156" t="n"/>
      <c r="E584" s="156" t="n"/>
      <c r="F584" s="156" t="n"/>
      <c r="G584" s="156" t="n"/>
      <c r="H584" s="156" t="inlineStr">
        <is>
          <t>REFLO</t>
        </is>
      </c>
      <c r="I584" s="156" t="n"/>
      <c r="J584" s="156" t="n"/>
      <c r="K584" s="156" t="n"/>
      <c r="L584" s="156" t="n"/>
      <c r="M584" s="156" t="n"/>
      <c r="N584" s="156" t="n"/>
      <c r="O584" s="156" t="n"/>
      <c r="P584" s="156" t="n"/>
      <c r="Q584" s="156" t="n"/>
      <c r="R584" s="156" t="n"/>
      <c r="S584" s="156" t="n"/>
      <c r="T584" s="156" t="n"/>
      <c r="U584" s="156" t="n"/>
      <c r="V584" s="156" t="inlineStr">
        <is>
          <t>PZS</t>
        </is>
      </c>
      <c r="W584" s="51" t="inlineStr">
        <is>
          <t>53131602</t>
        </is>
      </c>
      <c r="X584" s="156" t="n"/>
      <c r="Y584" s="54" t="n">
        <v>19.5</v>
      </c>
      <c r="Z584" s="54" t="n">
        <v>1449</v>
      </c>
      <c r="AA584" s="55">
        <f>IF(AND(A584="", B584="", E584=""), "", IF(AB584="", "Válido", IF((LEN(AB584)-LEN(SUBSTITUTE(AB584,"; ","")))/2+1&gt;(LEN(AB584)-LEN(SUBSTITUTE(AB584,"[Aviso]","")))/7, "Con Incidencias", "Válido")))</f>
        <v/>
      </c>
      <c r="AB584" s="56">
        <f>IF(AND(A584="", B584="", E584=""), "", TEXTJOIN("; ", TRUE, IF(OR(TRIM(A584&amp;"")="", ISNUMBER(SEARCH("FALTA", A584))), "UPC faltante/inválido", ""), IF(AND(A584&lt;&gt;"", IFERROR(_xlfn.XMATCH(A584,$A$2:$A$653,0,1)&lt;&gt;_xlfn.XMATCH(A584,$A$2:$A$653,0,-1),FALSE)), "Código de barras duplicado", ""), IF(AND(E584&lt;&gt;"", COUNTIF($E$2:$E$653, E584)&gt;1), "SKU duplicado", ""), IF(OR(J584="", J584=""), "[Aviso] División no capturada ()", IF(ISNA(MATCH(J584, Criterios!$A$123:$A$126, 0)), "División no válida", "")), IF(OR(K584="", K584=""), "[Aviso] Categoría no capturada ()", IF(ISNA(MATCH(K584, Criterios!$A$81:$A$120, 0)), "Categoría no válida", IF(AND(J584&lt;&gt;"", J584&lt;&gt;"", J584&lt;&gt;VLOOKUP(K584, Criterios!$A$81:$B$120, 2, FALSE)), "División no coincide con Categoría", ""))), IF(OR(L584="", L584=""), "[Aviso] Género no capturado ()", IF(ISNA(MATCH(L584, Criterios!$B$123:$B$127, 0)), "Género no válido", "")), IF(OR(N584="", N584=""), "[Aviso] Temporada no capturada ()", IF(ISNA(MATCH(N584, Criterios!$C$123:$C$128, 0)), "Temporada no válida", "")), IF(OR(O584="", O584=""), "[Aviso] Ciclo de vida no capturado ()", IF(ISNA(MATCH(O584, Criterios!$D$123:$D$124, 0)), "Ciclo de vida no válido", ""))))</f>
        <v/>
      </c>
      <c r="AC584" s="56" t="n"/>
      <c r="AD584" s="51" t="n">
        <v>6</v>
      </c>
      <c r="AE584" s="156" t="n"/>
      <c r="AF584" s="51" t="n">
        <v>6</v>
      </c>
      <c r="AG584" s="156" t="inlineStr">
        <is>
          <t>Nuevo – NetSuite con existencia</t>
        </is>
      </c>
      <c r="AH58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84" s="156" t="inlineStr">
        <is>
          <t>No</t>
        </is>
      </c>
      <c r="AJ584" s="156" t="n"/>
      <c r="AK584" s="155" t="inlineStr">
        <is>
          <t>G1522_Extraccion_Articulos_NetSuite_2026-09-30.xlsx: fila 44011</t>
        </is>
      </c>
      <c r="AL584" s="58" t="n"/>
      <c r="AM584" s="58" t="n"/>
      <c r="AN584" s="155" t="n"/>
      <c r="AO584" s="59" t="n"/>
      <c r="AP584" s="59" t="n"/>
      <c r="AQ584" s="59" t="n"/>
      <c r="AR584" s="155" t="n"/>
    </row>
    <row r="585">
      <c r="A585" s="50" t="inlineStr">
        <is>
          <t>5056658708589</t>
        </is>
      </c>
      <c r="B585" s="51" t="inlineStr">
        <is>
          <t>91304</t>
        </is>
      </c>
      <c r="C585" s="156" t="inlineStr">
        <is>
          <t>REFLO</t>
        </is>
      </c>
      <c r="D585" s="156" t="n"/>
      <c r="E585" s="156" t="n"/>
      <c r="F585" s="156" t="n"/>
      <c r="G585" s="156" t="n"/>
      <c r="H585" s="156" t="inlineStr">
        <is>
          <t>REFLO</t>
        </is>
      </c>
      <c r="I585" s="156" t="n"/>
      <c r="J585" s="156" t="n"/>
      <c r="K585" s="156" t="n"/>
      <c r="L585" s="156" t="n"/>
      <c r="M585" s="156" t="n"/>
      <c r="N585" s="156" t="n"/>
      <c r="O585" s="156" t="n"/>
      <c r="P585" s="156" t="n"/>
      <c r="Q585" s="156" t="n"/>
      <c r="R585" s="156" t="n"/>
      <c r="S585" s="156" t="n"/>
      <c r="T585" s="156" t="n"/>
      <c r="U585" s="156" t="n"/>
      <c r="V585" s="156" t="inlineStr">
        <is>
          <t>PZS</t>
        </is>
      </c>
      <c r="W585" s="51" t="inlineStr">
        <is>
          <t>53131602</t>
        </is>
      </c>
      <c r="X585" s="156" t="n"/>
      <c r="Y585" s="54" t="n">
        <v>19.5</v>
      </c>
      <c r="Z585" s="54" t="n">
        <v>1449</v>
      </c>
      <c r="AA585" s="55">
        <f>IF(AND(A585="", B585="", E585=""), "", IF(AB585="", "Válido", IF((LEN(AB585)-LEN(SUBSTITUTE(AB585,"; ","")))/2+1&gt;(LEN(AB585)-LEN(SUBSTITUTE(AB585,"[Aviso]","")))/7, "Con Incidencias", "Válido")))</f>
        <v/>
      </c>
      <c r="AB585" s="56">
        <f>IF(AND(A585="", B585="", E585=""), "", TEXTJOIN("; ", TRUE, IF(OR(TRIM(A585&amp;"")="", ISNUMBER(SEARCH("FALTA", A585))), "UPC faltante/inválido", ""), IF(AND(A585&lt;&gt;"", IFERROR(_xlfn.XMATCH(A585,$A$2:$A$653,0,1)&lt;&gt;_xlfn.XMATCH(A585,$A$2:$A$653,0,-1),FALSE)), "Código de barras duplicado", ""), IF(AND(E585&lt;&gt;"", COUNTIF($E$2:$E$653, E585)&gt;1), "SKU duplicado", ""), IF(OR(J585="", J585=""), "[Aviso] División no capturada ()", IF(ISNA(MATCH(J585, Criterios!$A$123:$A$126, 0)), "División no válida", "")), IF(OR(K585="", K585=""), "[Aviso] Categoría no capturada ()", IF(ISNA(MATCH(K585, Criterios!$A$81:$A$120, 0)), "Categoría no válida", IF(AND(J585&lt;&gt;"", J585&lt;&gt;"", J585&lt;&gt;VLOOKUP(K585, Criterios!$A$81:$B$120, 2, FALSE)), "División no coincide con Categoría", ""))), IF(OR(L585="", L585=""), "[Aviso] Género no capturado ()", IF(ISNA(MATCH(L585, Criterios!$B$123:$B$127, 0)), "Género no válido", "")), IF(OR(N585="", N585=""), "[Aviso] Temporada no capturada ()", IF(ISNA(MATCH(N585, Criterios!$C$123:$C$128, 0)), "Temporada no válida", "")), IF(OR(O585="", O585=""), "[Aviso] Ciclo de vida no capturado ()", IF(ISNA(MATCH(O585, Criterios!$D$123:$D$124, 0)), "Ciclo de vida no válido", ""))))</f>
        <v/>
      </c>
      <c r="AC585" s="56" t="n"/>
      <c r="AD585" s="51" t="n">
        <v>14</v>
      </c>
      <c r="AE585" s="156" t="n"/>
      <c r="AF585" s="51" t="n">
        <v>14</v>
      </c>
      <c r="AG585" s="156" t="inlineStr">
        <is>
          <t>Nuevo – NetSuite con existencia</t>
        </is>
      </c>
      <c r="AH58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85" s="156" t="inlineStr">
        <is>
          <t>No</t>
        </is>
      </c>
      <c r="AJ585" s="156" t="n"/>
      <c r="AK585" s="155" t="inlineStr">
        <is>
          <t>G1522_Extraccion_Articulos_NetSuite_2026-09-30.xlsx: fila 44012</t>
        </is>
      </c>
      <c r="AL585" s="58" t="n"/>
      <c r="AM585" s="58" t="n"/>
      <c r="AN585" s="155" t="n"/>
      <c r="AO585" s="59" t="n"/>
      <c r="AP585" s="59" t="n"/>
      <c r="AQ585" s="59" t="n"/>
      <c r="AR585" s="155" t="n"/>
    </row>
    <row r="586">
      <c r="A586" s="50" t="inlineStr">
        <is>
          <t>5056658708596</t>
        </is>
      </c>
      <c r="B586" s="51" t="inlineStr">
        <is>
          <t>91305</t>
        </is>
      </c>
      <c r="C586" s="156" t="inlineStr">
        <is>
          <t>REFLO</t>
        </is>
      </c>
      <c r="D586" s="156" t="n"/>
      <c r="E586" s="156" t="n"/>
      <c r="F586" s="156" t="n"/>
      <c r="G586" s="156" t="n"/>
      <c r="H586" s="156" t="inlineStr">
        <is>
          <t>REFLO</t>
        </is>
      </c>
      <c r="I586" s="156" t="n"/>
      <c r="J586" s="156" t="n"/>
      <c r="K586" s="156" t="n"/>
      <c r="L586" s="156" t="n"/>
      <c r="M586" s="156" t="n"/>
      <c r="N586" s="156" t="n"/>
      <c r="O586" s="156" t="n"/>
      <c r="P586" s="156" t="n"/>
      <c r="Q586" s="156" t="n"/>
      <c r="R586" s="156" t="n"/>
      <c r="S586" s="156" t="n"/>
      <c r="T586" s="156" t="n"/>
      <c r="U586" s="156" t="n"/>
      <c r="V586" s="156" t="inlineStr">
        <is>
          <t>PZS</t>
        </is>
      </c>
      <c r="W586" s="51" t="inlineStr">
        <is>
          <t>53131602</t>
        </is>
      </c>
      <c r="X586" s="156" t="n"/>
      <c r="Y586" s="54" t="n">
        <v>19.5</v>
      </c>
      <c r="Z586" s="54" t="n">
        <v>1449</v>
      </c>
      <c r="AA586" s="55">
        <f>IF(AND(A586="", B586="", E586=""), "", IF(AB586="", "Válido", IF((LEN(AB586)-LEN(SUBSTITUTE(AB586,"; ","")))/2+1&gt;(LEN(AB586)-LEN(SUBSTITUTE(AB586,"[Aviso]","")))/7, "Con Incidencias", "Válido")))</f>
        <v/>
      </c>
      <c r="AB586" s="56">
        <f>IF(AND(A586="", B586="", E586=""), "", TEXTJOIN("; ", TRUE, IF(OR(TRIM(A586&amp;"")="", ISNUMBER(SEARCH("FALTA", A586))), "UPC faltante/inválido", ""), IF(AND(A586&lt;&gt;"", IFERROR(_xlfn.XMATCH(A586,$A$2:$A$653,0,1)&lt;&gt;_xlfn.XMATCH(A586,$A$2:$A$653,0,-1),FALSE)), "Código de barras duplicado", ""), IF(AND(E586&lt;&gt;"", COUNTIF($E$2:$E$653, E586)&gt;1), "SKU duplicado", ""), IF(OR(J586="", J586=""), "[Aviso] División no capturada ()", IF(ISNA(MATCH(J586, Criterios!$A$123:$A$126, 0)), "División no válida", "")), IF(OR(K586="", K586=""), "[Aviso] Categoría no capturada ()", IF(ISNA(MATCH(K586, Criterios!$A$81:$A$120, 0)), "Categoría no válida", IF(AND(J586&lt;&gt;"", J586&lt;&gt;"", J586&lt;&gt;VLOOKUP(K586, Criterios!$A$81:$B$120, 2, FALSE)), "División no coincide con Categoría", ""))), IF(OR(L586="", L586=""), "[Aviso] Género no capturado ()", IF(ISNA(MATCH(L586, Criterios!$B$123:$B$127, 0)), "Género no válido", "")), IF(OR(N586="", N586=""), "[Aviso] Temporada no capturada ()", IF(ISNA(MATCH(N586, Criterios!$C$123:$C$128, 0)), "Temporada no válida", "")), IF(OR(O586="", O586=""), "[Aviso] Ciclo de vida no capturado ()", IF(ISNA(MATCH(O586, Criterios!$D$123:$D$124, 0)), "Ciclo de vida no válido", ""))))</f>
        <v/>
      </c>
      <c r="AC586" s="56" t="n"/>
      <c r="AD586" s="51" t="n">
        <v>14</v>
      </c>
      <c r="AE586" s="156" t="n"/>
      <c r="AF586" s="51" t="n">
        <v>14</v>
      </c>
      <c r="AG586" s="156" t="inlineStr">
        <is>
          <t>Nuevo – NetSuite con existencia</t>
        </is>
      </c>
      <c r="AH58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86" s="156" t="inlineStr">
        <is>
          <t>No</t>
        </is>
      </c>
      <c r="AJ586" s="156" t="n"/>
      <c r="AK586" s="155" t="inlineStr">
        <is>
          <t>G1522_Extraccion_Articulos_NetSuite_2026-09-30.xlsx: fila 44013</t>
        </is>
      </c>
      <c r="AL586" s="58" t="n"/>
      <c r="AM586" s="58" t="n"/>
      <c r="AN586" s="155" t="n"/>
      <c r="AO586" s="59" t="n"/>
      <c r="AP586" s="59" t="n"/>
      <c r="AQ586" s="59" t="n"/>
      <c r="AR586" s="155" t="n"/>
    </row>
    <row r="587">
      <c r="A587" s="50" t="inlineStr">
        <is>
          <t>5056658708602</t>
        </is>
      </c>
      <c r="B587" s="51" t="inlineStr">
        <is>
          <t>91306</t>
        </is>
      </c>
      <c r="C587" s="156" t="inlineStr">
        <is>
          <t>REFLO</t>
        </is>
      </c>
      <c r="D587" s="156" t="n"/>
      <c r="E587" s="156" t="n"/>
      <c r="F587" s="156" t="n"/>
      <c r="G587" s="156" t="n"/>
      <c r="H587" s="156" t="inlineStr">
        <is>
          <t>REFLO</t>
        </is>
      </c>
      <c r="I587" s="156" t="n"/>
      <c r="J587" s="156" t="n"/>
      <c r="K587" s="156" t="n"/>
      <c r="L587" s="156" t="n"/>
      <c r="M587" s="156" t="n"/>
      <c r="N587" s="156" t="n"/>
      <c r="O587" s="156" t="n"/>
      <c r="P587" s="156" t="n"/>
      <c r="Q587" s="156" t="n"/>
      <c r="R587" s="156" t="n"/>
      <c r="S587" s="156" t="n"/>
      <c r="T587" s="156" t="n"/>
      <c r="U587" s="156" t="n"/>
      <c r="V587" s="156" t="inlineStr">
        <is>
          <t>PZS</t>
        </is>
      </c>
      <c r="W587" s="51" t="inlineStr">
        <is>
          <t>53131602</t>
        </is>
      </c>
      <c r="X587" s="156" t="n"/>
      <c r="Y587" s="54" t="n">
        <v>19.5</v>
      </c>
      <c r="Z587" s="54" t="n">
        <v>1449</v>
      </c>
      <c r="AA587" s="55">
        <f>IF(AND(A587="", B587="", E587=""), "", IF(AB587="", "Válido", IF((LEN(AB587)-LEN(SUBSTITUTE(AB587,"; ","")))/2+1&gt;(LEN(AB587)-LEN(SUBSTITUTE(AB587,"[Aviso]","")))/7, "Con Incidencias", "Válido")))</f>
        <v/>
      </c>
      <c r="AB587" s="56">
        <f>IF(AND(A587="", B587="", E587=""), "", TEXTJOIN("; ", TRUE, IF(OR(TRIM(A587&amp;"")="", ISNUMBER(SEARCH("FALTA", A587))), "UPC faltante/inválido", ""), IF(AND(A587&lt;&gt;"", IFERROR(_xlfn.XMATCH(A587,$A$2:$A$653,0,1)&lt;&gt;_xlfn.XMATCH(A587,$A$2:$A$653,0,-1),FALSE)), "Código de barras duplicado", ""), IF(AND(E587&lt;&gt;"", COUNTIF($E$2:$E$653, E587)&gt;1), "SKU duplicado", ""), IF(OR(J587="", J587=""), "[Aviso] División no capturada ()", IF(ISNA(MATCH(J587, Criterios!$A$123:$A$126, 0)), "División no válida", "")), IF(OR(K587="", K587=""), "[Aviso] Categoría no capturada ()", IF(ISNA(MATCH(K587, Criterios!$A$81:$A$120, 0)), "Categoría no válida", IF(AND(J587&lt;&gt;"", J587&lt;&gt;"", J587&lt;&gt;VLOOKUP(K587, Criterios!$A$81:$B$120, 2, FALSE)), "División no coincide con Categoría", ""))), IF(OR(L587="", L587=""), "[Aviso] Género no capturado ()", IF(ISNA(MATCH(L587, Criterios!$B$123:$B$127, 0)), "Género no válido", "")), IF(OR(N587="", N587=""), "[Aviso] Temporada no capturada ()", IF(ISNA(MATCH(N587, Criterios!$C$123:$C$128, 0)), "Temporada no válida", "")), IF(OR(O587="", O587=""), "[Aviso] Ciclo de vida no capturado ()", IF(ISNA(MATCH(O587, Criterios!$D$123:$D$124, 0)), "Ciclo de vida no válido", ""))))</f>
        <v/>
      </c>
      <c r="AC587" s="56" t="n"/>
      <c r="AD587" s="51" t="n">
        <v>8</v>
      </c>
      <c r="AE587" s="156" t="n"/>
      <c r="AF587" s="51" t="n">
        <v>8</v>
      </c>
      <c r="AG587" s="156" t="inlineStr">
        <is>
          <t>Nuevo – NetSuite con existencia</t>
        </is>
      </c>
      <c r="AH58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87" s="156" t="inlineStr">
        <is>
          <t>No</t>
        </is>
      </c>
      <c r="AJ587" s="156" t="n"/>
      <c r="AK587" s="155" t="inlineStr">
        <is>
          <t>G1522_Extraccion_Articulos_NetSuite_2026-09-30.xlsx: fila 44014</t>
        </is>
      </c>
      <c r="AL587" s="58" t="n"/>
      <c r="AM587" s="58" t="n"/>
      <c r="AN587" s="155" t="n"/>
      <c r="AO587" s="59" t="n"/>
      <c r="AP587" s="59" t="n"/>
      <c r="AQ587" s="59" t="n"/>
      <c r="AR587" s="155" t="n"/>
    </row>
    <row r="588">
      <c r="A588" s="50" t="inlineStr">
        <is>
          <t>5056658714221</t>
        </is>
      </c>
      <c r="B588" s="51" t="inlineStr">
        <is>
          <t>91307</t>
        </is>
      </c>
      <c r="C588" s="156" t="inlineStr">
        <is>
          <t>REFLO</t>
        </is>
      </c>
      <c r="D588" s="156" t="n"/>
      <c r="E588" s="156" t="n"/>
      <c r="F588" s="156" t="n"/>
      <c r="G588" s="156" t="n"/>
      <c r="H588" s="156" t="inlineStr">
        <is>
          <t>REFLO</t>
        </is>
      </c>
      <c r="I588" s="156" t="n"/>
      <c r="J588" s="156" t="n"/>
      <c r="K588" s="156" t="n"/>
      <c r="L588" s="156" t="n"/>
      <c r="M588" s="156" t="n"/>
      <c r="N588" s="156" t="n"/>
      <c r="O588" s="156" t="n"/>
      <c r="P588" s="156" t="n"/>
      <c r="Q588" s="156" t="n"/>
      <c r="R588" s="156" t="n"/>
      <c r="S588" s="156" t="n"/>
      <c r="T588" s="156" t="n"/>
      <c r="U588" s="156" t="n"/>
      <c r="V588" s="156" t="inlineStr">
        <is>
          <t>PZS</t>
        </is>
      </c>
      <c r="W588" s="51" t="inlineStr">
        <is>
          <t>53131602</t>
        </is>
      </c>
      <c r="X588" s="156" t="n"/>
      <c r="Y588" s="54" t="n">
        <v>19.5</v>
      </c>
      <c r="Z588" s="54" t="n">
        <v>1449</v>
      </c>
      <c r="AA588" s="55">
        <f>IF(AND(A588="", B588="", E588=""), "", IF(AB588="", "Válido", IF((LEN(AB588)-LEN(SUBSTITUTE(AB588,"; ","")))/2+1&gt;(LEN(AB588)-LEN(SUBSTITUTE(AB588,"[Aviso]","")))/7, "Con Incidencias", "Válido")))</f>
        <v/>
      </c>
      <c r="AB588" s="56">
        <f>IF(AND(A588="", B588="", E588=""), "", TEXTJOIN("; ", TRUE, IF(OR(TRIM(A588&amp;"")="", ISNUMBER(SEARCH("FALTA", A588))), "UPC faltante/inválido", ""), IF(AND(A588&lt;&gt;"", IFERROR(_xlfn.XMATCH(A588,$A$2:$A$653,0,1)&lt;&gt;_xlfn.XMATCH(A588,$A$2:$A$653,0,-1),FALSE)), "Código de barras duplicado", ""), IF(AND(E588&lt;&gt;"", COUNTIF($E$2:$E$653, E588)&gt;1), "SKU duplicado", ""), IF(OR(J588="", J588=""), "[Aviso] División no capturada ()", IF(ISNA(MATCH(J588, Criterios!$A$123:$A$126, 0)), "División no válida", "")), IF(OR(K588="", K588=""), "[Aviso] Categoría no capturada ()", IF(ISNA(MATCH(K588, Criterios!$A$81:$A$120, 0)), "Categoría no válida", IF(AND(J588&lt;&gt;"", J588&lt;&gt;"", J588&lt;&gt;VLOOKUP(K588, Criterios!$A$81:$B$120, 2, FALSE)), "División no coincide con Categoría", ""))), IF(OR(L588="", L588=""), "[Aviso] Género no capturado ()", IF(ISNA(MATCH(L588, Criterios!$B$123:$B$127, 0)), "Género no válido", "")), IF(OR(N588="", N588=""), "[Aviso] Temporada no capturada ()", IF(ISNA(MATCH(N588, Criterios!$C$123:$C$128, 0)), "Temporada no válida", "")), IF(OR(O588="", O588=""), "[Aviso] Ciclo de vida no capturado ()", IF(ISNA(MATCH(O588, Criterios!$D$123:$D$124, 0)), "Ciclo de vida no válido", ""))))</f>
        <v/>
      </c>
      <c r="AC588" s="56" t="n"/>
      <c r="AD588" s="51" t="n">
        <v>3</v>
      </c>
      <c r="AE588" s="156" t="n"/>
      <c r="AF588" s="51" t="n">
        <v>3</v>
      </c>
      <c r="AG588" s="156" t="inlineStr">
        <is>
          <t>Nuevo – NetSuite con existencia</t>
        </is>
      </c>
      <c r="AH58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estilo; [Aviso] Precio de compra posiblemente en USD · Validador NetSuite / Odoo: V6: falta estilo; N2: talla cero o vacía · Validador Shopify: V6: falta estilo; WB: precio con IVA no termina en 9</t>
        </is>
      </c>
      <c r="AI588" s="156" t="inlineStr">
        <is>
          <t>No</t>
        </is>
      </c>
      <c r="AJ588" s="156" t="n"/>
      <c r="AK588" s="155" t="inlineStr">
        <is>
          <t>G1522_Extraccion_Articulos_NetSuite_2026-09-30.xlsx: fila 44015</t>
        </is>
      </c>
      <c r="AL588" s="58" t="n"/>
      <c r="AM588" s="58" t="n"/>
      <c r="AN588" s="155" t="n"/>
      <c r="AO588" s="59" t="n"/>
      <c r="AP588" s="59" t="n"/>
      <c r="AQ588" s="59" t="n"/>
      <c r="AR588" s="155" t="n"/>
    </row>
    <row r="589">
      <c r="A589" s="50" t="inlineStr">
        <is>
          <t>5056658756665</t>
        </is>
      </c>
      <c r="B589" s="51" t="inlineStr">
        <is>
          <t>103978</t>
        </is>
      </c>
      <c r="C589" s="156" t="inlineStr">
        <is>
          <t>REFLO</t>
        </is>
      </c>
      <c r="D589" s="156" t="n"/>
      <c r="E589" s="156" t="n"/>
      <c r="F589" s="156" t="n"/>
      <c r="G589" s="156" t="n"/>
      <c r="H589" s="156" t="inlineStr">
        <is>
          <t>REFLO</t>
        </is>
      </c>
      <c r="I589" s="156" t="n"/>
      <c r="J589" s="156" t="n"/>
      <c r="K589" s="156" t="n"/>
      <c r="L589" s="156" t="n"/>
      <c r="M589" s="156" t="n"/>
      <c r="N589" s="156" t="n"/>
      <c r="O589" s="156" t="n"/>
      <c r="P589" s="156" t="n"/>
      <c r="Q589" s="156" t="n"/>
      <c r="R589" s="156" t="n"/>
      <c r="S589" s="156" t="n"/>
      <c r="T589" s="156" t="n"/>
      <c r="U589" s="156" t="n"/>
      <c r="V589" s="156" t="inlineStr">
        <is>
          <t>PZS</t>
        </is>
      </c>
      <c r="W589" s="51" t="inlineStr">
        <is>
          <t>53103000</t>
        </is>
      </c>
      <c r="X589" s="156" t="n"/>
      <c r="Y589" s="54" t="n">
        <v>28.6</v>
      </c>
      <c r="Z589" s="54" t="n">
        <v>2499</v>
      </c>
      <c r="AA589" s="55">
        <f>IF(AND(A589="", B589="", E589=""), "", IF(AB589="", "Válido", IF((LEN(AB589)-LEN(SUBSTITUTE(AB589,"; ","")))/2+1&gt;(LEN(AB589)-LEN(SUBSTITUTE(AB589,"[Aviso]","")))/7, "Con Incidencias", "Válido")))</f>
        <v/>
      </c>
      <c r="AB589" s="56">
        <f>IF(AND(A589="", B589="", E589=""), "", TEXTJOIN("; ", TRUE, IF(OR(TRIM(A589&amp;"")="", ISNUMBER(SEARCH("FALTA", A589))), "UPC faltante/inválido", ""), IF(AND(A589&lt;&gt;"", IFERROR(_xlfn.XMATCH(A589,$A$2:$A$653,0,1)&lt;&gt;_xlfn.XMATCH(A589,$A$2:$A$653,0,-1),FALSE)), "Código de barras duplicado", ""), IF(AND(E589&lt;&gt;"", COUNTIF($E$2:$E$653, E589)&gt;1), "SKU duplicado", ""), IF(OR(J589="", J589=""), "[Aviso] División no capturada ()", IF(ISNA(MATCH(J589, Criterios!$A$123:$A$126, 0)), "División no válida", "")), IF(OR(K589="", K589=""), "[Aviso] Categoría no capturada ()", IF(ISNA(MATCH(K589, Criterios!$A$81:$A$120, 0)), "Categoría no válida", IF(AND(J589&lt;&gt;"", J589&lt;&gt;"", J589&lt;&gt;VLOOKUP(K589, Criterios!$A$81:$B$120, 2, FALSE)), "División no coincide con Categoría", ""))), IF(OR(L589="", L589=""), "[Aviso] Género no capturado ()", IF(ISNA(MATCH(L589, Criterios!$B$123:$B$127, 0)), "Género no válido", "")), IF(OR(N589="", N589=""), "[Aviso] Temporada no capturada ()", IF(ISNA(MATCH(N589, Criterios!$C$123:$C$128, 0)), "Temporada no válida", "")), IF(OR(O589="", O589=""), "[Aviso] Ciclo de vida no capturado ()", IF(ISNA(MATCH(O589, Criterios!$D$123:$D$124, 0)), "Ciclo de vida no válido", ""))))</f>
        <v/>
      </c>
      <c r="AC589" s="56" t="n"/>
      <c r="AD589" s="51" t="n">
        <v>0</v>
      </c>
      <c r="AE589" s="156" t="n"/>
      <c r="AF589" s="51" t="n">
        <v>0</v>
      </c>
      <c r="AG589" s="156" t="inlineStr">
        <is>
          <t>Nuevo – NetSuite sin existencia</t>
        </is>
      </c>
      <c r="AH58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89" s="156" t="inlineStr">
        <is>
          <t>No</t>
        </is>
      </c>
      <c r="AJ589" s="156" t="n"/>
      <c r="AK589" s="155" t="inlineStr">
        <is>
          <t>G1522_Extraccion_Articulos_NetSuite_2026-09-30.xlsx: fila 52698</t>
        </is>
      </c>
      <c r="AL589" s="58" t="n"/>
      <c r="AM589" s="58" t="n"/>
      <c r="AN589" s="155" t="n"/>
      <c r="AO589" s="59" t="n"/>
      <c r="AP589" s="59" t="n"/>
      <c r="AQ589" s="59" t="n"/>
      <c r="AR589" s="155" t="n"/>
    </row>
    <row r="590">
      <c r="A590" s="50" t="inlineStr">
        <is>
          <t>5056658756672</t>
        </is>
      </c>
      <c r="B590" s="51" t="inlineStr">
        <is>
          <t>103979</t>
        </is>
      </c>
      <c r="C590" s="156" t="inlineStr">
        <is>
          <t>REFLO</t>
        </is>
      </c>
      <c r="D590" s="156" t="n"/>
      <c r="E590" s="156" t="n"/>
      <c r="F590" s="156" t="inlineStr">
        <is>
          <t>S</t>
        </is>
      </c>
      <c r="G590" s="156" t="inlineStr">
        <is>
          <t>S</t>
        </is>
      </c>
      <c r="H590" s="156" t="inlineStr">
        <is>
          <t>REFLO</t>
        </is>
      </c>
      <c r="I590" s="156" t="inlineStr">
        <is>
          <t>Nissan Formula E Replica Men's Polo Shirt - Season 12</t>
        </is>
      </c>
      <c r="J590" s="156" t="inlineStr">
        <is>
          <t>Ropa</t>
        </is>
      </c>
      <c r="K590" s="156" t="inlineStr">
        <is>
          <t>Playeras</t>
        </is>
      </c>
      <c r="L590" s="156" t="inlineStr">
        <is>
          <t>Hombre</t>
        </is>
      </c>
      <c r="M590" s="156" t="n"/>
      <c r="N590" s="156" t="n"/>
      <c r="O590" s="156" t="n"/>
      <c r="P590" s="156" t="inlineStr">
        <is>
          <t>Rojo</t>
        </is>
      </c>
      <c r="Q590" s="156" t="n"/>
      <c r="R590" s="156" t="n"/>
      <c r="S590" s="156" t="n"/>
      <c r="T590" s="156" t="n"/>
      <c r="U590" s="156" t="n"/>
      <c r="V590" s="156" t="inlineStr">
        <is>
          <t>PZS</t>
        </is>
      </c>
      <c r="W590" s="51" t="inlineStr">
        <is>
          <t>53103000</t>
        </is>
      </c>
      <c r="X590" s="156" t="inlineStr">
        <is>
          <t>https://cdn.shopify.com/s/files/1/0589/6500/0397/files/NissanS12-Polo-1.jpg?v=1785919749</t>
        </is>
      </c>
      <c r="Y590" s="54" t="n">
        <v>28.6</v>
      </c>
      <c r="Z590" s="54" t="n">
        <v>2499</v>
      </c>
      <c r="AA590" s="55">
        <f>IF(AND(A590="", B590="", E590=""), "", IF(AB590="", "Válido", IF((LEN(AB590)-LEN(SUBSTITUTE(AB590,"; ","")))/2+1&gt;(LEN(AB590)-LEN(SUBSTITUTE(AB590,"[Aviso]","")))/7, "Con Incidencias", "Válido")))</f>
        <v/>
      </c>
      <c r="AB590" s="56">
        <f>IF(AND(A590="", B590="", E590=""), "", TEXTJOIN("; ", TRUE, IF(OR(TRIM(A590&amp;"")="", ISNUMBER(SEARCH("FALTA", A590))), "UPC faltante/inválido", ""), IF(AND(A590&lt;&gt;"", IFERROR(_xlfn.XMATCH(A590,$A$2:$A$653,0,1)&lt;&gt;_xlfn.XMATCH(A590,$A$2:$A$653,0,-1),FALSE)), "Código de barras duplicado", ""), IF(AND(E590&lt;&gt;"", COUNTIF($E$2:$E$653, E590)&gt;1), "SKU duplicado", ""), IF(OR(J590="", J590=""), "[Aviso] División no capturada ()", IF(ISNA(MATCH(J590, Criterios!$A$123:$A$126, 0)), "División no válida", "")), IF(OR(K590="", K590=""), "[Aviso] Categoría no capturada ()", IF(ISNA(MATCH(K590, Criterios!$A$81:$A$120, 0)), "Categoría no válida", IF(AND(J590&lt;&gt;"", J590&lt;&gt;"", J590&lt;&gt;VLOOKUP(K590, Criterios!$A$81:$B$120, 2, FALSE)), "División no coincide con Categoría", ""))), IF(OR(L590="", L590=""), "[Aviso] Género no capturado ()", IF(ISNA(MATCH(L590, Criterios!$B$123:$B$127, 0)), "Género no válido", "")), IF(OR(N590="", N590=""), "[Aviso] Temporada no capturada ()", IF(ISNA(MATCH(N590, Criterios!$C$123:$C$128, 0)), "Temporada no válida", "")), IF(OR(O590="", O590=""), "[Aviso] Ciclo de vida no capturado ()", IF(ISNA(MATCH(O590, Criterios!$D$123:$D$124, 0)), "Ciclo de vida no válido", ""))))</f>
        <v/>
      </c>
      <c r="AC590" s="56" t="n"/>
      <c r="AD590" s="51" t="n">
        <v>0</v>
      </c>
      <c r="AE590" s="156" t="n"/>
      <c r="AF590" s="51" t="n">
        <v>0</v>
      </c>
      <c r="AG590" s="156" t="inlineStr">
        <is>
          <t>Nuevo – NetSuite sin existencia</t>
        </is>
      </c>
      <c r="AH590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«Hombre» (Completado por investigación en línea) · Enlace de imagen: «» → «https://cdn.shopify.com/s/files/1/0589/6500/0397/files/NissanS12-Polo-1.jpg?v=1785919749» (Completado por investigación en línea) · WB Color: «» → «Rojo» (Completado por investigación en línea) · WB Talla: «» → «S» (Completado por investigación en línea) · WB Talla de EE. UU.: «» → «S» (Completado por investigación en línea) · WB Descripcion: «» → «Nissan Formula E Replica Men's Polo Shirt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590" s="156" t="inlineStr">
        <is>
          <t>No</t>
        </is>
      </c>
      <c r="AJ590" s="156" t="n"/>
      <c r="AK590" s="155" t="inlineStr">
        <is>
          <t>G1522_Extraccion_Articulos_NetSuite_2026-09-30.xlsx: fila 52699 | Investigación en línea 06/10/2026: https://reflo.com/products/nissan-formula-e-replica-short-sleeve-polo-shirt-red</t>
        </is>
      </c>
      <c r="AL590" s="58" t="n"/>
      <c r="AM590" s="58" t="n"/>
      <c r="AN590" s="155" t="n"/>
      <c r="AO590" s="59" t="n"/>
      <c r="AP590" s="59" t="n"/>
      <c r="AQ590" s="59" t="n"/>
      <c r="AR590" s="155" t="n"/>
    </row>
    <row r="591">
      <c r="A591" s="50" t="inlineStr">
        <is>
          <t>5056658756689</t>
        </is>
      </c>
      <c r="B591" s="51" t="inlineStr">
        <is>
          <t>103980</t>
        </is>
      </c>
      <c r="C591" s="156" t="inlineStr">
        <is>
          <t>REFLO</t>
        </is>
      </c>
      <c r="D591" s="156" t="n"/>
      <c r="E591" s="156" t="n"/>
      <c r="F591" s="156" t="inlineStr">
        <is>
          <t>M</t>
        </is>
      </c>
      <c r="G591" s="156" t="inlineStr">
        <is>
          <t>M</t>
        </is>
      </c>
      <c r="H591" s="156" t="inlineStr">
        <is>
          <t>REFLO</t>
        </is>
      </c>
      <c r="I591" s="156" t="inlineStr">
        <is>
          <t>Nissan Formula E Replica Men's Polo Shirt - Season 12</t>
        </is>
      </c>
      <c r="J591" s="156" t="inlineStr">
        <is>
          <t>Ropa</t>
        </is>
      </c>
      <c r="K591" s="156" t="inlineStr">
        <is>
          <t>Playeras</t>
        </is>
      </c>
      <c r="L591" s="156" t="inlineStr">
        <is>
          <t>Hombre</t>
        </is>
      </c>
      <c r="M591" s="156" t="n"/>
      <c r="N591" s="156" t="n"/>
      <c r="O591" s="156" t="n"/>
      <c r="P591" s="156" t="inlineStr">
        <is>
          <t>Rojo</t>
        </is>
      </c>
      <c r="Q591" s="156" t="n"/>
      <c r="R591" s="156" t="n"/>
      <c r="S591" s="156" t="n"/>
      <c r="T591" s="156" t="n"/>
      <c r="U591" s="156" t="n"/>
      <c r="V591" s="156" t="inlineStr">
        <is>
          <t>PZS</t>
        </is>
      </c>
      <c r="W591" s="51" t="inlineStr">
        <is>
          <t>53103000</t>
        </is>
      </c>
      <c r="X591" s="156" t="inlineStr">
        <is>
          <t>https://cdn.shopify.com/s/files/1/0589/6500/0397/files/NissanS12-Polo-1.jpg?v=1785919749</t>
        </is>
      </c>
      <c r="Y591" s="54" t="n">
        <v>28.6</v>
      </c>
      <c r="Z591" s="54" t="n">
        <v>2499</v>
      </c>
      <c r="AA591" s="55">
        <f>IF(AND(A591="", B591="", E591=""), "", IF(AB591="", "Válido", IF((LEN(AB591)-LEN(SUBSTITUTE(AB591,"; ","")))/2+1&gt;(LEN(AB591)-LEN(SUBSTITUTE(AB591,"[Aviso]","")))/7, "Con Incidencias", "Válido")))</f>
        <v/>
      </c>
      <c r="AB591" s="56">
        <f>IF(AND(A591="", B591="", E591=""), "", TEXTJOIN("; ", TRUE, IF(OR(TRIM(A591&amp;"")="", ISNUMBER(SEARCH("FALTA", A591))), "UPC faltante/inválido", ""), IF(AND(A591&lt;&gt;"", IFERROR(_xlfn.XMATCH(A591,$A$2:$A$653,0,1)&lt;&gt;_xlfn.XMATCH(A591,$A$2:$A$653,0,-1),FALSE)), "Código de barras duplicado", ""), IF(AND(E591&lt;&gt;"", COUNTIF($E$2:$E$653, E591)&gt;1), "SKU duplicado", ""), IF(OR(J591="", J591=""), "[Aviso] División no capturada ()", IF(ISNA(MATCH(J591, Criterios!$A$123:$A$126, 0)), "División no válida", "")), IF(OR(K591="", K591=""), "[Aviso] Categoría no capturada ()", IF(ISNA(MATCH(K591, Criterios!$A$81:$A$120, 0)), "Categoría no válida", IF(AND(J591&lt;&gt;"", J591&lt;&gt;"", J591&lt;&gt;VLOOKUP(K591, Criterios!$A$81:$B$120, 2, FALSE)), "División no coincide con Categoría", ""))), IF(OR(L591="", L591=""), "[Aviso] Género no capturado ()", IF(ISNA(MATCH(L591, Criterios!$B$123:$B$127, 0)), "Género no válido", "")), IF(OR(N591="", N591=""), "[Aviso] Temporada no capturada ()", IF(ISNA(MATCH(N591, Criterios!$C$123:$C$128, 0)), "Temporada no válida", "")), IF(OR(O591="", O591=""), "[Aviso] Ciclo de vida no capturado ()", IF(ISNA(MATCH(O591, Criterios!$D$123:$D$124, 0)), "Ciclo de vida no válido", ""))))</f>
        <v/>
      </c>
      <c r="AC591" s="56" t="n"/>
      <c r="AD591" s="51" t="n">
        <v>0</v>
      </c>
      <c r="AE591" s="156" t="n"/>
      <c r="AF591" s="51" t="n">
        <v>0</v>
      </c>
      <c r="AG591" s="156" t="inlineStr">
        <is>
          <t>Nuevo – NetSuite sin existencia</t>
        </is>
      </c>
      <c r="AH591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«Hombre» (Completado por investigación en línea) · Enlace de imagen: «» → «https://cdn.shopify.com/s/files/1/0589/6500/0397/files/NissanS12-Polo-1.jpg?v=1785919749» (Completado por investigación en línea) · WB Color: «» → «Rojo» (Completado por investigación en línea) · WB Talla: «» → «M» (Completado por investigación en línea) · WB Talla de EE. UU.: «» → «M» (Completado por investigación en línea) · WB Descripcion: «» → «Nissan Formula E Replica Men's Polo Shirt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591" s="156" t="inlineStr">
        <is>
          <t>No</t>
        </is>
      </c>
      <c r="AJ591" s="156" t="n"/>
      <c r="AK591" s="155" t="inlineStr">
        <is>
          <t>G1522_Extraccion_Articulos_NetSuite_2026-09-30.xlsx: fila 52700 | Investigación en línea 06/10/2026: https://reflo.com/products/nissan-formula-e-replica-short-sleeve-polo-shirt-red</t>
        </is>
      </c>
      <c r="AL591" s="58" t="n"/>
      <c r="AM591" s="58" t="n"/>
      <c r="AN591" s="155" t="n"/>
      <c r="AO591" s="59" t="n"/>
      <c r="AP591" s="59" t="n"/>
      <c r="AQ591" s="59" t="n"/>
      <c r="AR591" s="155" t="n"/>
    </row>
    <row r="592">
      <c r="A592" s="50" t="inlineStr">
        <is>
          <t>5056658756696</t>
        </is>
      </c>
      <c r="B592" s="51" t="inlineStr">
        <is>
          <t>103981</t>
        </is>
      </c>
      <c r="C592" s="156" t="inlineStr">
        <is>
          <t>REFLO</t>
        </is>
      </c>
      <c r="D592" s="156" t="n"/>
      <c r="E592" s="156" t="n"/>
      <c r="F592" s="156" t="inlineStr">
        <is>
          <t>L</t>
        </is>
      </c>
      <c r="G592" s="156" t="inlineStr">
        <is>
          <t>L</t>
        </is>
      </c>
      <c r="H592" s="156" t="inlineStr">
        <is>
          <t>REFLO</t>
        </is>
      </c>
      <c r="I592" s="156" t="inlineStr">
        <is>
          <t>Nissan Formula E Replica Men's Polo Shirt - Season 12</t>
        </is>
      </c>
      <c r="J592" s="156" t="inlineStr">
        <is>
          <t>Ropa</t>
        </is>
      </c>
      <c r="K592" s="156" t="inlineStr">
        <is>
          <t>Playeras</t>
        </is>
      </c>
      <c r="L592" s="156" t="inlineStr">
        <is>
          <t>Hombre</t>
        </is>
      </c>
      <c r="M592" s="156" t="n"/>
      <c r="N592" s="156" t="n"/>
      <c r="O592" s="156" t="n"/>
      <c r="P592" s="156" t="inlineStr">
        <is>
          <t>Rojo</t>
        </is>
      </c>
      <c r="Q592" s="156" t="n"/>
      <c r="R592" s="156" t="n"/>
      <c r="S592" s="156" t="n"/>
      <c r="T592" s="156" t="n"/>
      <c r="U592" s="156" t="n"/>
      <c r="V592" s="156" t="inlineStr">
        <is>
          <t>PZS</t>
        </is>
      </c>
      <c r="W592" s="51" t="inlineStr">
        <is>
          <t>53103000</t>
        </is>
      </c>
      <c r="X592" s="156" t="inlineStr">
        <is>
          <t>https://cdn.shopify.com/s/files/1/0589/6500/0397/files/NissanS12-Polo-1.jpg?v=1785919749</t>
        </is>
      </c>
      <c r="Y592" s="54" t="n">
        <v>28.6</v>
      </c>
      <c r="Z592" s="54" t="n">
        <v>2499</v>
      </c>
      <c r="AA592" s="55">
        <f>IF(AND(A592="", B592="", E592=""), "", IF(AB592="", "Válido", IF((LEN(AB592)-LEN(SUBSTITUTE(AB592,"; ","")))/2+1&gt;(LEN(AB592)-LEN(SUBSTITUTE(AB592,"[Aviso]","")))/7, "Con Incidencias", "Válido")))</f>
        <v/>
      </c>
      <c r="AB592" s="56">
        <f>IF(AND(A592="", B592="", E592=""), "", TEXTJOIN("; ", TRUE, IF(OR(TRIM(A592&amp;"")="", ISNUMBER(SEARCH("FALTA", A592))), "UPC faltante/inválido", ""), IF(AND(A592&lt;&gt;"", IFERROR(_xlfn.XMATCH(A592,$A$2:$A$653,0,1)&lt;&gt;_xlfn.XMATCH(A592,$A$2:$A$653,0,-1),FALSE)), "Código de barras duplicado", ""), IF(AND(E592&lt;&gt;"", COUNTIF($E$2:$E$653, E592)&gt;1), "SKU duplicado", ""), IF(OR(J592="", J592=""), "[Aviso] División no capturada ()", IF(ISNA(MATCH(J592, Criterios!$A$123:$A$126, 0)), "División no válida", "")), IF(OR(K592="", K592=""), "[Aviso] Categoría no capturada ()", IF(ISNA(MATCH(K592, Criterios!$A$81:$A$120, 0)), "Categoría no válida", IF(AND(J592&lt;&gt;"", J592&lt;&gt;"", J592&lt;&gt;VLOOKUP(K592, Criterios!$A$81:$B$120, 2, FALSE)), "División no coincide con Categoría", ""))), IF(OR(L592="", L592=""), "[Aviso] Género no capturado ()", IF(ISNA(MATCH(L592, Criterios!$B$123:$B$127, 0)), "Género no válido", "")), IF(OR(N592="", N592=""), "[Aviso] Temporada no capturada ()", IF(ISNA(MATCH(N592, Criterios!$C$123:$C$128, 0)), "Temporada no válida", "")), IF(OR(O592="", O592=""), "[Aviso] Ciclo de vida no capturado ()", IF(ISNA(MATCH(O592, Criterios!$D$123:$D$124, 0)), "Ciclo de vida no válido", ""))))</f>
        <v/>
      </c>
      <c r="AC592" s="56" t="n"/>
      <c r="AD592" s="51" t="n">
        <v>0</v>
      </c>
      <c r="AE592" s="156" t="n"/>
      <c r="AF592" s="51" t="n">
        <v>0</v>
      </c>
      <c r="AG592" s="156" t="inlineStr">
        <is>
          <t>Nuevo – NetSuite sin existencia</t>
        </is>
      </c>
      <c r="AH592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«Hombre» (Completado por investigación en línea) · Enlace de imagen: «» → «https://cdn.shopify.com/s/files/1/0589/6500/0397/files/NissanS12-Polo-1.jpg?v=1785919749» (Completado por investigación en línea) · WB Color: «» → «Rojo» (Completado por investigación en línea) · WB Talla: «» → «L» (Completado por investigación en línea) · WB Talla de EE. UU.: «» → «L» (Completado por investigación en línea) · WB Descripcion: «» → «Nissan Formula E Replica Men's Polo Shirt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592" s="156" t="inlineStr">
        <is>
          <t>No</t>
        </is>
      </c>
      <c r="AJ592" s="156" t="n"/>
      <c r="AK592" s="155" t="inlineStr">
        <is>
          <t>G1522_Extraccion_Articulos_NetSuite_2026-09-30.xlsx: fila 52701 | Investigación en línea 06/10/2026: https://reflo.com/products/nissan-formula-e-replica-short-sleeve-polo-shirt-red</t>
        </is>
      </c>
      <c r="AL592" s="58" t="n"/>
      <c r="AM592" s="58" t="n"/>
      <c r="AN592" s="155" t="n"/>
      <c r="AO592" s="59" t="n"/>
      <c r="AP592" s="59" t="n"/>
      <c r="AQ592" s="59" t="n"/>
      <c r="AR592" s="155" t="n"/>
    </row>
    <row r="593">
      <c r="A593" s="50" t="inlineStr">
        <is>
          <t>5056658756702</t>
        </is>
      </c>
      <c r="B593" s="51" t="inlineStr">
        <is>
          <t>103982</t>
        </is>
      </c>
      <c r="C593" s="156" t="inlineStr">
        <is>
          <t>REFLO</t>
        </is>
      </c>
      <c r="D593" s="156" t="n"/>
      <c r="E593" s="156" t="n"/>
      <c r="F593" s="156" t="inlineStr">
        <is>
          <t>XL</t>
        </is>
      </c>
      <c r="G593" s="156" t="inlineStr">
        <is>
          <t>XL</t>
        </is>
      </c>
      <c r="H593" s="156" t="inlineStr">
        <is>
          <t>REFLO</t>
        </is>
      </c>
      <c r="I593" s="156" t="inlineStr">
        <is>
          <t>Nissan Formula E Replica Men's Polo Shirt - Season 12</t>
        </is>
      </c>
      <c r="J593" s="156" t="inlineStr">
        <is>
          <t>Ropa</t>
        </is>
      </c>
      <c r="K593" s="156" t="inlineStr">
        <is>
          <t>Playeras</t>
        </is>
      </c>
      <c r="L593" s="156" t="inlineStr">
        <is>
          <t>Hombre</t>
        </is>
      </c>
      <c r="M593" s="156" t="n"/>
      <c r="N593" s="156" t="n"/>
      <c r="O593" s="156" t="n"/>
      <c r="P593" s="156" t="inlineStr">
        <is>
          <t>Rojo</t>
        </is>
      </c>
      <c r="Q593" s="156" t="n"/>
      <c r="R593" s="156" t="n"/>
      <c r="S593" s="156" t="n"/>
      <c r="T593" s="156" t="n"/>
      <c r="U593" s="156" t="n"/>
      <c r="V593" s="156" t="inlineStr">
        <is>
          <t>PZS</t>
        </is>
      </c>
      <c r="W593" s="51" t="inlineStr">
        <is>
          <t>53103000</t>
        </is>
      </c>
      <c r="X593" s="156" t="inlineStr">
        <is>
          <t>https://cdn.shopify.com/s/files/1/0589/6500/0397/files/NissanS12-Polo-1.jpg?v=1785919749</t>
        </is>
      </c>
      <c r="Y593" s="54" t="n">
        <v>28.6</v>
      </c>
      <c r="Z593" s="54" t="n">
        <v>2499</v>
      </c>
      <c r="AA593" s="55">
        <f>IF(AND(A593="", B593="", E593=""), "", IF(AB593="", "Válido", IF((LEN(AB593)-LEN(SUBSTITUTE(AB593,"; ","")))/2+1&gt;(LEN(AB593)-LEN(SUBSTITUTE(AB593,"[Aviso]","")))/7, "Con Incidencias", "Válido")))</f>
        <v/>
      </c>
      <c r="AB593" s="56">
        <f>IF(AND(A593="", B593="", E593=""), "", TEXTJOIN("; ", TRUE, IF(OR(TRIM(A593&amp;"")="", ISNUMBER(SEARCH("FALTA", A593))), "UPC faltante/inválido", ""), IF(AND(A593&lt;&gt;"", IFERROR(_xlfn.XMATCH(A593,$A$2:$A$653,0,1)&lt;&gt;_xlfn.XMATCH(A593,$A$2:$A$653,0,-1),FALSE)), "Código de barras duplicado", ""), IF(AND(E593&lt;&gt;"", COUNTIF($E$2:$E$653, E593)&gt;1), "SKU duplicado", ""), IF(OR(J593="", J593=""), "[Aviso] División no capturada ()", IF(ISNA(MATCH(J593, Criterios!$A$123:$A$126, 0)), "División no válida", "")), IF(OR(K593="", K593=""), "[Aviso] Categoría no capturada ()", IF(ISNA(MATCH(K593, Criterios!$A$81:$A$120, 0)), "Categoría no válida", IF(AND(J593&lt;&gt;"", J593&lt;&gt;"", J593&lt;&gt;VLOOKUP(K593, Criterios!$A$81:$B$120, 2, FALSE)), "División no coincide con Categoría", ""))), IF(OR(L593="", L593=""), "[Aviso] Género no capturado ()", IF(ISNA(MATCH(L593, Criterios!$B$123:$B$127, 0)), "Género no válido", "")), IF(OR(N593="", N593=""), "[Aviso] Temporada no capturada ()", IF(ISNA(MATCH(N593, Criterios!$C$123:$C$128, 0)), "Temporada no válida", "")), IF(OR(O593="", O593=""), "[Aviso] Ciclo de vida no capturado ()", IF(ISNA(MATCH(O593, Criterios!$D$123:$D$124, 0)), "Ciclo de vida no válido", ""))))</f>
        <v/>
      </c>
      <c r="AC593" s="56" t="n"/>
      <c r="AD593" s="51" t="n">
        <v>0</v>
      </c>
      <c r="AE593" s="156" t="n"/>
      <c r="AF593" s="51" t="n">
        <v>0</v>
      </c>
      <c r="AG593" s="156" t="inlineStr">
        <is>
          <t>Nuevo – NetSuite sin existencia</t>
        </is>
      </c>
      <c r="AH593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«Hombre» (Completado por investigación en línea) · Enlace de imagen: «» → «https://cdn.shopify.com/s/files/1/0589/6500/0397/files/NissanS12-Polo-1.jpg?v=1785919749» (Completado por investigación en línea) · WB Color: «» → «Rojo» (Completado por investigación en línea) · WB Talla: «» → «XL» (Completado por investigación en línea) · WB Talla de EE. UU.: «» → «XL» (Completado por investigación en línea) · WB Descripcion: «» → «Nissan Formula E Replica Men's Polo Shirt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593" s="156" t="inlineStr">
        <is>
          <t>No</t>
        </is>
      </c>
      <c r="AJ593" s="156" t="n"/>
      <c r="AK593" s="155" t="inlineStr">
        <is>
          <t>G1522_Extraccion_Articulos_NetSuite_2026-09-30.xlsx: fila 52702 | Investigación en línea 06/10/2026: https://reflo.com/products/nissan-formula-e-replica-short-sleeve-polo-shirt-red</t>
        </is>
      </c>
      <c r="AL593" s="58" t="n"/>
      <c r="AM593" s="58" t="n"/>
      <c r="AN593" s="155" t="n"/>
      <c r="AO593" s="59" t="n"/>
      <c r="AP593" s="59" t="n"/>
      <c r="AQ593" s="59" t="n"/>
      <c r="AR593" s="155" t="n"/>
    </row>
    <row r="594">
      <c r="A594" s="50" t="inlineStr">
        <is>
          <t>5056658756719</t>
        </is>
      </c>
      <c r="B594" s="51" t="inlineStr">
        <is>
          <t>103983</t>
        </is>
      </c>
      <c r="C594" s="156" t="inlineStr">
        <is>
          <t>REFLO</t>
        </is>
      </c>
      <c r="D594" s="156" t="n"/>
      <c r="E594" s="156" t="n"/>
      <c r="F594" s="156" t="inlineStr">
        <is>
          <t>XXL</t>
        </is>
      </c>
      <c r="G594" s="156" t="inlineStr">
        <is>
          <t>XXL</t>
        </is>
      </c>
      <c r="H594" s="156" t="inlineStr">
        <is>
          <t>REFLO</t>
        </is>
      </c>
      <c r="I594" s="156" t="inlineStr">
        <is>
          <t>Nissan Formula E Replica Men's Polo Shirt - Season 12</t>
        </is>
      </c>
      <c r="J594" s="156" t="inlineStr">
        <is>
          <t>Ropa</t>
        </is>
      </c>
      <c r="K594" s="156" t="inlineStr">
        <is>
          <t>Playeras</t>
        </is>
      </c>
      <c r="L594" s="156" t="inlineStr">
        <is>
          <t>Hombre</t>
        </is>
      </c>
      <c r="M594" s="156" t="n"/>
      <c r="N594" s="156" t="n"/>
      <c r="O594" s="156" t="n"/>
      <c r="P594" s="156" t="inlineStr">
        <is>
          <t>Rojo</t>
        </is>
      </c>
      <c r="Q594" s="156" t="n"/>
      <c r="R594" s="156" t="n"/>
      <c r="S594" s="156" t="n"/>
      <c r="T594" s="156" t="n"/>
      <c r="U594" s="156" t="n"/>
      <c r="V594" s="156" t="inlineStr">
        <is>
          <t>PZS</t>
        </is>
      </c>
      <c r="W594" s="51" t="inlineStr">
        <is>
          <t>53103000</t>
        </is>
      </c>
      <c r="X594" s="156" t="inlineStr">
        <is>
          <t>https://cdn.shopify.com/s/files/1/0589/6500/0397/files/NissanS12-Polo-1.jpg?v=1785919749</t>
        </is>
      </c>
      <c r="Y594" s="54" t="n">
        <v>28.6</v>
      </c>
      <c r="Z594" s="54" t="n">
        <v>2499</v>
      </c>
      <c r="AA594" s="55">
        <f>IF(AND(A594="", B594="", E594=""), "", IF(AB594="", "Válido", IF((LEN(AB594)-LEN(SUBSTITUTE(AB594,"; ","")))/2+1&gt;(LEN(AB594)-LEN(SUBSTITUTE(AB594,"[Aviso]","")))/7, "Con Incidencias", "Válido")))</f>
        <v/>
      </c>
      <c r="AB594" s="56">
        <f>IF(AND(A594="", B594="", E594=""), "", TEXTJOIN("; ", TRUE, IF(OR(TRIM(A594&amp;"")="", ISNUMBER(SEARCH("FALTA", A594))), "UPC faltante/inválido", ""), IF(AND(A594&lt;&gt;"", IFERROR(_xlfn.XMATCH(A594,$A$2:$A$653,0,1)&lt;&gt;_xlfn.XMATCH(A594,$A$2:$A$653,0,-1),FALSE)), "Código de barras duplicado", ""), IF(AND(E594&lt;&gt;"", COUNTIF($E$2:$E$653, E594)&gt;1), "SKU duplicado", ""), IF(OR(J594="", J594=""), "[Aviso] División no capturada ()", IF(ISNA(MATCH(J594, Criterios!$A$123:$A$126, 0)), "División no válida", "")), IF(OR(K594="", K594=""), "[Aviso] Categoría no capturada ()", IF(ISNA(MATCH(K594, Criterios!$A$81:$A$120, 0)), "Categoría no válida", IF(AND(J594&lt;&gt;"", J594&lt;&gt;"", J594&lt;&gt;VLOOKUP(K594, Criterios!$A$81:$B$120, 2, FALSE)), "División no coincide con Categoría", ""))), IF(OR(L594="", L594=""), "[Aviso] Género no capturado ()", IF(ISNA(MATCH(L594, Criterios!$B$123:$B$127, 0)), "Género no válido", "")), IF(OR(N594="", N594=""), "[Aviso] Temporada no capturada ()", IF(ISNA(MATCH(N594, Criterios!$C$123:$C$128, 0)), "Temporada no válida", "")), IF(OR(O594="", O594=""), "[Aviso] Ciclo de vida no capturado ()", IF(ISNA(MATCH(O594, Criterios!$D$123:$D$124, 0)), "Ciclo de vida no válido", ""))))</f>
        <v/>
      </c>
      <c r="AC594" s="56" t="n"/>
      <c r="AD594" s="51" t="n">
        <v>0</v>
      </c>
      <c r="AE594" s="156" t="n"/>
      <c r="AF594" s="51" t="n">
        <v>0</v>
      </c>
      <c r="AG594" s="156" t="inlineStr">
        <is>
          <t>Nuevo – NetSuite sin existencia</t>
        </is>
      </c>
      <c r="AH594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«Hombre» (Completado por investigación en línea) · Enlace de imagen: «» → «https://cdn.shopify.com/s/files/1/0589/6500/0397/files/NissanS12-Polo-1.jpg?v=1785919749» (Completado por investigación en línea) · WB Color: «» → «Rojo» (Completado por investigación en línea) · WB Talla: «» → «XXL» (Completado por investigación en línea) · WB Talla de EE. UU.: «» → «XXL» (Completado por investigación en línea) · WB Descripcion: «» → «Nissan Formula E Replica Men's Polo Shirt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594" s="156" t="inlineStr">
        <is>
          <t>No</t>
        </is>
      </c>
      <c r="AJ594" s="156" t="n"/>
      <c r="AK594" s="155" t="inlineStr">
        <is>
          <t>G1522_Extraccion_Articulos_NetSuite_2026-09-30.xlsx: fila 52703 | Investigación en línea 06/10/2026: https://reflo.com/products/nissan-formula-e-replica-short-sleeve-polo-shirt-red</t>
        </is>
      </c>
      <c r="AL594" s="58" t="n"/>
      <c r="AM594" s="58" t="n"/>
      <c r="AN594" s="155" t="n"/>
      <c r="AO594" s="59" t="n"/>
      <c r="AP594" s="59" t="n"/>
      <c r="AQ594" s="59" t="n"/>
      <c r="AR594" s="155" t="n"/>
    </row>
    <row r="595">
      <c r="A595" s="50" t="inlineStr">
        <is>
          <t>5056658756726</t>
        </is>
      </c>
      <c r="B595" s="51" t="inlineStr">
        <is>
          <t>103984</t>
        </is>
      </c>
      <c r="C595" s="156" t="inlineStr">
        <is>
          <t>REFLO</t>
        </is>
      </c>
      <c r="D595" s="156" t="n"/>
      <c r="E595" s="156" t="n"/>
      <c r="F595" s="156" t="n"/>
      <c r="G595" s="156" t="n"/>
      <c r="H595" s="156" t="inlineStr">
        <is>
          <t>REFLO</t>
        </is>
      </c>
      <c r="I595" s="156" t="n"/>
      <c r="J595" s="156" t="n"/>
      <c r="K595" s="156" t="n"/>
      <c r="L595" s="156" t="n"/>
      <c r="M595" s="156" t="n"/>
      <c r="N595" s="156" t="n"/>
      <c r="O595" s="156" t="n"/>
      <c r="P595" s="156" t="n"/>
      <c r="Q595" s="156" t="n"/>
      <c r="R595" s="156" t="n"/>
      <c r="S595" s="156" t="n"/>
      <c r="T595" s="156" t="n"/>
      <c r="U595" s="156" t="n"/>
      <c r="V595" s="156" t="inlineStr">
        <is>
          <t>PZS</t>
        </is>
      </c>
      <c r="W595" s="51" t="inlineStr">
        <is>
          <t>53103000</t>
        </is>
      </c>
      <c r="X595" s="156" t="n"/>
      <c r="Y595" s="54" t="n">
        <v>28.6</v>
      </c>
      <c r="Z595" s="54" t="n">
        <v>2499</v>
      </c>
      <c r="AA595" s="55">
        <f>IF(AND(A595="", B595="", E595=""), "", IF(AB595="", "Válido", IF((LEN(AB595)-LEN(SUBSTITUTE(AB595,"; ","")))/2+1&gt;(LEN(AB595)-LEN(SUBSTITUTE(AB595,"[Aviso]","")))/7, "Con Incidencias", "Válido")))</f>
        <v/>
      </c>
      <c r="AB595" s="56">
        <f>IF(AND(A595="", B595="", E595=""), "", TEXTJOIN("; ", TRUE, IF(OR(TRIM(A595&amp;"")="", ISNUMBER(SEARCH("FALTA", A595))), "UPC faltante/inválido", ""), IF(AND(A595&lt;&gt;"", IFERROR(_xlfn.XMATCH(A595,$A$2:$A$653,0,1)&lt;&gt;_xlfn.XMATCH(A595,$A$2:$A$653,0,-1),FALSE)), "Código de barras duplicado", ""), IF(AND(E595&lt;&gt;"", COUNTIF($E$2:$E$653, E595)&gt;1), "SKU duplicado", ""), IF(OR(J595="", J595=""), "[Aviso] División no capturada ()", IF(ISNA(MATCH(J595, Criterios!$A$123:$A$126, 0)), "División no válida", "")), IF(OR(K595="", K595=""), "[Aviso] Categoría no capturada ()", IF(ISNA(MATCH(K595, Criterios!$A$81:$A$120, 0)), "Categoría no válida", IF(AND(J595&lt;&gt;"", J595&lt;&gt;"", J595&lt;&gt;VLOOKUP(K595, Criterios!$A$81:$B$120, 2, FALSE)), "División no coincide con Categoría", ""))), IF(OR(L595="", L595=""), "[Aviso] Género no capturado ()", IF(ISNA(MATCH(L595, Criterios!$B$123:$B$127, 0)), "Género no válido", "")), IF(OR(N595="", N595=""), "[Aviso] Temporada no capturada ()", IF(ISNA(MATCH(N595, Criterios!$C$123:$C$128, 0)), "Temporada no válida", "")), IF(OR(O595="", O595=""), "[Aviso] Ciclo de vida no capturado ()", IF(ISNA(MATCH(O595, Criterios!$D$123:$D$124, 0)), "Ciclo de vida no válido", ""))))</f>
        <v/>
      </c>
      <c r="AC595" s="56" t="n"/>
      <c r="AD595" s="51" t="n">
        <v>0</v>
      </c>
      <c r="AE595" s="156" t="n"/>
      <c r="AF595" s="51" t="n">
        <v>0</v>
      </c>
      <c r="AG595" s="156" t="inlineStr">
        <is>
          <t>Nuevo – NetSuite sin existencia</t>
        </is>
      </c>
      <c r="AH59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95" s="156" t="inlineStr">
        <is>
          <t>No</t>
        </is>
      </c>
      <c r="AJ595" s="156" t="n"/>
      <c r="AK595" s="155" t="inlineStr">
        <is>
          <t>G1522_Extraccion_Articulos_NetSuite_2026-09-30.xlsx: fila 52704</t>
        </is>
      </c>
      <c r="AL595" s="58" t="n"/>
      <c r="AM595" s="58" t="n"/>
      <c r="AN595" s="155" t="n"/>
      <c r="AO595" s="59" t="n"/>
      <c r="AP595" s="59" t="n"/>
      <c r="AQ595" s="59" t="n"/>
      <c r="AR595" s="155" t="n"/>
    </row>
    <row r="596">
      <c r="A596" s="50" t="inlineStr">
        <is>
          <t>5056658756771</t>
        </is>
      </c>
      <c r="B596" s="51" t="inlineStr">
        <is>
          <t>103985</t>
        </is>
      </c>
      <c r="C596" s="156" t="inlineStr">
        <is>
          <t>REFLO</t>
        </is>
      </c>
      <c r="D596" s="156" t="n"/>
      <c r="E596" s="156" t="n"/>
      <c r="F596" s="156" t="n"/>
      <c r="G596" s="156" t="n"/>
      <c r="H596" s="156" t="inlineStr">
        <is>
          <t>REFLO</t>
        </is>
      </c>
      <c r="I596" s="156" t="inlineStr">
        <is>
          <t>Nissan Formula E Replica Women's Polo Shirt - Season 12</t>
        </is>
      </c>
      <c r="J596" s="156" t="inlineStr">
        <is>
          <t>Ropa</t>
        </is>
      </c>
      <c r="K596" s="156" t="inlineStr">
        <is>
          <t>Playeras</t>
        </is>
      </c>
      <c r="L596" s="156" t="inlineStr">
        <is>
          <t>Mujer</t>
        </is>
      </c>
      <c r="M596" s="156" t="n"/>
      <c r="N596" s="156" t="n"/>
      <c r="O596" s="156" t="n"/>
      <c r="P596" s="156" t="inlineStr">
        <is>
          <t>Rojo</t>
        </is>
      </c>
      <c r="Q596" s="156" t="n"/>
      <c r="R596" s="156" t="n"/>
      <c r="S596" s="156" t="n"/>
      <c r="T596" s="156" t="n"/>
      <c r="U596" s="156" t="n"/>
      <c r="V596" s="156" t="inlineStr">
        <is>
          <t>PZS</t>
        </is>
      </c>
      <c r="W596" s="51" t="inlineStr">
        <is>
          <t>53103000</t>
        </is>
      </c>
      <c r="X596" s="156" t="inlineStr">
        <is>
          <t>https://cdn.shopify.com/s/files/1/0589/6500/0397/files/NissanS12-Polo-1-Womens.jpg?v=1785919683</t>
        </is>
      </c>
      <c r="Y596" s="54" t="n">
        <v>28.6</v>
      </c>
      <c r="Z596" s="54" t="n">
        <v>2499</v>
      </c>
      <c r="AA596" s="55">
        <f>IF(AND(A596="", B596="", E596=""), "", IF(AB596="", "Válido", IF((LEN(AB596)-LEN(SUBSTITUTE(AB596,"; ","")))/2+1&gt;(LEN(AB596)-LEN(SUBSTITUTE(AB596,"[Aviso]","")))/7, "Con Incidencias", "Válido")))</f>
        <v/>
      </c>
      <c r="AB596" s="56">
        <f>IF(AND(A596="", B596="", E596=""), "", TEXTJOIN("; ", TRUE, IF(OR(TRIM(A596&amp;"")="", ISNUMBER(SEARCH("FALTA", A596))), "UPC faltante/inválido", ""), IF(AND(A596&lt;&gt;"", IFERROR(_xlfn.XMATCH(A596,$A$2:$A$653,0,1)&lt;&gt;_xlfn.XMATCH(A596,$A$2:$A$653,0,-1),FALSE)), "Código de barras duplicado", ""), IF(AND(E596&lt;&gt;"", COUNTIF($E$2:$E$653, E596)&gt;1), "SKU duplicado", ""), IF(OR(J596="", J596=""), "[Aviso] División no capturada ()", IF(ISNA(MATCH(J596, Criterios!$A$123:$A$126, 0)), "División no válida", "")), IF(OR(K596="", K596=""), "[Aviso] Categoría no capturada ()", IF(ISNA(MATCH(K596, Criterios!$A$81:$A$120, 0)), "Categoría no válida", IF(AND(J596&lt;&gt;"", J596&lt;&gt;"", J596&lt;&gt;VLOOKUP(K596, Criterios!$A$81:$B$120, 2, FALSE)), "División no coincide con Categoría", ""))), IF(OR(L596="", L596=""), "[Aviso] Género no capturado ()", IF(ISNA(MATCH(L596, Criterios!$B$123:$B$127, 0)), "Género no válido", "")), IF(OR(N596="", N596=""), "[Aviso] Temporada no capturada ()", IF(ISNA(MATCH(N596, Criterios!$C$123:$C$128, 0)), "Temporada no válida", "")), IF(OR(O596="", O596=""), "[Aviso] Ciclo de vida no capturado ()", IF(ISNA(MATCH(O596, Criterios!$D$123:$D$124, 0)), "Ciclo de vida no válido", ""))))</f>
        <v/>
      </c>
      <c r="AC596" s="56" t="n"/>
      <c r="AD596" s="51" t="n">
        <v>0</v>
      </c>
      <c r="AE596" s="156" t="n"/>
      <c r="AF596" s="51" t="n">
        <v>0</v>
      </c>
      <c r="AG596" s="156" t="inlineStr">
        <is>
          <t>Nuevo – NetSuite sin existencia</t>
        </is>
      </c>
      <c r="AH596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«Mujer» (Completado por investigación en línea) · Enlace de imagen: «» → «https://cdn.shopify.com/s/files/1/0589/6500/0397/files/NissanS12-Polo-1-Womens.jpg?v=1785919683» (Completado por investigación en línea) · WB Color: «» → «Rojo» (Completado por investigación en línea) · WB Descripcion: «» → «Nissan Formula E Replica Women's Polo Shirt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596" s="156" t="inlineStr">
        <is>
          <t>No</t>
        </is>
      </c>
      <c r="AJ596" s="156" t="n"/>
      <c r="AK596" s="155" t="inlineStr">
        <is>
          <t>G1522_Extraccion_Articulos_NetSuite_2026-09-30.xlsx: fila 52705 | Investigación en línea 06/10/2026: https://reflo.com/products/nissan-formula-e-replica-short-sleeve-polo-shirt-red-1</t>
        </is>
      </c>
      <c r="AL596" s="58" t="n"/>
      <c r="AM596" s="58" t="n"/>
      <c r="AN596" s="155" t="n"/>
      <c r="AO596" s="59" t="n"/>
      <c r="AP596" s="59" t="n"/>
      <c r="AQ596" s="59" t="n"/>
      <c r="AR596" s="155" t="n"/>
    </row>
    <row r="597">
      <c r="A597" s="50" t="inlineStr">
        <is>
          <t>5056658754814</t>
        </is>
      </c>
      <c r="B597" s="51" t="inlineStr">
        <is>
          <t>103986</t>
        </is>
      </c>
      <c r="C597" s="156" t="inlineStr">
        <is>
          <t>REFLO</t>
        </is>
      </c>
      <c r="D597" s="156" t="n"/>
      <c r="E597" s="156" t="n"/>
      <c r="F597" s="156" t="n"/>
      <c r="G597" s="156" t="n"/>
      <c r="H597" s="156" t="inlineStr">
        <is>
          <t>REFLO</t>
        </is>
      </c>
      <c r="I597" s="156" t="n"/>
      <c r="J597" s="156" t="n"/>
      <c r="K597" s="156" t="n"/>
      <c r="L597" s="156" t="n"/>
      <c r="M597" s="156" t="n"/>
      <c r="N597" s="156" t="n"/>
      <c r="O597" s="156" t="n"/>
      <c r="P597" s="156" t="n"/>
      <c r="Q597" s="156" t="n"/>
      <c r="R597" s="156" t="n"/>
      <c r="S597" s="156" t="n"/>
      <c r="T597" s="156" t="n"/>
      <c r="U597" s="156" t="n"/>
      <c r="V597" s="156" t="inlineStr">
        <is>
          <t>PZS</t>
        </is>
      </c>
      <c r="W597" s="51" t="inlineStr">
        <is>
          <t>53103000</t>
        </is>
      </c>
      <c r="X597" s="156" t="n"/>
      <c r="Y597" s="54" t="n">
        <v>28.6</v>
      </c>
      <c r="Z597" s="54" t="n">
        <v>2499</v>
      </c>
      <c r="AA597" s="55">
        <f>IF(AND(A597="", B597="", E597=""), "", IF(AB597="", "Válido", IF((LEN(AB597)-LEN(SUBSTITUTE(AB597,"; ","")))/2+1&gt;(LEN(AB597)-LEN(SUBSTITUTE(AB597,"[Aviso]","")))/7, "Con Incidencias", "Válido")))</f>
        <v/>
      </c>
      <c r="AB597" s="56">
        <f>IF(AND(A597="", B597="", E597=""), "", TEXTJOIN("; ", TRUE, IF(OR(TRIM(A597&amp;"")="", ISNUMBER(SEARCH("FALTA", A597))), "UPC faltante/inválido", ""), IF(AND(A597&lt;&gt;"", IFERROR(_xlfn.XMATCH(A597,$A$2:$A$653,0,1)&lt;&gt;_xlfn.XMATCH(A597,$A$2:$A$653,0,-1),FALSE)), "Código de barras duplicado", ""), IF(AND(E597&lt;&gt;"", COUNTIF($E$2:$E$653, E597)&gt;1), "SKU duplicado", ""), IF(OR(J597="", J597=""), "[Aviso] División no capturada ()", IF(ISNA(MATCH(J597, Criterios!$A$123:$A$126, 0)), "División no válida", "")), IF(OR(K597="", K597=""), "[Aviso] Categoría no capturada ()", IF(ISNA(MATCH(K597, Criterios!$A$81:$A$120, 0)), "Categoría no válida", IF(AND(J597&lt;&gt;"", J597&lt;&gt;"", J597&lt;&gt;VLOOKUP(K597, Criterios!$A$81:$B$120, 2, FALSE)), "División no coincide con Categoría", ""))), IF(OR(L597="", L597=""), "[Aviso] Género no capturado ()", IF(ISNA(MATCH(L597, Criterios!$B$123:$B$127, 0)), "Género no válido", "")), IF(OR(N597="", N597=""), "[Aviso] Temporada no capturada ()", IF(ISNA(MATCH(N597, Criterios!$C$123:$C$128, 0)), "Temporada no válida", "")), IF(OR(O597="", O597=""), "[Aviso] Ciclo de vida no capturado ()", IF(ISNA(MATCH(O597, Criterios!$D$123:$D$124, 0)), "Ciclo de vida no válido", ""))))</f>
        <v/>
      </c>
      <c r="AC597" s="56" t="n"/>
      <c r="AD597" s="51" t="n">
        <v>0</v>
      </c>
      <c r="AE597" s="156" t="n"/>
      <c r="AF597" s="51" t="n">
        <v>0</v>
      </c>
      <c r="AG597" s="156" t="inlineStr">
        <is>
          <t>Nuevo – NetSuite sin existencia</t>
        </is>
      </c>
      <c r="AH59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97" s="156" t="inlineStr">
        <is>
          <t>No</t>
        </is>
      </c>
      <c r="AJ597" s="156" t="n"/>
      <c r="AK597" s="155" t="inlineStr">
        <is>
          <t>G1522_Extraccion_Articulos_NetSuite_2026-09-30.xlsx: fila 52706</t>
        </is>
      </c>
      <c r="AL597" s="58" t="n"/>
      <c r="AM597" s="58" t="n"/>
      <c r="AN597" s="155" t="n"/>
      <c r="AO597" s="59" t="n"/>
      <c r="AP597" s="59" t="n"/>
      <c r="AQ597" s="59" t="n"/>
      <c r="AR597" s="155" t="n"/>
    </row>
    <row r="598">
      <c r="A598" s="50" t="inlineStr">
        <is>
          <t>5056658756795</t>
        </is>
      </c>
      <c r="B598" s="51" t="inlineStr">
        <is>
          <t>103987</t>
        </is>
      </c>
      <c r="C598" s="156" t="inlineStr">
        <is>
          <t>REFLO</t>
        </is>
      </c>
      <c r="D598" s="156" t="n"/>
      <c r="E598" s="156" t="n"/>
      <c r="F598" s="156" t="n"/>
      <c r="G598" s="156" t="n"/>
      <c r="H598" s="156" t="inlineStr">
        <is>
          <t>REFLO</t>
        </is>
      </c>
      <c r="I598" s="156" t="inlineStr">
        <is>
          <t>Nissan Formula E Replica Women's Polo Shirt - Season 12</t>
        </is>
      </c>
      <c r="J598" s="156" t="inlineStr">
        <is>
          <t>Ropa</t>
        </is>
      </c>
      <c r="K598" s="156" t="inlineStr">
        <is>
          <t>Playeras</t>
        </is>
      </c>
      <c r="L598" s="156" t="inlineStr">
        <is>
          <t>Mujer</t>
        </is>
      </c>
      <c r="M598" s="156" t="n"/>
      <c r="N598" s="156" t="n"/>
      <c r="O598" s="156" t="n"/>
      <c r="P598" s="156" t="inlineStr">
        <is>
          <t>Rojo</t>
        </is>
      </c>
      <c r="Q598" s="156" t="n"/>
      <c r="R598" s="156" t="n"/>
      <c r="S598" s="156" t="n"/>
      <c r="T598" s="156" t="n"/>
      <c r="U598" s="156" t="n"/>
      <c r="V598" s="156" t="inlineStr">
        <is>
          <t>PZS</t>
        </is>
      </c>
      <c r="W598" s="51" t="inlineStr">
        <is>
          <t>53103000</t>
        </is>
      </c>
      <c r="X598" s="156" t="inlineStr">
        <is>
          <t>https://cdn.shopify.com/s/files/1/0589/6500/0397/files/NissanS12-Polo-1-Womens.jpg?v=1785919683</t>
        </is>
      </c>
      <c r="Y598" s="54" t="n">
        <v>28.6</v>
      </c>
      <c r="Z598" s="54" t="n">
        <v>2499</v>
      </c>
      <c r="AA598" s="55">
        <f>IF(AND(A598="", B598="", E598=""), "", IF(AB598="", "Válido", IF((LEN(AB598)-LEN(SUBSTITUTE(AB598,"; ","")))/2+1&gt;(LEN(AB598)-LEN(SUBSTITUTE(AB598,"[Aviso]","")))/7, "Con Incidencias", "Válido")))</f>
        <v/>
      </c>
      <c r="AB598" s="56">
        <f>IF(AND(A598="", B598="", E598=""), "", TEXTJOIN("; ", TRUE, IF(OR(TRIM(A598&amp;"")="", ISNUMBER(SEARCH("FALTA", A598))), "UPC faltante/inválido", ""), IF(AND(A598&lt;&gt;"", IFERROR(_xlfn.XMATCH(A598,$A$2:$A$653,0,1)&lt;&gt;_xlfn.XMATCH(A598,$A$2:$A$653,0,-1),FALSE)), "Código de barras duplicado", ""), IF(AND(E598&lt;&gt;"", COUNTIF($E$2:$E$653, E598)&gt;1), "SKU duplicado", ""), IF(OR(J598="", J598=""), "[Aviso] División no capturada ()", IF(ISNA(MATCH(J598, Criterios!$A$123:$A$126, 0)), "División no válida", "")), IF(OR(K598="", K598=""), "[Aviso] Categoría no capturada ()", IF(ISNA(MATCH(K598, Criterios!$A$81:$A$120, 0)), "Categoría no válida", IF(AND(J598&lt;&gt;"", J598&lt;&gt;"", J598&lt;&gt;VLOOKUP(K598, Criterios!$A$81:$B$120, 2, FALSE)), "División no coincide con Categoría", ""))), IF(OR(L598="", L598=""), "[Aviso] Género no capturado ()", IF(ISNA(MATCH(L598, Criterios!$B$123:$B$127, 0)), "Género no válido", "")), IF(OR(N598="", N598=""), "[Aviso] Temporada no capturada ()", IF(ISNA(MATCH(N598, Criterios!$C$123:$C$128, 0)), "Temporada no válida", "")), IF(OR(O598="", O598=""), "[Aviso] Ciclo de vida no capturado ()", IF(ISNA(MATCH(O598, Criterios!$D$123:$D$124, 0)), "Ciclo de vida no válido", ""))))</f>
        <v/>
      </c>
      <c r="AC598" s="56" t="n"/>
      <c r="AD598" s="51" t="n">
        <v>0</v>
      </c>
      <c r="AE598" s="156" t="n"/>
      <c r="AF598" s="51" t="n">
        <v>0</v>
      </c>
      <c r="AG598" s="156" t="inlineStr">
        <is>
          <t>Nuevo – NetSuite sin existencia</t>
        </is>
      </c>
      <c r="AH598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«Mujer» (Completado por investigación en línea) · Enlace de imagen: «» → «https://cdn.shopify.com/s/files/1/0589/6500/0397/files/NissanS12-Polo-1-Womens.jpg?v=1785919683» (Completado por investigación en línea) · WB Color: «» → «Rojo» (Completado por investigación en línea) · WB Descripcion: «» → «Nissan Formula E Replica Women's Polo Shirt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598" s="156" t="inlineStr">
        <is>
          <t>No</t>
        </is>
      </c>
      <c r="AJ598" s="156" t="n"/>
      <c r="AK598" s="155" t="inlineStr">
        <is>
          <t>G1522_Extraccion_Articulos_NetSuite_2026-09-30.xlsx: fila 52707 | Investigación en línea 06/10/2026: https://reflo.com/products/nissan-formula-e-replica-short-sleeve-polo-shirt-red-1</t>
        </is>
      </c>
      <c r="AL598" s="58" t="n"/>
      <c r="AM598" s="58" t="n"/>
      <c r="AN598" s="155" t="n"/>
      <c r="AO598" s="59" t="n"/>
      <c r="AP598" s="59" t="n"/>
      <c r="AQ598" s="59" t="n"/>
      <c r="AR598" s="155" t="n"/>
    </row>
    <row r="599">
      <c r="A599" s="50" t="inlineStr">
        <is>
          <t>5056658756801</t>
        </is>
      </c>
      <c r="B599" s="51" t="inlineStr">
        <is>
          <t>103988</t>
        </is>
      </c>
      <c r="C599" s="156" t="inlineStr">
        <is>
          <t>REFLO</t>
        </is>
      </c>
      <c r="D599" s="156" t="n"/>
      <c r="E599" s="156" t="n"/>
      <c r="F599" s="156" t="n"/>
      <c r="G599" s="156" t="n"/>
      <c r="H599" s="156" t="inlineStr">
        <is>
          <t>REFLO</t>
        </is>
      </c>
      <c r="I599" s="156" t="inlineStr">
        <is>
          <t>Nissan Formula E Replica Women's Polo Shirt - Season 12</t>
        </is>
      </c>
      <c r="J599" s="156" t="inlineStr">
        <is>
          <t>Ropa</t>
        </is>
      </c>
      <c r="K599" s="156" t="inlineStr">
        <is>
          <t>Playeras</t>
        </is>
      </c>
      <c r="L599" s="156" t="inlineStr">
        <is>
          <t>Mujer</t>
        </is>
      </c>
      <c r="M599" s="156" t="n"/>
      <c r="N599" s="156" t="n"/>
      <c r="O599" s="156" t="n"/>
      <c r="P599" s="156" t="inlineStr">
        <is>
          <t>Rojo</t>
        </is>
      </c>
      <c r="Q599" s="156" t="n"/>
      <c r="R599" s="156" t="n"/>
      <c r="S599" s="156" t="n"/>
      <c r="T599" s="156" t="n"/>
      <c r="U599" s="156" t="n"/>
      <c r="V599" s="156" t="inlineStr">
        <is>
          <t>PZS</t>
        </is>
      </c>
      <c r="W599" s="51" t="inlineStr">
        <is>
          <t>53103000</t>
        </is>
      </c>
      <c r="X599" s="156" t="inlineStr">
        <is>
          <t>https://cdn.shopify.com/s/files/1/0589/6500/0397/files/NissanS12-Polo-1-Womens.jpg?v=1785919683</t>
        </is>
      </c>
      <c r="Y599" s="54" t="n">
        <v>28.6</v>
      </c>
      <c r="Z599" s="54" t="n">
        <v>2499</v>
      </c>
      <c r="AA599" s="55">
        <f>IF(AND(A599="", B599="", E599=""), "", IF(AB599="", "Válido", IF((LEN(AB599)-LEN(SUBSTITUTE(AB599,"; ","")))/2+1&gt;(LEN(AB599)-LEN(SUBSTITUTE(AB599,"[Aviso]","")))/7, "Con Incidencias", "Válido")))</f>
        <v/>
      </c>
      <c r="AB599" s="56">
        <f>IF(AND(A599="", B599="", E599=""), "", TEXTJOIN("; ", TRUE, IF(OR(TRIM(A599&amp;"")="", ISNUMBER(SEARCH("FALTA", A599))), "UPC faltante/inválido", ""), IF(AND(A599&lt;&gt;"", IFERROR(_xlfn.XMATCH(A599,$A$2:$A$653,0,1)&lt;&gt;_xlfn.XMATCH(A599,$A$2:$A$653,0,-1),FALSE)), "Código de barras duplicado", ""), IF(AND(E599&lt;&gt;"", COUNTIF($E$2:$E$653, E599)&gt;1), "SKU duplicado", ""), IF(OR(J599="", J599=""), "[Aviso] División no capturada ()", IF(ISNA(MATCH(J599, Criterios!$A$123:$A$126, 0)), "División no válida", "")), IF(OR(K599="", K599=""), "[Aviso] Categoría no capturada ()", IF(ISNA(MATCH(K599, Criterios!$A$81:$A$120, 0)), "Categoría no válida", IF(AND(J599&lt;&gt;"", J599&lt;&gt;"", J599&lt;&gt;VLOOKUP(K599, Criterios!$A$81:$B$120, 2, FALSE)), "División no coincide con Categoría", ""))), IF(OR(L599="", L599=""), "[Aviso] Género no capturado ()", IF(ISNA(MATCH(L599, Criterios!$B$123:$B$127, 0)), "Género no válido", "")), IF(OR(N599="", N599=""), "[Aviso] Temporada no capturada ()", IF(ISNA(MATCH(N599, Criterios!$C$123:$C$128, 0)), "Temporada no válida", "")), IF(OR(O599="", O599=""), "[Aviso] Ciclo de vida no capturado ()", IF(ISNA(MATCH(O599, Criterios!$D$123:$D$124, 0)), "Ciclo de vida no válido", ""))))</f>
        <v/>
      </c>
      <c r="AC599" s="56" t="n"/>
      <c r="AD599" s="51" t="n">
        <v>0</v>
      </c>
      <c r="AE599" s="156" t="n"/>
      <c r="AF599" s="51" t="n">
        <v>0</v>
      </c>
      <c r="AG599" s="156" t="inlineStr">
        <is>
          <t>Nuevo – NetSuite sin existencia</t>
        </is>
      </c>
      <c r="AH599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«Mujer» (Completado por investigación en línea) · Enlace de imagen: «» → «https://cdn.shopify.com/s/files/1/0589/6500/0397/files/NissanS12-Polo-1-Womens.jpg?v=1785919683» (Completado por investigación en línea) · WB Color: «» → «Rojo» (Completado por investigación en línea) · WB Descripcion: «» → «Nissan Formula E Replica Women's Polo Shirt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599" s="156" t="inlineStr">
        <is>
          <t>No</t>
        </is>
      </c>
      <c r="AJ599" s="156" t="n"/>
      <c r="AK599" s="155" t="inlineStr">
        <is>
          <t>G1522_Extraccion_Articulos_NetSuite_2026-09-30.xlsx: fila 52708 | Investigación en línea 06/10/2026: https://reflo.com/products/nissan-formula-e-replica-short-sleeve-polo-shirt-red-1</t>
        </is>
      </c>
      <c r="AL599" s="58" t="n"/>
      <c r="AM599" s="58" t="n"/>
      <c r="AN599" s="155" t="n"/>
      <c r="AO599" s="59" t="n"/>
      <c r="AP599" s="59" t="n"/>
      <c r="AQ599" s="59" t="n"/>
      <c r="AR599" s="155" t="n"/>
    </row>
    <row r="600">
      <c r="A600" s="50" t="inlineStr">
        <is>
          <t>5056658756818</t>
        </is>
      </c>
      <c r="B600" s="51" t="inlineStr">
        <is>
          <t>103989</t>
        </is>
      </c>
      <c r="C600" s="156" t="inlineStr">
        <is>
          <t>REFLO</t>
        </is>
      </c>
      <c r="D600" s="156" t="n"/>
      <c r="E600" s="156" t="n"/>
      <c r="F600" s="156" t="n"/>
      <c r="G600" s="156" t="n"/>
      <c r="H600" s="156" t="inlineStr">
        <is>
          <t>REFLO</t>
        </is>
      </c>
      <c r="I600" s="156" t="inlineStr">
        <is>
          <t>Nissan Formula E Replica Women's Polo Shirt - Season 12</t>
        </is>
      </c>
      <c r="J600" s="156" t="inlineStr">
        <is>
          <t>Ropa</t>
        </is>
      </c>
      <c r="K600" s="156" t="inlineStr">
        <is>
          <t>Playeras</t>
        </is>
      </c>
      <c r="L600" s="156" t="inlineStr">
        <is>
          <t>Mujer</t>
        </is>
      </c>
      <c r="M600" s="156" t="n"/>
      <c r="N600" s="156" t="n"/>
      <c r="O600" s="156" t="n"/>
      <c r="P600" s="156" t="inlineStr">
        <is>
          <t>Rojo</t>
        </is>
      </c>
      <c r="Q600" s="156" t="n"/>
      <c r="R600" s="156" t="n"/>
      <c r="S600" s="156" t="n"/>
      <c r="T600" s="156" t="n"/>
      <c r="U600" s="156" t="n"/>
      <c r="V600" s="156" t="inlineStr">
        <is>
          <t>PZS</t>
        </is>
      </c>
      <c r="W600" s="51" t="inlineStr">
        <is>
          <t>53103000</t>
        </is>
      </c>
      <c r="X600" s="156" t="inlineStr">
        <is>
          <t>https://cdn.shopify.com/s/files/1/0589/6500/0397/files/NissanS12-Polo-1-Womens.jpg?v=1785919683</t>
        </is>
      </c>
      <c r="Y600" s="54" t="n">
        <v>28.6</v>
      </c>
      <c r="Z600" s="54" t="n">
        <v>2499</v>
      </c>
      <c r="AA600" s="55">
        <f>IF(AND(A600="", B600="", E600=""), "", IF(AB600="", "Válido", IF((LEN(AB600)-LEN(SUBSTITUTE(AB600,"; ","")))/2+1&gt;(LEN(AB600)-LEN(SUBSTITUTE(AB600,"[Aviso]","")))/7, "Con Incidencias", "Válido")))</f>
        <v/>
      </c>
      <c r="AB600" s="56">
        <f>IF(AND(A600="", B600="", E600=""), "", TEXTJOIN("; ", TRUE, IF(OR(TRIM(A600&amp;"")="", ISNUMBER(SEARCH("FALTA", A600))), "UPC faltante/inválido", ""), IF(AND(A600&lt;&gt;"", IFERROR(_xlfn.XMATCH(A600,$A$2:$A$653,0,1)&lt;&gt;_xlfn.XMATCH(A600,$A$2:$A$653,0,-1),FALSE)), "Código de barras duplicado", ""), IF(AND(E600&lt;&gt;"", COUNTIF($E$2:$E$653, E600)&gt;1), "SKU duplicado", ""), IF(OR(J600="", J600=""), "[Aviso] División no capturada ()", IF(ISNA(MATCH(J600, Criterios!$A$123:$A$126, 0)), "División no válida", "")), IF(OR(K600="", K600=""), "[Aviso] Categoría no capturada ()", IF(ISNA(MATCH(K600, Criterios!$A$81:$A$120, 0)), "Categoría no válida", IF(AND(J600&lt;&gt;"", J600&lt;&gt;"", J600&lt;&gt;VLOOKUP(K600, Criterios!$A$81:$B$120, 2, FALSE)), "División no coincide con Categoría", ""))), IF(OR(L600="", L600=""), "[Aviso] Género no capturado ()", IF(ISNA(MATCH(L600, Criterios!$B$123:$B$127, 0)), "Género no válido", "")), IF(OR(N600="", N600=""), "[Aviso] Temporada no capturada ()", IF(ISNA(MATCH(N600, Criterios!$C$123:$C$128, 0)), "Temporada no válida", "")), IF(OR(O600="", O600=""), "[Aviso] Ciclo de vida no capturado ()", IF(ISNA(MATCH(O600, Criterios!$D$123:$D$124, 0)), "Ciclo de vida no válido", ""))))</f>
        <v/>
      </c>
      <c r="AC600" s="56" t="n"/>
      <c r="AD600" s="51" t="n">
        <v>-1</v>
      </c>
      <c r="AE600" s="156" t="n"/>
      <c r="AF600" s="51" t="n">
        <v>0</v>
      </c>
      <c r="AG600" s="156" t="inlineStr">
        <is>
          <t>Nuevo – NetSuite sin existencia</t>
        </is>
      </c>
      <c r="AH600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«Mujer» (Completado por investigación en línea) · Enlace de imagen: «» → «https://cdn.shopify.com/s/files/1/0589/6500/0397/files/NissanS12-Polo-1-Womens.jpg?v=1785919683» (Completado por investigación en línea) · WB Color: «» → «Rojo» (Completado por investigación en línea) · WB Descripcion: «» → «Nissan Formula E Replica Women's Polo Shirt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600" s="156" t="inlineStr">
        <is>
          <t>No</t>
        </is>
      </c>
      <c r="AJ600" s="156" t="n"/>
      <c r="AK600" s="155" t="inlineStr">
        <is>
          <t>G1522_Extraccion_Articulos_NetSuite_2026-09-30.xlsx: fila 52709 | Investigación en línea 06/10/2026: https://reflo.com/products/nissan-formula-e-replica-short-sleeve-polo-shirt-red-1</t>
        </is>
      </c>
      <c r="AL600" s="58" t="n"/>
      <c r="AM600" s="58" t="n"/>
      <c r="AN600" s="155" t="n"/>
      <c r="AO600" s="59" t="n"/>
      <c r="AP600" s="59" t="n"/>
      <c r="AQ600" s="59" t="n"/>
      <c r="AR600" s="155" t="n"/>
    </row>
    <row r="601">
      <c r="A601" s="50" t="inlineStr">
        <is>
          <t>5056658756825</t>
        </is>
      </c>
      <c r="B601" s="51" t="inlineStr">
        <is>
          <t>103990</t>
        </is>
      </c>
      <c r="C601" s="156" t="inlineStr">
        <is>
          <t>REFLO</t>
        </is>
      </c>
      <c r="D601" s="156" t="n"/>
      <c r="E601" s="156" t="n"/>
      <c r="F601" s="156" t="n"/>
      <c r="G601" s="156" t="n"/>
      <c r="H601" s="156" t="inlineStr">
        <is>
          <t>REFLO</t>
        </is>
      </c>
      <c r="I601" s="156" t="n"/>
      <c r="J601" s="156" t="n"/>
      <c r="K601" s="156" t="n"/>
      <c r="L601" s="156" t="n"/>
      <c r="M601" s="156" t="n"/>
      <c r="N601" s="156" t="n"/>
      <c r="O601" s="156" t="n"/>
      <c r="P601" s="156" t="n"/>
      <c r="Q601" s="156" t="n"/>
      <c r="R601" s="156" t="n"/>
      <c r="S601" s="156" t="n"/>
      <c r="T601" s="156" t="n"/>
      <c r="U601" s="156" t="n"/>
      <c r="V601" s="156" t="inlineStr">
        <is>
          <t>PZS</t>
        </is>
      </c>
      <c r="W601" s="51" t="inlineStr">
        <is>
          <t>53103000</t>
        </is>
      </c>
      <c r="X601" s="156" t="n"/>
      <c r="Y601" s="54" t="n">
        <v>28.6</v>
      </c>
      <c r="Z601" s="54" t="n">
        <v>2499</v>
      </c>
      <c r="AA601" s="55">
        <f>IF(AND(A601="", B601="", E601=""), "", IF(AB601="", "Válido", IF((LEN(AB601)-LEN(SUBSTITUTE(AB601,"; ","")))/2+1&gt;(LEN(AB601)-LEN(SUBSTITUTE(AB601,"[Aviso]","")))/7, "Con Incidencias", "Válido")))</f>
        <v/>
      </c>
      <c r="AB601" s="56">
        <f>IF(AND(A601="", B601="", E601=""), "", TEXTJOIN("; ", TRUE, IF(OR(TRIM(A601&amp;"")="", ISNUMBER(SEARCH("FALTA", A601))), "UPC faltante/inválido", ""), IF(AND(A601&lt;&gt;"", IFERROR(_xlfn.XMATCH(A601,$A$2:$A$653,0,1)&lt;&gt;_xlfn.XMATCH(A601,$A$2:$A$653,0,-1),FALSE)), "Código de barras duplicado", ""), IF(AND(E601&lt;&gt;"", COUNTIF($E$2:$E$653, E601)&gt;1), "SKU duplicado", ""), IF(OR(J601="", J601=""), "[Aviso] División no capturada ()", IF(ISNA(MATCH(J601, Criterios!$A$123:$A$126, 0)), "División no válida", "")), IF(OR(K601="", K601=""), "[Aviso] Categoría no capturada ()", IF(ISNA(MATCH(K601, Criterios!$A$81:$A$120, 0)), "Categoría no válida", IF(AND(J601&lt;&gt;"", J601&lt;&gt;"", J601&lt;&gt;VLOOKUP(K601, Criterios!$A$81:$B$120, 2, FALSE)), "División no coincide con Categoría", ""))), IF(OR(L601="", L601=""), "[Aviso] Género no capturado ()", IF(ISNA(MATCH(L601, Criterios!$B$123:$B$127, 0)), "Género no válido", "")), IF(OR(N601="", N601=""), "[Aviso] Temporada no capturada ()", IF(ISNA(MATCH(N601, Criterios!$C$123:$C$128, 0)), "Temporada no válida", "")), IF(OR(O601="", O601=""), "[Aviso] Ciclo de vida no capturado ()", IF(ISNA(MATCH(O601, Criterios!$D$123:$D$124, 0)), "Ciclo de vida no válido", ""))))</f>
        <v/>
      </c>
      <c r="AC601" s="56" t="n"/>
      <c r="AD601" s="51" t="n">
        <v>0</v>
      </c>
      <c r="AE601" s="156" t="n"/>
      <c r="AF601" s="51" t="n">
        <v>0</v>
      </c>
      <c r="AG601" s="156" t="inlineStr">
        <is>
          <t>Nuevo – NetSuite sin existencia</t>
        </is>
      </c>
      <c r="AH60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01" s="156" t="inlineStr">
        <is>
          <t>No</t>
        </is>
      </c>
      <c r="AJ601" s="156" t="n"/>
      <c r="AK601" s="155" t="inlineStr">
        <is>
          <t>G1522_Extraccion_Articulos_NetSuite_2026-09-30.xlsx: fila 52710</t>
        </is>
      </c>
      <c r="AL601" s="58" t="n"/>
      <c r="AM601" s="58" t="n"/>
      <c r="AN601" s="155" t="n"/>
      <c r="AO601" s="59" t="n"/>
      <c r="AP601" s="59" t="n"/>
      <c r="AQ601" s="59" t="n"/>
      <c r="AR601" s="155" t="n"/>
    </row>
    <row r="602">
      <c r="A602" s="50" t="inlineStr">
        <is>
          <t>5056658756405</t>
        </is>
      </c>
      <c r="B602" s="51" t="inlineStr">
        <is>
          <t>103991</t>
        </is>
      </c>
      <c r="C602" s="156" t="inlineStr">
        <is>
          <t>REFLO</t>
        </is>
      </c>
      <c r="D602" s="156" t="n"/>
      <c r="E602" s="156" t="n"/>
      <c r="F602" s="156" t="n"/>
      <c r="G602" s="156" t="n"/>
      <c r="H602" s="156" t="inlineStr">
        <is>
          <t>REFLO</t>
        </is>
      </c>
      <c r="I602" s="156" t="n"/>
      <c r="J602" s="156" t="n"/>
      <c r="K602" s="156" t="n"/>
      <c r="L602" s="156" t="n"/>
      <c r="M602" s="156" t="n"/>
      <c r="N602" s="156" t="n"/>
      <c r="O602" s="156" t="n"/>
      <c r="P602" s="156" t="n"/>
      <c r="Q602" s="156" t="n"/>
      <c r="R602" s="156" t="n"/>
      <c r="S602" s="156" t="n"/>
      <c r="T602" s="156" t="n"/>
      <c r="U602" s="156" t="n"/>
      <c r="V602" s="156" t="inlineStr">
        <is>
          <t>PZS</t>
        </is>
      </c>
      <c r="W602" s="51" t="inlineStr">
        <is>
          <t>53103000</t>
        </is>
      </c>
      <c r="X602" s="156" t="n"/>
      <c r="Y602" s="54" t="n">
        <v>20.61</v>
      </c>
      <c r="Z602" s="54" t="n">
        <v>1799</v>
      </c>
      <c r="AA602" s="55">
        <f>IF(AND(A602="", B602="", E602=""), "", IF(AB602="", "Válido", IF((LEN(AB602)-LEN(SUBSTITUTE(AB602,"; ","")))/2+1&gt;(LEN(AB602)-LEN(SUBSTITUTE(AB602,"[Aviso]","")))/7, "Con Incidencias", "Válido")))</f>
        <v/>
      </c>
      <c r="AB602" s="56">
        <f>IF(AND(A602="", B602="", E602=""), "", TEXTJOIN("; ", TRUE, IF(OR(TRIM(A602&amp;"")="", ISNUMBER(SEARCH("FALTA", A602))), "UPC faltante/inválido", ""), IF(AND(A602&lt;&gt;"", IFERROR(_xlfn.XMATCH(A602,$A$2:$A$653,0,1)&lt;&gt;_xlfn.XMATCH(A602,$A$2:$A$653,0,-1),FALSE)), "Código de barras duplicado", ""), IF(AND(E602&lt;&gt;"", COUNTIF($E$2:$E$653, E602)&gt;1), "SKU duplicado", ""), IF(OR(J602="", J602=""), "[Aviso] División no capturada ()", IF(ISNA(MATCH(J602, Criterios!$A$123:$A$126, 0)), "División no válida", "")), IF(OR(K602="", K602=""), "[Aviso] Categoría no capturada ()", IF(ISNA(MATCH(K602, Criterios!$A$81:$A$120, 0)), "Categoría no válida", IF(AND(J602&lt;&gt;"", J602&lt;&gt;"", J602&lt;&gt;VLOOKUP(K602, Criterios!$A$81:$B$120, 2, FALSE)), "División no coincide con Categoría", ""))), IF(OR(L602="", L602=""), "[Aviso] Género no capturado ()", IF(ISNA(MATCH(L602, Criterios!$B$123:$B$127, 0)), "Género no válido", "")), IF(OR(N602="", N602=""), "[Aviso] Temporada no capturada ()", IF(ISNA(MATCH(N602, Criterios!$C$123:$C$128, 0)), "Temporada no válida", "")), IF(OR(O602="", O602=""), "[Aviso] Ciclo de vida no capturado ()", IF(ISNA(MATCH(O602, Criterios!$D$123:$D$124, 0)), "Ciclo de vida no válido", ""))))</f>
        <v/>
      </c>
      <c r="AC602" s="56" t="n"/>
      <c r="AD602" s="51" t="n">
        <v>0</v>
      </c>
      <c r="AE602" s="156" t="n"/>
      <c r="AF602" s="51" t="n">
        <v>0</v>
      </c>
      <c r="AG602" s="156" t="inlineStr">
        <is>
          <t>Nuevo – NetSuite sin existencia</t>
        </is>
      </c>
      <c r="AH60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02" s="156" t="inlineStr">
        <is>
          <t>No</t>
        </is>
      </c>
      <c r="AJ602" s="156" t="n"/>
      <c r="AK602" s="155" t="inlineStr">
        <is>
          <t>G1522_Extraccion_Articulos_NetSuite_2026-09-30.xlsx: fila 52711</t>
        </is>
      </c>
      <c r="AL602" s="58" t="n"/>
      <c r="AM602" s="58" t="n"/>
      <c r="AN602" s="155" t="n"/>
      <c r="AO602" s="59" t="n"/>
      <c r="AP602" s="59" t="n"/>
      <c r="AQ602" s="59" t="n"/>
      <c r="AR602" s="155" t="n"/>
    </row>
    <row r="603">
      <c r="A603" s="50" t="inlineStr">
        <is>
          <t>5056658756412</t>
        </is>
      </c>
      <c r="B603" s="51" t="inlineStr">
        <is>
          <t>103992</t>
        </is>
      </c>
      <c r="C603" s="156" t="inlineStr">
        <is>
          <t>REFLO</t>
        </is>
      </c>
      <c r="D603" s="156" t="n"/>
      <c r="E603" s="156" t="n"/>
      <c r="F603" s="156" t="n"/>
      <c r="G603" s="156" t="n"/>
      <c r="H603" s="156" t="inlineStr">
        <is>
          <t>REFLO</t>
        </is>
      </c>
      <c r="I603" s="156" t="n"/>
      <c r="J603" s="156" t="n"/>
      <c r="K603" s="156" t="n"/>
      <c r="L603" s="156" t="n"/>
      <c r="M603" s="156" t="n"/>
      <c r="N603" s="156" t="n"/>
      <c r="O603" s="156" t="n"/>
      <c r="P603" s="156" t="n"/>
      <c r="Q603" s="156" t="n"/>
      <c r="R603" s="156" t="n"/>
      <c r="S603" s="156" t="n"/>
      <c r="T603" s="156" t="n"/>
      <c r="U603" s="156" t="n"/>
      <c r="V603" s="156" t="inlineStr">
        <is>
          <t>PZS</t>
        </is>
      </c>
      <c r="W603" s="51" t="inlineStr">
        <is>
          <t>53103000</t>
        </is>
      </c>
      <c r="X603" s="156" t="n"/>
      <c r="Y603" s="54" t="n">
        <v>20.61</v>
      </c>
      <c r="Z603" s="54" t="n">
        <v>1799</v>
      </c>
      <c r="AA603" s="55">
        <f>IF(AND(A603="", B603="", E603=""), "", IF(AB603="", "Válido", IF((LEN(AB603)-LEN(SUBSTITUTE(AB603,"; ","")))/2+1&gt;(LEN(AB603)-LEN(SUBSTITUTE(AB603,"[Aviso]","")))/7, "Con Incidencias", "Válido")))</f>
        <v/>
      </c>
      <c r="AB603" s="56">
        <f>IF(AND(A603="", B603="", E603=""), "", TEXTJOIN("; ", TRUE, IF(OR(TRIM(A603&amp;"")="", ISNUMBER(SEARCH("FALTA", A603))), "UPC faltante/inválido", ""), IF(AND(A603&lt;&gt;"", IFERROR(_xlfn.XMATCH(A603,$A$2:$A$653,0,1)&lt;&gt;_xlfn.XMATCH(A603,$A$2:$A$653,0,-1),FALSE)), "Código de barras duplicado", ""), IF(AND(E603&lt;&gt;"", COUNTIF($E$2:$E$653, E603)&gt;1), "SKU duplicado", ""), IF(OR(J603="", J603=""), "[Aviso] División no capturada ()", IF(ISNA(MATCH(J603, Criterios!$A$123:$A$126, 0)), "División no válida", "")), IF(OR(K603="", K603=""), "[Aviso] Categoría no capturada ()", IF(ISNA(MATCH(K603, Criterios!$A$81:$A$120, 0)), "Categoría no válida", IF(AND(J603&lt;&gt;"", J603&lt;&gt;"", J603&lt;&gt;VLOOKUP(K603, Criterios!$A$81:$B$120, 2, FALSE)), "División no coincide con Categoría", ""))), IF(OR(L603="", L603=""), "[Aviso] Género no capturado ()", IF(ISNA(MATCH(L603, Criterios!$B$123:$B$127, 0)), "Género no válido", "")), IF(OR(N603="", N603=""), "[Aviso] Temporada no capturada ()", IF(ISNA(MATCH(N603, Criterios!$C$123:$C$128, 0)), "Temporada no válida", "")), IF(OR(O603="", O603=""), "[Aviso] Ciclo de vida no capturado ()", IF(ISNA(MATCH(O603, Criterios!$D$123:$D$124, 0)), "Ciclo de vida no válido", ""))))</f>
        <v/>
      </c>
      <c r="AC603" s="56" t="n"/>
      <c r="AD603" s="51" t="n">
        <v>0</v>
      </c>
      <c r="AE603" s="156" t="n"/>
      <c r="AF603" s="51" t="n">
        <v>0</v>
      </c>
      <c r="AG603" s="156" t="inlineStr">
        <is>
          <t>Nuevo – NetSuite sin existencia</t>
        </is>
      </c>
      <c r="AH60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03" s="156" t="inlineStr">
        <is>
          <t>No</t>
        </is>
      </c>
      <c r="AJ603" s="156" t="n"/>
      <c r="AK603" s="155" t="inlineStr">
        <is>
          <t>G1522_Extraccion_Articulos_NetSuite_2026-09-30.xlsx: fila 52712</t>
        </is>
      </c>
      <c r="AL603" s="58" t="n"/>
      <c r="AM603" s="58" t="n"/>
      <c r="AN603" s="155" t="n"/>
      <c r="AO603" s="59" t="n"/>
      <c r="AP603" s="59" t="n"/>
      <c r="AQ603" s="59" t="n"/>
      <c r="AR603" s="155" t="n"/>
    </row>
    <row r="604">
      <c r="A604" s="50" t="inlineStr">
        <is>
          <t>5056658756467</t>
        </is>
      </c>
      <c r="B604" s="51" t="inlineStr">
        <is>
          <t>103993</t>
        </is>
      </c>
      <c r="C604" s="156" t="inlineStr">
        <is>
          <t>REFLO</t>
        </is>
      </c>
      <c r="D604" s="156" t="n"/>
      <c r="E604" s="156" t="n"/>
      <c r="F604" s="156" t="inlineStr">
        <is>
          <t>M</t>
        </is>
      </c>
      <c r="G604" s="156" t="inlineStr">
        <is>
          <t>M</t>
        </is>
      </c>
      <c r="H604" s="156" t="inlineStr">
        <is>
          <t>REFLO</t>
        </is>
      </c>
      <c r="I604" s="156" t="inlineStr">
        <is>
          <t>Nissan Formula E Replica Men's T-Shirt - Season 12</t>
        </is>
      </c>
      <c r="J604" s="156" t="inlineStr">
        <is>
          <t>Ropa</t>
        </is>
      </c>
      <c r="K604" s="156" t="inlineStr">
        <is>
          <t>Playeras</t>
        </is>
      </c>
      <c r="L604" s="156" t="inlineStr">
        <is>
          <t>Hombre</t>
        </is>
      </c>
      <c r="M604" s="156" t="n"/>
      <c r="N604" s="156" t="n"/>
      <c r="O604" s="156" t="n"/>
      <c r="P604" s="156" t="inlineStr">
        <is>
          <t>Rojo</t>
        </is>
      </c>
      <c r="Q604" s="156" t="n"/>
      <c r="R604" s="156" t="n"/>
      <c r="S604" s="156" t="n"/>
      <c r="T604" s="156" t="n"/>
      <c r="U604" s="156" t="n"/>
      <c r="V604" s="156" t="inlineStr">
        <is>
          <t>PZS</t>
        </is>
      </c>
      <c r="W604" s="51" t="inlineStr">
        <is>
          <t>53103000</t>
        </is>
      </c>
      <c r="X604" s="156" t="inlineStr">
        <is>
          <t>https://cdn.shopify.com/s/files/1/0589/6500/0397/files/NissanS12-Tshirt-1.jpg?v=1785919719</t>
        </is>
      </c>
      <c r="Y604" s="54" t="n">
        <v>20.61</v>
      </c>
      <c r="Z604" s="54" t="n">
        <v>1799</v>
      </c>
      <c r="AA604" s="55">
        <f>IF(AND(A604="", B604="", E604=""), "", IF(AB604="", "Válido", IF((LEN(AB604)-LEN(SUBSTITUTE(AB604,"; ","")))/2+1&gt;(LEN(AB604)-LEN(SUBSTITUTE(AB604,"[Aviso]","")))/7, "Con Incidencias", "Válido")))</f>
        <v/>
      </c>
      <c r="AB604" s="56">
        <f>IF(AND(A604="", B604="", E604=""), "", TEXTJOIN("; ", TRUE, IF(OR(TRIM(A604&amp;"")="", ISNUMBER(SEARCH("FALTA", A604))), "UPC faltante/inválido", ""), IF(AND(A604&lt;&gt;"", IFERROR(_xlfn.XMATCH(A604,$A$2:$A$653,0,1)&lt;&gt;_xlfn.XMATCH(A604,$A$2:$A$653,0,-1),FALSE)), "Código de barras duplicado", ""), IF(AND(E604&lt;&gt;"", COUNTIF($E$2:$E$653, E604)&gt;1), "SKU duplicado", ""), IF(OR(J604="", J604=""), "[Aviso] División no capturada ()", IF(ISNA(MATCH(J604, Criterios!$A$123:$A$126, 0)), "División no válida", "")), IF(OR(K604="", K604=""), "[Aviso] Categoría no capturada ()", IF(ISNA(MATCH(K604, Criterios!$A$81:$A$120, 0)), "Categoría no válida", IF(AND(J604&lt;&gt;"", J604&lt;&gt;"", J604&lt;&gt;VLOOKUP(K604, Criterios!$A$81:$B$120, 2, FALSE)), "División no coincide con Categoría", ""))), IF(OR(L604="", L604=""), "[Aviso] Género no capturado ()", IF(ISNA(MATCH(L604, Criterios!$B$123:$B$127, 0)), "Género no válido", "")), IF(OR(N604="", N604=""), "[Aviso] Temporada no capturada ()", IF(ISNA(MATCH(N604, Criterios!$C$123:$C$128, 0)), "Temporada no válida", "")), IF(OR(O604="", O604=""), "[Aviso] Ciclo de vida no capturado ()", IF(ISNA(MATCH(O604, Criterios!$D$123:$D$124, 0)), "Ciclo de vida no válido", ""))))</f>
        <v/>
      </c>
      <c r="AC604" s="56" t="n"/>
      <c r="AD604" s="51" t="n">
        <v>-6</v>
      </c>
      <c r="AE604" s="156" t="n"/>
      <c r="AF604" s="51" t="n">
        <v>0</v>
      </c>
      <c r="AG604" s="156" t="inlineStr">
        <is>
          <t>Nuevo – NetSuite sin existencia</t>
        </is>
      </c>
      <c r="AH604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«Hombre» (Completado por investigación en línea) · Enlace de imagen: «» → «https://cdn.shopify.com/s/files/1/0589/6500/0397/files/NissanS12-Tshirt-1.jpg?v=1785919719» (Completado por investigación en línea) · WB Color: «» → «Rojo» (Completado por investigación en línea) · WB Talla: «» → «M» (Completado por investigación en línea) · WB Talla de EE. UU.: «» → «M» (Completado por investigación en línea) · WB Descripcion: «» → «Nissan Formula E Replica Men's T-Shirt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04" s="156" t="inlineStr">
        <is>
          <t>No</t>
        </is>
      </c>
      <c r="AJ604" s="156" t="n"/>
      <c r="AK604" s="155" t="inlineStr">
        <is>
          <t>G1522_Extraccion_Articulos_NetSuite_2026-09-30.xlsx: fila 52713 | Investigación en línea 06/10/2026: https://reflo.com/products/nissan-formula-e-replica-short-sleeve-t-shirt-red</t>
        </is>
      </c>
      <c r="AL604" s="58" t="n"/>
      <c r="AM604" s="58" t="n"/>
      <c r="AN604" s="155" t="n"/>
      <c r="AO604" s="59" t="n"/>
      <c r="AP604" s="59" t="n"/>
      <c r="AQ604" s="59" t="n"/>
      <c r="AR604" s="155" t="n"/>
    </row>
    <row r="605">
      <c r="A605" s="50" t="inlineStr">
        <is>
          <t>5056658756474</t>
        </is>
      </c>
      <c r="B605" s="51" t="inlineStr">
        <is>
          <t>103994</t>
        </is>
      </c>
      <c r="C605" s="156" t="inlineStr">
        <is>
          <t>REFLO</t>
        </is>
      </c>
      <c r="D605" s="156" t="n"/>
      <c r="E605" s="156" t="n"/>
      <c r="F605" s="156" t="inlineStr">
        <is>
          <t>L</t>
        </is>
      </c>
      <c r="G605" s="156" t="inlineStr">
        <is>
          <t>L</t>
        </is>
      </c>
      <c r="H605" s="156" t="inlineStr">
        <is>
          <t>REFLO</t>
        </is>
      </c>
      <c r="I605" s="156" t="inlineStr">
        <is>
          <t>Nissan Formula E Replica Men's T-Shirt - Season 12</t>
        </is>
      </c>
      <c r="J605" s="156" t="inlineStr">
        <is>
          <t>Ropa</t>
        </is>
      </c>
      <c r="K605" s="156" t="inlineStr">
        <is>
          <t>Playeras</t>
        </is>
      </c>
      <c r="L605" s="156" t="inlineStr">
        <is>
          <t>Hombre</t>
        </is>
      </c>
      <c r="M605" s="156" t="n"/>
      <c r="N605" s="156" t="n"/>
      <c r="O605" s="156" t="n"/>
      <c r="P605" s="156" t="inlineStr">
        <is>
          <t>Rojo</t>
        </is>
      </c>
      <c r="Q605" s="156" t="n"/>
      <c r="R605" s="156" t="n"/>
      <c r="S605" s="156" t="n"/>
      <c r="T605" s="156" t="n"/>
      <c r="U605" s="156" t="n"/>
      <c r="V605" s="156" t="inlineStr">
        <is>
          <t>PZS</t>
        </is>
      </c>
      <c r="W605" s="51" t="inlineStr">
        <is>
          <t>53103000</t>
        </is>
      </c>
      <c r="X605" s="156" t="inlineStr">
        <is>
          <t>https://cdn.shopify.com/s/files/1/0589/6500/0397/files/NissanS12-Tshirt-1.jpg?v=1785919719</t>
        </is>
      </c>
      <c r="Y605" s="54" t="n">
        <v>20.61</v>
      </c>
      <c r="Z605" s="54" t="n">
        <v>1799</v>
      </c>
      <c r="AA605" s="55">
        <f>IF(AND(A605="", B605="", E605=""), "", IF(AB605="", "Válido", IF((LEN(AB605)-LEN(SUBSTITUTE(AB605,"; ","")))/2+1&gt;(LEN(AB605)-LEN(SUBSTITUTE(AB605,"[Aviso]","")))/7, "Con Incidencias", "Válido")))</f>
        <v/>
      </c>
      <c r="AB605" s="56">
        <f>IF(AND(A605="", B605="", E605=""), "", TEXTJOIN("; ", TRUE, IF(OR(TRIM(A605&amp;"")="", ISNUMBER(SEARCH("FALTA", A605))), "UPC faltante/inválido", ""), IF(AND(A605&lt;&gt;"", IFERROR(_xlfn.XMATCH(A605,$A$2:$A$653,0,1)&lt;&gt;_xlfn.XMATCH(A605,$A$2:$A$653,0,-1),FALSE)), "Código de barras duplicado", ""), IF(AND(E605&lt;&gt;"", COUNTIF($E$2:$E$653, E605)&gt;1), "SKU duplicado", ""), IF(OR(J605="", J605=""), "[Aviso] División no capturada ()", IF(ISNA(MATCH(J605, Criterios!$A$123:$A$126, 0)), "División no válida", "")), IF(OR(K605="", K605=""), "[Aviso] Categoría no capturada ()", IF(ISNA(MATCH(K605, Criterios!$A$81:$A$120, 0)), "Categoría no válida", IF(AND(J605&lt;&gt;"", J605&lt;&gt;"", J605&lt;&gt;VLOOKUP(K605, Criterios!$A$81:$B$120, 2, FALSE)), "División no coincide con Categoría", ""))), IF(OR(L605="", L605=""), "[Aviso] Género no capturado ()", IF(ISNA(MATCH(L605, Criterios!$B$123:$B$127, 0)), "Género no válido", "")), IF(OR(N605="", N605=""), "[Aviso] Temporada no capturada ()", IF(ISNA(MATCH(N605, Criterios!$C$123:$C$128, 0)), "Temporada no válida", "")), IF(OR(O605="", O605=""), "[Aviso] Ciclo de vida no capturado ()", IF(ISNA(MATCH(O605, Criterios!$D$123:$D$124, 0)), "Ciclo de vida no válido", ""))))</f>
        <v/>
      </c>
      <c r="AC605" s="56" t="n"/>
      <c r="AD605" s="51" t="n">
        <v>0</v>
      </c>
      <c r="AE605" s="156" t="n"/>
      <c r="AF605" s="51" t="n">
        <v>0</v>
      </c>
      <c r="AG605" s="156" t="inlineStr">
        <is>
          <t>Nuevo – NetSuite sin existencia</t>
        </is>
      </c>
      <c r="AH605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«Hombre» (Completado por investigación en línea) · Enlace de imagen: «» → «https://cdn.shopify.com/s/files/1/0589/6500/0397/files/NissanS12-Tshirt-1.jpg?v=1785919719» (Completado por investigación en línea) · WB Color: «» → «Rojo» (Completado por investigación en línea) · WB Talla: «» → «L» (Completado por investigación en línea) · WB Talla de EE. UU.: «» → «L» (Completado por investigación en línea) · WB Descripcion: «» → «Nissan Formula E Replica Men's T-Shirt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05" s="156" t="inlineStr">
        <is>
          <t>No</t>
        </is>
      </c>
      <c r="AJ605" s="156" t="n"/>
      <c r="AK605" s="155" t="inlineStr">
        <is>
          <t>G1522_Extraccion_Articulos_NetSuite_2026-09-30.xlsx: fila 52714 | Investigación en línea 06/10/2026: https://reflo.com/products/nissan-formula-e-replica-short-sleeve-t-shirt-red</t>
        </is>
      </c>
      <c r="AL605" s="58" t="n"/>
      <c r="AM605" s="58" t="n"/>
      <c r="AN605" s="155" t="n"/>
      <c r="AO605" s="59" t="n"/>
      <c r="AP605" s="59" t="n"/>
      <c r="AQ605" s="59" t="n"/>
      <c r="AR605" s="155" t="n"/>
    </row>
    <row r="606">
      <c r="A606" s="50" t="inlineStr">
        <is>
          <t>5056658756481</t>
        </is>
      </c>
      <c r="B606" s="51" t="inlineStr">
        <is>
          <t>103995</t>
        </is>
      </c>
      <c r="C606" s="156" t="inlineStr">
        <is>
          <t>REFLO</t>
        </is>
      </c>
      <c r="D606" s="156" t="n"/>
      <c r="E606" s="156" t="n"/>
      <c r="F606" s="156" t="inlineStr">
        <is>
          <t>XL</t>
        </is>
      </c>
      <c r="G606" s="156" t="inlineStr">
        <is>
          <t>XL</t>
        </is>
      </c>
      <c r="H606" s="156" t="inlineStr">
        <is>
          <t>REFLO</t>
        </is>
      </c>
      <c r="I606" s="156" t="inlineStr">
        <is>
          <t>Nissan Formula E Replica Men's T-Shirt - Season 12</t>
        </is>
      </c>
      <c r="J606" s="156" t="inlineStr">
        <is>
          <t>Ropa</t>
        </is>
      </c>
      <c r="K606" s="156" t="inlineStr">
        <is>
          <t>Playeras</t>
        </is>
      </c>
      <c r="L606" s="156" t="inlineStr">
        <is>
          <t>Hombre</t>
        </is>
      </c>
      <c r="M606" s="156" t="n"/>
      <c r="N606" s="156" t="n"/>
      <c r="O606" s="156" t="n"/>
      <c r="P606" s="156" t="inlineStr">
        <is>
          <t>Rojo</t>
        </is>
      </c>
      <c r="Q606" s="156" t="n"/>
      <c r="R606" s="156" t="n"/>
      <c r="S606" s="156" t="n"/>
      <c r="T606" s="156" t="n"/>
      <c r="U606" s="156" t="n"/>
      <c r="V606" s="156" t="inlineStr">
        <is>
          <t>PZS</t>
        </is>
      </c>
      <c r="W606" s="51" t="inlineStr">
        <is>
          <t>53103000</t>
        </is>
      </c>
      <c r="X606" s="156" t="inlineStr">
        <is>
          <t>https://cdn.shopify.com/s/files/1/0589/6500/0397/files/NissanS12-Tshirt-1.jpg?v=1785919719</t>
        </is>
      </c>
      <c r="Y606" s="54" t="n">
        <v>20.61</v>
      </c>
      <c r="Z606" s="54" t="n">
        <v>1799</v>
      </c>
      <c r="AA606" s="55">
        <f>IF(AND(A606="", B606="", E606=""), "", IF(AB606="", "Válido", IF((LEN(AB606)-LEN(SUBSTITUTE(AB606,"; ","")))/2+1&gt;(LEN(AB606)-LEN(SUBSTITUTE(AB606,"[Aviso]","")))/7, "Con Incidencias", "Válido")))</f>
        <v/>
      </c>
      <c r="AB606" s="56">
        <f>IF(AND(A606="", B606="", E606=""), "", TEXTJOIN("; ", TRUE, IF(OR(TRIM(A606&amp;"")="", ISNUMBER(SEARCH("FALTA", A606))), "UPC faltante/inválido", ""), IF(AND(A606&lt;&gt;"", IFERROR(_xlfn.XMATCH(A606,$A$2:$A$653,0,1)&lt;&gt;_xlfn.XMATCH(A606,$A$2:$A$653,0,-1),FALSE)), "Código de barras duplicado", ""), IF(AND(E606&lt;&gt;"", COUNTIF($E$2:$E$653, E606)&gt;1), "SKU duplicado", ""), IF(OR(J606="", J606=""), "[Aviso] División no capturada ()", IF(ISNA(MATCH(J606, Criterios!$A$123:$A$126, 0)), "División no válida", "")), IF(OR(K606="", K606=""), "[Aviso] Categoría no capturada ()", IF(ISNA(MATCH(K606, Criterios!$A$81:$A$120, 0)), "Categoría no válida", IF(AND(J606&lt;&gt;"", J606&lt;&gt;"", J606&lt;&gt;VLOOKUP(K606, Criterios!$A$81:$B$120, 2, FALSE)), "División no coincide con Categoría", ""))), IF(OR(L606="", L606=""), "[Aviso] Género no capturado ()", IF(ISNA(MATCH(L606, Criterios!$B$123:$B$127, 0)), "Género no válido", "")), IF(OR(N606="", N606=""), "[Aviso] Temporada no capturada ()", IF(ISNA(MATCH(N606, Criterios!$C$123:$C$128, 0)), "Temporada no válida", "")), IF(OR(O606="", O606=""), "[Aviso] Ciclo de vida no capturado ()", IF(ISNA(MATCH(O606, Criterios!$D$123:$D$124, 0)), "Ciclo de vida no válido", ""))))</f>
        <v/>
      </c>
      <c r="AC606" s="56" t="n"/>
      <c r="AD606" s="51" t="n">
        <v>0</v>
      </c>
      <c r="AE606" s="156" t="n"/>
      <c r="AF606" s="51" t="n">
        <v>0</v>
      </c>
      <c r="AG606" s="156" t="inlineStr">
        <is>
          <t>Nuevo – NetSuite sin existencia</t>
        </is>
      </c>
      <c r="AH606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«Hombre» (Completado por investigación en línea) · Enlace de imagen: «» → «https://cdn.shopify.com/s/files/1/0589/6500/0397/files/NissanS12-Tshirt-1.jpg?v=1785919719» (Completado por investigación en línea) · WB Color: «» → «Rojo» (Completado por investigación en línea) · WB Talla: «» → «XL» (Completado por investigación en línea) · WB Talla de EE. UU.: «» → «XL» (Completado por investigación en línea) · WB Descripcion: «» → «Nissan Formula E Replica Men's T-Shirt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06" s="156" t="inlineStr">
        <is>
          <t>No</t>
        </is>
      </c>
      <c r="AJ606" s="156" t="n"/>
      <c r="AK606" s="155" t="inlineStr">
        <is>
          <t>G1522_Extraccion_Articulos_NetSuite_2026-09-30.xlsx: fila 52715 | Investigación en línea 06/10/2026: https://reflo.com/products/nissan-formula-e-replica-short-sleeve-t-shirt-red</t>
        </is>
      </c>
      <c r="AL606" s="58" t="n"/>
      <c r="AM606" s="58" t="n"/>
      <c r="AN606" s="155" t="n"/>
      <c r="AO606" s="59" t="n"/>
      <c r="AP606" s="59" t="n"/>
      <c r="AQ606" s="59" t="n"/>
      <c r="AR606" s="155" t="n"/>
    </row>
    <row r="607">
      <c r="A607" s="50" t="inlineStr">
        <is>
          <t>5056658756498</t>
        </is>
      </c>
      <c r="B607" s="51" t="inlineStr">
        <is>
          <t>103996</t>
        </is>
      </c>
      <c r="C607" s="156" t="inlineStr">
        <is>
          <t>REFLO</t>
        </is>
      </c>
      <c r="D607" s="156" t="n"/>
      <c r="E607" s="156" t="n"/>
      <c r="F607" s="156" t="inlineStr">
        <is>
          <t>XXL</t>
        </is>
      </c>
      <c r="G607" s="156" t="inlineStr">
        <is>
          <t>XXL</t>
        </is>
      </c>
      <c r="H607" s="156" t="inlineStr">
        <is>
          <t>REFLO</t>
        </is>
      </c>
      <c r="I607" s="156" t="inlineStr">
        <is>
          <t>Nissan Formula E Replica Men's T-Shirt - Season 12</t>
        </is>
      </c>
      <c r="J607" s="156" t="inlineStr">
        <is>
          <t>Ropa</t>
        </is>
      </c>
      <c r="K607" s="156" t="inlineStr">
        <is>
          <t>Playeras</t>
        </is>
      </c>
      <c r="L607" s="156" t="inlineStr">
        <is>
          <t>Hombre</t>
        </is>
      </c>
      <c r="M607" s="156" t="n"/>
      <c r="N607" s="156" t="n"/>
      <c r="O607" s="156" t="n"/>
      <c r="P607" s="156" t="inlineStr">
        <is>
          <t>Rojo</t>
        </is>
      </c>
      <c r="Q607" s="156" t="n"/>
      <c r="R607" s="156" t="n"/>
      <c r="S607" s="156" t="n"/>
      <c r="T607" s="156" t="n"/>
      <c r="U607" s="156" t="n"/>
      <c r="V607" s="156" t="inlineStr">
        <is>
          <t>PZS</t>
        </is>
      </c>
      <c r="W607" s="51" t="inlineStr">
        <is>
          <t>53103000</t>
        </is>
      </c>
      <c r="X607" s="156" t="inlineStr">
        <is>
          <t>https://cdn.shopify.com/s/files/1/0589/6500/0397/files/NissanS12-Tshirt-1.jpg?v=1785919719</t>
        </is>
      </c>
      <c r="Y607" s="54" t="n">
        <v>20.61</v>
      </c>
      <c r="Z607" s="54" t="n">
        <v>1799</v>
      </c>
      <c r="AA607" s="55">
        <f>IF(AND(A607="", B607="", E607=""), "", IF(AB607="", "Válido", IF((LEN(AB607)-LEN(SUBSTITUTE(AB607,"; ","")))/2+1&gt;(LEN(AB607)-LEN(SUBSTITUTE(AB607,"[Aviso]","")))/7, "Con Incidencias", "Válido")))</f>
        <v/>
      </c>
      <c r="AB607" s="56">
        <f>IF(AND(A607="", B607="", E607=""), "", TEXTJOIN("; ", TRUE, IF(OR(TRIM(A607&amp;"")="", ISNUMBER(SEARCH("FALTA", A607))), "UPC faltante/inválido", ""), IF(AND(A607&lt;&gt;"", IFERROR(_xlfn.XMATCH(A607,$A$2:$A$653,0,1)&lt;&gt;_xlfn.XMATCH(A607,$A$2:$A$653,0,-1),FALSE)), "Código de barras duplicado", ""), IF(AND(E607&lt;&gt;"", COUNTIF($E$2:$E$653, E607)&gt;1), "SKU duplicado", ""), IF(OR(J607="", J607=""), "[Aviso] División no capturada ()", IF(ISNA(MATCH(J607, Criterios!$A$123:$A$126, 0)), "División no válida", "")), IF(OR(K607="", K607=""), "[Aviso] Categoría no capturada ()", IF(ISNA(MATCH(K607, Criterios!$A$81:$A$120, 0)), "Categoría no válida", IF(AND(J607&lt;&gt;"", J607&lt;&gt;"", J607&lt;&gt;VLOOKUP(K607, Criterios!$A$81:$B$120, 2, FALSE)), "División no coincide con Categoría", ""))), IF(OR(L607="", L607=""), "[Aviso] Género no capturado ()", IF(ISNA(MATCH(L607, Criterios!$B$123:$B$127, 0)), "Género no válido", "")), IF(OR(N607="", N607=""), "[Aviso] Temporada no capturada ()", IF(ISNA(MATCH(N607, Criterios!$C$123:$C$128, 0)), "Temporada no válida", "")), IF(OR(O607="", O607=""), "[Aviso] Ciclo de vida no capturado ()", IF(ISNA(MATCH(O607, Criterios!$D$123:$D$124, 0)), "Ciclo de vida no válido", ""))))</f>
        <v/>
      </c>
      <c r="AC607" s="56" t="n"/>
      <c r="AD607" s="51" t="n">
        <v>0</v>
      </c>
      <c r="AE607" s="156" t="n"/>
      <c r="AF607" s="51" t="n">
        <v>0</v>
      </c>
      <c r="AG607" s="156" t="inlineStr">
        <is>
          <t>Nuevo – NetSuite sin existencia</t>
        </is>
      </c>
      <c r="AH607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«Hombre» (Completado por investigación en línea) · Enlace de imagen: «» → «https://cdn.shopify.com/s/files/1/0589/6500/0397/files/NissanS12-Tshirt-1.jpg?v=1785919719» (Completado por investigación en línea) · WB Color: «» → «Rojo» (Completado por investigación en línea) · WB Talla: «» → «XXL» (Completado por investigación en línea) · WB Talla de EE. UU.: «» → «XXL» (Completado por investigación en línea) · WB Descripcion: «» → «Nissan Formula E Replica Men's T-Shirt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07" s="156" t="inlineStr">
        <is>
          <t>No</t>
        </is>
      </c>
      <c r="AJ607" s="156" t="n"/>
      <c r="AK607" s="155" t="inlineStr">
        <is>
          <t>G1522_Extraccion_Articulos_NetSuite_2026-09-30.xlsx: fila 52716 | Investigación en línea 06/10/2026: https://reflo.com/products/nissan-formula-e-replica-short-sleeve-t-shirt-red</t>
        </is>
      </c>
      <c r="AL607" s="58" t="n"/>
      <c r="AM607" s="58" t="n"/>
      <c r="AN607" s="155" t="n"/>
      <c r="AO607" s="59" t="n"/>
      <c r="AP607" s="59" t="n"/>
      <c r="AQ607" s="59" t="n"/>
      <c r="AR607" s="155" t="n"/>
    </row>
    <row r="608">
      <c r="A608" s="50" t="inlineStr">
        <is>
          <t>5056658756504</t>
        </is>
      </c>
      <c r="B608" s="51" t="inlineStr">
        <is>
          <t>103997</t>
        </is>
      </c>
      <c r="C608" s="156" t="inlineStr">
        <is>
          <t>REFLO</t>
        </is>
      </c>
      <c r="D608" s="156" t="n"/>
      <c r="E608" s="156" t="n"/>
      <c r="F608" s="156" t="n"/>
      <c r="G608" s="156" t="n"/>
      <c r="H608" s="156" t="inlineStr">
        <is>
          <t>REFLO</t>
        </is>
      </c>
      <c r="I608" s="156" t="n"/>
      <c r="J608" s="156" t="n"/>
      <c r="K608" s="156" t="n"/>
      <c r="L608" s="156" t="n"/>
      <c r="M608" s="156" t="n"/>
      <c r="N608" s="156" t="n"/>
      <c r="O608" s="156" t="n"/>
      <c r="P608" s="156" t="n"/>
      <c r="Q608" s="156" t="n"/>
      <c r="R608" s="156" t="n"/>
      <c r="S608" s="156" t="n"/>
      <c r="T608" s="156" t="n"/>
      <c r="U608" s="156" t="n"/>
      <c r="V608" s="156" t="inlineStr">
        <is>
          <t>PZS</t>
        </is>
      </c>
      <c r="W608" s="51" t="inlineStr">
        <is>
          <t>53103000</t>
        </is>
      </c>
      <c r="X608" s="156" t="n"/>
      <c r="Y608" s="54" t="n">
        <v>20.61</v>
      </c>
      <c r="Z608" s="54" t="n">
        <v>1799</v>
      </c>
      <c r="AA608" s="55">
        <f>IF(AND(A608="", B608="", E608=""), "", IF(AB608="", "Válido", IF((LEN(AB608)-LEN(SUBSTITUTE(AB608,"; ","")))/2+1&gt;(LEN(AB608)-LEN(SUBSTITUTE(AB608,"[Aviso]","")))/7, "Con Incidencias", "Válido")))</f>
        <v/>
      </c>
      <c r="AB608" s="56">
        <f>IF(AND(A608="", B608="", E608=""), "", TEXTJOIN("; ", TRUE, IF(OR(TRIM(A608&amp;"")="", ISNUMBER(SEARCH("FALTA", A608))), "UPC faltante/inválido", ""), IF(AND(A608&lt;&gt;"", IFERROR(_xlfn.XMATCH(A608,$A$2:$A$653,0,1)&lt;&gt;_xlfn.XMATCH(A608,$A$2:$A$653,0,-1),FALSE)), "Código de barras duplicado", ""), IF(AND(E608&lt;&gt;"", COUNTIF($E$2:$E$653, E608)&gt;1), "SKU duplicado", ""), IF(OR(J608="", J608=""), "[Aviso] División no capturada ()", IF(ISNA(MATCH(J608, Criterios!$A$123:$A$126, 0)), "División no válida", "")), IF(OR(K608="", K608=""), "[Aviso] Categoría no capturada ()", IF(ISNA(MATCH(K608, Criterios!$A$81:$A$120, 0)), "Categoría no válida", IF(AND(J608&lt;&gt;"", J608&lt;&gt;"", J608&lt;&gt;VLOOKUP(K608, Criterios!$A$81:$B$120, 2, FALSE)), "División no coincide con Categoría", ""))), IF(OR(L608="", L608=""), "[Aviso] Género no capturado ()", IF(ISNA(MATCH(L608, Criterios!$B$123:$B$127, 0)), "Género no válido", "")), IF(OR(N608="", N608=""), "[Aviso] Temporada no capturada ()", IF(ISNA(MATCH(N608, Criterios!$C$123:$C$128, 0)), "Temporada no válida", "")), IF(OR(O608="", O608=""), "[Aviso] Ciclo de vida no capturado ()", IF(ISNA(MATCH(O608, Criterios!$D$123:$D$124, 0)), "Ciclo de vida no válido", ""))))</f>
        <v/>
      </c>
      <c r="AC608" s="56" t="n"/>
      <c r="AD608" s="51" t="n">
        <v>-12</v>
      </c>
      <c r="AE608" s="156" t="n"/>
      <c r="AF608" s="51" t="n">
        <v>0</v>
      </c>
      <c r="AG608" s="156" t="inlineStr">
        <is>
          <t>Nuevo – NetSuite sin existencia</t>
        </is>
      </c>
      <c r="AH60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08" s="156" t="inlineStr">
        <is>
          <t>No</t>
        </is>
      </c>
      <c r="AJ608" s="156" t="n"/>
      <c r="AK608" s="155" t="inlineStr">
        <is>
          <t>G1522_Extraccion_Articulos_NetSuite_2026-09-30.xlsx: fila 52717</t>
        </is>
      </c>
      <c r="AL608" s="58" t="n"/>
      <c r="AM608" s="58" t="n"/>
      <c r="AN608" s="155" t="n"/>
      <c r="AO608" s="59" t="n"/>
      <c r="AP608" s="59" t="n"/>
      <c r="AQ608" s="59" t="n"/>
      <c r="AR608" s="155" t="n"/>
    </row>
    <row r="609">
      <c r="A609" s="50" t="inlineStr">
        <is>
          <t>5056658756573</t>
        </is>
      </c>
      <c r="B609" s="51" t="inlineStr">
        <is>
          <t>103998</t>
        </is>
      </c>
      <c r="C609" s="156" t="inlineStr">
        <is>
          <t>REFLO</t>
        </is>
      </c>
      <c r="D609" s="156" t="n"/>
      <c r="E609" s="156" t="n"/>
      <c r="F609" s="156" t="n"/>
      <c r="G609" s="156" t="n"/>
      <c r="H609" s="156" t="inlineStr">
        <is>
          <t>REFLO</t>
        </is>
      </c>
      <c r="I609" s="156" t="inlineStr">
        <is>
          <t>Nissan Formula E Replica Women's T-Shirt - Season 12</t>
        </is>
      </c>
      <c r="J609" s="156" t="inlineStr">
        <is>
          <t>Ropa</t>
        </is>
      </c>
      <c r="K609" s="156" t="inlineStr">
        <is>
          <t>Playeras</t>
        </is>
      </c>
      <c r="L609" s="156" t="inlineStr">
        <is>
          <t>Mujer</t>
        </is>
      </c>
      <c r="M609" s="156" t="n"/>
      <c r="N609" s="156" t="n"/>
      <c r="O609" s="156" t="n"/>
      <c r="P609" s="156" t="inlineStr">
        <is>
          <t>Rojo</t>
        </is>
      </c>
      <c r="Q609" s="156" t="n"/>
      <c r="R609" s="156" t="n"/>
      <c r="S609" s="156" t="n"/>
      <c r="T609" s="156" t="n"/>
      <c r="U609" s="156" t="n"/>
      <c r="V609" s="156" t="inlineStr">
        <is>
          <t>PZS</t>
        </is>
      </c>
      <c r="W609" s="51" t="inlineStr">
        <is>
          <t>53103000</t>
        </is>
      </c>
      <c r="X609" s="156" t="inlineStr">
        <is>
          <t>https://cdn.shopify.com/s/files/1/0589/6500/0397/files/NissanS12-Tshirt-1-Womens.jpg?v=1785919725</t>
        </is>
      </c>
      <c r="Y609" s="54" t="n">
        <v>20.61</v>
      </c>
      <c r="Z609" s="54" t="n">
        <v>1799</v>
      </c>
      <c r="AA609" s="55">
        <f>IF(AND(A609="", B609="", E609=""), "", IF(AB609="", "Válido", IF((LEN(AB609)-LEN(SUBSTITUTE(AB609,"; ","")))/2+1&gt;(LEN(AB609)-LEN(SUBSTITUTE(AB609,"[Aviso]","")))/7, "Con Incidencias", "Válido")))</f>
        <v/>
      </c>
      <c r="AB609" s="56">
        <f>IF(AND(A609="", B609="", E609=""), "", TEXTJOIN("; ", TRUE, IF(OR(TRIM(A609&amp;"")="", ISNUMBER(SEARCH("FALTA", A609))), "UPC faltante/inválido", ""), IF(AND(A609&lt;&gt;"", IFERROR(_xlfn.XMATCH(A609,$A$2:$A$653,0,1)&lt;&gt;_xlfn.XMATCH(A609,$A$2:$A$653,0,-1),FALSE)), "Código de barras duplicado", ""), IF(AND(E609&lt;&gt;"", COUNTIF($E$2:$E$653, E609)&gt;1), "SKU duplicado", ""), IF(OR(J609="", J609=""), "[Aviso] División no capturada ()", IF(ISNA(MATCH(J609, Criterios!$A$123:$A$126, 0)), "División no válida", "")), IF(OR(K609="", K609=""), "[Aviso] Categoría no capturada ()", IF(ISNA(MATCH(K609, Criterios!$A$81:$A$120, 0)), "Categoría no válida", IF(AND(J609&lt;&gt;"", J609&lt;&gt;"", J609&lt;&gt;VLOOKUP(K609, Criterios!$A$81:$B$120, 2, FALSE)), "División no coincide con Categoría", ""))), IF(OR(L609="", L609=""), "[Aviso] Género no capturado ()", IF(ISNA(MATCH(L609, Criterios!$B$123:$B$127, 0)), "Género no válido", "")), IF(OR(N609="", N609=""), "[Aviso] Temporada no capturada ()", IF(ISNA(MATCH(N609, Criterios!$C$123:$C$128, 0)), "Temporada no válida", "")), IF(OR(O609="", O609=""), "[Aviso] Ciclo de vida no capturado ()", IF(ISNA(MATCH(O609, Criterios!$D$123:$D$124, 0)), "Ciclo de vida no válido", ""))))</f>
        <v/>
      </c>
      <c r="AC609" s="56" t="n"/>
      <c r="AD609" s="51" t="n">
        <v>-1</v>
      </c>
      <c r="AE609" s="156" t="n"/>
      <c r="AF609" s="51" t="n">
        <v>0</v>
      </c>
      <c r="AG609" s="156" t="inlineStr">
        <is>
          <t>Nuevo – NetSuite sin existencia</t>
        </is>
      </c>
      <c r="AH609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«Mujer» (Completado por investigación en línea) · Enlace de imagen: «» → «https://cdn.shopify.com/s/files/1/0589/6500/0397/files/NissanS12-Tshirt-1-Womens.jpg?v=1785919725» (Completado por investigación en línea) · WB Color: «» → «Rojo» (Completado por investigación en línea) · WB Descripcion: «» → «Nissan Formula E Replica Women's T-Shirt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609" s="156" t="inlineStr">
        <is>
          <t>No</t>
        </is>
      </c>
      <c r="AJ609" s="156" t="n"/>
      <c r="AK609" s="155" t="inlineStr">
        <is>
          <t>G1522_Extraccion_Articulos_NetSuite_2026-09-30.xlsx: fila 52718 | Investigación en línea 06/10/2026: https://reflo.com/products/nissan-formula-e-replica-short-sleeve-t-shirt-red-1</t>
        </is>
      </c>
      <c r="AL609" s="58" t="n"/>
      <c r="AM609" s="58" t="n"/>
      <c r="AN609" s="155" t="n"/>
      <c r="AO609" s="59" t="n"/>
      <c r="AP609" s="59" t="n"/>
      <c r="AQ609" s="59" t="n"/>
      <c r="AR609" s="155" t="n"/>
    </row>
    <row r="610">
      <c r="A610" s="50" t="inlineStr">
        <is>
          <t>5056658756580</t>
        </is>
      </c>
      <c r="B610" s="51" t="inlineStr">
        <is>
          <t>103999</t>
        </is>
      </c>
      <c r="C610" s="156" t="inlineStr">
        <is>
          <t>REFLO</t>
        </is>
      </c>
      <c r="D610" s="156" t="n"/>
      <c r="E610" s="156" t="n"/>
      <c r="F610" s="156" t="n"/>
      <c r="G610" s="156" t="n"/>
      <c r="H610" s="156" t="inlineStr">
        <is>
          <t>REFLO</t>
        </is>
      </c>
      <c r="I610" s="156" t="inlineStr">
        <is>
          <t>Nissan Formula E Replica Women's T-Shirt - Season 12</t>
        </is>
      </c>
      <c r="J610" s="156" t="inlineStr">
        <is>
          <t>Ropa</t>
        </is>
      </c>
      <c r="K610" s="156" t="inlineStr">
        <is>
          <t>Playeras</t>
        </is>
      </c>
      <c r="L610" s="156" t="inlineStr">
        <is>
          <t>Mujer</t>
        </is>
      </c>
      <c r="M610" s="156" t="n"/>
      <c r="N610" s="156" t="n"/>
      <c r="O610" s="156" t="n"/>
      <c r="P610" s="156" t="inlineStr">
        <is>
          <t>Rojo</t>
        </is>
      </c>
      <c r="Q610" s="156" t="n"/>
      <c r="R610" s="156" t="n"/>
      <c r="S610" s="156" t="n"/>
      <c r="T610" s="156" t="n"/>
      <c r="U610" s="156" t="n"/>
      <c r="V610" s="156" t="inlineStr">
        <is>
          <t>PZS</t>
        </is>
      </c>
      <c r="W610" s="51" t="inlineStr">
        <is>
          <t>53103000</t>
        </is>
      </c>
      <c r="X610" s="156" t="inlineStr">
        <is>
          <t>https://cdn.shopify.com/s/files/1/0589/6500/0397/files/NissanS12-Tshirt-1-Womens.jpg?v=1785919725</t>
        </is>
      </c>
      <c r="Y610" s="54" t="n">
        <v>20.61</v>
      </c>
      <c r="Z610" s="54" t="n">
        <v>1799</v>
      </c>
      <c r="AA610" s="55">
        <f>IF(AND(A610="", B610="", E610=""), "", IF(AB610="", "Válido", IF((LEN(AB610)-LEN(SUBSTITUTE(AB610,"; ","")))/2+1&gt;(LEN(AB610)-LEN(SUBSTITUTE(AB610,"[Aviso]","")))/7, "Con Incidencias", "Válido")))</f>
        <v/>
      </c>
      <c r="AB610" s="56">
        <f>IF(AND(A610="", B610="", E610=""), "", TEXTJOIN("; ", TRUE, IF(OR(TRIM(A610&amp;"")="", ISNUMBER(SEARCH("FALTA", A610))), "UPC faltante/inválido", ""), IF(AND(A610&lt;&gt;"", IFERROR(_xlfn.XMATCH(A610,$A$2:$A$653,0,1)&lt;&gt;_xlfn.XMATCH(A610,$A$2:$A$653,0,-1),FALSE)), "Código de barras duplicado", ""), IF(AND(E610&lt;&gt;"", COUNTIF($E$2:$E$653, E610)&gt;1), "SKU duplicado", ""), IF(OR(J610="", J610=""), "[Aviso] División no capturada ()", IF(ISNA(MATCH(J610, Criterios!$A$123:$A$126, 0)), "División no válida", "")), IF(OR(K610="", K610=""), "[Aviso] Categoría no capturada ()", IF(ISNA(MATCH(K610, Criterios!$A$81:$A$120, 0)), "Categoría no válida", IF(AND(J610&lt;&gt;"", J610&lt;&gt;"", J610&lt;&gt;VLOOKUP(K610, Criterios!$A$81:$B$120, 2, FALSE)), "División no coincide con Categoría", ""))), IF(OR(L610="", L610=""), "[Aviso] Género no capturado ()", IF(ISNA(MATCH(L610, Criterios!$B$123:$B$127, 0)), "Género no válido", "")), IF(OR(N610="", N610=""), "[Aviso] Temporada no capturada ()", IF(ISNA(MATCH(N610, Criterios!$C$123:$C$128, 0)), "Temporada no válida", "")), IF(OR(O610="", O610=""), "[Aviso] Ciclo de vida no capturado ()", IF(ISNA(MATCH(O610, Criterios!$D$123:$D$124, 0)), "Ciclo de vida no válido", ""))))</f>
        <v/>
      </c>
      <c r="AC610" s="56" t="n"/>
      <c r="AD610" s="51" t="n">
        <v>1</v>
      </c>
      <c r="AE610" s="156" t="n"/>
      <c r="AF610" s="51" t="n">
        <v>1</v>
      </c>
      <c r="AG610" s="156" t="inlineStr">
        <is>
          <t>Nuevo – NetSuite con existencia</t>
        </is>
      </c>
      <c r="AH610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«Mujer» (Completado por investigación en línea) · Enlace de imagen: «» → «https://cdn.shopify.com/s/files/1/0589/6500/0397/files/NissanS12-Tshirt-1-Womens.jpg?v=1785919725» (Completado por investigación en línea) · WB Color: «» → «Rojo» (Completado por investigación en línea) · WB Descripcion: «» → «Nissan Formula E Replica Women's T-Shirt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610" s="156" t="inlineStr">
        <is>
          <t>No</t>
        </is>
      </c>
      <c r="AJ610" s="156" t="n"/>
      <c r="AK610" s="155" t="inlineStr">
        <is>
          <t>G1522_Extraccion_Articulos_NetSuite_2026-09-30.xlsx: fila 52719 | Investigación en línea 06/10/2026: https://reflo.com/products/nissan-formula-e-replica-short-sleeve-t-shirt-red-1</t>
        </is>
      </c>
      <c r="AL610" s="58" t="n"/>
      <c r="AM610" s="58" t="n"/>
      <c r="AN610" s="155" t="n"/>
      <c r="AO610" s="59" t="n"/>
      <c r="AP610" s="59" t="n"/>
      <c r="AQ610" s="59" t="n"/>
      <c r="AR610" s="155" t="n"/>
    </row>
    <row r="611">
      <c r="A611" s="50" t="inlineStr">
        <is>
          <t>5056658756597</t>
        </is>
      </c>
      <c r="B611" s="51" t="inlineStr">
        <is>
          <t>104000</t>
        </is>
      </c>
      <c r="C611" s="156" t="inlineStr">
        <is>
          <t>REFLO</t>
        </is>
      </c>
      <c r="D611" s="156" t="n"/>
      <c r="E611" s="156" t="n"/>
      <c r="F611" s="156" t="n"/>
      <c r="G611" s="156" t="n"/>
      <c r="H611" s="156" t="inlineStr">
        <is>
          <t>REFLO</t>
        </is>
      </c>
      <c r="I611" s="156" t="inlineStr">
        <is>
          <t>Nissan Formula E Replica Women's T-Shirt - Season 12</t>
        </is>
      </c>
      <c r="J611" s="156" t="inlineStr">
        <is>
          <t>Ropa</t>
        </is>
      </c>
      <c r="K611" s="156" t="inlineStr">
        <is>
          <t>Playeras</t>
        </is>
      </c>
      <c r="L611" s="156" t="inlineStr">
        <is>
          <t>Mujer</t>
        </is>
      </c>
      <c r="M611" s="156" t="n"/>
      <c r="N611" s="156" t="n"/>
      <c r="O611" s="156" t="n"/>
      <c r="P611" s="156" t="inlineStr">
        <is>
          <t>Rojo</t>
        </is>
      </c>
      <c r="Q611" s="156" t="n"/>
      <c r="R611" s="156" t="n"/>
      <c r="S611" s="156" t="n"/>
      <c r="T611" s="156" t="n"/>
      <c r="U611" s="156" t="n"/>
      <c r="V611" s="156" t="inlineStr">
        <is>
          <t>PZS</t>
        </is>
      </c>
      <c r="W611" s="51" t="inlineStr">
        <is>
          <t>53103000</t>
        </is>
      </c>
      <c r="X611" s="156" t="inlineStr">
        <is>
          <t>https://cdn.shopify.com/s/files/1/0589/6500/0397/files/NissanS12-Tshirt-1-Womens.jpg?v=1785919725</t>
        </is>
      </c>
      <c r="Y611" s="54" t="n">
        <v>20.61</v>
      </c>
      <c r="Z611" s="54" t="n">
        <v>1799</v>
      </c>
      <c r="AA611" s="55">
        <f>IF(AND(A611="", B611="", E611=""), "", IF(AB611="", "Válido", IF((LEN(AB611)-LEN(SUBSTITUTE(AB611,"; ","")))/2+1&gt;(LEN(AB611)-LEN(SUBSTITUTE(AB611,"[Aviso]","")))/7, "Con Incidencias", "Válido")))</f>
        <v/>
      </c>
      <c r="AB611" s="56">
        <f>IF(AND(A611="", B611="", E611=""), "", TEXTJOIN("; ", TRUE, IF(OR(TRIM(A611&amp;"")="", ISNUMBER(SEARCH("FALTA", A611))), "UPC faltante/inválido", ""), IF(AND(A611&lt;&gt;"", IFERROR(_xlfn.XMATCH(A611,$A$2:$A$653,0,1)&lt;&gt;_xlfn.XMATCH(A611,$A$2:$A$653,0,-1),FALSE)), "Código de barras duplicado", ""), IF(AND(E611&lt;&gt;"", COUNTIF($E$2:$E$653, E611)&gt;1), "SKU duplicado", ""), IF(OR(J611="", J611=""), "[Aviso] División no capturada ()", IF(ISNA(MATCH(J611, Criterios!$A$123:$A$126, 0)), "División no válida", "")), IF(OR(K611="", K611=""), "[Aviso] Categoría no capturada ()", IF(ISNA(MATCH(K611, Criterios!$A$81:$A$120, 0)), "Categoría no válida", IF(AND(J611&lt;&gt;"", J611&lt;&gt;"", J611&lt;&gt;VLOOKUP(K611, Criterios!$A$81:$B$120, 2, FALSE)), "División no coincide con Categoría", ""))), IF(OR(L611="", L611=""), "[Aviso] Género no capturado ()", IF(ISNA(MATCH(L611, Criterios!$B$123:$B$127, 0)), "Género no válido", "")), IF(OR(N611="", N611=""), "[Aviso] Temporada no capturada ()", IF(ISNA(MATCH(N611, Criterios!$C$123:$C$128, 0)), "Temporada no válida", "")), IF(OR(O611="", O611=""), "[Aviso] Ciclo de vida no capturado ()", IF(ISNA(MATCH(O611, Criterios!$D$123:$D$124, 0)), "Ciclo de vida no válido", ""))))</f>
        <v/>
      </c>
      <c r="AC611" s="56" t="n"/>
      <c r="AD611" s="51" t="n">
        <v>0</v>
      </c>
      <c r="AE611" s="156" t="n"/>
      <c r="AF611" s="51" t="n">
        <v>0</v>
      </c>
      <c r="AG611" s="156" t="inlineStr">
        <is>
          <t>Nuevo – NetSuite sin existencia</t>
        </is>
      </c>
      <c r="AH611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«Mujer» (Completado por investigación en línea) · Enlace de imagen: «» → «https://cdn.shopify.com/s/files/1/0589/6500/0397/files/NissanS12-Tshirt-1-Womens.jpg?v=1785919725» (Completado por investigación en línea) · WB Color: «» → «Rojo» (Completado por investigación en línea) · WB Descripcion: «» → «Nissan Formula E Replica Women's T-Shirt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611" s="156" t="inlineStr">
        <is>
          <t>No</t>
        </is>
      </c>
      <c r="AJ611" s="156" t="n"/>
      <c r="AK611" s="155" t="inlineStr">
        <is>
          <t>G1522_Extraccion_Articulos_NetSuite_2026-09-30.xlsx: fila 52720 | Investigación en línea 06/10/2026: https://reflo.com/products/nissan-formula-e-replica-short-sleeve-t-shirt-red-1</t>
        </is>
      </c>
      <c r="AL611" s="58" t="n"/>
      <c r="AM611" s="58" t="n"/>
      <c r="AN611" s="155" t="n"/>
      <c r="AO611" s="59" t="n"/>
      <c r="AP611" s="59" t="n"/>
      <c r="AQ611" s="59" t="n"/>
      <c r="AR611" s="155" t="n"/>
    </row>
    <row r="612">
      <c r="A612" s="50" t="inlineStr">
        <is>
          <t>5056658756603</t>
        </is>
      </c>
      <c r="B612" s="51" t="inlineStr">
        <is>
          <t>104001</t>
        </is>
      </c>
      <c r="C612" s="156" t="inlineStr">
        <is>
          <t>REFLO</t>
        </is>
      </c>
      <c r="D612" s="156" t="n"/>
      <c r="E612" s="156" t="n"/>
      <c r="F612" s="156" t="n"/>
      <c r="G612" s="156" t="n"/>
      <c r="H612" s="156" t="inlineStr">
        <is>
          <t>REFLO</t>
        </is>
      </c>
      <c r="I612" s="156" t="inlineStr">
        <is>
          <t>Nissan Formula E Replica Women's T-Shirt - Season 12</t>
        </is>
      </c>
      <c r="J612" s="156" t="inlineStr">
        <is>
          <t>Ropa</t>
        </is>
      </c>
      <c r="K612" s="156" t="inlineStr">
        <is>
          <t>Playeras</t>
        </is>
      </c>
      <c r="L612" s="156" t="inlineStr">
        <is>
          <t>Mujer</t>
        </is>
      </c>
      <c r="M612" s="156" t="n"/>
      <c r="N612" s="156" t="n"/>
      <c r="O612" s="156" t="n"/>
      <c r="P612" s="156" t="inlineStr">
        <is>
          <t>Rojo</t>
        </is>
      </c>
      <c r="Q612" s="156" t="n"/>
      <c r="R612" s="156" t="n"/>
      <c r="S612" s="156" t="n"/>
      <c r="T612" s="156" t="n"/>
      <c r="U612" s="156" t="n"/>
      <c r="V612" s="156" t="inlineStr">
        <is>
          <t>PZS</t>
        </is>
      </c>
      <c r="W612" s="51" t="inlineStr">
        <is>
          <t>53103000</t>
        </is>
      </c>
      <c r="X612" s="156" t="inlineStr">
        <is>
          <t>https://cdn.shopify.com/s/files/1/0589/6500/0397/files/NissanS12-Tshirt-1-Womens.jpg?v=1785919725</t>
        </is>
      </c>
      <c r="Y612" s="54" t="n">
        <v>20.61</v>
      </c>
      <c r="Z612" s="54" t="n">
        <v>1799</v>
      </c>
      <c r="AA612" s="55">
        <f>IF(AND(A612="", B612="", E612=""), "", IF(AB612="", "Válido", IF((LEN(AB612)-LEN(SUBSTITUTE(AB612,"; ","")))/2+1&gt;(LEN(AB612)-LEN(SUBSTITUTE(AB612,"[Aviso]","")))/7, "Con Incidencias", "Válido")))</f>
        <v/>
      </c>
      <c r="AB612" s="56">
        <f>IF(AND(A612="", B612="", E612=""), "", TEXTJOIN("; ", TRUE, IF(OR(TRIM(A612&amp;"")="", ISNUMBER(SEARCH("FALTA", A612))), "UPC faltante/inválido", ""), IF(AND(A612&lt;&gt;"", IFERROR(_xlfn.XMATCH(A612,$A$2:$A$653,0,1)&lt;&gt;_xlfn.XMATCH(A612,$A$2:$A$653,0,-1),FALSE)), "Código de barras duplicado", ""), IF(AND(E612&lt;&gt;"", COUNTIF($E$2:$E$653, E612)&gt;1), "SKU duplicado", ""), IF(OR(J612="", J612=""), "[Aviso] División no capturada ()", IF(ISNA(MATCH(J612, Criterios!$A$123:$A$126, 0)), "División no válida", "")), IF(OR(K612="", K612=""), "[Aviso] Categoría no capturada ()", IF(ISNA(MATCH(K612, Criterios!$A$81:$A$120, 0)), "Categoría no válida", IF(AND(J612&lt;&gt;"", J612&lt;&gt;"", J612&lt;&gt;VLOOKUP(K612, Criterios!$A$81:$B$120, 2, FALSE)), "División no coincide con Categoría", ""))), IF(OR(L612="", L612=""), "[Aviso] Género no capturado ()", IF(ISNA(MATCH(L612, Criterios!$B$123:$B$127, 0)), "Género no válido", "")), IF(OR(N612="", N612=""), "[Aviso] Temporada no capturada ()", IF(ISNA(MATCH(N612, Criterios!$C$123:$C$128, 0)), "Temporada no válida", "")), IF(OR(O612="", O612=""), "[Aviso] Ciclo de vida no capturado ()", IF(ISNA(MATCH(O612, Criterios!$D$123:$D$124, 0)), "Ciclo de vida no válido", ""))))</f>
        <v/>
      </c>
      <c r="AC612" s="56" t="n"/>
      <c r="AD612" s="51" t="n">
        <v>0</v>
      </c>
      <c r="AE612" s="156" t="n"/>
      <c r="AF612" s="51" t="n">
        <v>0</v>
      </c>
      <c r="AG612" s="156" t="inlineStr">
        <is>
          <t>Nuevo – NetSuite sin existencia</t>
        </is>
      </c>
      <c r="AH612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«Mujer» (Completado por investigación en línea) · Enlace de imagen: «» → «https://cdn.shopify.com/s/files/1/0589/6500/0397/files/NissanS12-Tshirt-1-Womens.jpg?v=1785919725» (Completado por investigación en línea) · WB Color: «» → «Rojo» (Completado por investigación en línea) · WB Descripcion: «» → «Nissan Formula E Replica Women's T-Shirt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612" s="156" t="inlineStr">
        <is>
          <t>No</t>
        </is>
      </c>
      <c r="AJ612" s="156" t="n"/>
      <c r="AK612" s="155" t="inlineStr">
        <is>
          <t>G1522_Extraccion_Articulos_NetSuite_2026-09-30.xlsx: fila 52721 | Investigación en línea 06/10/2026: https://reflo.com/products/nissan-formula-e-replica-short-sleeve-t-shirt-red-1</t>
        </is>
      </c>
      <c r="AL612" s="58" t="n"/>
      <c r="AM612" s="58" t="n"/>
      <c r="AN612" s="155" t="n"/>
      <c r="AO612" s="59" t="n"/>
      <c r="AP612" s="59" t="n"/>
      <c r="AQ612" s="59" t="n"/>
      <c r="AR612" s="155" t="n"/>
    </row>
    <row r="613">
      <c r="A613" s="50" t="inlineStr">
        <is>
          <t>5056658756610</t>
        </is>
      </c>
      <c r="B613" s="51" t="inlineStr">
        <is>
          <t>104002</t>
        </is>
      </c>
      <c r="C613" s="156" t="inlineStr">
        <is>
          <t>REFLO</t>
        </is>
      </c>
      <c r="D613" s="156" t="n"/>
      <c r="E613" s="156" t="n"/>
      <c r="F613" s="156" t="n"/>
      <c r="G613" s="156" t="n"/>
      <c r="H613" s="156" t="inlineStr">
        <is>
          <t>REFLO</t>
        </is>
      </c>
      <c r="I613" s="156" t="inlineStr">
        <is>
          <t>Nissan Formula E Replica Women's T-Shirt - Season 12</t>
        </is>
      </c>
      <c r="J613" s="156" t="inlineStr">
        <is>
          <t>Ropa</t>
        </is>
      </c>
      <c r="K613" s="156" t="inlineStr">
        <is>
          <t>Playeras</t>
        </is>
      </c>
      <c r="L613" s="156" t="inlineStr">
        <is>
          <t>Mujer</t>
        </is>
      </c>
      <c r="M613" s="156" t="n"/>
      <c r="N613" s="156" t="n"/>
      <c r="O613" s="156" t="n"/>
      <c r="P613" s="156" t="inlineStr">
        <is>
          <t>Rojo</t>
        </is>
      </c>
      <c r="Q613" s="156" t="n"/>
      <c r="R613" s="156" t="n"/>
      <c r="S613" s="156" t="n"/>
      <c r="T613" s="156" t="n"/>
      <c r="U613" s="156" t="n"/>
      <c r="V613" s="156" t="inlineStr">
        <is>
          <t>PZS</t>
        </is>
      </c>
      <c r="W613" s="51" t="inlineStr">
        <is>
          <t>53103000</t>
        </is>
      </c>
      <c r="X613" s="156" t="inlineStr">
        <is>
          <t>https://cdn.shopify.com/s/files/1/0589/6500/0397/files/NissanS12-Tshirt-1-Womens.jpg?v=1785919725</t>
        </is>
      </c>
      <c r="Y613" s="54" t="n">
        <v>20.61</v>
      </c>
      <c r="Z613" s="54" t="n">
        <v>1799</v>
      </c>
      <c r="AA613" s="55">
        <f>IF(AND(A613="", B613="", E613=""), "", IF(AB613="", "Válido", IF((LEN(AB613)-LEN(SUBSTITUTE(AB613,"; ","")))/2+1&gt;(LEN(AB613)-LEN(SUBSTITUTE(AB613,"[Aviso]","")))/7, "Con Incidencias", "Válido")))</f>
        <v/>
      </c>
      <c r="AB613" s="56">
        <f>IF(AND(A613="", B613="", E613=""), "", TEXTJOIN("; ", TRUE, IF(OR(TRIM(A613&amp;"")="", ISNUMBER(SEARCH("FALTA", A613))), "UPC faltante/inválido", ""), IF(AND(A613&lt;&gt;"", IFERROR(_xlfn.XMATCH(A613,$A$2:$A$653,0,1)&lt;&gt;_xlfn.XMATCH(A613,$A$2:$A$653,0,-1),FALSE)), "Código de barras duplicado", ""), IF(AND(E613&lt;&gt;"", COUNTIF($E$2:$E$653, E613)&gt;1), "SKU duplicado", ""), IF(OR(J613="", J613=""), "[Aviso] División no capturada ()", IF(ISNA(MATCH(J613, Criterios!$A$123:$A$126, 0)), "División no válida", "")), IF(OR(K613="", K613=""), "[Aviso] Categoría no capturada ()", IF(ISNA(MATCH(K613, Criterios!$A$81:$A$120, 0)), "Categoría no válida", IF(AND(J613&lt;&gt;"", J613&lt;&gt;"", J613&lt;&gt;VLOOKUP(K613, Criterios!$A$81:$B$120, 2, FALSE)), "División no coincide con Categoría", ""))), IF(OR(L613="", L613=""), "[Aviso] Género no capturado ()", IF(ISNA(MATCH(L613, Criterios!$B$123:$B$127, 0)), "Género no válido", "")), IF(OR(N613="", N613=""), "[Aviso] Temporada no capturada ()", IF(ISNA(MATCH(N613, Criterios!$C$123:$C$128, 0)), "Temporada no válida", "")), IF(OR(O613="", O613=""), "[Aviso] Ciclo de vida no capturado ()", IF(ISNA(MATCH(O613, Criterios!$D$123:$D$124, 0)), "Ciclo de vida no válido", ""))))</f>
        <v/>
      </c>
      <c r="AC613" s="56" t="n"/>
      <c r="AD613" s="51" t="n">
        <v>-1</v>
      </c>
      <c r="AE613" s="156" t="n"/>
      <c r="AF613" s="51" t="n">
        <v>0</v>
      </c>
      <c r="AG613" s="156" t="inlineStr">
        <is>
          <t>Nuevo – NetSuite sin existencia</t>
        </is>
      </c>
      <c r="AH613" s="156" t="inlineStr">
        <is>
          <t>Alta auditoría 30/09/2026 desde extracción NetSuite; Atributos WB vacíos en NetSuite (sin estilo, talla, descripción ni categoría): completar | Homologación G1522 06/10/2026: WB Categoría: «» → «Playeras» (Completado por investigación en línea) · WB Género: «» → «Mujer» (Completado por investigación en línea) · Enlace de imagen: «» → «https://cdn.shopify.com/s/files/1/0589/6500/0397/files/NissanS12-Tshirt-1-Womens.jpg?v=1785919725» (Completado por investigación en línea) · WB Color: «» → «Rojo» (Completado por investigación en línea) · WB Descripcion: «» → «Nissan Formula E Replica Women's T-Shirt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613" s="156" t="inlineStr">
        <is>
          <t>No</t>
        </is>
      </c>
      <c r="AJ613" s="156" t="n"/>
      <c r="AK613" s="155" t="inlineStr">
        <is>
          <t>G1522_Extraccion_Articulos_NetSuite_2026-09-30.xlsx: fila 52722 | Investigación en línea 06/10/2026: https://reflo.com/products/nissan-formula-e-replica-short-sleeve-t-shirt-red-1</t>
        </is>
      </c>
      <c r="AL613" s="58" t="n"/>
      <c r="AM613" s="58" t="n"/>
      <c r="AN613" s="155" t="n"/>
      <c r="AO613" s="59" t="n"/>
      <c r="AP613" s="59" t="n"/>
      <c r="AQ613" s="59" t="n"/>
      <c r="AR613" s="155" t="n"/>
    </row>
    <row r="614">
      <c r="A614" s="50" t="inlineStr">
        <is>
          <t>5056658756627</t>
        </is>
      </c>
      <c r="B614" s="51" t="inlineStr">
        <is>
          <t>104003</t>
        </is>
      </c>
      <c r="C614" s="156" t="inlineStr">
        <is>
          <t>REFLO</t>
        </is>
      </c>
      <c r="D614" s="156" t="n"/>
      <c r="E614" s="156" t="n"/>
      <c r="F614" s="156" t="n"/>
      <c r="G614" s="156" t="n"/>
      <c r="H614" s="156" t="inlineStr">
        <is>
          <t>REFLO</t>
        </is>
      </c>
      <c r="I614" s="156" t="n"/>
      <c r="J614" s="156" t="n"/>
      <c r="K614" s="156" t="n"/>
      <c r="L614" s="156" t="n"/>
      <c r="M614" s="156" t="n"/>
      <c r="N614" s="156" t="n"/>
      <c r="O614" s="156" t="n"/>
      <c r="P614" s="156" t="n"/>
      <c r="Q614" s="156" t="n"/>
      <c r="R614" s="156" t="n"/>
      <c r="S614" s="156" t="n"/>
      <c r="T614" s="156" t="n"/>
      <c r="U614" s="156" t="n"/>
      <c r="V614" s="156" t="inlineStr">
        <is>
          <t>PZS</t>
        </is>
      </c>
      <c r="W614" s="51" t="inlineStr">
        <is>
          <t>53103000</t>
        </is>
      </c>
      <c r="X614" s="156" t="n"/>
      <c r="Y614" s="54" t="n">
        <v>20.61</v>
      </c>
      <c r="Z614" s="54" t="n">
        <v>1799</v>
      </c>
      <c r="AA614" s="55">
        <f>IF(AND(A614="", B614="", E614=""), "", IF(AB614="", "Válido", IF((LEN(AB614)-LEN(SUBSTITUTE(AB614,"; ","")))/2+1&gt;(LEN(AB614)-LEN(SUBSTITUTE(AB614,"[Aviso]","")))/7, "Con Incidencias", "Válido")))</f>
        <v/>
      </c>
      <c r="AB614" s="56">
        <f>IF(AND(A614="", B614="", E614=""), "", TEXTJOIN("; ", TRUE, IF(OR(TRIM(A614&amp;"")="", ISNUMBER(SEARCH("FALTA", A614))), "UPC faltante/inválido", ""), IF(AND(A614&lt;&gt;"", IFERROR(_xlfn.XMATCH(A614,$A$2:$A$653,0,1)&lt;&gt;_xlfn.XMATCH(A614,$A$2:$A$653,0,-1),FALSE)), "Código de barras duplicado", ""), IF(AND(E614&lt;&gt;"", COUNTIF($E$2:$E$653, E614)&gt;1), "SKU duplicado", ""), IF(OR(J614="", J614=""), "[Aviso] División no capturada ()", IF(ISNA(MATCH(J614, Criterios!$A$123:$A$126, 0)), "División no válida", "")), IF(OR(K614="", K614=""), "[Aviso] Categoría no capturada ()", IF(ISNA(MATCH(K614, Criterios!$A$81:$A$120, 0)), "Categoría no válida", IF(AND(J614&lt;&gt;"", J614&lt;&gt;"", J614&lt;&gt;VLOOKUP(K614, Criterios!$A$81:$B$120, 2, FALSE)), "División no coincide con Categoría", ""))), IF(OR(L614="", L614=""), "[Aviso] Género no capturado ()", IF(ISNA(MATCH(L614, Criterios!$B$123:$B$127, 0)), "Género no válido", "")), IF(OR(N614="", N614=""), "[Aviso] Temporada no capturada ()", IF(ISNA(MATCH(N614, Criterios!$C$123:$C$128, 0)), "Temporada no válida", "")), IF(OR(O614="", O614=""), "[Aviso] Ciclo de vida no capturado ()", IF(ISNA(MATCH(O614, Criterios!$D$123:$D$124, 0)), "Ciclo de vida no válido", ""))))</f>
        <v/>
      </c>
      <c r="AC614" s="56" t="n"/>
      <c r="AD614" s="51" t="n">
        <v>0</v>
      </c>
      <c r="AE614" s="156" t="n"/>
      <c r="AF614" s="51" t="n">
        <v>0</v>
      </c>
      <c r="AG614" s="156" t="inlineStr">
        <is>
          <t>Nuevo – NetSuite sin existencia</t>
        </is>
      </c>
      <c r="AH61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14" s="156" t="inlineStr">
        <is>
          <t>No</t>
        </is>
      </c>
      <c r="AJ614" s="156" t="n"/>
      <c r="AK614" s="155" t="inlineStr">
        <is>
          <t>G1522_Extraccion_Articulos_NetSuite_2026-09-30.xlsx: fila 52723</t>
        </is>
      </c>
      <c r="AL614" s="58" t="n"/>
      <c r="AM614" s="58" t="n"/>
      <c r="AN614" s="155" t="n"/>
      <c r="AO614" s="59" t="n"/>
      <c r="AP614" s="59" t="n"/>
      <c r="AQ614" s="59" t="n"/>
      <c r="AR614" s="155" t="n"/>
    </row>
    <row r="615">
      <c r="A615" s="50" t="inlineStr">
        <is>
          <t>5056658755316</t>
        </is>
      </c>
      <c r="B615" s="51" t="inlineStr">
        <is>
          <t>104004</t>
        </is>
      </c>
      <c r="C615" s="156" t="inlineStr">
        <is>
          <t>REFLO</t>
        </is>
      </c>
      <c r="D615" s="156" t="n"/>
      <c r="E615" s="156" t="n"/>
      <c r="F615" s="156" t="n"/>
      <c r="G615" s="156" t="n"/>
      <c r="H615" s="156" t="inlineStr">
        <is>
          <t>REFLO</t>
        </is>
      </c>
      <c r="I615" s="156" t="n"/>
      <c r="J615" s="156" t="n"/>
      <c r="K615" s="156" t="n"/>
      <c r="L615" s="156" t="n"/>
      <c r="M615" s="156" t="n"/>
      <c r="N615" s="156" t="n"/>
      <c r="O615" s="156" t="n"/>
      <c r="P615" s="156" t="n"/>
      <c r="Q615" s="156" t="n"/>
      <c r="R615" s="156" t="n"/>
      <c r="S615" s="156" t="n"/>
      <c r="T615" s="156" t="n"/>
      <c r="U615" s="156" t="n"/>
      <c r="V615" s="156" t="inlineStr">
        <is>
          <t>PZS</t>
        </is>
      </c>
      <c r="W615" s="51" t="inlineStr">
        <is>
          <t>53103000</t>
        </is>
      </c>
      <c r="X615" s="156" t="n"/>
      <c r="Y615" s="54" t="n">
        <v>54.91</v>
      </c>
      <c r="Z615" s="54" t="n">
        <v>4749</v>
      </c>
      <c r="AA615" s="55">
        <f>IF(AND(A615="", B615="", E615=""), "", IF(AB615="", "Válido", IF((LEN(AB615)-LEN(SUBSTITUTE(AB615,"; ","")))/2+1&gt;(LEN(AB615)-LEN(SUBSTITUTE(AB615,"[Aviso]","")))/7, "Con Incidencias", "Válido")))</f>
        <v/>
      </c>
      <c r="AB615" s="56">
        <f>IF(AND(A615="", B615="", E615=""), "", TEXTJOIN("; ", TRUE, IF(OR(TRIM(A615&amp;"")="", ISNUMBER(SEARCH("FALTA", A615))), "UPC faltante/inválido", ""), IF(AND(A615&lt;&gt;"", IFERROR(_xlfn.XMATCH(A615,$A$2:$A$653,0,1)&lt;&gt;_xlfn.XMATCH(A615,$A$2:$A$653,0,-1),FALSE)), "Código de barras duplicado", ""), IF(AND(E615&lt;&gt;"", COUNTIF($E$2:$E$653, E615)&gt;1), "SKU duplicado", ""), IF(OR(J615="", J615=""), "[Aviso] División no capturada ()", IF(ISNA(MATCH(J615, Criterios!$A$123:$A$126, 0)), "División no válida", "")), IF(OR(K615="", K615=""), "[Aviso] Categoría no capturada ()", IF(ISNA(MATCH(K615, Criterios!$A$81:$A$120, 0)), "Categoría no válida", IF(AND(J615&lt;&gt;"", J615&lt;&gt;"", J615&lt;&gt;VLOOKUP(K615, Criterios!$A$81:$B$120, 2, FALSE)), "División no coincide con Categoría", ""))), IF(OR(L615="", L615=""), "[Aviso] Género no capturado ()", IF(ISNA(MATCH(L615, Criterios!$B$123:$B$127, 0)), "Género no válido", "")), IF(OR(N615="", N615=""), "[Aviso] Temporada no capturada ()", IF(ISNA(MATCH(N615, Criterios!$C$123:$C$128, 0)), "Temporada no válida", "")), IF(OR(O615="", O615=""), "[Aviso] Ciclo de vida no capturado ()", IF(ISNA(MATCH(O615, Criterios!$D$123:$D$124, 0)), "Ciclo de vida no válido", ""))))</f>
        <v/>
      </c>
      <c r="AC615" s="56" t="n"/>
      <c r="AD615" s="51" t="n">
        <v>0</v>
      </c>
      <c r="AE615" s="156" t="n"/>
      <c r="AF615" s="51" t="n">
        <v>0</v>
      </c>
      <c r="AG615" s="156" t="inlineStr">
        <is>
          <t>Nuevo – NetSuite sin existencia</t>
        </is>
      </c>
      <c r="AH61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15" s="156" t="inlineStr">
        <is>
          <t>No</t>
        </is>
      </c>
      <c r="AJ615" s="156" t="n"/>
      <c r="AK615" s="155" t="inlineStr">
        <is>
          <t>G1522_Extraccion_Articulos_NetSuite_2026-09-30.xlsx: fila 52724</t>
        </is>
      </c>
      <c r="AL615" s="58" t="n"/>
      <c r="AM615" s="58" t="n"/>
      <c r="AN615" s="155" t="n"/>
      <c r="AO615" s="59" t="n"/>
      <c r="AP615" s="59" t="n"/>
      <c r="AQ615" s="59" t="n"/>
      <c r="AR615" s="155" t="n"/>
    </row>
    <row r="616">
      <c r="A616" s="50" t="inlineStr">
        <is>
          <t>5056658755347</t>
        </is>
      </c>
      <c r="B616" s="51" t="inlineStr">
        <is>
          <t>104005</t>
        </is>
      </c>
      <c r="C616" s="156" t="inlineStr">
        <is>
          <t>REFLO</t>
        </is>
      </c>
      <c r="D616" s="156" t="n"/>
      <c r="E616" s="156" t="n"/>
      <c r="F616" s="156" t="n"/>
      <c r="G616" s="156" t="n"/>
      <c r="H616" s="156" t="inlineStr">
        <is>
          <t>REFLO</t>
        </is>
      </c>
      <c r="I616" s="156" t="n"/>
      <c r="J616" s="156" t="n"/>
      <c r="K616" s="156" t="n"/>
      <c r="L616" s="156" t="n"/>
      <c r="M616" s="156" t="n"/>
      <c r="N616" s="156" t="n"/>
      <c r="O616" s="156" t="n"/>
      <c r="P616" s="156" t="n"/>
      <c r="Q616" s="156" t="n"/>
      <c r="R616" s="156" t="n"/>
      <c r="S616" s="156" t="n"/>
      <c r="T616" s="156" t="n"/>
      <c r="U616" s="156" t="n"/>
      <c r="V616" s="156" t="inlineStr">
        <is>
          <t>PZS</t>
        </is>
      </c>
      <c r="W616" s="51" t="inlineStr">
        <is>
          <t>53103000</t>
        </is>
      </c>
      <c r="X616" s="156" t="n"/>
      <c r="Y616" s="54" t="n">
        <v>54.91</v>
      </c>
      <c r="Z616" s="54" t="n">
        <v>4749</v>
      </c>
      <c r="AA616" s="55">
        <f>IF(AND(A616="", B616="", E616=""), "", IF(AB616="", "Válido", IF((LEN(AB616)-LEN(SUBSTITUTE(AB616,"; ","")))/2+1&gt;(LEN(AB616)-LEN(SUBSTITUTE(AB616,"[Aviso]","")))/7, "Con Incidencias", "Válido")))</f>
        <v/>
      </c>
      <c r="AB616" s="56">
        <f>IF(AND(A616="", B616="", E616=""), "", TEXTJOIN("; ", TRUE, IF(OR(TRIM(A616&amp;"")="", ISNUMBER(SEARCH("FALTA", A616))), "UPC faltante/inválido", ""), IF(AND(A616&lt;&gt;"", IFERROR(_xlfn.XMATCH(A616,$A$2:$A$653,0,1)&lt;&gt;_xlfn.XMATCH(A616,$A$2:$A$653,0,-1),FALSE)), "Código de barras duplicado", ""), IF(AND(E616&lt;&gt;"", COUNTIF($E$2:$E$653, E616)&gt;1), "SKU duplicado", ""), IF(OR(J616="", J616=""), "[Aviso] División no capturada ()", IF(ISNA(MATCH(J616, Criterios!$A$123:$A$126, 0)), "División no válida", "")), IF(OR(K616="", K616=""), "[Aviso] Categoría no capturada ()", IF(ISNA(MATCH(K616, Criterios!$A$81:$A$120, 0)), "Categoría no válida", IF(AND(J616&lt;&gt;"", J616&lt;&gt;"", J616&lt;&gt;VLOOKUP(K616, Criterios!$A$81:$B$120, 2, FALSE)), "División no coincide con Categoría", ""))), IF(OR(L616="", L616=""), "[Aviso] Género no capturado ()", IF(ISNA(MATCH(L616, Criterios!$B$123:$B$127, 0)), "Género no válido", "")), IF(OR(N616="", N616=""), "[Aviso] Temporada no capturada ()", IF(ISNA(MATCH(N616, Criterios!$C$123:$C$128, 0)), "Temporada no válida", "")), IF(OR(O616="", O616=""), "[Aviso] Ciclo de vida no capturado ()", IF(ISNA(MATCH(O616, Criterios!$D$123:$D$124, 0)), "Ciclo de vida no válido", ""))))</f>
        <v/>
      </c>
      <c r="AC616" s="56" t="n"/>
      <c r="AD616" s="51" t="n">
        <v>0</v>
      </c>
      <c r="AE616" s="156" t="n"/>
      <c r="AF616" s="51" t="n">
        <v>0</v>
      </c>
      <c r="AG616" s="156" t="inlineStr">
        <is>
          <t>Nuevo – NetSuite sin existencia</t>
        </is>
      </c>
      <c r="AH61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16" s="156" t="inlineStr">
        <is>
          <t>No</t>
        </is>
      </c>
      <c r="AJ616" s="156" t="n"/>
      <c r="AK616" s="155" t="inlineStr">
        <is>
          <t>G1522_Extraccion_Articulos_NetSuite_2026-09-30.xlsx: fila 52725</t>
        </is>
      </c>
      <c r="AL616" s="58" t="n"/>
      <c r="AM616" s="58" t="n"/>
      <c r="AN616" s="155" t="n"/>
      <c r="AO616" s="59" t="n"/>
      <c r="AP616" s="59" t="n"/>
      <c r="AQ616" s="59" t="n"/>
      <c r="AR616" s="155" t="n"/>
    </row>
    <row r="617">
      <c r="A617" s="50" t="inlineStr">
        <is>
          <t>5056658755354</t>
        </is>
      </c>
      <c r="B617" s="51" t="inlineStr">
        <is>
          <t>104006</t>
        </is>
      </c>
      <c r="C617" s="156" t="inlineStr">
        <is>
          <t>REFLO</t>
        </is>
      </c>
      <c r="D617" s="156" t="n"/>
      <c r="E617" s="156" t="n"/>
      <c r="F617" s="156" t="n"/>
      <c r="G617" s="156" t="n"/>
      <c r="H617" s="156" t="inlineStr">
        <is>
          <t>REFLO</t>
        </is>
      </c>
      <c r="I617" s="156" t="n"/>
      <c r="J617" s="156" t="n"/>
      <c r="K617" s="156" t="n"/>
      <c r="L617" s="156" t="n"/>
      <c r="M617" s="156" t="n"/>
      <c r="N617" s="156" t="n"/>
      <c r="O617" s="156" t="n"/>
      <c r="P617" s="156" t="n"/>
      <c r="Q617" s="156" t="n"/>
      <c r="R617" s="156" t="n"/>
      <c r="S617" s="156" t="n"/>
      <c r="T617" s="156" t="n"/>
      <c r="U617" s="156" t="n"/>
      <c r="V617" s="156" t="inlineStr">
        <is>
          <t>PZS</t>
        </is>
      </c>
      <c r="W617" s="51" t="inlineStr">
        <is>
          <t>53103000</t>
        </is>
      </c>
      <c r="X617" s="156" t="n"/>
      <c r="Y617" s="54" t="n">
        <v>54.91</v>
      </c>
      <c r="Z617" s="54" t="n">
        <v>4749</v>
      </c>
      <c r="AA617" s="55">
        <f>IF(AND(A617="", B617="", E617=""), "", IF(AB617="", "Válido", IF((LEN(AB617)-LEN(SUBSTITUTE(AB617,"; ","")))/2+1&gt;(LEN(AB617)-LEN(SUBSTITUTE(AB617,"[Aviso]","")))/7, "Con Incidencias", "Válido")))</f>
        <v/>
      </c>
      <c r="AB617" s="56">
        <f>IF(AND(A617="", B617="", E617=""), "", TEXTJOIN("; ", TRUE, IF(OR(TRIM(A617&amp;"")="", ISNUMBER(SEARCH("FALTA", A617))), "UPC faltante/inválido", ""), IF(AND(A617&lt;&gt;"", IFERROR(_xlfn.XMATCH(A617,$A$2:$A$653,0,1)&lt;&gt;_xlfn.XMATCH(A617,$A$2:$A$653,0,-1),FALSE)), "Código de barras duplicado", ""), IF(AND(E617&lt;&gt;"", COUNTIF($E$2:$E$653, E617)&gt;1), "SKU duplicado", ""), IF(OR(J617="", J617=""), "[Aviso] División no capturada ()", IF(ISNA(MATCH(J617, Criterios!$A$123:$A$126, 0)), "División no válida", "")), IF(OR(K617="", K617=""), "[Aviso] Categoría no capturada ()", IF(ISNA(MATCH(K617, Criterios!$A$81:$A$120, 0)), "Categoría no válida", IF(AND(J617&lt;&gt;"", J617&lt;&gt;"", J617&lt;&gt;VLOOKUP(K617, Criterios!$A$81:$B$120, 2, FALSE)), "División no coincide con Categoría", ""))), IF(OR(L617="", L617=""), "[Aviso] Género no capturado ()", IF(ISNA(MATCH(L617, Criterios!$B$123:$B$127, 0)), "Género no válido", "")), IF(OR(N617="", N617=""), "[Aviso] Temporada no capturada ()", IF(ISNA(MATCH(N617, Criterios!$C$123:$C$128, 0)), "Temporada no válida", "")), IF(OR(O617="", O617=""), "[Aviso] Ciclo de vida no capturado ()", IF(ISNA(MATCH(O617, Criterios!$D$123:$D$124, 0)), "Ciclo de vida no válido", ""))))</f>
        <v/>
      </c>
      <c r="AC617" s="56" t="n"/>
      <c r="AD617" s="51" t="n">
        <v>0</v>
      </c>
      <c r="AE617" s="156" t="n"/>
      <c r="AF617" s="51" t="n">
        <v>0</v>
      </c>
      <c r="AG617" s="156" t="inlineStr">
        <is>
          <t>Nuevo – NetSuite sin existencia</t>
        </is>
      </c>
      <c r="AH61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17" s="156" t="inlineStr">
        <is>
          <t>No</t>
        </is>
      </c>
      <c r="AJ617" s="156" t="n"/>
      <c r="AK617" s="155" t="inlineStr">
        <is>
          <t>G1522_Extraccion_Articulos_NetSuite_2026-09-30.xlsx: fila 52726</t>
        </is>
      </c>
      <c r="AL617" s="58" t="n"/>
      <c r="AM617" s="58" t="n"/>
      <c r="AN617" s="155" t="n"/>
      <c r="AO617" s="59" t="n"/>
      <c r="AP617" s="59" t="n"/>
      <c r="AQ617" s="59" t="n"/>
      <c r="AR617" s="155" t="n"/>
    </row>
    <row r="618">
      <c r="A618" s="50" t="inlineStr">
        <is>
          <t>5056658755361</t>
        </is>
      </c>
      <c r="B618" s="51" t="inlineStr">
        <is>
          <t>104007</t>
        </is>
      </c>
      <c r="C618" s="156" t="inlineStr">
        <is>
          <t>REFLO</t>
        </is>
      </c>
      <c r="D618" s="156" t="n"/>
      <c r="E618" s="156" t="n"/>
      <c r="F618" s="156" t="inlineStr">
        <is>
          <t>M</t>
        </is>
      </c>
      <c r="G618" s="156" t="inlineStr">
        <is>
          <t>M</t>
        </is>
      </c>
      <c r="H618" s="156" t="inlineStr">
        <is>
          <t>REFLO</t>
        </is>
      </c>
      <c r="I618" s="156" t="inlineStr">
        <is>
          <t>Nissan Formula E Replica Unisex Gilet - Season 12</t>
        </is>
      </c>
      <c r="J618" s="156" t="n"/>
      <c r="K618" s="156" t="n"/>
      <c r="L618" s="156" t="inlineStr">
        <is>
          <t>Unisex</t>
        </is>
      </c>
      <c r="M618" s="156" t="n"/>
      <c r="N618" s="156" t="n"/>
      <c r="O618" s="156" t="n"/>
      <c r="P618" s="156" t="inlineStr">
        <is>
          <t>Rojo</t>
        </is>
      </c>
      <c r="Q618" s="156" t="n"/>
      <c r="R618" s="156" t="n"/>
      <c r="S618" s="156" t="n"/>
      <c r="T618" s="156" t="n"/>
      <c r="U618" s="156" t="n"/>
      <c r="V618" s="156" t="inlineStr">
        <is>
          <t>PZS</t>
        </is>
      </c>
      <c r="W618" s="51" t="inlineStr">
        <is>
          <t>53103000</t>
        </is>
      </c>
      <c r="X618" s="156" t="inlineStr">
        <is>
          <t>https://cdn.shopify.com/s/files/1/0589/6500/0397/files/NissanS12-Gilet-1.jpg?v=1785919732</t>
        </is>
      </c>
      <c r="Y618" s="54" t="n">
        <v>54.91</v>
      </c>
      <c r="Z618" s="54" t="n">
        <v>4749</v>
      </c>
      <c r="AA618" s="55">
        <f>IF(AND(A618="", B618="", E618=""), "", IF(AB618="", "Válido", IF((LEN(AB618)-LEN(SUBSTITUTE(AB618,"; ","")))/2+1&gt;(LEN(AB618)-LEN(SUBSTITUTE(AB618,"[Aviso]","")))/7, "Con Incidencias", "Válido")))</f>
        <v/>
      </c>
      <c r="AB618" s="56">
        <f>IF(AND(A618="", B618="", E618=""), "", TEXTJOIN("; ", TRUE, IF(OR(TRIM(A618&amp;"")="", ISNUMBER(SEARCH("FALTA", A618))), "UPC faltante/inválido", ""), IF(AND(A618&lt;&gt;"", IFERROR(_xlfn.XMATCH(A618,$A$2:$A$653,0,1)&lt;&gt;_xlfn.XMATCH(A618,$A$2:$A$653,0,-1),FALSE)), "Código de barras duplicado", ""), IF(AND(E618&lt;&gt;"", COUNTIF($E$2:$E$653, E618)&gt;1), "SKU duplicado", ""), IF(OR(J618="", J618=""), "[Aviso] División no capturada ()", IF(ISNA(MATCH(J618, Criterios!$A$123:$A$126, 0)), "División no válida", "")), IF(OR(K618="", K618=""), "[Aviso] Categoría no capturada ()", IF(ISNA(MATCH(K618, Criterios!$A$81:$A$120, 0)), "Categoría no válida", IF(AND(J618&lt;&gt;"", J618&lt;&gt;"", J618&lt;&gt;VLOOKUP(K618, Criterios!$A$81:$B$120, 2, FALSE)), "División no coincide con Categoría", ""))), IF(OR(L618="", L618=""), "[Aviso] Género no capturado ()", IF(ISNA(MATCH(L618, Criterios!$B$123:$B$127, 0)), "Género no válido", "")), IF(OR(N618="", N618=""), "[Aviso] Temporada no capturada ()", IF(ISNA(MATCH(N618, Criterios!$C$123:$C$128, 0)), "Temporada no válida", "")), IF(OR(O618="", O618=""), "[Aviso] Ciclo de vida no capturado ()", IF(ISNA(MATCH(O618, Criterios!$D$123:$D$124, 0)), "Ciclo de vida no válido", ""))))</f>
        <v/>
      </c>
      <c r="AC618" s="56" t="n"/>
      <c r="AD618" s="51" t="n">
        <v>0</v>
      </c>
      <c r="AE618" s="156" t="n"/>
      <c r="AF618" s="51" t="n">
        <v>0</v>
      </c>
      <c r="AG618" s="156" t="inlineStr">
        <is>
          <t>Nuevo – NetSuite sin existencia</t>
        </is>
      </c>
      <c r="AH618" s="156" t="inlineStr">
        <is>
          <t>Alta auditoría 30/09/2026 desde extracción NetSuite; Atributos WB vacíos en NetSuite (sin estilo, talla, descripción ni categoría): completar | Homologación G1522 06/10/2026: WB Género: «» → «Unisex» (Completado por investigación en línea) · Enlace de imagen: «» → «https://cdn.shopify.com/s/files/1/0589/6500/0397/files/NissanS12-Gilet-1.jpg?v=1785919732» (Completado por investigación en línea) · WB Color: «» → «Rojo» (Completado por investigación en línea) · WB Talla: «» → «M» (Completado por investigación en línea) · WB Talla de EE. UU.: «» → «M» (Completado por investigación en línea) · WB Descripcion: «» → «Nissan Formula E Replica Unisex Gilet - Season 12» (Completado por investigación en línea) · Validación G1522: WB SKU faltante; Falta estilo · Validador NetSuite / Odoo: V6: falta estilo · Validador Shopify: V6: falta estilo; WB: precio con IVA no termina en 9</t>
        </is>
      </c>
      <c r="AI618" s="156" t="inlineStr">
        <is>
          <t>No</t>
        </is>
      </c>
      <c r="AJ618" s="156" t="n"/>
      <c r="AK618" s="155" t="inlineStr">
        <is>
          <t>G1522_Extraccion_Articulos_NetSuite_2026-09-30.xlsx: fila 52727 | Investigación en línea 06/10/2026: https://reflo.com/products/nissan-gilet-red</t>
        </is>
      </c>
      <c r="AL618" s="58" t="n"/>
      <c r="AM618" s="58" t="n"/>
      <c r="AN618" s="155" t="n"/>
      <c r="AO618" s="59" t="n"/>
      <c r="AP618" s="59" t="n"/>
      <c r="AQ618" s="59" t="n"/>
      <c r="AR618" s="155" t="n"/>
    </row>
    <row r="619">
      <c r="A619" s="50" t="inlineStr">
        <is>
          <t>5056658755378</t>
        </is>
      </c>
      <c r="B619" s="51" t="inlineStr">
        <is>
          <t>104008</t>
        </is>
      </c>
      <c r="C619" s="156" t="inlineStr">
        <is>
          <t>REFLO</t>
        </is>
      </c>
      <c r="D619" s="156" t="n"/>
      <c r="E619" s="156" t="n"/>
      <c r="F619" s="156" t="inlineStr">
        <is>
          <t>L</t>
        </is>
      </c>
      <c r="G619" s="156" t="inlineStr">
        <is>
          <t>L</t>
        </is>
      </c>
      <c r="H619" s="156" t="inlineStr">
        <is>
          <t>REFLO</t>
        </is>
      </c>
      <c r="I619" s="156" t="inlineStr">
        <is>
          <t>Nissan Formula E Replica Unisex Gilet - Season 12</t>
        </is>
      </c>
      <c r="J619" s="156" t="n"/>
      <c r="K619" s="156" t="n"/>
      <c r="L619" s="156" t="inlineStr">
        <is>
          <t>Unisex</t>
        </is>
      </c>
      <c r="M619" s="156" t="n"/>
      <c r="N619" s="156" t="n"/>
      <c r="O619" s="156" t="n"/>
      <c r="P619" s="156" t="inlineStr">
        <is>
          <t>Rojo</t>
        </is>
      </c>
      <c r="Q619" s="156" t="n"/>
      <c r="R619" s="156" t="n"/>
      <c r="S619" s="156" t="n"/>
      <c r="T619" s="156" t="n"/>
      <c r="U619" s="156" t="n"/>
      <c r="V619" s="156" t="inlineStr">
        <is>
          <t>PZS</t>
        </is>
      </c>
      <c r="W619" s="51" t="inlineStr">
        <is>
          <t>53103000</t>
        </is>
      </c>
      <c r="X619" s="156" t="inlineStr">
        <is>
          <t>https://cdn.shopify.com/s/files/1/0589/6500/0397/files/NissanS12-Gilet-1.jpg?v=1785919732</t>
        </is>
      </c>
      <c r="Y619" s="54" t="n">
        <v>54.91</v>
      </c>
      <c r="Z619" s="54" t="n">
        <v>4749</v>
      </c>
      <c r="AA619" s="55">
        <f>IF(AND(A619="", B619="", E619=""), "", IF(AB619="", "Válido", IF((LEN(AB619)-LEN(SUBSTITUTE(AB619,"; ","")))/2+1&gt;(LEN(AB619)-LEN(SUBSTITUTE(AB619,"[Aviso]","")))/7, "Con Incidencias", "Válido")))</f>
        <v/>
      </c>
      <c r="AB619" s="56">
        <f>IF(AND(A619="", B619="", E619=""), "", TEXTJOIN("; ", TRUE, IF(OR(TRIM(A619&amp;"")="", ISNUMBER(SEARCH("FALTA", A619))), "UPC faltante/inválido", ""), IF(AND(A619&lt;&gt;"", IFERROR(_xlfn.XMATCH(A619,$A$2:$A$653,0,1)&lt;&gt;_xlfn.XMATCH(A619,$A$2:$A$653,0,-1),FALSE)), "Código de barras duplicado", ""), IF(AND(E619&lt;&gt;"", COUNTIF($E$2:$E$653, E619)&gt;1), "SKU duplicado", ""), IF(OR(J619="", J619=""), "[Aviso] División no capturada ()", IF(ISNA(MATCH(J619, Criterios!$A$123:$A$126, 0)), "División no válida", "")), IF(OR(K619="", K619=""), "[Aviso] Categoría no capturada ()", IF(ISNA(MATCH(K619, Criterios!$A$81:$A$120, 0)), "Categoría no válida", IF(AND(J619&lt;&gt;"", J619&lt;&gt;"", J619&lt;&gt;VLOOKUP(K619, Criterios!$A$81:$B$120, 2, FALSE)), "División no coincide con Categoría", ""))), IF(OR(L619="", L619=""), "[Aviso] Género no capturado ()", IF(ISNA(MATCH(L619, Criterios!$B$123:$B$127, 0)), "Género no válido", "")), IF(OR(N619="", N619=""), "[Aviso] Temporada no capturada ()", IF(ISNA(MATCH(N619, Criterios!$C$123:$C$128, 0)), "Temporada no válida", "")), IF(OR(O619="", O619=""), "[Aviso] Ciclo de vida no capturado ()", IF(ISNA(MATCH(O619, Criterios!$D$123:$D$124, 0)), "Ciclo de vida no válido", ""))))</f>
        <v/>
      </c>
      <c r="AC619" s="56" t="n"/>
      <c r="AD619" s="51" t="n">
        <v>0</v>
      </c>
      <c r="AE619" s="156" t="n"/>
      <c r="AF619" s="51" t="n">
        <v>0</v>
      </c>
      <c r="AG619" s="156" t="inlineStr">
        <is>
          <t>Nuevo – NetSuite sin existencia</t>
        </is>
      </c>
      <c r="AH619" s="156" t="inlineStr">
        <is>
          <t>Alta auditoría 30/09/2026 desde extracción NetSuite; Atributos WB vacíos en NetSuite (sin estilo, talla, descripción ni categoría): completar | Homologación G1522 06/10/2026: WB Género: «» → «Unisex» (Completado por investigación en línea) · Enlace de imagen: «» → «https://cdn.shopify.com/s/files/1/0589/6500/0397/files/NissanS12-Gilet-1.jpg?v=1785919732» (Completado por investigación en línea) · WB Color: «» → «Rojo» (Completado por investigación en línea) · WB Talla: «» → «L» (Completado por investigación en línea) · WB Talla de EE. UU.: «» → «L» (Completado por investigación en línea) · WB Descripcion: «» → «Nissan Formula E Replica Unisex Gilet - Season 12» (Completado por investigación en línea) · Validación G1522: WB SKU faltante; Falta estilo · Validador NetSuite / Odoo: V6: falta estilo · Validador Shopify: V6: falta estilo; WB: precio con IVA no termina en 9</t>
        </is>
      </c>
      <c r="AI619" s="156" t="inlineStr">
        <is>
          <t>No</t>
        </is>
      </c>
      <c r="AJ619" s="156" t="n"/>
      <c r="AK619" s="155" t="inlineStr">
        <is>
          <t>G1522_Extraccion_Articulos_NetSuite_2026-09-30.xlsx: fila 52728 | Investigación en línea 06/10/2026: https://reflo.com/products/nissan-gilet-red</t>
        </is>
      </c>
      <c r="AL619" s="58" t="n"/>
      <c r="AM619" s="58" t="n"/>
      <c r="AN619" s="155" t="n"/>
      <c r="AO619" s="59" t="n"/>
      <c r="AP619" s="59" t="n"/>
      <c r="AQ619" s="59" t="n"/>
      <c r="AR619" s="155" t="n"/>
    </row>
    <row r="620">
      <c r="A620" s="50" t="inlineStr">
        <is>
          <t>5056658755385</t>
        </is>
      </c>
      <c r="B620" s="51" t="inlineStr">
        <is>
          <t>104009</t>
        </is>
      </c>
      <c r="C620" s="156" t="inlineStr">
        <is>
          <t>REFLO</t>
        </is>
      </c>
      <c r="D620" s="156" t="n"/>
      <c r="E620" s="156" t="n"/>
      <c r="F620" s="156" t="inlineStr">
        <is>
          <t>XL</t>
        </is>
      </c>
      <c r="G620" s="156" t="inlineStr">
        <is>
          <t>XL</t>
        </is>
      </c>
      <c r="H620" s="156" t="inlineStr">
        <is>
          <t>REFLO</t>
        </is>
      </c>
      <c r="I620" s="156" t="inlineStr">
        <is>
          <t>Nissan Formula E Replica Unisex Gilet - Season 12</t>
        </is>
      </c>
      <c r="J620" s="156" t="n"/>
      <c r="K620" s="156" t="n"/>
      <c r="L620" s="156" t="inlineStr">
        <is>
          <t>Unisex</t>
        </is>
      </c>
      <c r="M620" s="156" t="n"/>
      <c r="N620" s="156" t="n"/>
      <c r="O620" s="156" t="n"/>
      <c r="P620" s="156" t="inlineStr">
        <is>
          <t>Rojo</t>
        </is>
      </c>
      <c r="Q620" s="156" t="n"/>
      <c r="R620" s="156" t="n"/>
      <c r="S620" s="156" t="n"/>
      <c r="T620" s="156" t="n"/>
      <c r="U620" s="156" t="n"/>
      <c r="V620" s="156" t="inlineStr">
        <is>
          <t>PZS</t>
        </is>
      </c>
      <c r="W620" s="51" t="inlineStr">
        <is>
          <t>53103000</t>
        </is>
      </c>
      <c r="X620" s="156" t="inlineStr">
        <is>
          <t>https://cdn.shopify.com/s/files/1/0589/6500/0397/files/NissanS12-Gilet-1.jpg?v=1785919732</t>
        </is>
      </c>
      <c r="Y620" s="54" t="n">
        <v>54.91</v>
      </c>
      <c r="Z620" s="54" t="n">
        <v>4749</v>
      </c>
      <c r="AA620" s="55">
        <f>IF(AND(A620="", B620="", E620=""), "", IF(AB620="", "Válido", IF((LEN(AB620)-LEN(SUBSTITUTE(AB620,"; ","")))/2+1&gt;(LEN(AB620)-LEN(SUBSTITUTE(AB620,"[Aviso]","")))/7, "Con Incidencias", "Válido")))</f>
        <v/>
      </c>
      <c r="AB620" s="56">
        <f>IF(AND(A620="", B620="", E620=""), "", TEXTJOIN("; ", TRUE, IF(OR(TRIM(A620&amp;"")="", ISNUMBER(SEARCH("FALTA", A620))), "UPC faltante/inválido", ""), IF(AND(A620&lt;&gt;"", IFERROR(_xlfn.XMATCH(A620,$A$2:$A$653,0,1)&lt;&gt;_xlfn.XMATCH(A620,$A$2:$A$653,0,-1),FALSE)), "Código de barras duplicado", ""), IF(AND(E620&lt;&gt;"", COUNTIF($E$2:$E$653, E620)&gt;1), "SKU duplicado", ""), IF(OR(J620="", J620=""), "[Aviso] División no capturada ()", IF(ISNA(MATCH(J620, Criterios!$A$123:$A$126, 0)), "División no válida", "")), IF(OR(K620="", K620=""), "[Aviso] Categoría no capturada ()", IF(ISNA(MATCH(K620, Criterios!$A$81:$A$120, 0)), "Categoría no válida", IF(AND(J620&lt;&gt;"", J620&lt;&gt;"", J620&lt;&gt;VLOOKUP(K620, Criterios!$A$81:$B$120, 2, FALSE)), "División no coincide con Categoría", ""))), IF(OR(L620="", L620=""), "[Aviso] Género no capturado ()", IF(ISNA(MATCH(L620, Criterios!$B$123:$B$127, 0)), "Género no válido", "")), IF(OR(N620="", N620=""), "[Aviso] Temporada no capturada ()", IF(ISNA(MATCH(N620, Criterios!$C$123:$C$128, 0)), "Temporada no válida", "")), IF(OR(O620="", O620=""), "[Aviso] Ciclo de vida no capturado ()", IF(ISNA(MATCH(O620, Criterios!$D$123:$D$124, 0)), "Ciclo de vida no válido", ""))))</f>
        <v/>
      </c>
      <c r="AC620" s="56" t="n"/>
      <c r="AD620" s="51" t="n">
        <v>0</v>
      </c>
      <c r="AE620" s="156" t="n"/>
      <c r="AF620" s="51" t="n">
        <v>0</v>
      </c>
      <c r="AG620" s="156" t="inlineStr">
        <is>
          <t>Nuevo – NetSuite sin existencia</t>
        </is>
      </c>
      <c r="AH620" s="156" t="inlineStr">
        <is>
          <t>Alta auditoría 30/09/2026 desde extracción NetSuite; Atributos WB vacíos en NetSuite (sin estilo, talla, descripción ni categoría): completar | Homologación G1522 06/10/2026: WB Género: «» → «Unisex» (Completado por investigación en línea) · Enlace de imagen: «» → «https://cdn.shopify.com/s/files/1/0589/6500/0397/files/NissanS12-Gilet-1.jpg?v=1785919732» (Completado por investigación en línea) · WB Color: «» → «Rojo» (Completado por investigación en línea) · WB Talla: «» → «XL» (Completado por investigación en línea) · WB Talla de EE. UU.: «» → «XL» (Completado por investigación en línea) · WB Descripcion: «» → «Nissan Formula E Replica Unisex Gilet - Season 12» (Completado por investigación en línea) · Validación G1522: WB SKU faltante; Falta estilo · Validador NetSuite / Odoo: V6: falta estilo · Validador Shopify: V6: falta estilo; WB: precio con IVA no termina en 9</t>
        </is>
      </c>
      <c r="AI620" s="156" t="inlineStr">
        <is>
          <t>No</t>
        </is>
      </c>
      <c r="AJ620" s="156" t="n"/>
      <c r="AK620" s="155" t="inlineStr">
        <is>
          <t>G1522_Extraccion_Articulos_NetSuite_2026-09-30.xlsx: fila 52729 | Investigación en línea 06/10/2026: https://reflo.com/products/nissan-gilet-red</t>
        </is>
      </c>
      <c r="AL620" s="58" t="n"/>
      <c r="AM620" s="58" t="n"/>
      <c r="AN620" s="155" t="n"/>
      <c r="AO620" s="59" t="n"/>
      <c r="AP620" s="59" t="n"/>
      <c r="AQ620" s="59" t="n"/>
      <c r="AR620" s="155" t="n"/>
    </row>
    <row r="621">
      <c r="A621" s="50" t="inlineStr">
        <is>
          <t>5056658755392</t>
        </is>
      </c>
      <c r="B621" s="51" t="inlineStr">
        <is>
          <t>104010</t>
        </is>
      </c>
      <c r="C621" s="156" t="inlineStr">
        <is>
          <t>REFLO</t>
        </is>
      </c>
      <c r="D621" s="156" t="n"/>
      <c r="E621" s="156" t="n"/>
      <c r="F621" s="156" t="n"/>
      <c r="G621" s="156" t="n"/>
      <c r="H621" s="156" t="inlineStr">
        <is>
          <t>REFLO</t>
        </is>
      </c>
      <c r="I621" s="156" t="n"/>
      <c r="J621" s="156" t="n"/>
      <c r="K621" s="156" t="n"/>
      <c r="L621" s="156" t="n"/>
      <c r="M621" s="156" t="n"/>
      <c r="N621" s="156" t="n"/>
      <c r="O621" s="156" t="n"/>
      <c r="P621" s="156" t="n"/>
      <c r="Q621" s="156" t="n"/>
      <c r="R621" s="156" t="n"/>
      <c r="S621" s="156" t="n"/>
      <c r="T621" s="156" t="n"/>
      <c r="U621" s="156" t="n"/>
      <c r="V621" s="156" t="inlineStr">
        <is>
          <t>PZS</t>
        </is>
      </c>
      <c r="W621" s="51" t="inlineStr">
        <is>
          <t>53103000</t>
        </is>
      </c>
      <c r="X621" s="156" t="n"/>
      <c r="Y621" s="54" t="n">
        <v>54.91</v>
      </c>
      <c r="Z621" s="54" t="n">
        <v>4749</v>
      </c>
      <c r="AA621" s="55">
        <f>IF(AND(A621="", B621="", E621=""), "", IF(AB621="", "Válido", IF((LEN(AB621)-LEN(SUBSTITUTE(AB621,"; ","")))/2+1&gt;(LEN(AB621)-LEN(SUBSTITUTE(AB621,"[Aviso]","")))/7, "Con Incidencias", "Válido")))</f>
        <v/>
      </c>
      <c r="AB621" s="56">
        <f>IF(AND(A621="", B621="", E621=""), "", TEXTJOIN("; ", TRUE, IF(OR(TRIM(A621&amp;"")="", ISNUMBER(SEARCH("FALTA", A621))), "UPC faltante/inválido", ""), IF(AND(A621&lt;&gt;"", IFERROR(_xlfn.XMATCH(A621,$A$2:$A$653,0,1)&lt;&gt;_xlfn.XMATCH(A621,$A$2:$A$653,0,-1),FALSE)), "Código de barras duplicado", ""), IF(AND(E621&lt;&gt;"", COUNTIF($E$2:$E$653, E621)&gt;1), "SKU duplicado", ""), IF(OR(J621="", J621=""), "[Aviso] División no capturada ()", IF(ISNA(MATCH(J621, Criterios!$A$123:$A$126, 0)), "División no válida", "")), IF(OR(K621="", K621=""), "[Aviso] Categoría no capturada ()", IF(ISNA(MATCH(K621, Criterios!$A$81:$A$120, 0)), "Categoría no válida", IF(AND(J621&lt;&gt;"", J621&lt;&gt;"", J621&lt;&gt;VLOOKUP(K621, Criterios!$A$81:$B$120, 2, FALSE)), "División no coincide con Categoría", ""))), IF(OR(L621="", L621=""), "[Aviso] Género no capturado ()", IF(ISNA(MATCH(L621, Criterios!$B$123:$B$127, 0)), "Género no válido", "")), IF(OR(N621="", N621=""), "[Aviso] Temporada no capturada ()", IF(ISNA(MATCH(N621, Criterios!$C$123:$C$128, 0)), "Temporada no válida", "")), IF(OR(O621="", O621=""), "[Aviso] Ciclo de vida no capturado ()", IF(ISNA(MATCH(O621, Criterios!$D$123:$D$124, 0)), "Ciclo de vida no válido", ""))))</f>
        <v/>
      </c>
      <c r="AC621" s="56" t="n"/>
      <c r="AD621" s="51" t="n">
        <v>0</v>
      </c>
      <c r="AE621" s="156" t="n"/>
      <c r="AF621" s="51" t="n">
        <v>0</v>
      </c>
      <c r="AG621" s="156" t="inlineStr">
        <is>
          <t>Nuevo – NetSuite sin existencia</t>
        </is>
      </c>
      <c r="AH62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21" s="156" t="inlineStr">
        <is>
          <t>No</t>
        </is>
      </c>
      <c r="AJ621" s="156" t="n"/>
      <c r="AK621" s="155" t="inlineStr">
        <is>
          <t>G1522_Extraccion_Articulos_NetSuite_2026-09-30.xlsx: fila 52730</t>
        </is>
      </c>
      <c r="AL621" s="58" t="n"/>
      <c r="AM621" s="58" t="n"/>
      <c r="AN621" s="155" t="n"/>
      <c r="AO621" s="59" t="n"/>
      <c r="AP621" s="59" t="n"/>
      <c r="AQ621" s="59" t="n"/>
      <c r="AR621" s="155" t="n"/>
    </row>
    <row r="622">
      <c r="A622" s="50" t="inlineStr">
        <is>
          <t>5056658790171</t>
        </is>
      </c>
      <c r="B622" s="51" t="inlineStr">
        <is>
          <t>104011</t>
        </is>
      </c>
      <c r="C622" s="156" t="inlineStr">
        <is>
          <t>REFLO</t>
        </is>
      </c>
      <c r="D622" s="156" t="n"/>
      <c r="E622" s="156" t="n"/>
      <c r="F622" s="156" t="n"/>
      <c r="G622" s="156" t="n"/>
      <c r="H622" s="156" t="inlineStr">
        <is>
          <t>REFLO</t>
        </is>
      </c>
      <c r="I622" s="156" t="n"/>
      <c r="J622" s="156" t="n"/>
      <c r="K622" s="156" t="n"/>
      <c r="L622" s="156" t="n"/>
      <c r="M622" s="156" t="n"/>
      <c r="N622" s="156" t="n"/>
      <c r="O622" s="156" t="n"/>
      <c r="P622" s="156" t="n"/>
      <c r="Q622" s="156" t="n"/>
      <c r="R622" s="156" t="n"/>
      <c r="S622" s="156" t="n"/>
      <c r="T622" s="156" t="n"/>
      <c r="U622" s="156" t="n"/>
      <c r="V622" s="156" t="inlineStr">
        <is>
          <t>PZS</t>
        </is>
      </c>
      <c r="W622" s="51" t="inlineStr">
        <is>
          <t>53103000</t>
        </is>
      </c>
      <c r="X622" s="156" t="n"/>
      <c r="Y622" s="54" t="n">
        <v>54.91</v>
      </c>
      <c r="Z622" s="54" t="n">
        <v>4749</v>
      </c>
      <c r="AA622" s="55">
        <f>IF(AND(A622="", B622="", E622=""), "", IF(AB622="", "Válido", IF((LEN(AB622)-LEN(SUBSTITUTE(AB622,"; ","")))/2+1&gt;(LEN(AB622)-LEN(SUBSTITUTE(AB622,"[Aviso]","")))/7, "Con Incidencias", "Válido")))</f>
        <v/>
      </c>
      <c r="AB622" s="56">
        <f>IF(AND(A622="", B622="", E622=""), "", TEXTJOIN("; ", TRUE, IF(OR(TRIM(A622&amp;"")="", ISNUMBER(SEARCH("FALTA", A622))), "UPC faltante/inválido", ""), IF(AND(A622&lt;&gt;"", IFERROR(_xlfn.XMATCH(A622,$A$2:$A$653,0,1)&lt;&gt;_xlfn.XMATCH(A622,$A$2:$A$653,0,-1),FALSE)), "Código de barras duplicado", ""), IF(AND(E622&lt;&gt;"", COUNTIF($E$2:$E$653, E622)&gt;1), "SKU duplicado", ""), IF(OR(J622="", J622=""), "[Aviso] División no capturada ()", IF(ISNA(MATCH(J622, Criterios!$A$123:$A$126, 0)), "División no válida", "")), IF(OR(K622="", K622=""), "[Aviso] Categoría no capturada ()", IF(ISNA(MATCH(K622, Criterios!$A$81:$A$120, 0)), "Categoría no válida", IF(AND(J622&lt;&gt;"", J622&lt;&gt;"", J622&lt;&gt;VLOOKUP(K622, Criterios!$A$81:$B$120, 2, FALSE)), "División no coincide con Categoría", ""))), IF(OR(L622="", L622=""), "[Aviso] Género no capturado ()", IF(ISNA(MATCH(L622, Criterios!$B$123:$B$127, 0)), "Género no válido", "")), IF(OR(N622="", N622=""), "[Aviso] Temporada no capturada ()", IF(ISNA(MATCH(N622, Criterios!$C$123:$C$128, 0)), "Temporada no válida", "")), IF(OR(O622="", O622=""), "[Aviso] Ciclo de vida no capturado ()", IF(ISNA(MATCH(O622, Criterios!$D$123:$D$124, 0)), "Ciclo de vida no válido", ""))))</f>
        <v/>
      </c>
      <c r="AC622" s="56" t="n"/>
      <c r="AD622" s="51" t="n">
        <v>-6</v>
      </c>
      <c r="AE622" s="156" t="n"/>
      <c r="AF622" s="51" t="n">
        <v>0</v>
      </c>
      <c r="AG622" s="156" t="inlineStr">
        <is>
          <t>Nuevo – NetSuite sin existencia</t>
        </is>
      </c>
      <c r="AH62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22" s="156" t="inlineStr">
        <is>
          <t>No</t>
        </is>
      </c>
      <c r="AJ622" s="156" t="n"/>
      <c r="AK622" s="155" t="inlineStr">
        <is>
          <t>G1522_Extraccion_Articulos_NetSuite_2026-09-30.xlsx: fila 52731</t>
        </is>
      </c>
      <c r="AL622" s="58" t="n"/>
      <c r="AM622" s="58" t="n"/>
      <c r="AN622" s="155" t="n"/>
      <c r="AO622" s="59" t="n"/>
      <c r="AP622" s="59" t="n"/>
      <c r="AQ622" s="59" t="n"/>
      <c r="AR622" s="155" t="n"/>
    </row>
    <row r="623">
      <c r="A623" s="50" t="inlineStr">
        <is>
          <t>5056658777226</t>
        </is>
      </c>
      <c r="B623" s="51" t="inlineStr">
        <is>
          <t>104012</t>
        </is>
      </c>
      <c r="C623" s="156" t="inlineStr">
        <is>
          <t>REFLO</t>
        </is>
      </c>
      <c r="D623" s="156" t="n"/>
      <c r="E623" s="156" t="n"/>
      <c r="F623" s="156" t="n"/>
      <c r="G623" s="156" t="n"/>
      <c r="H623" s="156" t="inlineStr">
        <is>
          <t>REFLO</t>
        </is>
      </c>
      <c r="I623" s="156" t="n"/>
      <c r="J623" s="156" t="n"/>
      <c r="K623" s="156" t="n"/>
      <c r="L623" s="156" t="n"/>
      <c r="M623" s="156" t="n"/>
      <c r="N623" s="156" t="n"/>
      <c r="O623" s="156" t="n"/>
      <c r="P623" s="156" t="n"/>
      <c r="Q623" s="156" t="n"/>
      <c r="R623" s="156" t="n"/>
      <c r="S623" s="156" t="n"/>
      <c r="T623" s="156" t="n"/>
      <c r="U623" s="156" t="n"/>
      <c r="V623" s="156" t="inlineStr">
        <is>
          <t>PZS</t>
        </is>
      </c>
      <c r="W623" s="51" t="inlineStr">
        <is>
          <t>53101702</t>
        </is>
      </c>
      <c r="X623" s="156" t="n"/>
      <c r="Y623" s="54" t="n">
        <v>34.74</v>
      </c>
      <c r="Z623" s="54" t="n">
        <v>2999</v>
      </c>
      <c r="AA623" s="55">
        <f>IF(AND(A623="", B623="", E623=""), "", IF(AB623="", "Válido", IF((LEN(AB623)-LEN(SUBSTITUTE(AB623,"; ","")))/2+1&gt;(LEN(AB623)-LEN(SUBSTITUTE(AB623,"[Aviso]","")))/7, "Con Incidencias", "Válido")))</f>
        <v/>
      </c>
      <c r="AB623" s="56">
        <f>IF(AND(A623="", B623="", E623=""), "", TEXTJOIN("; ", TRUE, IF(OR(TRIM(A623&amp;"")="", ISNUMBER(SEARCH("FALTA", A623))), "UPC faltante/inválido", ""), IF(AND(A623&lt;&gt;"", IFERROR(_xlfn.XMATCH(A623,$A$2:$A$653,0,1)&lt;&gt;_xlfn.XMATCH(A623,$A$2:$A$653,0,-1),FALSE)), "Código de barras duplicado", ""), IF(AND(E623&lt;&gt;"", COUNTIF($E$2:$E$653, E623)&gt;1), "SKU duplicado", ""), IF(OR(J623="", J623=""), "[Aviso] División no capturada ()", IF(ISNA(MATCH(J623, Criterios!$A$123:$A$126, 0)), "División no válida", "")), IF(OR(K623="", K623=""), "[Aviso] Categoría no capturada ()", IF(ISNA(MATCH(K623, Criterios!$A$81:$A$120, 0)), "Categoría no válida", IF(AND(J623&lt;&gt;"", J623&lt;&gt;"", J623&lt;&gt;VLOOKUP(K623, Criterios!$A$81:$B$120, 2, FALSE)), "División no coincide con Categoría", ""))), IF(OR(L623="", L623=""), "[Aviso] Género no capturado ()", IF(ISNA(MATCH(L623, Criterios!$B$123:$B$127, 0)), "Género no válido", "")), IF(OR(N623="", N623=""), "[Aviso] Temporada no capturada ()", IF(ISNA(MATCH(N623, Criterios!$C$123:$C$128, 0)), "Temporada no válida", "")), IF(OR(O623="", O623=""), "[Aviso] Ciclo de vida no capturado ()", IF(ISNA(MATCH(O623, Criterios!$D$123:$D$124, 0)), "Ciclo de vida no válido", ""))))</f>
        <v/>
      </c>
      <c r="AC623" s="56" t="n"/>
      <c r="AD623" s="51" t="n">
        <v>0</v>
      </c>
      <c r="AE623" s="156" t="n"/>
      <c r="AF623" s="51" t="n">
        <v>0</v>
      </c>
      <c r="AG623" s="156" t="inlineStr">
        <is>
          <t>Nuevo – NetSuite sin existencia</t>
        </is>
      </c>
      <c r="AH62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23" s="156" t="inlineStr">
        <is>
          <t>No</t>
        </is>
      </c>
      <c r="AJ623" s="156" t="n"/>
      <c r="AK623" s="155" t="inlineStr">
        <is>
          <t>G1522_Extraccion_Articulos_NetSuite_2026-09-30.xlsx: fila 52732</t>
        </is>
      </c>
      <c r="AL623" s="58" t="n"/>
      <c r="AM623" s="58" t="n"/>
      <c r="AN623" s="155" t="n"/>
      <c r="AO623" s="59" t="n"/>
      <c r="AP623" s="59" t="n"/>
      <c r="AQ623" s="59" t="n"/>
      <c r="AR623" s="155" t="n"/>
    </row>
    <row r="624">
      <c r="A624" s="50" t="inlineStr">
        <is>
          <t>5056658777233</t>
        </is>
      </c>
      <c r="B624" s="51" t="inlineStr">
        <is>
          <t>104013</t>
        </is>
      </c>
      <c r="C624" s="156" t="inlineStr">
        <is>
          <t>REFLO</t>
        </is>
      </c>
      <c r="D624" s="156" t="n"/>
      <c r="E624" s="156" t="n"/>
      <c r="F624" s="156" t="inlineStr">
        <is>
          <t>XS</t>
        </is>
      </c>
      <c r="G624" s="156" t="inlineStr">
        <is>
          <t>XS</t>
        </is>
      </c>
      <c r="H624" s="156" t="inlineStr">
        <is>
          <t>REFLO</t>
        </is>
      </c>
      <c r="I624" s="156" t="inlineStr">
        <is>
          <t>Nissan Formula E Replica Unisex Travel Hoodie - Season 12</t>
        </is>
      </c>
      <c r="J624" s="156" t="inlineStr">
        <is>
          <t>Ropa</t>
        </is>
      </c>
      <c r="K624" s="156" t="inlineStr">
        <is>
          <t>Sudaderas</t>
        </is>
      </c>
      <c r="L624" s="156" t="inlineStr">
        <is>
          <t>Unisex</t>
        </is>
      </c>
      <c r="M624" s="156" t="n"/>
      <c r="N624" s="156" t="n"/>
      <c r="O624" s="156" t="n"/>
      <c r="P624" s="156" t="inlineStr">
        <is>
          <t>Negro</t>
        </is>
      </c>
      <c r="Q624" s="156" t="n"/>
      <c r="R624" s="156" t="n"/>
      <c r="S624" s="156" t="n"/>
      <c r="T624" s="156" t="n"/>
      <c r="U624" s="156" t="n"/>
      <c r="V624" s="156" t="inlineStr">
        <is>
          <t>PZS</t>
        </is>
      </c>
      <c r="W624" s="51" t="inlineStr">
        <is>
          <t>53101702</t>
        </is>
      </c>
      <c r="X624" s="156" t="inlineStr">
        <is>
          <t>https://cdn.shopify.com/s/files/1/0589/6500/0397/files/NissanS12-Hoodie-1.jpg?v=1785919688</t>
        </is>
      </c>
      <c r="Y624" s="54" t="n">
        <v>34.74</v>
      </c>
      <c r="Z624" s="54" t="n">
        <v>2999</v>
      </c>
      <c r="AA624" s="55">
        <f>IF(AND(A624="", B624="", E624=""), "", IF(AB624="", "Válido", IF((LEN(AB624)-LEN(SUBSTITUTE(AB624,"; ","")))/2+1&gt;(LEN(AB624)-LEN(SUBSTITUTE(AB624,"[Aviso]","")))/7, "Con Incidencias", "Válido")))</f>
        <v/>
      </c>
      <c r="AB624" s="56">
        <f>IF(AND(A624="", B624="", E624=""), "", TEXTJOIN("; ", TRUE, IF(OR(TRIM(A624&amp;"")="", ISNUMBER(SEARCH("FALTA", A624))), "UPC faltante/inválido", ""), IF(AND(A624&lt;&gt;"", IFERROR(_xlfn.XMATCH(A624,$A$2:$A$653,0,1)&lt;&gt;_xlfn.XMATCH(A624,$A$2:$A$653,0,-1),FALSE)), "Código de barras duplicado", ""), IF(AND(E624&lt;&gt;"", COUNTIF($E$2:$E$653, E624)&gt;1), "SKU duplicado", ""), IF(OR(J624="", J624=""), "[Aviso] División no capturada ()", IF(ISNA(MATCH(J624, Criterios!$A$123:$A$126, 0)), "División no válida", "")), IF(OR(K624="", K624=""), "[Aviso] Categoría no capturada ()", IF(ISNA(MATCH(K624, Criterios!$A$81:$A$120, 0)), "Categoría no válida", IF(AND(J624&lt;&gt;"", J624&lt;&gt;"", J624&lt;&gt;VLOOKUP(K624, Criterios!$A$81:$B$120, 2, FALSE)), "División no coincide con Categoría", ""))), IF(OR(L624="", L624=""), "[Aviso] Género no capturado ()", IF(ISNA(MATCH(L624, Criterios!$B$123:$B$127, 0)), "Género no válido", "")), IF(OR(N624="", N624=""), "[Aviso] Temporada no capturada ()", IF(ISNA(MATCH(N624, Criterios!$C$123:$C$128, 0)), "Temporada no válida", "")), IF(OR(O624="", O624=""), "[Aviso] Ciclo de vida no capturado ()", IF(ISNA(MATCH(O624, Criterios!$D$123:$D$124, 0)), "Ciclo de vida no válido", ""))))</f>
        <v/>
      </c>
      <c r="AC624" s="56" t="n"/>
      <c r="AD624" s="51" t="n">
        <v>-12</v>
      </c>
      <c r="AE624" s="156" t="n"/>
      <c r="AF624" s="51" t="n">
        <v>0</v>
      </c>
      <c r="AG624" s="156" t="inlineStr">
        <is>
          <t>Nuevo – NetSuite sin existencia</t>
        </is>
      </c>
      <c r="AH624" s="156" t="inlineStr">
        <is>
          <t>Alta auditoría 30/09/2026 desde extracción NetSuite; Atributos WB vacíos en NetSuite (sin estilo, talla, descripción ni categoría): completar | Homologación G1522 06/10/2026: WB Categoría: «» → «Sudaderas» (Completado por investigación en línea) · WB Género: «» → «Unisex» (Completado por investigación en línea) · Enlace de imagen: «» → «https://cdn.shopify.com/s/files/1/0589/6500/0397/files/NissanS12-Hoodie-1.jpg?v=1785919688» (Completado por investigación en línea) · WB Color: «» → «Negro» (Completado por investigación en línea) · WB Talla: «» → «XS» (Completado por investigación en línea) · WB Talla de EE. UU.: «» → «XS» (Completado por investigación en línea) · WB Descripcion: «» → «Nissan Formula E Replica Unisex Travel Hoodie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24" s="156" t="inlineStr">
        <is>
          <t>No</t>
        </is>
      </c>
      <c r="AJ624" s="156" t="n"/>
      <c r="AK624" s="155" t="inlineStr">
        <is>
          <t>G1522_Extraccion_Articulos_NetSuite_2026-09-30.xlsx: fila 52733 | Investigación en línea 06/10/2026: https://reflo.com/products/nissan-formula-e-travel-hoodie-black</t>
        </is>
      </c>
      <c r="AL624" s="58" t="n"/>
      <c r="AM624" s="58" t="n"/>
      <c r="AN624" s="155" t="n"/>
      <c r="AO624" s="59" t="n"/>
      <c r="AP624" s="59" t="n"/>
      <c r="AQ624" s="59" t="n"/>
      <c r="AR624" s="155" t="n"/>
    </row>
    <row r="625">
      <c r="A625" s="50" t="inlineStr">
        <is>
          <t>5056658777240</t>
        </is>
      </c>
      <c r="B625" s="51" t="inlineStr">
        <is>
          <t>104014</t>
        </is>
      </c>
      <c r="C625" s="156" t="inlineStr">
        <is>
          <t>REFLO</t>
        </is>
      </c>
      <c r="D625" s="156" t="n"/>
      <c r="E625" s="156" t="n"/>
      <c r="F625" s="156" t="inlineStr">
        <is>
          <t>S</t>
        </is>
      </c>
      <c r="G625" s="156" t="inlineStr">
        <is>
          <t>S</t>
        </is>
      </c>
      <c r="H625" s="156" t="inlineStr">
        <is>
          <t>REFLO</t>
        </is>
      </c>
      <c r="I625" s="156" t="inlineStr">
        <is>
          <t>Nissan Formula E Replica Unisex Travel Hoodie - Season 12</t>
        </is>
      </c>
      <c r="J625" s="156" t="inlineStr">
        <is>
          <t>Ropa</t>
        </is>
      </c>
      <c r="K625" s="156" t="inlineStr">
        <is>
          <t>Sudaderas</t>
        </is>
      </c>
      <c r="L625" s="156" t="inlineStr">
        <is>
          <t>Unisex</t>
        </is>
      </c>
      <c r="M625" s="156" t="n"/>
      <c r="N625" s="156" t="n"/>
      <c r="O625" s="156" t="n"/>
      <c r="P625" s="156" t="inlineStr">
        <is>
          <t>Negro</t>
        </is>
      </c>
      <c r="Q625" s="156" t="n"/>
      <c r="R625" s="156" t="n"/>
      <c r="S625" s="156" t="n"/>
      <c r="T625" s="156" t="n"/>
      <c r="U625" s="156" t="n"/>
      <c r="V625" s="156" t="inlineStr">
        <is>
          <t>PZS</t>
        </is>
      </c>
      <c r="W625" s="51" t="inlineStr">
        <is>
          <t>53101702</t>
        </is>
      </c>
      <c r="X625" s="156" t="inlineStr">
        <is>
          <t>https://cdn.shopify.com/s/files/1/0589/6500/0397/files/NissanS12-Hoodie-1.jpg?v=1785919688</t>
        </is>
      </c>
      <c r="Y625" s="54" t="n">
        <v>34.74</v>
      </c>
      <c r="Z625" s="54" t="n">
        <v>2999</v>
      </c>
      <c r="AA625" s="55">
        <f>IF(AND(A625="", B625="", E625=""), "", IF(AB625="", "Válido", IF((LEN(AB625)-LEN(SUBSTITUTE(AB625,"; ","")))/2+1&gt;(LEN(AB625)-LEN(SUBSTITUTE(AB625,"[Aviso]","")))/7, "Con Incidencias", "Válido")))</f>
        <v/>
      </c>
      <c r="AB625" s="56">
        <f>IF(AND(A625="", B625="", E625=""), "", TEXTJOIN("; ", TRUE, IF(OR(TRIM(A625&amp;"")="", ISNUMBER(SEARCH("FALTA", A625))), "UPC faltante/inválido", ""), IF(AND(A625&lt;&gt;"", IFERROR(_xlfn.XMATCH(A625,$A$2:$A$653,0,1)&lt;&gt;_xlfn.XMATCH(A625,$A$2:$A$653,0,-1),FALSE)), "Código de barras duplicado", ""), IF(AND(E625&lt;&gt;"", COUNTIF($E$2:$E$653, E625)&gt;1), "SKU duplicado", ""), IF(OR(J625="", J625=""), "[Aviso] División no capturada ()", IF(ISNA(MATCH(J625, Criterios!$A$123:$A$126, 0)), "División no válida", "")), IF(OR(K625="", K625=""), "[Aviso] Categoría no capturada ()", IF(ISNA(MATCH(K625, Criterios!$A$81:$A$120, 0)), "Categoría no válida", IF(AND(J625&lt;&gt;"", J625&lt;&gt;"", J625&lt;&gt;VLOOKUP(K625, Criterios!$A$81:$B$120, 2, FALSE)), "División no coincide con Categoría", ""))), IF(OR(L625="", L625=""), "[Aviso] Género no capturado ()", IF(ISNA(MATCH(L625, Criterios!$B$123:$B$127, 0)), "Género no válido", "")), IF(OR(N625="", N625=""), "[Aviso] Temporada no capturada ()", IF(ISNA(MATCH(N625, Criterios!$C$123:$C$128, 0)), "Temporada no válida", "")), IF(OR(O625="", O625=""), "[Aviso] Ciclo de vida no capturado ()", IF(ISNA(MATCH(O625, Criterios!$D$123:$D$124, 0)), "Ciclo de vida no válido", ""))))</f>
        <v/>
      </c>
      <c r="AC625" s="56" t="n"/>
      <c r="AD625" s="51" t="n">
        <v>0</v>
      </c>
      <c r="AE625" s="156" t="n"/>
      <c r="AF625" s="51" t="n">
        <v>0</v>
      </c>
      <c r="AG625" s="156" t="inlineStr">
        <is>
          <t>Nuevo – NetSuite sin existencia</t>
        </is>
      </c>
      <c r="AH625" s="156" t="inlineStr">
        <is>
          <t>Alta auditoría 30/09/2026 desde extracción NetSuite; Atributos WB vacíos en NetSuite (sin estilo, talla, descripción ni categoría): completar | Homologación G1522 06/10/2026: WB Categoría: «» → «Sudaderas» (Completado por investigación en línea) · WB Género: «» → «Unisex» (Completado por investigación en línea) · Enlace de imagen: «» → «https://cdn.shopify.com/s/files/1/0589/6500/0397/files/NissanS12-Hoodie-1.jpg?v=1785919688» (Completado por investigación en línea) · WB Color: «» → «Negro» (Completado por investigación en línea) · WB Talla: «» → «S» (Completado por investigación en línea) · WB Talla de EE. UU.: «» → «S» (Completado por investigación en línea) · WB Descripcion: «» → «Nissan Formula E Replica Unisex Travel Hoodie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25" s="156" t="inlineStr">
        <is>
          <t>No</t>
        </is>
      </c>
      <c r="AJ625" s="156" t="n"/>
      <c r="AK625" s="155" t="inlineStr">
        <is>
          <t>G1522_Extraccion_Articulos_NetSuite_2026-09-30.xlsx: fila 52734 | Investigación en línea 06/10/2026: https://reflo.com/products/nissan-formula-e-travel-hoodie-black</t>
        </is>
      </c>
      <c r="AL625" s="58" t="n"/>
      <c r="AM625" s="58" t="n"/>
      <c r="AN625" s="155" t="n"/>
      <c r="AO625" s="59" t="n"/>
      <c r="AP625" s="59" t="n"/>
      <c r="AQ625" s="59" t="n"/>
      <c r="AR625" s="155" t="n"/>
    </row>
    <row r="626">
      <c r="A626" s="50" t="inlineStr">
        <is>
          <t>5056658777257</t>
        </is>
      </c>
      <c r="B626" s="51" t="inlineStr">
        <is>
          <t>104015</t>
        </is>
      </c>
      <c r="C626" s="156" t="inlineStr">
        <is>
          <t>REFLO</t>
        </is>
      </c>
      <c r="D626" s="156" t="n"/>
      <c r="E626" s="156" t="n"/>
      <c r="F626" s="156" t="inlineStr">
        <is>
          <t>M</t>
        </is>
      </c>
      <c r="G626" s="156" t="inlineStr">
        <is>
          <t>M</t>
        </is>
      </c>
      <c r="H626" s="156" t="inlineStr">
        <is>
          <t>REFLO</t>
        </is>
      </c>
      <c r="I626" s="156" t="inlineStr">
        <is>
          <t>Nissan Formula E Replica Unisex Travel Hoodie - Season 12</t>
        </is>
      </c>
      <c r="J626" s="156" t="inlineStr">
        <is>
          <t>Ropa</t>
        </is>
      </c>
      <c r="K626" s="156" t="inlineStr">
        <is>
          <t>Sudaderas</t>
        </is>
      </c>
      <c r="L626" s="156" t="inlineStr">
        <is>
          <t>Unisex</t>
        </is>
      </c>
      <c r="M626" s="156" t="n"/>
      <c r="N626" s="156" t="n"/>
      <c r="O626" s="156" t="n"/>
      <c r="P626" s="156" t="inlineStr">
        <is>
          <t>Negro</t>
        </is>
      </c>
      <c r="Q626" s="156" t="n"/>
      <c r="R626" s="156" t="n"/>
      <c r="S626" s="156" t="n"/>
      <c r="T626" s="156" t="n"/>
      <c r="U626" s="156" t="n"/>
      <c r="V626" s="156" t="inlineStr">
        <is>
          <t>PZS</t>
        </is>
      </c>
      <c r="W626" s="51" t="inlineStr">
        <is>
          <t>53101702</t>
        </is>
      </c>
      <c r="X626" s="156" t="inlineStr">
        <is>
          <t>https://cdn.shopify.com/s/files/1/0589/6500/0397/files/NissanS12-Hoodie-1.jpg?v=1785919688</t>
        </is>
      </c>
      <c r="Y626" s="54" t="n">
        <v>34.74</v>
      </c>
      <c r="Z626" s="54" t="n">
        <v>2999</v>
      </c>
      <c r="AA626" s="55">
        <f>IF(AND(A626="", B626="", E626=""), "", IF(AB626="", "Válido", IF((LEN(AB626)-LEN(SUBSTITUTE(AB626,"; ","")))/2+1&gt;(LEN(AB626)-LEN(SUBSTITUTE(AB626,"[Aviso]","")))/7, "Con Incidencias", "Válido")))</f>
        <v/>
      </c>
      <c r="AB626" s="56">
        <f>IF(AND(A626="", B626="", E626=""), "", TEXTJOIN("; ", TRUE, IF(OR(TRIM(A626&amp;"")="", ISNUMBER(SEARCH("FALTA", A626))), "UPC faltante/inválido", ""), IF(AND(A626&lt;&gt;"", IFERROR(_xlfn.XMATCH(A626,$A$2:$A$653,0,1)&lt;&gt;_xlfn.XMATCH(A626,$A$2:$A$653,0,-1),FALSE)), "Código de barras duplicado", ""), IF(AND(E626&lt;&gt;"", COUNTIF($E$2:$E$653, E626)&gt;1), "SKU duplicado", ""), IF(OR(J626="", J626=""), "[Aviso] División no capturada ()", IF(ISNA(MATCH(J626, Criterios!$A$123:$A$126, 0)), "División no válida", "")), IF(OR(K626="", K626=""), "[Aviso] Categoría no capturada ()", IF(ISNA(MATCH(K626, Criterios!$A$81:$A$120, 0)), "Categoría no válida", IF(AND(J626&lt;&gt;"", J626&lt;&gt;"", J626&lt;&gt;VLOOKUP(K626, Criterios!$A$81:$B$120, 2, FALSE)), "División no coincide con Categoría", ""))), IF(OR(L626="", L626=""), "[Aviso] Género no capturado ()", IF(ISNA(MATCH(L626, Criterios!$B$123:$B$127, 0)), "Género no válido", "")), IF(OR(N626="", N626=""), "[Aviso] Temporada no capturada ()", IF(ISNA(MATCH(N626, Criterios!$C$123:$C$128, 0)), "Temporada no válida", "")), IF(OR(O626="", O626=""), "[Aviso] Ciclo de vida no capturado ()", IF(ISNA(MATCH(O626, Criterios!$D$123:$D$124, 0)), "Ciclo de vida no válido", ""))))</f>
        <v/>
      </c>
      <c r="AC626" s="56" t="n"/>
      <c r="AD626" s="51" t="n">
        <v>0</v>
      </c>
      <c r="AE626" s="156" t="n"/>
      <c r="AF626" s="51" t="n">
        <v>0</v>
      </c>
      <c r="AG626" s="156" t="inlineStr">
        <is>
          <t>Nuevo – NetSuite sin existencia</t>
        </is>
      </c>
      <c r="AH626" s="156" t="inlineStr">
        <is>
          <t>Alta auditoría 30/09/2026 desde extracción NetSuite; Atributos WB vacíos en NetSuite (sin estilo, talla, descripción ni categoría): completar | Homologación G1522 06/10/2026: WB Categoría: «» → «Sudaderas» (Completado por investigación en línea) · WB Género: «» → «Unisex» (Completado por investigación en línea) · Enlace de imagen: «» → «https://cdn.shopify.com/s/files/1/0589/6500/0397/files/NissanS12-Hoodie-1.jpg?v=1785919688» (Completado por investigación en línea) · WB Color: «» → «Negro» (Completado por investigación en línea) · WB Talla: «» → «M» (Completado por investigación en línea) · WB Talla de EE. UU.: «» → «M» (Completado por investigación en línea) · WB Descripcion: «» → «Nissan Formula E Replica Unisex Travel Hoodie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26" s="156" t="inlineStr">
        <is>
          <t>No</t>
        </is>
      </c>
      <c r="AJ626" s="156" t="n"/>
      <c r="AK626" s="155" t="inlineStr">
        <is>
          <t>G1522_Extraccion_Articulos_NetSuite_2026-09-30.xlsx: fila 52735 | Investigación en línea 06/10/2026: https://reflo.com/products/nissan-formula-e-travel-hoodie-black</t>
        </is>
      </c>
      <c r="AL626" s="58" t="n"/>
      <c r="AM626" s="58" t="n"/>
      <c r="AN626" s="155" t="n"/>
      <c r="AO626" s="59" t="n"/>
      <c r="AP626" s="59" t="n"/>
      <c r="AQ626" s="59" t="n"/>
      <c r="AR626" s="155" t="n"/>
    </row>
    <row r="627">
      <c r="A627" s="50" t="inlineStr">
        <is>
          <t>5056658777264</t>
        </is>
      </c>
      <c r="B627" s="51" t="inlineStr">
        <is>
          <t>104016</t>
        </is>
      </c>
      <c r="C627" s="156" t="inlineStr">
        <is>
          <t>REFLO</t>
        </is>
      </c>
      <c r="D627" s="156" t="n"/>
      <c r="E627" s="156" t="n"/>
      <c r="F627" s="156" t="inlineStr">
        <is>
          <t>L</t>
        </is>
      </c>
      <c r="G627" s="156" t="inlineStr">
        <is>
          <t>L</t>
        </is>
      </c>
      <c r="H627" s="156" t="inlineStr">
        <is>
          <t>REFLO</t>
        </is>
      </c>
      <c r="I627" s="156" t="inlineStr">
        <is>
          <t>Nissan Formula E Replica Unisex Travel Hoodie - Season 12</t>
        </is>
      </c>
      <c r="J627" s="156" t="inlineStr">
        <is>
          <t>Ropa</t>
        </is>
      </c>
      <c r="K627" s="156" t="inlineStr">
        <is>
          <t>Sudaderas</t>
        </is>
      </c>
      <c r="L627" s="156" t="inlineStr">
        <is>
          <t>Unisex</t>
        </is>
      </c>
      <c r="M627" s="156" t="n"/>
      <c r="N627" s="156" t="n"/>
      <c r="O627" s="156" t="n"/>
      <c r="P627" s="156" t="inlineStr">
        <is>
          <t>Negro</t>
        </is>
      </c>
      <c r="Q627" s="156" t="n"/>
      <c r="R627" s="156" t="n"/>
      <c r="S627" s="156" t="n"/>
      <c r="T627" s="156" t="n"/>
      <c r="U627" s="156" t="n"/>
      <c r="V627" s="156" t="inlineStr">
        <is>
          <t>PZS</t>
        </is>
      </c>
      <c r="W627" s="51" t="inlineStr">
        <is>
          <t>53101702</t>
        </is>
      </c>
      <c r="X627" s="156" t="inlineStr">
        <is>
          <t>https://cdn.shopify.com/s/files/1/0589/6500/0397/files/NissanS12-Hoodie-1.jpg?v=1785919688</t>
        </is>
      </c>
      <c r="Y627" s="54" t="n">
        <v>34.74</v>
      </c>
      <c r="Z627" s="54" t="n">
        <v>2999</v>
      </c>
      <c r="AA627" s="55">
        <f>IF(AND(A627="", B627="", E627=""), "", IF(AB627="", "Válido", IF((LEN(AB627)-LEN(SUBSTITUTE(AB627,"; ","")))/2+1&gt;(LEN(AB627)-LEN(SUBSTITUTE(AB627,"[Aviso]","")))/7, "Con Incidencias", "Válido")))</f>
        <v/>
      </c>
      <c r="AB627" s="56">
        <f>IF(AND(A627="", B627="", E627=""), "", TEXTJOIN("; ", TRUE, IF(OR(TRIM(A627&amp;"")="", ISNUMBER(SEARCH("FALTA", A627))), "UPC faltante/inválido", ""), IF(AND(A627&lt;&gt;"", IFERROR(_xlfn.XMATCH(A627,$A$2:$A$653,0,1)&lt;&gt;_xlfn.XMATCH(A627,$A$2:$A$653,0,-1),FALSE)), "Código de barras duplicado", ""), IF(AND(E627&lt;&gt;"", COUNTIF($E$2:$E$653, E627)&gt;1), "SKU duplicado", ""), IF(OR(J627="", J627=""), "[Aviso] División no capturada ()", IF(ISNA(MATCH(J627, Criterios!$A$123:$A$126, 0)), "División no válida", "")), IF(OR(K627="", K627=""), "[Aviso] Categoría no capturada ()", IF(ISNA(MATCH(K627, Criterios!$A$81:$A$120, 0)), "Categoría no válida", IF(AND(J627&lt;&gt;"", J627&lt;&gt;"", J627&lt;&gt;VLOOKUP(K627, Criterios!$A$81:$B$120, 2, FALSE)), "División no coincide con Categoría", ""))), IF(OR(L627="", L627=""), "[Aviso] Género no capturado ()", IF(ISNA(MATCH(L627, Criterios!$B$123:$B$127, 0)), "Género no válido", "")), IF(OR(N627="", N627=""), "[Aviso] Temporada no capturada ()", IF(ISNA(MATCH(N627, Criterios!$C$123:$C$128, 0)), "Temporada no válida", "")), IF(OR(O627="", O627=""), "[Aviso] Ciclo de vida no capturado ()", IF(ISNA(MATCH(O627, Criterios!$D$123:$D$124, 0)), "Ciclo de vida no válido", ""))))</f>
        <v/>
      </c>
      <c r="AC627" s="56" t="n"/>
      <c r="AD627" s="51" t="n">
        <v>0</v>
      </c>
      <c r="AE627" s="156" t="n"/>
      <c r="AF627" s="51" t="n">
        <v>0</v>
      </c>
      <c r="AG627" s="156" t="inlineStr">
        <is>
          <t>Nuevo – NetSuite sin existencia</t>
        </is>
      </c>
      <c r="AH627" s="156" t="inlineStr">
        <is>
          <t>Alta auditoría 30/09/2026 desde extracción NetSuite; Atributos WB vacíos en NetSuite (sin estilo, talla, descripción ni categoría): completar | Homologación G1522 06/10/2026: WB Categoría: «» → «Sudaderas» (Completado por investigación en línea) · WB Género: «» → «Unisex» (Completado por investigación en línea) · Enlace de imagen: «» → «https://cdn.shopify.com/s/files/1/0589/6500/0397/files/NissanS12-Hoodie-1.jpg?v=1785919688» (Completado por investigación en línea) · WB Color: «» → «Negro» (Completado por investigación en línea) · WB Talla: «» → «L» (Completado por investigación en línea) · WB Talla de EE. UU.: «» → «L» (Completado por investigación en línea) · WB Descripcion: «» → «Nissan Formula E Replica Unisex Travel Hoodie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27" s="156" t="inlineStr">
        <is>
          <t>No</t>
        </is>
      </c>
      <c r="AJ627" s="156" t="n"/>
      <c r="AK627" s="155" t="inlineStr">
        <is>
          <t>G1522_Extraccion_Articulos_NetSuite_2026-09-30.xlsx: fila 52736 | Investigación en línea 06/10/2026: https://reflo.com/products/nissan-formula-e-travel-hoodie-black</t>
        </is>
      </c>
      <c r="AL627" s="58" t="n"/>
      <c r="AM627" s="58" t="n"/>
      <c r="AN627" s="155" t="n"/>
      <c r="AO627" s="59" t="n"/>
      <c r="AP627" s="59" t="n"/>
      <c r="AQ627" s="59" t="n"/>
      <c r="AR627" s="155" t="n"/>
    </row>
    <row r="628">
      <c r="A628" s="50" t="inlineStr">
        <is>
          <t>5056658777271</t>
        </is>
      </c>
      <c r="B628" s="51" t="inlineStr">
        <is>
          <t>104017</t>
        </is>
      </c>
      <c r="C628" s="156" t="inlineStr">
        <is>
          <t>REFLO</t>
        </is>
      </c>
      <c r="D628" s="156" t="n"/>
      <c r="E628" s="156" t="n"/>
      <c r="F628" s="156" t="inlineStr">
        <is>
          <t>XL</t>
        </is>
      </c>
      <c r="G628" s="156" t="inlineStr">
        <is>
          <t>XL</t>
        </is>
      </c>
      <c r="H628" s="156" t="inlineStr">
        <is>
          <t>REFLO</t>
        </is>
      </c>
      <c r="I628" s="156" t="inlineStr">
        <is>
          <t>Nissan Formula E Replica Unisex Travel Hoodie - Season 12</t>
        </is>
      </c>
      <c r="J628" s="156" t="inlineStr">
        <is>
          <t>Ropa</t>
        </is>
      </c>
      <c r="K628" s="156" t="inlineStr">
        <is>
          <t>Sudaderas</t>
        </is>
      </c>
      <c r="L628" s="156" t="inlineStr">
        <is>
          <t>Unisex</t>
        </is>
      </c>
      <c r="M628" s="156" t="n"/>
      <c r="N628" s="156" t="n"/>
      <c r="O628" s="156" t="n"/>
      <c r="P628" s="156" t="inlineStr">
        <is>
          <t>Negro</t>
        </is>
      </c>
      <c r="Q628" s="156" t="n"/>
      <c r="R628" s="156" t="n"/>
      <c r="S628" s="156" t="n"/>
      <c r="T628" s="156" t="n"/>
      <c r="U628" s="156" t="n"/>
      <c r="V628" s="156" t="inlineStr">
        <is>
          <t>PZS</t>
        </is>
      </c>
      <c r="W628" s="51" t="inlineStr">
        <is>
          <t>53101702</t>
        </is>
      </c>
      <c r="X628" s="156" t="inlineStr">
        <is>
          <t>https://cdn.shopify.com/s/files/1/0589/6500/0397/files/NissanS12-Hoodie-1.jpg?v=1785919688</t>
        </is>
      </c>
      <c r="Y628" s="54" t="n">
        <v>34.74</v>
      </c>
      <c r="Z628" s="54" t="n">
        <v>2999</v>
      </c>
      <c r="AA628" s="55">
        <f>IF(AND(A628="", B628="", E628=""), "", IF(AB628="", "Válido", IF((LEN(AB628)-LEN(SUBSTITUTE(AB628,"; ","")))/2+1&gt;(LEN(AB628)-LEN(SUBSTITUTE(AB628,"[Aviso]","")))/7, "Con Incidencias", "Válido")))</f>
        <v/>
      </c>
      <c r="AB628" s="56">
        <f>IF(AND(A628="", B628="", E628=""), "", TEXTJOIN("; ", TRUE, IF(OR(TRIM(A628&amp;"")="", ISNUMBER(SEARCH("FALTA", A628))), "UPC faltante/inválido", ""), IF(AND(A628&lt;&gt;"", IFERROR(_xlfn.XMATCH(A628,$A$2:$A$653,0,1)&lt;&gt;_xlfn.XMATCH(A628,$A$2:$A$653,0,-1),FALSE)), "Código de barras duplicado", ""), IF(AND(E628&lt;&gt;"", COUNTIF($E$2:$E$653, E628)&gt;1), "SKU duplicado", ""), IF(OR(J628="", J628=""), "[Aviso] División no capturada ()", IF(ISNA(MATCH(J628, Criterios!$A$123:$A$126, 0)), "División no válida", "")), IF(OR(K628="", K628=""), "[Aviso] Categoría no capturada ()", IF(ISNA(MATCH(K628, Criterios!$A$81:$A$120, 0)), "Categoría no válida", IF(AND(J628&lt;&gt;"", J628&lt;&gt;"", J628&lt;&gt;VLOOKUP(K628, Criterios!$A$81:$B$120, 2, FALSE)), "División no coincide con Categoría", ""))), IF(OR(L628="", L628=""), "[Aviso] Género no capturado ()", IF(ISNA(MATCH(L628, Criterios!$B$123:$B$127, 0)), "Género no válido", "")), IF(OR(N628="", N628=""), "[Aviso] Temporada no capturada ()", IF(ISNA(MATCH(N628, Criterios!$C$123:$C$128, 0)), "Temporada no válida", "")), IF(OR(O628="", O628=""), "[Aviso] Ciclo de vida no capturado ()", IF(ISNA(MATCH(O628, Criterios!$D$123:$D$124, 0)), "Ciclo de vida no válido", ""))))</f>
        <v/>
      </c>
      <c r="AC628" s="56" t="n"/>
      <c r="AD628" s="51" t="n">
        <v>0</v>
      </c>
      <c r="AE628" s="156" t="n"/>
      <c r="AF628" s="51" t="n">
        <v>0</v>
      </c>
      <c r="AG628" s="156" t="inlineStr">
        <is>
          <t>Nuevo – NetSuite sin existencia</t>
        </is>
      </c>
      <c r="AH628" s="156" t="inlineStr">
        <is>
          <t>Alta auditoría 30/09/2026 desde extracción NetSuite; Atributos WB vacíos en NetSuite (sin estilo, talla, descripción ni categoría): completar | Homologación G1522 06/10/2026: WB Categoría: «» → «Sudaderas» (Completado por investigación en línea) · WB Género: «» → «Unisex» (Completado por investigación en línea) · Enlace de imagen: «» → «https://cdn.shopify.com/s/files/1/0589/6500/0397/files/NissanS12-Hoodie-1.jpg?v=1785919688» (Completado por investigación en línea) · WB Color: «» → «Negro» (Completado por investigación en línea) · WB Talla: «» → «XL» (Completado por investigación en línea) · WB Talla de EE. UU.: «» → «XL» (Completado por investigación en línea) · WB Descripcion: «» → «Nissan Formula E Replica Unisex Travel Hoodie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28" s="156" t="inlineStr">
        <is>
          <t>No</t>
        </is>
      </c>
      <c r="AJ628" s="156" t="n"/>
      <c r="AK628" s="155" t="inlineStr">
        <is>
          <t>G1522_Extraccion_Articulos_NetSuite_2026-09-30.xlsx: fila 52737 | Investigación en línea 06/10/2026: https://reflo.com/products/nissan-formula-e-travel-hoodie-black</t>
        </is>
      </c>
      <c r="AL628" s="58" t="n"/>
      <c r="AM628" s="58" t="n"/>
      <c r="AN628" s="155" t="n"/>
      <c r="AO628" s="59" t="n"/>
      <c r="AP628" s="59" t="n"/>
      <c r="AQ628" s="59" t="n"/>
      <c r="AR628" s="155" t="n"/>
    </row>
    <row r="629">
      <c r="A629" s="50" t="inlineStr">
        <is>
          <t>5056658777288</t>
        </is>
      </c>
      <c r="B629" s="51" t="inlineStr">
        <is>
          <t>104018</t>
        </is>
      </c>
      <c r="C629" s="156" t="inlineStr">
        <is>
          <t>REFLO</t>
        </is>
      </c>
      <c r="D629" s="156" t="n"/>
      <c r="E629" s="156" t="n"/>
      <c r="F629" s="156" t="inlineStr">
        <is>
          <t>XXL</t>
        </is>
      </c>
      <c r="G629" s="156" t="inlineStr">
        <is>
          <t>XXL</t>
        </is>
      </c>
      <c r="H629" s="156" t="inlineStr">
        <is>
          <t>REFLO</t>
        </is>
      </c>
      <c r="I629" s="156" t="inlineStr">
        <is>
          <t>Nissan Formula E Replica Unisex Travel Hoodie - Season 12</t>
        </is>
      </c>
      <c r="J629" s="156" t="inlineStr">
        <is>
          <t>Ropa</t>
        </is>
      </c>
      <c r="K629" s="156" t="inlineStr">
        <is>
          <t>Sudaderas</t>
        </is>
      </c>
      <c r="L629" s="156" t="inlineStr">
        <is>
          <t>Unisex</t>
        </is>
      </c>
      <c r="M629" s="156" t="n"/>
      <c r="N629" s="156" t="n"/>
      <c r="O629" s="156" t="n"/>
      <c r="P629" s="156" t="inlineStr">
        <is>
          <t>Negro</t>
        </is>
      </c>
      <c r="Q629" s="156" t="n"/>
      <c r="R629" s="156" t="n"/>
      <c r="S629" s="156" t="n"/>
      <c r="T629" s="156" t="n"/>
      <c r="U629" s="156" t="n"/>
      <c r="V629" s="156" t="inlineStr">
        <is>
          <t>PZS</t>
        </is>
      </c>
      <c r="W629" s="51" t="inlineStr">
        <is>
          <t>53101702</t>
        </is>
      </c>
      <c r="X629" s="156" t="inlineStr">
        <is>
          <t>https://cdn.shopify.com/s/files/1/0589/6500/0397/files/NissanS12-Hoodie-1.jpg?v=1785919688</t>
        </is>
      </c>
      <c r="Y629" s="54" t="n">
        <v>34.74</v>
      </c>
      <c r="Z629" s="54" t="n">
        <v>2999</v>
      </c>
      <c r="AA629" s="55">
        <f>IF(AND(A629="", B629="", E629=""), "", IF(AB629="", "Válido", IF((LEN(AB629)-LEN(SUBSTITUTE(AB629,"; ","")))/2+1&gt;(LEN(AB629)-LEN(SUBSTITUTE(AB629,"[Aviso]","")))/7, "Con Incidencias", "Válido")))</f>
        <v/>
      </c>
      <c r="AB629" s="56">
        <f>IF(AND(A629="", B629="", E629=""), "", TEXTJOIN("; ", TRUE, IF(OR(TRIM(A629&amp;"")="", ISNUMBER(SEARCH("FALTA", A629))), "UPC faltante/inválido", ""), IF(AND(A629&lt;&gt;"", IFERROR(_xlfn.XMATCH(A629,$A$2:$A$653,0,1)&lt;&gt;_xlfn.XMATCH(A629,$A$2:$A$653,0,-1),FALSE)), "Código de barras duplicado", ""), IF(AND(E629&lt;&gt;"", COUNTIF($E$2:$E$653, E629)&gt;1), "SKU duplicado", ""), IF(OR(J629="", J629=""), "[Aviso] División no capturada ()", IF(ISNA(MATCH(J629, Criterios!$A$123:$A$126, 0)), "División no válida", "")), IF(OR(K629="", K629=""), "[Aviso] Categoría no capturada ()", IF(ISNA(MATCH(K629, Criterios!$A$81:$A$120, 0)), "Categoría no válida", IF(AND(J629&lt;&gt;"", J629&lt;&gt;"", J629&lt;&gt;VLOOKUP(K629, Criterios!$A$81:$B$120, 2, FALSE)), "División no coincide con Categoría", ""))), IF(OR(L629="", L629=""), "[Aviso] Género no capturado ()", IF(ISNA(MATCH(L629, Criterios!$B$123:$B$127, 0)), "Género no válido", "")), IF(OR(N629="", N629=""), "[Aviso] Temporada no capturada ()", IF(ISNA(MATCH(N629, Criterios!$C$123:$C$128, 0)), "Temporada no válida", "")), IF(OR(O629="", O629=""), "[Aviso] Ciclo de vida no capturado ()", IF(ISNA(MATCH(O629, Criterios!$D$123:$D$124, 0)), "Ciclo de vida no válido", ""))))</f>
        <v/>
      </c>
      <c r="AC629" s="56" t="n"/>
      <c r="AD629" s="51" t="n">
        <v>0</v>
      </c>
      <c r="AE629" s="156" t="n"/>
      <c r="AF629" s="51" t="n">
        <v>0</v>
      </c>
      <c r="AG629" s="156" t="inlineStr">
        <is>
          <t>Nuevo – NetSuite sin existencia</t>
        </is>
      </c>
      <c r="AH629" s="156" t="inlineStr">
        <is>
          <t>Alta auditoría 30/09/2026 desde extracción NetSuite; Atributos WB vacíos en NetSuite (sin estilo, talla, descripción ni categoría): completar | Homologación G1522 06/10/2026: WB Categoría: «» → «Sudaderas» (Completado por investigación en línea) · WB Género: «» → «Unisex» (Completado por investigación en línea) · Enlace de imagen: «» → «https://cdn.shopify.com/s/files/1/0589/6500/0397/files/NissanS12-Hoodie-1.jpg?v=1785919688» (Completado por investigación en línea) · WB Color: «» → «Negro» (Completado por investigación en línea) · WB Talla: «» → «XXL» (Completado por investigación en línea) · WB Talla de EE. UU.: «» → «XXL» (Completado por investigación en línea) · WB Descripcion: «» → «Nissan Formula E Replica Unisex Travel Hoodie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29" s="156" t="inlineStr">
        <is>
          <t>No</t>
        </is>
      </c>
      <c r="AJ629" s="156" t="n"/>
      <c r="AK629" s="155" t="inlineStr">
        <is>
          <t>G1522_Extraccion_Articulos_NetSuite_2026-09-30.xlsx: fila 52738 | Investigación en línea 06/10/2026: https://reflo.com/products/nissan-formula-e-travel-hoodie-black</t>
        </is>
      </c>
      <c r="AL629" s="58" t="n"/>
      <c r="AM629" s="58" t="n"/>
      <c r="AN629" s="155" t="n"/>
      <c r="AO629" s="59" t="n"/>
      <c r="AP629" s="59" t="n"/>
      <c r="AQ629" s="59" t="n"/>
      <c r="AR629" s="155" t="n"/>
    </row>
    <row r="630">
      <c r="A630" s="50" t="inlineStr">
        <is>
          <t>5056658777295</t>
        </is>
      </c>
      <c r="B630" s="51" t="inlineStr">
        <is>
          <t>104019</t>
        </is>
      </c>
      <c r="C630" s="156" t="inlineStr">
        <is>
          <t>REFLO</t>
        </is>
      </c>
      <c r="D630" s="156" t="n"/>
      <c r="E630" s="156" t="n"/>
      <c r="F630" s="156" t="inlineStr">
        <is>
          <t>XXXL</t>
        </is>
      </c>
      <c r="G630" s="156" t="inlineStr">
        <is>
          <t>XXXL</t>
        </is>
      </c>
      <c r="H630" s="156" t="inlineStr">
        <is>
          <t>REFLO</t>
        </is>
      </c>
      <c r="I630" s="156" t="inlineStr">
        <is>
          <t>Nissan Formula E Replica Unisex Travel Hoodie - Season 12</t>
        </is>
      </c>
      <c r="J630" s="156" t="inlineStr">
        <is>
          <t>Ropa</t>
        </is>
      </c>
      <c r="K630" s="156" t="inlineStr">
        <is>
          <t>Sudaderas</t>
        </is>
      </c>
      <c r="L630" s="156" t="inlineStr">
        <is>
          <t>Unisex</t>
        </is>
      </c>
      <c r="M630" s="156" t="n"/>
      <c r="N630" s="156" t="n"/>
      <c r="O630" s="156" t="n"/>
      <c r="P630" s="156" t="inlineStr">
        <is>
          <t>Negro</t>
        </is>
      </c>
      <c r="Q630" s="156" t="n"/>
      <c r="R630" s="156" t="n"/>
      <c r="S630" s="156" t="n"/>
      <c r="T630" s="156" t="n"/>
      <c r="U630" s="156" t="n"/>
      <c r="V630" s="156" t="inlineStr">
        <is>
          <t>PZS</t>
        </is>
      </c>
      <c r="W630" s="51" t="inlineStr">
        <is>
          <t>53101702</t>
        </is>
      </c>
      <c r="X630" s="156" t="inlineStr">
        <is>
          <t>https://cdn.shopify.com/s/files/1/0589/6500/0397/files/NissanS12-Hoodie-1.jpg?v=1785919688</t>
        </is>
      </c>
      <c r="Y630" s="54" t="n">
        <v>34.74</v>
      </c>
      <c r="Z630" s="54" t="n">
        <v>2999</v>
      </c>
      <c r="AA630" s="55">
        <f>IF(AND(A630="", B630="", E630=""), "", IF(AB630="", "Válido", IF((LEN(AB630)-LEN(SUBSTITUTE(AB630,"; ","")))/2+1&gt;(LEN(AB630)-LEN(SUBSTITUTE(AB630,"[Aviso]","")))/7, "Con Incidencias", "Válido")))</f>
        <v/>
      </c>
      <c r="AB630" s="56">
        <f>IF(AND(A630="", B630="", E630=""), "", TEXTJOIN("; ", TRUE, IF(OR(TRIM(A630&amp;"")="", ISNUMBER(SEARCH("FALTA", A630))), "UPC faltante/inválido", ""), IF(AND(A630&lt;&gt;"", IFERROR(_xlfn.XMATCH(A630,$A$2:$A$653,0,1)&lt;&gt;_xlfn.XMATCH(A630,$A$2:$A$653,0,-1),FALSE)), "Código de barras duplicado", ""), IF(AND(E630&lt;&gt;"", COUNTIF($E$2:$E$653, E630)&gt;1), "SKU duplicado", ""), IF(OR(J630="", J630=""), "[Aviso] División no capturada ()", IF(ISNA(MATCH(J630, Criterios!$A$123:$A$126, 0)), "División no válida", "")), IF(OR(K630="", K630=""), "[Aviso] Categoría no capturada ()", IF(ISNA(MATCH(K630, Criterios!$A$81:$A$120, 0)), "Categoría no válida", IF(AND(J630&lt;&gt;"", J630&lt;&gt;"", J630&lt;&gt;VLOOKUP(K630, Criterios!$A$81:$B$120, 2, FALSE)), "División no coincide con Categoría", ""))), IF(OR(L630="", L630=""), "[Aviso] Género no capturado ()", IF(ISNA(MATCH(L630, Criterios!$B$123:$B$127, 0)), "Género no válido", "")), IF(OR(N630="", N630=""), "[Aviso] Temporada no capturada ()", IF(ISNA(MATCH(N630, Criterios!$C$123:$C$128, 0)), "Temporada no válida", "")), IF(OR(O630="", O630=""), "[Aviso] Ciclo de vida no capturado ()", IF(ISNA(MATCH(O630, Criterios!$D$123:$D$124, 0)), "Ciclo de vida no válido", ""))))</f>
        <v/>
      </c>
      <c r="AC630" s="56" t="n"/>
      <c r="AD630" s="51" t="n">
        <v>0</v>
      </c>
      <c r="AE630" s="156" t="n"/>
      <c r="AF630" s="51" t="n">
        <v>0</v>
      </c>
      <c r="AG630" s="156" t="inlineStr">
        <is>
          <t>Nuevo – NetSuite sin existencia</t>
        </is>
      </c>
      <c r="AH630" s="156" t="inlineStr">
        <is>
          <t>Alta auditoría 30/09/2026 desde extracción NetSuite; Atributos WB vacíos en NetSuite (sin estilo, talla, descripción ni categoría): completar | Homologación G1522 06/10/2026: WB Categoría: «» → «Sudaderas» (Completado por investigación en línea) · WB Género: «» → «Unisex» (Completado por investigación en línea) · Enlace de imagen: «» → «https://cdn.shopify.com/s/files/1/0589/6500/0397/files/NissanS12-Hoodie-1.jpg?v=1785919688» (Completado por investigación en línea) · WB Color: «» → «Negro» (Completado por investigación en línea) · WB Talla: «» → «XXXL» (Completado por investigación en línea) · WB Talla de EE. UU.: «» → «XXXL» (Completado por investigación en línea) · WB Descripcion: «» → «Nissan Formula E Replica Unisex Travel Hoodie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30" s="156" t="inlineStr">
        <is>
          <t>No</t>
        </is>
      </c>
      <c r="AJ630" s="156" t="n"/>
      <c r="AK630" s="155" t="inlineStr">
        <is>
          <t>G1522_Extraccion_Articulos_NetSuite_2026-09-30.xlsx: fila 52739 | Investigación en línea 06/10/2026: https://reflo.com/products/nissan-formula-e-travel-hoodie-black</t>
        </is>
      </c>
      <c r="AL630" s="58" t="n"/>
      <c r="AM630" s="58" t="n"/>
      <c r="AN630" s="155" t="n"/>
      <c r="AO630" s="59" t="n"/>
      <c r="AP630" s="59" t="n"/>
      <c r="AQ630" s="59" t="n"/>
      <c r="AR630" s="155" t="n"/>
    </row>
    <row r="631">
      <c r="A631" s="50" t="inlineStr">
        <is>
          <t>5056658755637</t>
        </is>
      </c>
      <c r="B631" s="51" t="inlineStr">
        <is>
          <t>104020</t>
        </is>
      </c>
      <c r="C631" s="156" t="inlineStr">
        <is>
          <t>REFLO</t>
        </is>
      </c>
      <c r="D631" s="156" t="n"/>
      <c r="E631" s="156" t="n"/>
      <c r="F631" s="156" t="inlineStr">
        <is>
          <t>Talla única</t>
        </is>
      </c>
      <c r="G631" s="156" t="inlineStr">
        <is>
          <t>One Size</t>
        </is>
      </c>
      <c r="H631" s="156" t="inlineStr">
        <is>
          <t>REFLO</t>
        </is>
      </c>
      <c r="I631" s="156" t="inlineStr">
        <is>
          <t>Nissan Formula E Replica Cap - Season 12</t>
        </is>
      </c>
      <c r="J631" s="156" t="inlineStr">
        <is>
          <t>Accesorios</t>
        </is>
      </c>
      <c r="K631" s="156" t="inlineStr">
        <is>
          <t>Gorras</t>
        </is>
      </c>
      <c r="L631" s="156" t="inlineStr">
        <is>
          <t>Unisex</t>
        </is>
      </c>
      <c r="M631" s="156" t="n"/>
      <c r="N631" s="156" t="n"/>
      <c r="O631" s="156" t="n"/>
      <c r="P631" s="156" t="inlineStr">
        <is>
          <t>Rojo</t>
        </is>
      </c>
      <c r="Q631" s="156" t="n"/>
      <c r="R631" s="156" t="n"/>
      <c r="S631" s="156" t="n"/>
      <c r="T631" s="156" t="n"/>
      <c r="U631" s="156" t="n"/>
      <c r="V631" s="156" t="inlineStr">
        <is>
          <t>PZS</t>
        </is>
      </c>
      <c r="W631" s="51" t="inlineStr">
        <is>
          <t>49221510</t>
        </is>
      </c>
      <c r="X631" s="156" t="inlineStr">
        <is>
          <t>https://cdn.shopify.com/s/files/1/0589/6500/0397/files/NissanS12-Cap1.jpg?v=1785919670</t>
        </is>
      </c>
      <c r="Y631" s="54" t="n">
        <v>11.14</v>
      </c>
      <c r="Z631" s="54" t="n">
        <v>999</v>
      </c>
      <c r="AA631" s="55">
        <f>IF(AND(A631="", B631="", E631=""), "", IF(AB631="", "Válido", IF((LEN(AB631)-LEN(SUBSTITUTE(AB631,"; ","")))/2+1&gt;(LEN(AB631)-LEN(SUBSTITUTE(AB631,"[Aviso]","")))/7, "Con Incidencias", "Válido")))</f>
        <v/>
      </c>
      <c r="AB631" s="56">
        <f>IF(AND(A631="", B631="", E631=""), "", TEXTJOIN("; ", TRUE, IF(OR(TRIM(A631&amp;"")="", ISNUMBER(SEARCH("FALTA", A631))), "UPC faltante/inválido", ""), IF(AND(A631&lt;&gt;"", IFERROR(_xlfn.XMATCH(A631,$A$2:$A$653,0,1)&lt;&gt;_xlfn.XMATCH(A631,$A$2:$A$653,0,-1),FALSE)), "Código de barras duplicado", ""), IF(AND(E631&lt;&gt;"", COUNTIF($E$2:$E$653, E631)&gt;1), "SKU duplicado", ""), IF(OR(J631="", J631=""), "[Aviso] División no capturada ()", IF(ISNA(MATCH(J631, Criterios!$A$123:$A$126, 0)), "División no válida", "")), IF(OR(K631="", K631=""), "[Aviso] Categoría no capturada ()", IF(ISNA(MATCH(K631, Criterios!$A$81:$A$120, 0)), "Categoría no válida", IF(AND(J631&lt;&gt;"", J631&lt;&gt;"", J631&lt;&gt;VLOOKUP(K631, Criterios!$A$81:$B$120, 2, FALSE)), "División no coincide con Categoría", ""))), IF(OR(L631="", L631=""), "[Aviso] Género no capturado ()", IF(ISNA(MATCH(L631, Criterios!$B$123:$B$127, 0)), "Género no válido", "")), IF(OR(N631="", N631=""), "[Aviso] Temporada no capturada ()", IF(ISNA(MATCH(N631, Criterios!$C$123:$C$128, 0)), "Temporada no válida", "")), IF(OR(O631="", O631=""), "[Aviso] Ciclo de vida no capturado ()", IF(ISNA(MATCH(O631, Criterios!$D$123:$D$124, 0)), "Ciclo de vida no válido", ""))))</f>
        <v/>
      </c>
      <c r="AC631" s="56" t="n"/>
      <c r="AD631" s="51" t="n">
        <v>0</v>
      </c>
      <c r="AE631" s="156" t="n"/>
      <c r="AF631" s="51" t="n">
        <v>0</v>
      </c>
      <c r="AG631" s="156" t="inlineStr">
        <is>
          <t>Nuevo – NetSuite sin existencia</t>
        </is>
      </c>
      <c r="AH631" s="156" t="inlineStr">
        <is>
          <t>Alta auditoría 30/09/2026 desde extracción NetSuite; Atributos WB vacíos en NetSuite (sin estilo, talla, descripción ni categoría): completar | Homologación G1522 06/10/2026: WB Categoría: «» → «Gorras» (Completado por investigación en línea) · Enlace de imagen: «» → «https://cdn.shopify.com/s/files/1/0589/6500/0397/files/NissanS12-Cap1.jpg?v=1785919670» (Completado por investigación en línea) · WB Color: «» → «Rojo» (Completado por investigación en línea) · WB Talla: «» → «Talla única» (Completado por investigación en línea) · WB Talla de EE. UU.: «» → «One Size» (Completado por investigación en línea) · WB Descripcion: «» → «Nissan Formula E Replica Cap - Season 12» (Completado por investigación en línea) · WB División: «» → «Accesorios» (Completado por regla) · WB Género: «» → «Unisex» (Completado por regla) · Validación G1522: WB SKU faltante; Falta estilo; [Aviso] Precio de compra posiblemente en USD · Validador NetSuite / Odoo: V6: falta estilo · Validador Shopify: V6: falta estilo; WB: precio con IVA no termina en 9</t>
        </is>
      </c>
      <c r="AI631" s="156" t="inlineStr">
        <is>
          <t>No</t>
        </is>
      </c>
      <c r="AJ631" s="156" t="n"/>
      <c r="AK631" s="155" t="inlineStr">
        <is>
          <t>G1522_Extraccion_Articulos_NetSuite_2026-09-30.xlsx: fila 52740 | Investigación en línea 06/10/2026: https://reflo.com/products/nissan-formula-e-caps-red-one-size</t>
        </is>
      </c>
      <c r="AL631" s="58" t="n"/>
      <c r="AM631" s="58" t="n"/>
      <c r="AN631" s="155" t="n"/>
      <c r="AO631" s="59" t="n"/>
      <c r="AP631" s="59" t="n"/>
      <c r="AQ631" s="59" t="n"/>
      <c r="AR631" s="155" t="n"/>
    </row>
    <row r="632">
      <c r="A632" s="50" t="inlineStr">
        <is>
          <t>5056658755644</t>
        </is>
      </c>
      <c r="B632" s="51" t="inlineStr">
        <is>
          <t>104021</t>
        </is>
      </c>
      <c r="C632" s="156" t="inlineStr">
        <is>
          <t>REFLO</t>
        </is>
      </c>
      <c r="D632" s="156" t="n"/>
      <c r="E632" s="156" t="n"/>
      <c r="F632" s="156" t="inlineStr">
        <is>
          <t>Talla única</t>
        </is>
      </c>
      <c r="G632" s="156" t="inlineStr">
        <is>
          <t>One Size</t>
        </is>
      </c>
      <c r="H632" s="156" t="inlineStr">
        <is>
          <t>REFLO</t>
        </is>
      </c>
      <c r="I632" s="156" t="inlineStr">
        <is>
          <t>Nissan Formula E Replica Bucket Hat - Season 12</t>
        </is>
      </c>
      <c r="J632" s="156" t="inlineStr">
        <is>
          <t>Accesorios</t>
        </is>
      </c>
      <c r="K632" s="156" t="inlineStr">
        <is>
          <t>Sombreros</t>
        </is>
      </c>
      <c r="L632" s="156" t="inlineStr">
        <is>
          <t>Unisex</t>
        </is>
      </c>
      <c r="M632" s="156" t="n"/>
      <c r="N632" s="156" t="n"/>
      <c r="O632" s="156" t="n"/>
      <c r="P632" s="156" t="inlineStr">
        <is>
          <t>Rojo</t>
        </is>
      </c>
      <c r="Q632" s="156" t="n"/>
      <c r="R632" s="156" t="n"/>
      <c r="S632" s="156" t="n"/>
      <c r="T632" s="156" t="n"/>
      <c r="U632" s="156" t="n"/>
      <c r="V632" s="156" t="inlineStr">
        <is>
          <t>PZS</t>
        </is>
      </c>
      <c r="W632" s="51" t="inlineStr">
        <is>
          <t>49221510</t>
        </is>
      </c>
      <c r="X632" s="156" t="inlineStr">
        <is>
          <t>https://cdn.shopify.com/s/files/1/0589/6500/0397/files/NissanS12-Bucket-1.jpg?v=1785919762</t>
        </is>
      </c>
      <c r="Y632" s="54" t="n">
        <v>13.33</v>
      </c>
      <c r="Z632" s="54" t="n">
        <v>1149</v>
      </c>
      <c r="AA632" s="55">
        <f>IF(AND(A632="", B632="", E632=""), "", IF(AB632="", "Válido", IF((LEN(AB632)-LEN(SUBSTITUTE(AB632,"; ","")))/2+1&gt;(LEN(AB632)-LEN(SUBSTITUTE(AB632,"[Aviso]","")))/7, "Con Incidencias", "Válido")))</f>
        <v/>
      </c>
      <c r="AB632" s="56">
        <f>IF(AND(A632="", B632="", E632=""), "", TEXTJOIN("; ", TRUE, IF(OR(TRIM(A632&amp;"")="", ISNUMBER(SEARCH("FALTA", A632))), "UPC faltante/inválido", ""), IF(AND(A632&lt;&gt;"", IFERROR(_xlfn.XMATCH(A632,$A$2:$A$653,0,1)&lt;&gt;_xlfn.XMATCH(A632,$A$2:$A$653,0,-1),FALSE)), "Código de barras duplicado", ""), IF(AND(E632&lt;&gt;"", COUNTIF($E$2:$E$653, E632)&gt;1), "SKU duplicado", ""), IF(OR(J632="", J632=""), "[Aviso] División no capturada ()", IF(ISNA(MATCH(J632, Criterios!$A$123:$A$126, 0)), "División no válida", "")), IF(OR(K632="", K632=""), "[Aviso] Categoría no capturada ()", IF(ISNA(MATCH(K632, Criterios!$A$81:$A$120, 0)), "Categoría no válida", IF(AND(J632&lt;&gt;"", J632&lt;&gt;"", J632&lt;&gt;VLOOKUP(K632, Criterios!$A$81:$B$120, 2, FALSE)), "División no coincide con Categoría", ""))), IF(OR(L632="", L632=""), "[Aviso] Género no capturado ()", IF(ISNA(MATCH(L632, Criterios!$B$123:$B$127, 0)), "Género no válido", "")), IF(OR(N632="", N632=""), "[Aviso] Temporada no capturada ()", IF(ISNA(MATCH(N632, Criterios!$C$123:$C$128, 0)), "Temporada no válida", "")), IF(OR(O632="", O632=""), "[Aviso] Ciclo de vida no capturado ()", IF(ISNA(MATCH(O632, Criterios!$D$123:$D$124, 0)), "Ciclo de vida no válido", ""))))</f>
        <v/>
      </c>
      <c r="AC632" s="56" t="n"/>
      <c r="AD632" s="51" t="n">
        <v>0</v>
      </c>
      <c r="AE632" s="156" t="n"/>
      <c r="AF632" s="51" t="n">
        <v>0</v>
      </c>
      <c r="AG632" s="156" t="inlineStr">
        <is>
          <t>Nuevo – NetSuite sin existencia</t>
        </is>
      </c>
      <c r="AH632" s="156" t="inlineStr">
        <is>
          <t>Alta auditoría 30/09/2026 desde extracción NetSuite; Atributos WB vacíos en NetSuite (sin estilo, talla, descripción ni categoría): completar | Homologación G1522 06/10/2026: WB Categoría: «» → «Sombreros» (Completado por investigación en línea) · Enlace de imagen: «» → «https://cdn.shopify.com/s/files/1/0589/6500/0397/files/NissanS12-Bucket-1.jpg?v=1785919762» (Completado por investigación en línea) · WB Color: «» → «Rojo» (Completado por investigación en línea) · WB Talla: «» → «Talla única» (Completado por investigación en línea) · WB Talla de EE. UU.: «» → «One Size» (Completado por investigación en línea) · WB Descripcion: «» → «Nissan Formula E Replica Bucket Hat - Season 12» (Completado por investigación en línea) · WB División: «» → «Accesorios» (Completado por regla) · WB Género: «» → «Unisex» (Completado por regla) · Validación G1522: WB SKU faltante; Falta estilo; [Aviso] Precio de compra posiblemente en USD · Validador NetSuite / Odoo: V6: falta estilo · Validador Shopify: V6: falta estilo; WB: precio con IVA no termina en 9</t>
        </is>
      </c>
      <c r="AI632" s="156" t="inlineStr">
        <is>
          <t>No</t>
        </is>
      </c>
      <c r="AJ632" s="156" t="n"/>
      <c r="AK632" s="155" t="inlineStr">
        <is>
          <t>G1522_Extraccion_Articulos_NetSuite_2026-09-30.xlsx: fila 52741 | Investigación en línea 06/10/2026: https://reflo.com/products/nissan-formula-e-bucket-hat-red-one-size</t>
        </is>
      </c>
      <c r="AL632" s="58" t="n"/>
      <c r="AM632" s="58" t="n"/>
      <c r="AN632" s="155" t="n"/>
      <c r="AO632" s="59" t="n"/>
      <c r="AP632" s="59" t="n"/>
      <c r="AQ632" s="59" t="n"/>
      <c r="AR632" s="155" t="n"/>
    </row>
    <row r="633">
      <c r="A633" s="50" t="inlineStr">
        <is>
          <t>5056658756887</t>
        </is>
      </c>
      <c r="B633" s="51" t="inlineStr">
        <is>
          <t>104022</t>
        </is>
      </c>
      <c r="C633" s="156" t="inlineStr">
        <is>
          <t>REFLO</t>
        </is>
      </c>
      <c r="D633" s="156" t="n"/>
      <c r="E633" s="156" t="n"/>
      <c r="F633" s="156" t="inlineStr">
        <is>
          <t>XS</t>
        </is>
      </c>
      <c r="G633" s="156" t="inlineStr">
        <is>
          <t>XS</t>
        </is>
      </c>
      <c r="H633" s="156" t="inlineStr">
        <is>
          <t>REFLO</t>
        </is>
      </c>
      <c r="I633" s="156" t="inlineStr">
        <is>
          <t>Nissan Formula E Replica 1/4 Zip Unisex Midlayer - Season 12</t>
        </is>
      </c>
      <c r="J633" s="156" t="n"/>
      <c r="K633" s="156" t="n"/>
      <c r="L633" s="156" t="inlineStr">
        <is>
          <t>Unisex</t>
        </is>
      </c>
      <c r="M633" s="156" t="n"/>
      <c r="N633" s="156" t="n"/>
      <c r="O633" s="156" t="n"/>
      <c r="P633" s="156" t="inlineStr">
        <is>
          <t>Rojo</t>
        </is>
      </c>
      <c r="Q633" s="156" t="n"/>
      <c r="R633" s="156" t="n"/>
      <c r="S633" s="156" t="n"/>
      <c r="T633" s="156" t="n"/>
      <c r="U633" s="156" t="n"/>
      <c r="V633" s="156" t="inlineStr">
        <is>
          <t>PZS</t>
        </is>
      </c>
      <c r="W633" s="51" t="inlineStr">
        <is>
          <t>53103000</t>
        </is>
      </c>
      <c r="X633" s="156" t="inlineStr">
        <is>
          <t>https://cdn.shopify.com/s/files/1/0589/6500/0397/files/NissanS12-Midlayer-1.jpg?v=1785919698</t>
        </is>
      </c>
      <c r="Y633" s="54" t="n">
        <v>40</v>
      </c>
      <c r="Z633" s="54" t="n">
        <v>3449</v>
      </c>
      <c r="AA633" s="55">
        <f>IF(AND(A633="", B633="", E633=""), "", IF(AB633="", "Válido", IF((LEN(AB633)-LEN(SUBSTITUTE(AB633,"; ","")))/2+1&gt;(LEN(AB633)-LEN(SUBSTITUTE(AB633,"[Aviso]","")))/7, "Con Incidencias", "Válido")))</f>
        <v/>
      </c>
      <c r="AB633" s="56">
        <f>IF(AND(A633="", B633="", E633=""), "", TEXTJOIN("; ", TRUE, IF(OR(TRIM(A633&amp;"")="", ISNUMBER(SEARCH("FALTA", A633))), "UPC faltante/inválido", ""), IF(AND(A633&lt;&gt;"", IFERROR(_xlfn.XMATCH(A633,$A$2:$A$653,0,1)&lt;&gt;_xlfn.XMATCH(A633,$A$2:$A$653,0,-1),FALSE)), "Código de barras duplicado", ""), IF(AND(E633&lt;&gt;"", COUNTIF($E$2:$E$653, E633)&gt;1), "SKU duplicado", ""), IF(OR(J633="", J633=""), "[Aviso] División no capturada ()", IF(ISNA(MATCH(J633, Criterios!$A$123:$A$126, 0)), "División no válida", "")), IF(OR(K633="", K633=""), "[Aviso] Categoría no capturada ()", IF(ISNA(MATCH(K633, Criterios!$A$81:$A$120, 0)), "Categoría no válida", IF(AND(J633&lt;&gt;"", J633&lt;&gt;"", J633&lt;&gt;VLOOKUP(K633, Criterios!$A$81:$B$120, 2, FALSE)), "División no coincide con Categoría", ""))), IF(OR(L633="", L633=""), "[Aviso] Género no capturado ()", IF(ISNA(MATCH(L633, Criterios!$B$123:$B$127, 0)), "Género no válido", "")), IF(OR(N633="", N633=""), "[Aviso] Temporada no capturada ()", IF(ISNA(MATCH(N633, Criterios!$C$123:$C$128, 0)), "Temporada no válida", "")), IF(OR(O633="", O633=""), "[Aviso] Ciclo de vida no capturado ()", IF(ISNA(MATCH(O633, Criterios!$D$123:$D$124, 0)), "Ciclo de vida no válido", ""))))</f>
        <v/>
      </c>
      <c r="AC633" s="56" t="n"/>
      <c r="AD633" s="51" t="n">
        <v>0</v>
      </c>
      <c r="AE633" s="156" t="n"/>
      <c r="AF633" s="51" t="n">
        <v>0</v>
      </c>
      <c r="AG633" s="156" t="inlineStr">
        <is>
          <t>Nuevo – NetSuite sin existencia</t>
        </is>
      </c>
      <c r="AH633" s="156" t="inlineStr">
        <is>
          <t>Alta auditoría 30/09/2026 desde extracción NetSuite; Atributos WB vacíos en NetSuite (sin estilo, talla, descripción ni categoría): completar | Homologación G1522 06/10/2026: WB Género: «» → «Unisex» (Completado por investigación en línea) · Enlace de imagen: «» → «https://cdn.shopify.com/s/files/1/0589/6500/0397/files/NissanS12-Midlayer-1.jpg?v=1785919698» (Completado por investigación en línea) · WB Color: «» → «Rojo» (Completado por investigación en línea) · WB Talla: «» → «XS» (Completado por investigación en línea) · WB Talla de EE. UU.: «» → «XS» (Completado por investigación en línea) · WB Descripcion: «» → «Nissan Formula E Replica 1/4 Zip Unisex Midlayer - Season 12» (Completado por investigación en línea) · Validación G1522: WB SKU faltante; Falta estilo · Validador NetSuite / Odoo: V6: falta estilo · Validador Shopify: V6: falta estilo; WB: precio con IVA no termina en 9</t>
        </is>
      </c>
      <c r="AI633" s="156" t="inlineStr">
        <is>
          <t>No</t>
        </is>
      </c>
      <c r="AJ633" s="156" t="n"/>
      <c r="AK633" s="155" t="inlineStr">
        <is>
          <t>G1522_Extraccion_Articulos_NetSuite_2026-09-30.xlsx: fila 52742 | Investigación en línea 06/10/2026: https://reflo.com/products/nissan-formula-e-replica-1-4-zip-midlayer-red</t>
        </is>
      </c>
      <c r="AL633" s="58" t="n"/>
      <c r="AM633" s="58" t="n"/>
      <c r="AN633" s="155" t="n"/>
      <c r="AO633" s="59" t="n"/>
      <c r="AP633" s="59" t="n"/>
      <c r="AQ633" s="59" t="n"/>
      <c r="AR633" s="155" t="n"/>
    </row>
    <row r="634">
      <c r="A634" s="50" t="inlineStr">
        <is>
          <t>5056658756894</t>
        </is>
      </c>
      <c r="B634" s="51" t="inlineStr">
        <is>
          <t>104023</t>
        </is>
      </c>
      <c r="C634" s="156" t="inlineStr">
        <is>
          <t>REFLO</t>
        </is>
      </c>
      <c r="D634" s="156" t="n"/>
      <c r="E634" s="156" t="n"/>
      <c r="F634" s="156" t="inlineStr">
        <is>
          <t>S</t>
        </is>
      </c>
      <c r="G634" s="156" t="inlineStr">
        <is>
          <t>S</t>
        </is>
      </c>
      <c r="H634" s="156" t="inlineStr">
        <is>
          <t>REFLO</t>
        </is>
      </c>
      <c r="I634" s="156" t="inlineStr">
        <is>
          <t>Nissan Formula E Replica 1/4 Zip Unisex Midlayer - Season 12</t>
        </is>
      </c>
      <c r="J634" s="156" t="n"/>
      <c r="K634" s="156" t="n"/>
      <c r="L634" s="156" t="inlineStr">
        <is>
          <t>Unisex</t>
        </is>
      </c>
      <c r="M634" s="156" t="n"/>
      <c r="N634" s="156" t="n"/>
      <c r="O634" s="156" t="n"/>
      <c r="P634" s="156" t="inlineStr">
        <is>
          <t>Rojo</t>
        </is>
      </c>
      <c r="Q634" s="156" t="n"/>
      <c r="R634" s="156" t="n"/>
      <c r="S634" s="156" t="n"/>
      <c r="T634" s="156" t="n"/>
      <c r="U634" s="156" t="n"/>
      <c r="V634" s="156" t="inlineStr">
        <is>
          <t>PZS</t>
        </is>
      </c>
      <c r="W634" s="51" t="inlineStr">
        <is>
          <t>53103000</t>
        </is>
      </c>
      <c r="X634" s="156" t="inlineStr">
        <is>
          <t>https://cdn.shopify.com/s/files/1/0589/6500/0397/files/NissanS12-Midlayer-1.jpg?v=1785919698</t>
        </is>
      </c>
      <c r="Y634" s="54" t="n">
        <v>40</v>
      </c>
      <c r="Z634" s="54" t="n">
        <v>3449</v>
      </c>
      <c r="AA634" s="55">
        <f>IF(AND(A634="", B634="", E634=""), "", IF(AB634="", "Válido", IF((LEN(AB634)-LEN(SUBSTITUTE(AB634,"; ","")))/2+1&gt;(LEN(AB634)-LEN(SUBSTITUTE(AB634,"[Aviso]","")))/7, "Con Incidencias", "Válido")))</f>
        <v/>
      </c>
      <c r="AB634" s="56">
        <f>IF(AND(A634="", B634="", E634=""), "", TEXTJOIN("; ", TRUE, IF(OR(TRIM(A634&amp;"")="", ISNUMBER(SEARCH("FALTA", A634))), "UPC faltante/inválido", ""), IF(AND(A634&lt;&gt;"", IFERROR(_xlfn.XMATCH(A634,$A$2:$A$653,0,1)&lt;&gt;_xlfn.XMATCH(A634,$A$2:$A$653,0,-1),FALSE)), "Código de barras duplicado", ""), IF(AND(E634&lt;&gt;"", COUNTIF($E$2:$E$653, E634)&gt;1), "SKU duplicado", ""), IF(OR(J634="", J634=""), "[Aviso] División no capturada ()", IF(ISNA(MATCH(J634, Criterios!$A$123:$A$126, 0)), "División no válida", "")), IF(OR(K634="", K634=""), "[Aviso] Categoría no capturada ()", IF(ISNA(MATCH(K634, Criterios!$A$81:$A$120, 0)), "Categoría no válida", IF(AND(J634&lt;&gt;"", J634&lt;&gt;"", J634&lt;&gt;VLOOKUP(K634, Criterios!$A$81:$B$120, 2, FALSE)), "División no coincide con Categoría", ""))), IF(OR(L634="", L634=""), "[Aviso] Género no capturado ()", IF(ISNA(MATCH(L634, Criterios!$B$123:$B$127, 0)), "Género no válido", "")), IF(OR(N634="", N634=""), "[Aviso] Temporada no capturada ()", IF(ISNA(MATCH(N634, Criterios!$C$123:$C$128, 0)), "Temporada no válida", "")), IF(OR(O634="", O634=""), "[Aviso] Ciclo de vida no capturado ()", IF(ISNA(MATCH(O634, Criterios!$D$123:$D$124, 0)), "Ciclo de vida no válido", ""))))</f>
        <v/>
      </c>
      <c r="AC634" s="56" t="n"/>
      <c r="AD634" s="51" t="n">
        <v>0</v>
      </c>
      <c r="AE634" s="156" t="n"/>
      <c r="AF634" s="51" t="n">
        <v>0</v>
      </c>
      <c r="AG634" s="156" t="inlineStr">
        <is>
          <t>Nuevo – NetSuite sin existencia</t>
        </is>
      </c>
      <c r="AH634" s="156" t="inlineStr">
        <is>
          <t>Alta auditoría 30/09/2026 desde extracción NetSuite; Atributos WB vacíos en NetSuite (sin estilo, talla, descripción ni categoría): completar | Homologación G1522 06/10/2026: WB Género: «» → «Unisex» (Completado por investigación en línea) · Enlace de imagen: «» → «https://cdn.shopify.com/s/files/1/0589/6500/0397/files/NissanS12-Midlayer-1.jpg?v=1785919698» (Completado por investigación en línea) · WB Color: «» → «Rojo» (Completado por investigación en línea) · WB Talla: «» → «S» (Completado por investigación en línea) · WB Talla de EE. UU.: «» → «S» (Completado por investigación en línea) · WB Descripcion: «» → «Nissan Formula E Replica 1/4 Zip Unisex Midlayer - Season 12» (Completado por investigación en línea) · Validación G1522: WB SKU faltante; Falta estilo · Validador NetSuite / Odoo: V6: falta estilo · Validador Shopify: V6: falta estilo; WB: precio con IVA no termina en 9</t>
        </is>
      </c>
      <c r="AI634" s="156" t="inlineStr">
        <is>
          <t>No</t>
        </is>
      </c>
      <c r="AJ634" s="156" t="n"/>
      <c r="AK634" s="155" t="inlineStr">
        <is>
          <t>G1522_Extraccion_Articulos_NetSuite_2026-09-30.xlsx: fila 52743 | Investigación en línea 06/10/2026: https://reflo.com/products/nissan-formula-e-replica-1-4-zip-midlayer-red</t>
        </is>
      </c>
      <c r="AL634" s="58" t="n"/>
      <c r="AM634" s="58" t="n"/>
      <c r="AN634" s="155" t="n"/>
      <c r="AO634" s="59" t="n"/>
      <c r="AP634" s="59" t="n"/>
      <c r="AQ634" s="59" t="n"/>
      <c r="AR634" s="155" t="n"/>
    </row>
    <row r="635">
      <c r="A635" s="50" t="inlineStr">
        <is>
          <t>5056658756900</t>
        </is>
      </c>
      <c r="B635" s="51" t="inlineStr">
        <is>
          <t>104024</t>
        </is>
      </c>
      <c r="C635" s="156" t="inlineStr">
        <is>
          <t>REFLO</t>
        </is>
      </c>
      <c r="D635" s="156" t="n"/>
      <c r="E635" s="156" t="n"/>
      <c r="F635" s="156" t="inlineStr">
        <is>
          <t>M</t>
        </is>
      </c>
      <c r="G635" s="156" t="inlineStr">
        <is>
          <t>M</t>
        </is>
      </c>
      <c r="H635" s="156" t="inlineStr">
        <is>
          <t>REFLO</t>
        </is>
      </c>
      <c r="I635" s="156" t="inlineStr">
        <is>
          <t>Nissan Formula E Replica 1/4 Zip Unisex Midlayer - Season 12</t>
        </is>
      </c>
      <c r="J635" s="156" t="n"/>
      <c r="K635" s="156" t="n"/>
      <c r="L635" s="156" t="inlineStr">
        <is>
          <t>Unisex</t>
        </is>
      </c>
      <c r="M635" s="156" t="n"/>
      <c r="N635" s="156" t="n"/>
      <c r="O635" s="156" t="n"/>
      <c r="P635" s="156" t="inlineStr">
        <is>
          <t>Rojo</t>
        </is>
      </c>
      <c r="Q635" s="156" t="n"/>
      <c r="R635" s="156" t="n"/>
      <c r="S635" s="156" t="n"/>
      <c r="T635" s="156" t="n"/>
      <c r="U635" s="156" t="n"/>
      <c r="V635" s="156" t="inlineStr">
        <is>
          <t>PZS</t>
        </is>
      </c>
      <c r="W635" s="51" t="inlineStr">
        <is>
          <t>53103000</t>
        </is>
      </c>
      <c r="X635" s="156" t="inlineStr">
        <is>
          <t>https://cdn.shopify.com/s/files/1/0589/6500/0397/files/NissanS12-Midlayer-1.jpg?v=1785919698</t>
        </is>
      </c>
      <c r="Y635" s="54" t="n">
        <v>40</v>
      </c>
      <c r="Z635" s="54" t="n">
        <v>3449</v>
      </c>
      <c r="AA635" s="55">
        <f>IF(AND(A635="", B635="", E635=""), "", IF(AB635="", "Válido", IF((LEN(AB635)-LEN(SUBSTITUTE(AB635,"; ","")))/2+1&gt;(LEN(AB635)-LEN(SUBSTITUTE(AB635,"[Aviso]","")))/7, "Con Incidencias", "Válido")))</f>
        <v/>
      </c>
      <c r="AB635" s="56">
        <f>IF(AND(A635="", B635="", E635=""), "", TEXTJOIN("; ", TRUE, IF(OR(TRIM(A635&amp;"")="", ISNUMBER(SEARCH("FALTA", A635))), "UPC faltante/inválido", ""), IF(AND(A635&lt;&gt;"", IFERROR(_xlfn.XMATCH(A635,$A$2:$A$653,0,1)&lt;&gt;_xlfn.XMATCH(A635,$A$2:$A$653,0,-1),FALSE)), "Código de barras duplicado", ""), IF(AND(E635&lt;&gt;"", COUNTIF($E$2:$E$653, E635)&gt;1), "SKU duplicado", ""), IF(OR(J635="", J635=""), "[Aviso] División no capturada ()", IF(ISNA(MATCH(J635, Criterios!$A$123:$A$126, 0)), "División no válida", "")), IF(OR(K635="", K635=""), "[Aviso] Categoría no capturada ()", IF(ISNA(MATCH(K635, Criterios!$A$81:$A$120, 0)), "Categoría no válida", IF(AND(J635&lt;&gt;"", J635&lt;&gt;"", J635&lt;&gt;VLOOKUP(K635, Criterios!$A$81:$B$120, 2, FALSE)), "División no coincide con Categoría", ""))), IF(OR(L635="", L635=""), "[Aviso] Género no capturado ()", IF(ISNA(MATCH(L635, Criterios!$B$123:$B$127, 0)), "Género no válido", "")), IF(OR(N635="", N635=""), "[Aviso] Temporada no capturada ()", IF(ISNA(MATCH(N635, Criterios!$C$123:$C$128, 0)), "Temporada no válida", "")), IF(OR(O635="", O635=""), "[Aviso] Ciclo de vida no capturado ()", IF(ISNA(MATCH(O635, Criterios!$D$123:$D$124, 0)), "Ciclo de vida no válido", ""))))</f>
        <v/>
      </c>
      <c r="AC635" s="56" t="n"/>
      <c r="AD635" s="51" t="n">
        <v>0</v>
      </c>
      <c r="AE635" s="156" t="n"/>
      <c r="AF635" s="51" t="n">
        <v>0</v>
      </c>
      <c r="AG635" s="156" t="inlineStr">
        <is>
          <t>Nuevo – NetSuite sin existencia</t>
        </is>
      </c>
      <c r="AH635" s="156" t="inlineStr">
        <is>
          <t>Alta auditoría 30/09/2026 desde extracción NetSuite; Atributos WB vacíos en NetSuite (sin estilo, talla, descripción ni categoría): completar | Homologación G1522 06/10/2026: WB Género: «» → «Unisex» (Completado por investigación en línea) · Enlace de imagen: «» → «https://cdn.shopify.com/s/files/1/0589/6500/0397/files/NissanS12-Midlayer-1.jpg?v=1785919698» (Completado por investigación en línea) · WB Color: «» → «Rojo» (Completado por investigación en línea) · WB Talla: «» → «M» (Completado por investigación en línea) · WB Talla de EE. UU.: «» → «M» (Completado por investigación en línea) · WB Descripcion: «» → «Nissan Formula E Replica 1/4 Zip Unisex Midlayer - Season 12» (Completado por investigación en línea) · Validación G1522: WB SKU faltante; Falta estilo · Validador NetSuite / Odoo: V6: falta estilo · Validador Shopify: V6: falta estilo; WB: precio con IVA no termina en 9</t>
        </is>
      </c>
      <c r="AI635" s="156" t="inlineStr">
        <is>
          <t>No</t>
        </is>
      </c>
      <c r="AJ635" s="156" t="n"/>
      <c r="AK635" s="155" t="inlineStr">
        <is>
          <t>G1522_Extraccion_Articulos_NetSuite_2026-09-30.xlsx: fila 52744 | Investigación en línea 06/10/2026: https://reflo.com/products/nissan-formula-e-replica-1-4-zip-midlayer-red</t>
        </is>
      </c>
      <c r="AL635" s="58" t="n"/>
      <c r="AM635" s="58" t="n"/>
      <c r="AN635" s="155" t="n"/>
      <c r="AO635" s="59" t="n"/>
      <c r="AP635" s="59" t="n"/>
      <c r="AQ635" s="59" t="n"/>
      <c r="AR635" s="155" t="n"/>
    </row>
    <row r="636">
      <c r="A636" s="50" t="inlineStr">
        <is>
          <t>5056658756917</t>
        </is>
      </c>
      <c r="B636" s="51" t="inlineStr">
        <is>
          <t>104025</t>
        </is>
      </c>
      <c r="C636" s="156" t="inlineStr">
        <is>
          <t>REFLO</t>
        </is>
      </c>
      <c r="D636" s="156" t="n"/>
      <c r="E636" s="156" t="n"/>
      <c r="F636" s="156" t="inlineStr">
        <is>
          <t>L</t>
        </is>
      </c>
      <c r="G636" s="156" t="inlineStr">
        <is>
          <t>L</t>
        </is>
      </c>
      <c r="H636" s="156" t="inlineStr">
        <is>
          <t>REFLO</t>
        </is>
      </c>
      <c r="I636" s="156" t="inlineStr">
        <is>
          <t>Nissan Formula E Replica 1/4 Zip Unisex Midlayer - Season 12</t>
        </is>
      </c>
      <c r="J636" s="156" t="n"/>
      <c r="K636" s="156" t="n"/>
      <c r="L636" s="156" t="inlineStr">
        <is>
          <t>Unisex</t>
        </is>
      </c>
      <c r="M636" s="156" t="n"/>
      <c r="N636" s="156" t="n"/>
      <c r="O636" s="156" t="n"/>
      <c r="P636" s="156" t="inlineStr">
        <is>
          <t>Rojo</t>
        </is>
      </c>
      <c r="Q636" s="156" t="n"/>
      <c r="R636" s="156" t="n"/>
      <c r="S636" s="156" t="n"/>
      <c r="T636" s="156" t="n"/>
      <c r="U636" s="156" t="n"/>
      <c r="V636" s="156" t="inlineStr">
        <is>
          <t>PZS</t>
        </is>
      </c>
      <c r="W636" s="51" t="inlineStr">
        <is>
          <t>53103000</t>
        </is>
      </c>
      <c r="X636" s="156" t="inlineStr">
        <is>
          <t>https://cdn.shopify.com/s/files/1/0589/6500/0397/files/NissanS12-Midlayer-1.jpg?v=1785919698</t>
        </is>
      </c>
      <c r="Y636" s="54" t="n">
        <v>40</v>
      </c>
      <c r="Z636" s="54" t="n">
        <v>3449</v>
      </c>
      <c r="AA636" s="55">
        <f>IF(AND(A636="", B636="", E636=""), "", IF(AB636="", "Válido", IF((LEN(AB636)-LEN(SUBSTITUTE(AB636,"; ","")))/2+1&gt;(LEN(AB636)-LEN(SUBSTITUTE(AB636,"[Aviso]","")))/7, "Con Incidencias", "Válido")))</f>
        <v/>
      </c>
      <c r="AB636" s="56">
        <f>IF(AND(A636="", B636="", E636=""), "", TEXTJOIN("; ", TRUE, IF(OR(TRIM(A636&amp;"")="", ISNUMBER(SEARCH("FALTA", A636))), "UPC faltante/inválido", ""), IF(AND(A636&lt;&gt;"", IFERROR(_xlfn.XMATCH(A636,$A$2:$A$653,0,1)&lt;&gt;_xlfn.XMATCH(A636,$A$2:$A$653,0,-1),FALSE)), "Código de barras duplicado", ""), IF(AND(E636&lt;&gt;"", COUNTIF($E$2:$E$653, E636)&gt;1), "SKU duplicado", ""), IF(OR(J636="", J636=""), "[Aviso] División no capturada ()", IF(ISNA(MATCH(J636, Criterios!$A$123:$A$126, 0)), "División no válida", "")), IF(OR(K636="", K636=""), "[Aviso] Categoría no capturada ()", IF(ISNA(MATCH(K636, Criterios!$A$81:$A$120, 0)), "Categoría no válida", IF(AND(J636&lt;&gt;"", J636&lt;&gt;"", J636&lt;&gt;VLOOKUP(K636, Criterios!$A$81:$B$120, 2, FALSE)), "División no coincide con Categoría", ""))), IF(OR(L636="", L636=""), "[Aviso] Género no capturado ()", IF(ISNA(MATCH(L636, Criterios!$B$123:$B$127, 0)), "Género no válido", "")), IF(OR(N636="", N636=""), "[Aviso] Temporada no capturada ()", IF(ISNA(MATCH(N636, Criterios!$C$123:$C$128, 0)), "Temporada no válida", "")), IF(OR(O636="", O636=""), "[Aviso] Ciclo de vida no capturado ()", IF(ISNA(MATCH(O636, Criterios!$D$123:$D$124, 0)), "Ciclo de vida no válido", ""))))</f>
        <v/>
      </c>
      <c r="AC636" s="56" t="n"/>
      <c r="AD636" s="51" t="n">
        <v>0</v>
      </c>
      <c r="AE636" s="156" t="n"/>
      <c r="AF636" s="51" t="n">
        <v>0</v>
      </c>
      <c r="AG636" s="156" t="inlineStr">
        <is>
          <t>Nuevo – NetSuite sin existencia</t>
        </is>
      </c>
      <c r="AH636" s="156" t="inlineStr">
        <is>
          <t>Alta auditoría 30/09/2026 desde extracción NetSuite; Atributos WB vacíos en NetSuite (sin estilo, talla, descripción ni categoría): completar | Homologación G1522 06/10/2026: WB Género: «» → «Unisex» (Completado por investigación en línea) · Enlace de imagen: «» → «https://cdn.shopify.com/s/files/1/0589/6500/0397/files/NissanS12-Midlayer-1.jpg?v=1785919698» (Completado por investigación en línea) · WB Color: «» → «Rojo» (Completado por investigación en línea) · WB Talla: «» → «L» (Completado por investigación en línea) · WB Talla de EE. UU.: «» → «L» (Completado por investigación en línea) · WB Descripcion: «» → «Nissan Formula E Replica 1/4 Zip Unisex Midlayer - Season 12» (Completado por investigación en línea) · Validación G1522: WB SKU faltante; Falta estilo · Validador NetSuite / Odoo: V6: falta estilo · Validador Shopify: V6: falta estilo; WB: precio con IVA no termina en 9</t>
        </is>
      </c>
      <c r="AI636" s="156" t="inlineStr">
        <is>
          <t>No</t>
        </is>
      </c>
      <c r="AJ636" s="156" t="n"/>
      <c r="AK636" s="155" t="inlineStr">
        <is>
          <t>G1522_Extraccion_Articulos_NetSuite_2026-09-30.xlsx: fila 52745 | Investigación en línea 06/10/2026: https://reflo.com/products/nissan-formula-e-replica-1-4-zip-midlayer-red</t>
        </is>
      </c>
      <c r="AL636" s="58" t="n"/>
      <c r="AM636" s="58" t="n"/>
      <c r="AN636" s="155" t="n"/>
      <c r="AO636" s="59" t="n"/>
      <c r="AP636" s="59" t="n"/>
      <c r="AQ636" s="59" t="n"/>
      <c r="AR636" s="155" t="n"/>
    </row>
    <row r="637">
      <c r="A637" s="50" t="inlineStr">
        <is>
          <t>5056658756924</t>
        </is>
      </c>
      <c r="B637" s="51" t="inlineStr">
        <is>
          <t>104026</t>
        </is>
      </c>
      <c r="C637" s="156" t="inlineStr">
        <is>
          <t>REFLO</t>
        </is>
      </c>
      <c r="D637" s="156" t="n"/>
      <c r="E637" s="156" t="n"/>
      <c r="F637" s="156" t="inlineStr">
        <is>
          <t>XL</t>
        </is>
      </c>
      <c r="G637" s="156" t="inlineStr">
        <is>
          <t>XL</t>
        </is>
      </c>
      <c r="H637" s="156" t="inlineStr">
        <is>
          <t>REFLO</t>
        </is>
      </c>
      <c r="I637" s="156" t="inlineStr">
        <is>
          <t>Nissan Formula E Replica 1/4 Zip Unisex Midlayer - Season 12</t>
        </is>
      </c>
      <c r="J637" s="156" t="n"/>
      <c r="K637" s="156" t="n"/>
      <c r="L637" s="156" t="inlineStr">
        <is>
          <t>Unisex</t>
        </is>
      </c>
      <c r="M637" s="156" t="n"/>
      <c r="N637" s="156" t="n"/>
      <c r="O637" s="156" t="n"/>
      <c r="P637" s="156" t="inlineStr">
        <is>
          <t>Rojo</t>
        </is>
      </c>
      <c r="Q637" s="156" t="n"/>
      <c r="R637" s="156" t="n"/>
      <c r="S637" s="156" t="n"/>
      <c r="T637" s="156" t="n"/>
      <c r="U637" s="156" t="n"/>
      <c r="V637" s="156" t="inlineStr">
        <is>
          <t>PZS</t>
        </is>
      </c>
      <c r="W637" s="51" t="inlineStr">
        <is>
          <t>53103000</t>
        </is>
      </c>
      <c r="X637" s="156" t="inlineStr">
        <is>
          <t>https://cdn.shopify.com/s/files/1/0589/6500/0397/files/NissanS12-Midlayer-1.jpg?v=1785919698</t>
        </is>
      </c>
      <c r="Y637" s="54" t="n">
        <v>40</v>
      </c>
      <c r="Z637" s="54" t="n">
        <v>3449</v>
      </c>
      <c r="AA637" s="55">
        <f>IF(AND(A637="", B637="", E637=""), "", IF(AB637="", "Válido", IF((LEN(AB637)-LEN(SUBSTITUTE(AB637,"; ","")))/2+1&gt;(LEN(AB637)-LEN(SUBSTITUTE(AB637,"[Aviso]","")))/7, "Con Incidencias", "Válido")))</f>
        <v/>
      </c>
      <c r="AB637" s="56">
        <f>IF(AND(A637="", B637="", E637=""), "", TEXTJOIN("; ", TRUE, IF(OR(TRIM(A637&amp;"")="", ISNUMBER(SEARCH("FALTA", A637))), "UPC faltante/inválido", ""), IF(AND(A637&lt;&gt;"", IFERROR(_xlfn.XMATCH(A637,$A$2:$A$653,0,1)&lt;&gt;_xlfn.XMATCH(A637,$A$2:$A$653,0,-1),FALSE)), "Código de barras duplicado", ""), IF(AND(E637&lt;&gt;"", COUNTIF($E$2:$E$653, E637)&gt;1), "SKU duplicado", ""), IF(OR(J637="", J637=""), "[Aviso] División no capturada ()", IF(ISNA(MATCH(J637, Criterios!$A$123:$A$126, 0)), "División no válida", "")), IF(OR(K637="", K637=""), "[Aviso] Categoría no capturada ()", IF(ISNA(MATCH(K637, Criterios!$A$81:$A$120, 0)), "Categoría no válida", IF(AND(J637&lt;&gt;"", J637&lt;&gt;"", J637&lt;&gt;VLOOKUP(K637, Criterios!$A$81:$B$120, 2, FALSE)), "División no coincide con Categoría", ""))), IF(OR(L637="", L637=""), "[Aviso] Género no capturado ()", IF(ISNA(MATCH(L637, Criterios!$B$123:$B$127, 0)), "Género no válido", "")), IF(OR(N637="", N637=""), "[Aviso] Temporada no capturada ()", IF(ISNA(MATCH(N637, Criterios!$C$123:$C$128, 0)), "Temporada no válida", "")), IF(OR(O637="", O637=""), "[Aviso] Ciclo de vida no capturado ()", IF(ISNA(MATCH(O637, Criterios!$D$123:$D$124, 0)), "Ciclo de vida no válido", ""))))</f>
        <v/>
      </c>
      <c r="AC637" s="56" t="n"/>
      <c r="AD637" s="51" t="n">
        <v>0</v>
      </c>
      <c r="AE637" s="156" t="n"/>
      <c r="AF637" s="51" t="n">
        <v>0</v>
      </c>
      <c r="AG637" s="156" t="inlineStr">
        <is>
          <t>Nuevo – NetSuite sin existencia</t>
        </is>
      </c>
      <c r="AH637" s="156" t="inlineStr">
        <is>
          <t>Alta auditoría 30/09/2026 desde extracción NetSuite; Atributos WB vacíos en NetSuite (sin estilo, talla, descripción ni categoría): completar | Homologación G1522 06/10/2026: WB Género: «» → «Unisex» (Completado por investigación en línea) · Enlace de imagen: «» → «https://cdn.shopify.com/s/files/1/0589/6500/0397/files/NissanS12-Midlayer-1.jpg?v=1785919698» (Completado por investigación en línea) · WB Color: «» → «Rojo» (Completado por investigación en línea) · WB Talla: «» → «XL» (Completado por investigación en línea) · WB Talla de EE. UU.: «» → «XL» (Completado por investigación en línea) · WB Descripcion: «» → «Nissan Formula E Replica 1/4 Zip Unisex Midlayer - Season 12» (Completado por investigación en línea) · Validación G1522: WB SKU faltante; Falta estilo · Validador NetSuite / Odoo: V6: falta estilo · Validador Shopify: V6: falta estilo; WB: precio con IVA no termina en 9</t>
        </is>
      </c>
      <c r="AI637" s="156" t="inlineStr">
        <is>
          <t>No</t>
        </is>
      </c>
      <c r="AJ637" s="156" t="n"/>
      <c r="AK637" s="155" t="inlineStr">
        <is>
          <t>G1522_Extraccion_Articulos_NetSuite_2026-09-30.xlsx: fila 52746 | Investigación en línea 06/10/2026: https://reflo.com/products/nissan-formula-e-replica-1-4-zip-midlayer-red</t>
        </is>
      </c>
      <c r="AL637" s="58" t="n"/>
      <c r="AM637" s="58" t="n"/>
      <c r="AN637" s="155" t="n"/>
      <c r="AO637" s="59" t="n"/>
      <c r="AP637" s="59" t="n"/>
      <c r="AQ637" s="59" t="n"/>
      <c r="AR637" s="155" t="n"/>
    </row>
    <row r="638">
      <c r="A638" s="50" t="inlineStr">
        <is>
          <t>5056658756931</t>
        </is>
      </c>
      <c r="B638" s="51" t="inlineStr">
        <is>
          <t>104027</t>
        </is>
      </c>
      <c r="C638" s="156" t="inlineStr">
        <is>
          <t>REFLO</t>
        </is>
      </c>
      <c r="D638" s="156" t="n"/>
      <c r="E638" s="156" t="n"/>
      <c r="F638" s="156" t="inlineStr">
        <is>
          <t>XXL</t>
        </is>
      </c>
      <c r="G638" s="156" t="inlineStr">
        <is>
          <t>XXL</t>
        </is>
      </c>
      <c r="H638" s="156" t="inlineStr">
        <is>
          <t>REFLO</t>
        </is>
      </c>
      <c r="I638" s="156" t="inlineStr">
        <is>
          <t>Nissan Formula E Replica 1/4 Zip Unisex Midlayer - Season 12</t>
        </is>
      </c>
      <c r="J638" s="156" t="n"/>
      <c r="K638" s="156" t="n"/>
      <c r="L638" s="156" t="inlineStr">
        <is>
          <t>Unisex</t>
        </is>
      </c>
      <c r="M638" s="156" t="n"/>
      <c r="N638" s="156" t="n"/>
      <c r="O638" s="156" t="n"/>
      <c r="P638" s="156" t="inlineStr">
        <is>
          <t>Rojo</t>
        </is>
      </c>
      <c r="Q638" s="156" t="n"/>
      <c r="R638" s="156" t="n"/>
      <c r="S638" s="156" t="n"/>
      <c r="T638" s="156" t="n"/>
      <c r="U638" s="156" t="n"/>
      <c r="V638" s="156" t="inlineStr">
        <is>
          <t>PZS</t>
        </is>
      </c>
      <c r="W638" s="51" t="inlineStr">
        <is>
          <t>53103000</t>
        </is>
      </c>
      <c r="X638" s="156" t="inlineStr">
        <is>
          <t>https://cdn.shopify.com/s/files/1/0589/6500/0397/files/NissanS12-Midlayer-1.jpg?v=1785919698</t>
        </is>
      </c>
      <c r="Y638" s="54" t="n">
        <v>40</v>
      </c>
      <c r="Z638" s="54" t="n">
        <v>3449</v>
      </c>
      <c r="AA638" s="55">
        <f>IF(AND(A638="", B638="", E638=""), "", IF(AB638="", "Válido", IF((LEN(AB638)-LEN(SUBSTITUTE(AB638,"; ","")))/2+1&gt;(LEN(AB638)-LEN(SUBSTITUTE(AB638,"[Aviso]","")))/7, "Con Incidencias", "Válido")))</f>
        <v/>
      </c>
      <c r="AB638" s="56">
        <f>IF(AND(A638="", B638="", E638=""), "", TEXTJOIN("; ", TRUE, IF(OR(TRIM(A638&amp;"")="", ISNUMBER(SEARCH("FALTA", A638))), "UPC faltante/inválido", ""), IF(AND(A638&lt;&gt;"", IFERROR(_xlfn.XMATCH(A638,$A$2:$A$653,0,1)&lt;&gt;_xlfn.XMATCH(A638,$A$2:$A$653,0,-1),FALSE)), "Código de barras duplicado", ""), IF(AND(E638&lt;&gt;"", COUNTIF($E$2:$E$653, E638)&gt;1), "SKU duplicado", ""), IF(OR(J638="", J638=""), "[Aviso] División no capturada ()", IF(ISNA(MATCH(J638, Criterios!$A$123:$A$126, 0)), "División no válida", "")), IF(OR(K638="", K638=""), "[Aviso] Categoría no capturada ()", IF(ISNA(MATCH(K638, Criterios!$A$81:$A$120, 0)), "Categoría no válida", IF(AND(J638&lt;&gt;"", J638&lt;&gt;"", J638&lt;&gt;VLOOKUP(K638, Criterios!$A$81:$B$120, 2, FALSE)), "División no coincide con Categoría", ""))), IF(OR(L638="", L638=""), "[Aviso] Género no capturado ()", IF(ISNA(MATCH(L638, Criterios!$B$123:$B$127, 0)), "Género no válido", "")), IF(OR(N638="", N638=""), "[Aviso] Temporada no capturada ()", IF(ISNA(MATCH(N638, Criterios!$C$123:$C$128, 0)), "Temporada no válida", "")), IF(OR(O638="", O638=""), "[Aviso] Ciclo de vida no capturado ()", IF(ISNA(MATCH(O638, Criterios!$D$123:$D$124, 0)), "Ciclo de vida no válido", ""))))</f>
        <v/>
      </c>
      <c r="AC638" s="56" t="n"/>
      <c r="AD638" s="51" t="n">
        <v>0</v>
      </c>
      <c r="AE638" s="156" t="n"/>
      <c r="AF638" s="51" t="n">
        <v>0</v>
      </c>
      <c r="AG638" s="156" t="inlineStr">
        <is>
          <t>Nuevo – NetSuite sin existencia</t>
        </is>
      </c>
      <c r="AH638" s="156" t="inlineStr">
        <is>
          <t>Alta auditoría 30/09/2026 desde extracción NetSuite; Atributos WB vacíos en NetSuite (sin estilo, talla, descripción ni categoría): completar | Homologación G1522 06/10/2026: WB Género: «» → «Unisex» (Completado por investigación en línea) · Enlace de imagen: «» → «https://cdn.shopify.com/s/files/1/0589/6500/0397/files/NissanS12-Midlayer-1.jpg?v=1785919698» (Completado por investigación en línea) · WB Color: «» → «Rojo» (Completado por investigación en línea) · WB Talla: «» → «XXL» (Completado por investigación en línea) · WB Talla de EE. UU.: «» → «XXL» (Completado por investigación en línea) · WB Descripcion: «» → «Nissan Formula E Replica 1/4 Zip Unisex Midlayer - Season 12» (Completado por investigación en línea) · Validación G1522: WB SKU faltante; Falta estilo · Validador NetSuite / Odoo: V6: falta estilo · Validador Shopify: V6: falta estilo; WB: precio con IVA no termina en 9</t>
        </is>
      </c>
      <c r="AI638" s="156" t="inlineStr">
        <is>
          <t>No</t>
        </is>
      </c>
      <c r="AJ638" s="156" t="n"/>
      <c r="AK638" s="155" t="inlineStr">
        <is>
          <t>G1522_Extraccion_Articulos_NetSuite_2026-09-30.xlsx: fila 52747 | Investigación en línea 06/10/2026: https://reflo.com/products/nissan-formula-e-replica-1-4-zip-midlayer-red</t>
        </is>
      </c>
      <c r="AL638" s="58" t="n"/>
      <c r="AM638" s="58" t="n"/>
      <c r="AN638" s="155" t="n"/>
      <c r="AO638" s="59" t="n"/>
      <c r="AP638" s="59" t="n"/>
      <c r="AQ638" s="59" t="n"/>
      <c r="AR638" s="155" t="n"/>
    </row>
    <row r="639">
      <c r="A639" s="50" t="inlineStr">
        <is>
          <t>5056658756948</t>
        </is>
      </c>
      <c r="B639" s="51" t="inlineStr">
        <is>
          <t>104028</t>
        </is>
      </c>
      <c r="C639" s="156" t="inlineStr">
        <is>
          <t>REFLO</t>
        </is>
      </c>
      <c r="D639" s="156" t="n"/>
      <c r="E639" s="156" t="n"/>
      <c r="F639" s="156" t="n"/>
      <c r="G639" s="156" t="n"/>
      <c r="H639" s="156" t="inlineStr">
        <is>
          <t>REFLO</t>
        </is>
      </c>
      <c r="I639" s="156" t="n"/>
      <c r="J639" s="156" t="n"/>
      <c r="K639" s="156" t="n"/>
      <c r="L639" s="156" t="n"/>
      <c r="M639" s="156" t="n"/>
      <c r="N639" s="156" t="n"/>
      <c r="O639" s="156" t="n"/>
      <c r="P639" s="156" t="n"/>
      <c r="Q639" s="156" t="n"/>
      <c r="R639" s="156" t="n"/>
      <c r="S639" s="156" t="n"/>
      <c r="T639" s="156" t="n"/>
      <c r="U639" s="156" t="n"/>
      <c r="V639" s="156" t="inlineStr">
        <is>
          <t>PZS</t>
        </is>
      </c>
      <c r="W639" s="51" t="inlineStr">
        <is>
          <t>53103000</t>
        </is>
      </c>
      <c r="X639" s="156" t="n"/>
      <c r="Y639" s="54" t="n">
        <v>40</v>
      </c>
      <c r="Z639" s="54" t="n">
        <v>3449</v>
      </c>
      <c r="AA639" s="55">
        <f>IF(AND(A639="", B639="", E639=""), "", IF(AB639="", "Válido", IF((LEN(AB639)-LEN(SUBSTITUTE(AB639,"; ","")))/2+1&gt;(LEN(AB639)-LEN(SUBSTITUTE(AB639,"[Aviso]","")))/7, "Con Incidencias", "Válido")))</f>
        <v/>
      </c>
      <c r="AB639" s="56">
        <f>IF(AND(A639="", B639="", E639=""), "", TEXTJOIN("; ", TRUE, IF(OR(TRIM(A639&amp;"")="", ISNUMBER(SEARCH("FALTA", A639))), "UPC faltante/inválido", ""), IF(AND(A639&lt;&gt;"", IFERROR(_xlfn.XMATCH(A639,$A$2:$A$653,0,1)&lt;&gt;_xlfn.XMATCH(A639,$A$2:$A$653,0,-1),FALSE)), "Código de barras duplicado", ""), IF(AND(E639&lt;&gt;"", COUNTIF($E$2:$E$653, E639)&gt;1), "SKU duplicado", ""), IF(OR(J639="", J639=""), "[Aviso] División no capturada ()", IF(ISNA(MATCH(J639, Criterios!$A$123:$A$126, 0)), "División no válida", "")), IF(OR(K639="", K639=""), "[Aviso] Categoría no capturada ()", IF(ISNA(MATCH(K639, Criterios!$A$81:$A$120, 0)), "Categoría no válida", IF(AND(J639&lt;&gt;"", J639&lt;&gt;"", J639&lt;&gt;VLOOKUP(K639, Criterios!$A$81:$B$120, 2, FALSE)), "División no coincide con Categoría", ""))), IF(OR(L639="", L639=""), "[Aviso] Género no capturado ()", IF(ISNA(MATCH(L639, Criterios!$B$123:$B$127, 0)), "Género no válido", "")), IF(OR(N639="", N639=""), "[Aviso] Temporada no capturada ()", IF(ISNA(MATCH(N639, Criterios!$C$123:$C$128, 0)), "Temporada no válida", "")), IF(OR(O639="", O639=""), "[Aviso] Ciclo de vida no capturado ()", IF(ISNA(MATCH(O639, Criterios!$D$123:$D$124, 0)), "Ciclo de vida no válido", ""))))</f>
        <v/>
      </c>
      <c r="AC639" s="56" t="n"/>
      <c r="AD639" s="51" t="n">
        <v>0</v>
      </c>
      <c r="AE639" s="156" t="n"/>
      <c r="AF639" s="51" t="n">
        <v>0</v>
      </c>
      <c r="AG639" s="156" t="inlineStr">
        <is>
          <t>Nuevo – NetSuite sin existencia</t>
        </is>
      </c>
      <c r="AH63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39" s="156" t="inlineStr">
        <is>
          <t>No</t>
        </is>
      </c>
      <c r="AJ639" s="156" t="n"/>
      <c r="AK639" s="155" t="inlineStr">
        <is>
          <t>G1522_Extraccion_Articulos_NetSuite_2026-09-30.xlsx: fila 52748</t>
        </is>
      </c>
      <c r="AL639" s="58" t="n"/>
      <c r="AM639" s="58" t="n"/>
      <c r="AN639" s="155" t="n"/>
      <c r="AO639" s="59" t="n"/>
      <c r="AP639" s="59" t="n"/>
      <c r="AQ639" s="59" t="n"/>
      <c r="AR639" s="155" t="n"/>
    </row>
    <row r="640">
      <c r="A640" s="50" t="inlineStr">
        <is>
          <t>5056658755026</t>
        </is>
      </c>
      <c r="B640" s="51" t="inlineStr">
        <is>
          <t>104029</t>
        </is>
      </c>
      <c r="C640" s="156" t="inlineStr">
        <is>
          <t>REFLO</t>
        </is>
      </c>
      <c r="D640" s="156" t="n"/>
      <c r="E640" s="156" t="n"/>
      <c r="F640" s="156" t="n"/>
      <c r="G640" s="156" t="n"/>
      <c r="H640" s="156" t="inlineStr">
        <is>
          <t>REFLO</t>
        </is>
      </c>
      <c r="I640" s="156" t="n"/>
      <c r="J640" s="156" t="n"/>
      <c r="K640" s="156" t="n"/>
      <c r="L640" s="156" t="n"/>
      <c r="M640" s="156" t="n"/>
      <c r="N640" s="156" t="n"/>
      <c r="O640" s="156" t="n"/>
      <c r="P640" s="156" t="n"/>
      <c r="Q640" s="156" t="n"/>
      <c r="R640" s="156" t="n"/>
      <c r="S640" s="156" t="n"/>
      <c r="T640" s="156" t="n"/>
      <c r="U640" s="156" t="n"/>
      <c r="V640" s="156" t="inlineStr">
        <is>
          <t>PZS</t>
        </is>
      </c>
      <c r="W640" s="51" t="inlineStr">
        <is>
          <t>53103000</t>
        </is>
      </c>
      <c r="X640" s="156" t="n"/>
      <c r="Y640" s="54" t="n">
        <v>40</v>
      </c>
      <c r="Z640" s="54" t="n">
        <v>3449</v>
      </c>
      <c r="AA640" s="55">
        <f>IF(AND(A640="", B640="", E640=""), "", IF(AB640="", "Válido", IF((LEN(AB640)-LEN(SUBSTITUTE(AB640,"; ","")))/2+1&gt;(LEN(AB640)-LEN(SUBSTITUTE(AB640,"[Aviso]","")))/7, "Con Incidencias", "Válido")))</f>
        <v/>
      </c>
      <c r="AB640" s="56">
        <f>IF(AND(A640="", B640="", E640=""), "", TEXTJOIN("; ", TRUE, IF(OR(TRIM(A640&amp;"")="", ISNUMBER(SEARCH("FALTA", A640))), "UPC faltante/inválido", ""), IF(AND(A640&lt;&gt;"", IFERROR(_xlfn.XMATCH(A640,$A$2:$A$653,0,1)&lt;&gt;_xlfn.XMATCH(A640,$A$2:$A$653,0,-1),FALSE)), "Código de barras duplicado", ""), IF(AND(E640&lt;&gt;"", COUNTIF($E$2:$E$653, E640)&gt;1), "SKU duplicado", ""), IF(OR(J640="", J640=""), "[Aviso] División no capturada ()", IF(ISNA(MATCH(J640, Criterios!$A$123:$A$126, 0)), "División no válida", "")), IF(OR(K640="", K640=""), "[Aviso] Categoría no capturada ()", IF(ISNA(MATCH(K640, Criterios!$A$81:$A$120, 0)), "Categoría no válida", IF(AND(J640&lt;&gt;"", J640&lt;&gt;"", J640&lt;&gt;VLOOKUP(K640, Criterios!$A$81:$B$120, 2, FALSE)), "División no coincide con Categoría", ""))), IF(OR(L640="", L640=""), "[Aviso] Género no capturado ()", IF(ISNA(MATCH(L640, Criterios!$B$123:$B$127, 0)), "Género no válido", "")), IF(OR(N640="", N640=""), "[Aviso] Temporada no capturada ()", IF(ISNA(MATCH(N640, Criterios!$C$123:$C$128, 0)), "Temporada no válida", "")), IF(OR(O640="", O640=""), "[Aviso] Ciclo de vida no capturado ()", IF(ISNA(MATCH(O640, Criterios!$D$123:$D$124, 0)), "Ciclo de vida no válido", ""))))</f>
        <v/>
      </c>
      <c r="AC640" s="56" t="n"/>
      <c r="AD640" s="51" t="n">
        <v>0</v>
      </c>
      <c r="AE640" s="156" t="n"/>
      <c r="AF640" s="51" t="n">
        <v>0</v>
      </c>
      <c r="AG640" s="156" t="inlineStr">
        <is>
          <t>Nuevo – NetSuite sin existencia</t>
        </is>
      </c>
      <c r="AH64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40" s="156" t="inlineStr">
        <is>
          <t>No</t>
        </is>
      </c>
      <c r="AJ640" s="156" t="n"/>
      <c r="AK640" s="155" t="inlineStr">
        <is>
          <t>G1522_Extraccion_Articulos_NetSuite_2026-09-30.xlsx: fila 52749</t>
        </is>
      </c>
      <c r="AL640" s="58" t="n"/>
      <c r="AM640" s="58" t="n"/>
      <c r="AN640" s="155" t="n"/>
      <c r="AO640" s="59" t="n"/>
      <c r="AP640" s="59" t="n"/>
      <c r="AQ640" s="59" t="n"/>
      <c r="AR640" s="155" t="n"/>
    </row>
    <row r="641">
      <c r="A641" s="50" t="inlineStr">
        <is>
          <t>5056658755033</t>
        </is>
      </c>
      <c r="B641" s="51" t="inlineStr">
        <is>
          <t>104030</t>
        </is>
      </c>
      <c r="C641" s="156" t="inlineStr">
        <is>
          <t>REFLO</t>
        </is>
      </c>
      <c r="D641" s="156" t="n"/>
      <c r="E641" s="156" t="n"/>
      <c r="F641" s="156" t="n"/>
      <c r="G641" s="156" t="n"/>
      <c r="H641" s="156" t="inlineStr">
        <is>
          <t>REFLO</t>
        </is>
      </c>
      <c r="I641" s="156" t="n"/>
      <c r="J641" s="156" t="n"/>
      <c r="K641" s="156" t="n"/>
      <c r="L641" s="156" t="n"/>
      <c r="M641" s="156" t="n"/>
      <c r="N641" s="156" t="n"/>
      <c r="O641" s="156" t="n"/>
      <c r="P641" s="156" t="n"/>
      <c r="Q641" s="156" t="n"/>
      <c r="R641" s="156" t="n"/>
      <c r="S641" s="156" t="n"/>
      <c r="T641" s="156" t="n"/>
      <c r="U641" s="156" t="n"/>
      <c r="V641" s="156" t="inlineStr">
        <is>
          <t>PZS</t>
        </is>
      </c>
      <c r="W641" s="51" t="inlineStr">
        <is>
          <t>53103000</t>
        </is>
      </c>
      <c r="X641" s="156" t="n"/>
      <c r="Y641" s="54" t="n">
        <v>40</v>
      </c>
      <c r="Z641" s="54" t="n">
        <v>3449</v>
      </c>
      <c r="AA641" s="55">
        <f>IF(AND(A641="", B641="", E641=""), "", IF(AB641="", "Válido", IF((LEN(AB641)-LEN(SUBSTITUTE(AB641,"; ","")))/2+1&gt;(LEN(AB641)-LEN(SUBSTITUTE(AB641,"[Aviso]","")))/7, "Con Incidencias", "Válido")))</f>
        <v/>
      </c>
      <c r="AB641" s="56">
        <f>IF(AND(A641="", B641="", E641=""), "", TEXTJOIN("; ", TRUE, IF(OR(TRIM(A641&amp;"")="", ISNUMBER(SEARCH("FALTA", A641))), "UPC faltante/inválido", ""), IF(AND(A641&lt;&gt;"", IFERROR(_xlfn.XMATCH(A641,$A$2:$A$653,0,1)&lt;&gt;_xlfn.XMATCH(A641,$A$2:$A$653,0,-1),FALSE)), "Código de barras duplicado", ""), IF(AND(E641&lt;&gt;"", COUNTIF($E$2:$E$653, E641)&gt;1), "SKU duplicado", ""), IF(OR(J641="", J641=""), "[Aviso] División no capturada ()", IF(ISNA(MATCH(J641, Criterios!$A$123:$A$126, 0)), "División no válida", "")), IF(OR(K641="", K641=""), "[Aviso] Categoría no capturada ()", IF(ISNA(MATCH(K641, Criterios!$A$81:$A$120, 0)), "Categoría no válida", IF(AND(J641&lt;&gt;"", J641&lt;&gt;"", J641&lt;&gt;VLOOKUP(K641, Criterios!$A$81:$B$120, 2, FALSE)), "División no coincide con Categoría", ""))), IF(OR(L641="", L641=""), "[Aviso] Género no capturado ()", IF(ISNA(MATCH(L641, Criterios!$B$123:$B$127, 0)), "Género no válido", "")), IF(OR(N641="", N641=""), "[Aviso] Temporada no capturada ()", IF(ISNA(MATCH(N641, Criterios!$C$123:$C$128, 0)), "Temporada no válida", "")), IF(OR(O641="", O641=""), "[Aviso] Ciclo de vida no capturado ()", IF(ISNA(MATCH(O641, Criterios!$D$123:$D$124, 0)), "Ciclo de vida no válido", ""))))</f>
        <v/>
      </c>
      <c r="AC641" s="56" t="n"/>
      <c r="AD641" s="51" t="n">
        <v>0</v>
      </c>
      <c r="AE641" s="156" t="n"/>
      <c r="AF641" s="51" t="n">
        <v>0</v>
      </c>
      <c r="AG641" s="156" t="inlineStr">
        <is>
          <t>Nuevo – NetSuite sin existencia</t>
        </is>
      </c>
      <c r="AH64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41" s="156" t="inlineStr">
        <is>
          <t>No</t>
        </is>
      </c>
      <c r="AJ641" s="156" t="n"/>
      <c r="AK641" s="155" t="inlineStr">
        <is>
          <t>G1522_Extraccion_Articulos_NetSuite_2026-09-30.xlsx: fila 52750</t>
        </is>
      </c>
      <c r="AL641" s="58" t="n"/>
      <c r="AM641" s="58" t="n"/>
      <c r="AN641" s="155" t="n"/>
      <c r="AO641" s="59" t="n"/>
      <c r="AP641" s="59" t="n"/>
      <c r="AQ641" s="59" t="n"/>
      <c r="AR641" s="155" t="n"/>
    </row>
    <row r="642">
      <c r="A642" s="50" t="inlineStr">
        <is>
          <t>5056658755040</t>
        </is>
      </c>
      <c r="B642" s="51" t="inlineStr">
        <is>
          <t>104031</t>
        </is>
      </c>
      <c r="C642" s="156" t="inlineStr">
        <is>
          <t>REFLO</t>
        </is>
      </c>
      <c r="D642" s="156" t="n"/>
      <c r="E642" s="156" t="n"/>
      <c r="F642" s="156" t="n"/>
      <c r="G642" s="156" t="n"/>
      <c r="H642" s="156" t="inlineStr">
        <is>
          <t>REFLO</t>
        </is>
      </c>
      <c r="I642" s="156" t="n"/>
      <c r="J642" s="156" t="n"/>
      <c r="K642" s="156" t="n"/>
      <c r="L642" s="156" t="n"/>
      <c r="M642" s="156" t="n"/>
      <c r="N642" s="156" t="n"/>
      <c r="O642" s="156" t="n"/>
      <c r="P642" s="156" t="n"/>
      <c r="Q642" s="156" t="n"/>
      <c r="R642" s="156" t="n"/>
      <c r="S642" s="156" t="n"/>
      <c r="T642" s="156" t="n"/>
      <c r="U642" s="156" t="n"/>
      <c r="V642" s="156" t="inlineStr">
        <is>
          <t>PZS</t>
        </is>
      </c>
      <c r="W642" s="51" t="inlineStr">
        <is>
          <t>53103000</t>
        </is>
      </c>
      <c r="X642" s="156" t="n"/>
      <c r="Y642" s="54" t="n">
        <v>40</v>
      </c>
      <c r="Z642" s="54" t="n">
        <v>3449</v>
      </c>
      <c r="AA642" s="55">
        <f>IF(AND(A642="", B642="", E642=""), "", IF(AB642="", "Válido", IF((LEN(AB642)-LEN(SUBSTITUTE(AB642,"; ","")))/2+1&gt;(LEN(AB642)-LEN(SUBSTITUTE(AB642,"[Aviso]","")))/7, "Con Incidencias", "Válido")))</f>
        <v/>
      </c>
      <c r="AB642" s="56">
        <f>IF(AND(A642="", B642="", E642=""), "", TEXTJOIN("; ", TRUE, IF(OR(TRIM(A642&amp;"")="", ISNUMBER(SEARCH("FALTA", A642))), "UPC faltante/inválido", ""), IF(AND(A642&lt;&gt;"", IFERROR(_xlfn.XMATCH(A642,$A$2:$A$653,0,1)&lt;&gt;_xlfn.XMATCH(A642,$A$2:$A$653,0,-1),FALSE)), "Código de barras duplicado", ""), IF(AND(E642&lt;&gt;"", COUNTIF($E$2:$E$653, E642)&gt;1), "SKU duplicado", ""), IF(OR(J642="", J642=""), "[Aviso] División no capturada ()", IF(ISNA(MATCH(J642, Criterios!$A$123:$A$126, 0)), "División no válida", "")), IF(OR(K642="", K642=""), "[Aviso] Categoría no capturada ()", IF(ISNA(MATCH(K642, Criterios!$A$81:$A$120, 0)), "Categoría no válida", IF(AND(J642&lt;&gt;"", J642&lt;&gt;"", J642&lt;&gt;VLOOKUP(K642, Criterios!$A$81:$B$120, 2, FALSE)), "División no coincide con Categoría", ""))), IF(OR(L642="", L642=""), "[Aviso] Género no capturado ()", IF(ISNA(MATCH(L642, Criterios!$B$123:$B$127, 0)), "Género no válido", "")), IF(OR(N642="", N642=""), "[Aviso] Temporada no capturada ()", IF(ISNA(MATCH(N642, Criterios!$C$123:$C$128, 0)), "Temporada no válida", "")), IF(OR(O642="", O642=""), "[Aviso] Ciclo de vida no capturado ()", IF(ISNA(MATCH(O642, Criterios!$D$123:$D$124, 0)), "Ciclo de vida no válido", ""))))</f>
        <v/>
      </c>
      <c r="AC642" s="56" t="n"/>
      <c r="AD642" s="51" t="n">
        <v>0</v>
      </c>
      <c r="AE642" s="156" t="n"/>
      <c r="AF642" s="51" t="n">
        <v>0</v>
      </c>
      <c r="AG642" s="156" t="inlineStr">
        <is>
          <t>Nuevo – NetSuite sin existencia</t>
        </is>
      </c>
      <c r="AH64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42" s="156" t="inlineStr">
        <is>
          <t>No</t>
        </is>
      </c>
      <c r="AJ642" s="156" t="n"/>
      <c r="AK642" s="155" t="inlineStr">
        <is>
          <t>G1522_Extraccion_Articulos_NetSuite_2026-09-30.xlsx: fila 52751</t>
        </is>
      </c>
      <c r="AL642" s="58" t="n"/>
      <c r="AM642" s="58" t="n"/>
      <c r="AN642" s="155" t="n"/>
      <c r="AO642" s="59" t="n"/>
      <c r="AP642" s="59" t="n"/>
      <c r="AQ642" s="59" t="n"/>
      <c r="AR642" s="155" t="n"/>
    </row>
    <row r="643">
      <c r="A643" s="50" t="inlineStr">
        <is>
          <t>5056658755057</t>
        </is>
      </c>
      <c r="B643" s="51" t="inlineStr">
        <is>
          <t>104032</t>
        </is>
      </c>
      <c r="C643" s="156" t="inlineStr">
        <is>
          <t>REFLO</t>
        </is>
      </c>
      <c r="D643" s="156" t="n"/>
      <c r="E643" s="156" t="n"/>
      <c r="F643" s="156" t="n"/>
      <c r="G643" s="156" t="n"/>
      <c r="H643" s="156" t="inlineStr">
        <is>
          <t>REFLO</t>
        </is>
      </c>
      <c r="I643" s="156" t="n"/>
      <c r="J643" s="156" t="n"/>
      <c r="K643" s="156" t="n"/>
      <c r="L643" s="156" t="n"/>
      <c r="M643" s="156" t="n"/>
      <c r="N643" s="156" t="n"/>
      <c r="O643" s="156" t="n"/>
      <c r="P643" s="156" t="n"/>
      <c r="Q643" s="156" t="n"/>
      <c r="R643" s="156" t="n"/>
      <c r="S643" s="156" t="n"/>
      <c r="T643" s="156" t="n"/>
      <c r="U643" s="156" t="n"/>
      <c r="V643" s="156" t="inlineStr">
        <is>
          <t>PZS</t>
        </is>
      </c>
      <c r="W643" s="51" t="inlineStr">
        <is>
          <t>53103000</t>
        </is>
      </c>
      <c r="X643" s="156" t="n"/>
      <c r="Y643" s="54" t="n">
        <v>40</v>
      </c>
      <c r="Z643" s="54" t="n">
        <v>3449</v>
      </c>
      <c r="AA643" s="55">
        <f>IF(AND(A643="", B643="", E643=""), "", IF(AB643="", "Válido", IF((LEN(AB643)-LEN(SUBSTITUTE(AB643,"; ","")))/2+1&gt;(LEN(AB643)-LEN(SUBSTITUTE(AB643,"[Aviso]","")))/7, "Con Incidencias", "Válido")))</f>
        <v/>
      </c>
      <c r="AB643" s="56">
        <f>IF(AND(A643="", B643="", E643=""), "", TEXTJOIN("; ", TRUE, IF(OR(TRIM(A643&amp;"")="", ISNUMBER(SEARCH("FALTA", A643))), "UPC faltante/inválido", ""), IF(AND(A643&lt;&gt;"", IFERROR(_xlfn.XMATCH(A643,$A$2:$A$653,0,1)&lt;&gt;_xlfn.XMATCH(A643,$A$2:$A$653,0,-1),FALSE)), "Código de barras duplicado", ""), IF(AND(E643&lt;&gt;"", COUNTIF($E$2:$E$653, E643)&gt;1), "SKU duplicado", ""), IF(OR(J643="", J643=""), "[Aviso] División no capturada ()", IF(ISNA(MATCH(J643, Criterios!$A$123:$A$126, 0)), "División no válida", "")), IF(OR(K643="", K643=""), "[Aviso] Categoría no capturada ()", IF(ISNA(MATCH(K643, Criterios!$A$81:$A$120, 0)), "Categoría no válida", IF(AND(J643&lt;&gt;"", J643&lt;&gt;"", J643&lt;&gt;VLOOKUP(K643, Criterios!$A$81:$B$120, 2, FALSE)), "División no coincide con Categoría", ""))), IF(OR(L643="", L643=""), "[Aviso] Género no capturado ()", IF(ISNA(MATCH(L643, Criterios!$B$123:$B$127, 0)), "Género no válido", "")), IF(OR(N643="", N643=""), "[Aviso] Temporada no capturada ()", IF(ISNA(MATCH(N643, Criterios!$C$123:$C$128, 0)), "Temporada no válida", "")), IF(OR(O643="", O643=""), "[Aviso] Ciclo de vida no capturado ()", IF(ISNA(MATCH(O643, Criterios!$D$123:$D$124, 0)), "Ciclo de vida no válido", ""))))</f>
        <v/>
      </c>
      <c r="AC643" s="56" t="n"/>
      <c r="AD643" s="51" t="n">
        <v>0</v>
      </c>
      <c r="AE643" s="156" t="n"/>
      <c r="AF643" s="51" t="n">
        <v>0</v>
      </c>
      <c r="AG643" s="156" t="inlineStr">
        <is>
          <t>Nuevo – NetSuite sin existencia</t>
        </is>
      </c>
      <c r="AH64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43" s="156" t="inlineStr">
        <is>
          <t>No</t>
        </is>
      </c>
      <c r="AJ643" s="156" t="n"/>
      <c r="AK643" s="155" t="inlineStr">
        <is>
          <t>G1522_Extraccion_Articulos_NetSuite_2026-09-30.xlsx: fila 52752</t>
        </is>
      </c>
      <c r="AL643" s="58" t="n"/>
      <c r="AM643" s="58" t="n"/>
      <c r="AN643" s="155" t="n"/>
      <c r="AO643" s="59" t="n"/>
      <c r="AP643" s="59" t="n"/>
      <c r="AQ643" s="59" t="n"/>
      <c r="AR643" s="155" t="n"/>
    </row>
    <row r="644">
      <c r="A644" s="50" t="inlineStr">
        <is>
          <t>5056658755064</t>
        </is>
      </c>
      <c r="B644" s="51" t="inlineStr">
        <is>
          <t>104033</t>
        </is>
      </c>
      <c r="C644" s="156" t="inlineStr">
        <is>
          <t>REFLO</t>
        </is>
      </c>
      <c r="D644" s="156" t="n"/>
      <c r="E644" s="156" t="n"/>
      <c r="F644" s="156" t="n"/>
      <c r="G644" s="156" t="n"/>
      <c r="H644" s="156" t="inlineStr">
        <is>
          <t>REFLO</t>
        </is>
      </c>
      <c r="I644" s="156" t="n"/>
      <c r="J644" s="156" t="n"/>
      <c r="K644" s="156" t="n"/>
      <c r="L644" s="156" t="n"/>
      <c r="M644" s="156" t="n"/>
      <c r="N644" s="156" t="n"/>
      <c r="O644" s="156" t="n"/>
      <c r="P644" s="156" t="n"/>
      <c r="Q644" s="156" t="n"/>
      <c r="R644" s="156" t="n"/>
      <c r="S644" s="156" t="n"/>
      <c r="T644" s="156" t="n"/>
      <c r="U644" s="156" t="n"/>
      <c r="V644" s="156" t="inlineStr">
        <is>
          <t>PZS</t>
        </is>
      </c>
      <c r="W644" s="51" t="inlineStr">
        <is>
          <t>53103000</t>
        </is>
      </c>
      <c r="X644" s="156" t="n"/>
      <c r="Y644" s="54" t="n">
        <v>40</v>
      </c>
      <c r="Z644" s="54" t="n">
        <v>3449</v>
      </c>
      <c r="AA644" s="55">
        <f>IF(AND(A644="", B644="", E644=""), "", IF(AB644="", "Válido", IF((LEN(AB644)-LEN(SUBSTITUTE(AB644,"; ","")))/2+1&gt;(LEN(AB644)-LEN(SUBSTITUTE(AB644,"[Aviso]","")))/7, "Con Incidencias", "Válido")))</f>
        <v/>
      </c>
      <c r="AB644" s="56">
        <f>IF(AND(A644="", B644="", E644=""), "", TEXTJOIN("; ", TRUE, IF(OR(TRIM(A644&amp;"")="", ISNUMBER(SEARCH("FALTA", A644))), "UPC faltante/inválido", ""), IF(AND(A644&lt;&gt;"", IFERROR(_xlfn.XMATCH(A644,$A$2:$A$653,0,1)&lt;&gt;_xlfn.XMATCH(A644,$A$2:$A$653,0,-1),FALSE)), "Código de barras duplicado", ""), IF(AND(E644&lt;&gt;"", COUNTIF($E$2:$E$653, E644)&gt;1), "SKU duplicado", ""), IF(OR(J644="", J644=""), "[Aviso] División no capturada ()", IF(ISNA(MATCH(J644, Criterios!$A$123:$A$126, 0)), "División no válida", "")), IF(OR(K644="", K644=""), "[Aviso] Categoría no capturada ()", IF(ISNA(MATCH(K644, Criterios!$A$81:$A$120, 0)), "Categoría no válida", IF(AND(J644&lt;&gt;"", J644&lt;&gt;"", J644&lt;&gt;VLOOKUP(K644, Criterios!$A$81:$B$120, 2, FALSE)), "División no coincide con Categoría", ""))), IF(OR(L644="", L644=""), "[Aviso] Género no capturado ()", IF(ISNA(MATCH(L644, Criterios!$B$123:$B$127, 0)), "Género no válido", "")), IF(OR(N644="", N644=""), "[Aviso] Temporada no capturada ()", IF(ISNA(MATCH(N644, Criterios!$C$123:$C$128, 0)), "Temporada no válida", "")), IF(OR(O644="", O644=""), "[Aviso] Ciclo de vida no capturado ()", IF(ISNA(MATCH(O644, Criterios!$D$123:$D$124, 0)), "Ciclo de vida no válido", ""))))</f>
        <v/>
      </c>
      <c r="AC644" s="56" t="n"/>
      <c r="AD644" s="51" t="n">
        <v>0</v>
      </c>
      <c r="AE644" s="156" t="n"/>
      <c r="AF644" s="51" t="n">
        <v>0</v>
      </c>
      <c r="AG644" s="156" t="inlineStr">
        <is>
          <t>Nuevo – NetSuite sin existencia</t>
        </is>
      </c>
      <c r="AH64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44" s="156" t="inlineStr">
        <is>
          <t>No</t>
        </is>
      </c>
      <c r="AJ644" s="156" t="n"/>
      <c r="AK644" s="155" t="inlineStr">
        <is>
          <t>G1522_Extraccion_Articulos_NetSuite_2026-09-30.xlsx: fila 52753</t>
        </is>
      </c>
      <c r="AL644" s="58" t="n"/>
      <c r="AM644" s="58" t="n"/>
      <c r="AN644" s="155" t="n"/>
      <c r="AO644" s="59" t="n"/>
      <c r="AP644" s="59" t="n"/>
      <c r="AQ644" s="59" t="n"/>
      <c r="AR644" s="155" t="n"/>
    </row>
    <row r="645">
      <c r="A645" s="50" t="inlineStr">
        <is>
          <t>5056658755071</t>
        </is>
      </c>
      <c r="B645" s="51" t="inlineStr">
        <is>
          <t>104034</t>
        </is>
      </c>
      <c r="C645" s="156" t="inlineStr">
        <is>
          <t>REFLO</t>
        </is>
      </c>
      <c r="D645" s="156" t="n"/>
      <c r="E645" s="156" t="n"/>
      <c r="F645" s="156" t="n"/>
      <c r="G645" s="156" t="n"/>
      <c r="H645" s="156" t="inlineStr">
        <is>
          <t>REFLO</t>
        </is>
      </c>
      <c r="I645" s="156" t="n"/>
      <c r="J645" s="156" t="n"/>
      <c r="K645" s="156" t="n"/>
      <c r="L645" s="156" t="n"/>
      <c r="M645" s="156" t="n"/>
      <c r="N645" s="156" t="n"/>
      <c r="O645" s="156" t="n"/>
      <c r="P645" s="156" t="n"/>
      <c r="Q645" s="156" t="n"/>
      <c r="R645" s="156" t="n"/>
      <c r="S645" s="156" t="n"/>
      <c r="T645" s="156" t="n"/>
      <c r="U645" s="156" t="n"/>
      <c r="V645" s="156" t="inlineStr">
        <is>
          <t>PZS</t>
        </is>
      </c>
      <c r="W645" s="51" t="inlineStr">
        <is>
          <t>53103000</t>
        </is>
      </c>
      <c r="X645" s="156" t="n"/>
      <c r="Y645" s="54" t="n">
        <v>40</v>
      </c>
      <c r="Z645" s="54" t="n">
        <v>3449</v>
      </c>
      <c r="AA645" s="55">
        <f>IF(AND(A645="", B645="", E645=""), "", IF(AB645="", "Válido", IF((LEN(AB645)-LEN(SUBSTITUTE(AB645,"; ","")))/2+1&gt;(LEN(AB645)-LEN(SUBSTITUTE(AB645,"[Aviso]","")))/7, "Con Incidencias", "Válido")))</f>
        <v/>
      </c>
      <c r="AB645" s="56">
        <f>IF(AND(A645="", B645="", E645=""), "", TEXTJOIN("; ", TRUE, IF(OR(TRIM(A645&amp;"")="", ISNUMBER(SEARCH("FALTA", A645))), "UPC faltante/inválido", ""), IF(AND(A645&lt;&gt;"", IFERROR(_xlfn.XMATCH(A645,$A$2:$A$653,0,1)&lt;&gt;_xlfn.XMATCH(A645,$A$2:$A$653,0,-1),FALSE)), "Código de barras duplicado", ""), IF(AND(E645&lt;&gt;"", COUNTIF($E$2:$E$653, E645)&gt;1), "SKU duplicado", ""), IF(OR(J645="", J645=""), "[Aviso] División no capturada ()", IF(ISNA(MATCH(J645, Criterios!$A$123:$A$126, 0)), "División no válida", "")), IF(OR(K645="", K645=""), "[Aviso] Categoría no capturada ()", IF(ISNA(MATCH(K645, Criterios!$A$81:$A$120, 0)), "Categoría no válida", IF(AND(J645&lt;&gt;"", J645&lt;&gt;"", J645&lt;&gt;VLOOKUP(K645, Criterios!$A$81:$B$120, 2, FALSE)), "División no coincide con Categoría", ""))), IF(OR(L645="", L645=""), "[Aviso] Género no capturado ()", IF(ISNA(MATCH(L645, Criterios!$B$123:$B$127, 0)), "Género no válido", "")), IF(OR(N645="", N645=""), "[Aviso] Temporada no capturada ()", IF(ISNA(MATCH(N645, Criterios!$C$123:$C$128, 0)), "Temporada no válida", "")), IF(OR(O645="", O645=""), "[Aviso] Ciclo de vida no capturado ()", IF(ISNA(MATCH(O645, Criterios!$D$123:$D$124, 0)), "Ciclo de vida no válido", ""))))</f>
        <v/>
      </c>
      <c r="AC645" s="56" t="n"/>
      <c r="AD645" s="51" t="n">
        <v>0</v>
      </c>
      <c r="AE645" s="156" t="n"/>
      <c r="AF645" s="51" t="n">
        <v>0</v>
      </c>
      <c r="AG645" s="156" t="inlineStr">
        <is>
          <t>Nuevo – NetSuite sin existencia</t>
        </is>
      </c>
      <c r="AH64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45" s="156" t="inlineStr">
        <is>
          <t>No</t>
        </is>
      </c>
      <c r="AJ645" s="156" t="n"/>
      <c r="AK645" s="155" t="inlineStr">
        <is>
          <t>G1522_Extraccion_Articulos_NetSuite_2026-09-30.xlsx: fila 52754</t>
        </is>
      </c>
      <c r="AL645" s="58" t="n"/>
      <c r="AM645" s="58" t="n"/>
      <c r="AN645" s="155" t="n"/>
      <c r="AO645" s="59" t="n"/>
      <c r="AP645" s="59" t="n"/>
      <c r="AQ645" s="59" t="n"/>
      <c r="AR645" s="155" t="n"/>
    </row>
    <row r="646">
      <c r="A646" s="50" t="inlineStr">
        <is>
          <t>5056658776342</t>
        </is>
      </c>
      <c r="B646" s="51" t="inlineStr">
        <is>
          <t>104035</t>
        </is>
      </c>
      <c r="C646" s="156" t="inlineStr">
        <is>
          <t>REFLO</t>
        </is>
      </c>
      <c r="D646" s="156" t="n"/>
      <c r="E646" s="156" t="n"/>
      <c r="F646" s="156" t="n"/>
      <c r="G646" s="156" t="n"/>
      <c r="H646" s="156" t="inlineStr">
        <is>
          <t>REFLO</t>
        </is>
      </c>
      <c r="I646" s="156" t="inlineStr">
        <is>
          <t>Nissan Formula E Unisex Rain Jacket - Season 12</t>
        </is>
      </c>
      <c r="J646" s="156" t="inlineStr">
        <is>
          <t>Ropa</t>
        </is>
      </c>
      <c r="K646" s="156" t="inlineStr">
        <is>
          <t>Chamarras</t>
        </is>
      </c>
      <c r="L646" s="156" t="inlineStr">
        <is>
          <t>Unisex</t>
        </is>
      </c>
      <c r="M646" s="156" t="n"/>
      <c r="N646" s="156" t="n"/>
      <c r="O646" s="156" t="n"/>
      <c r="P646" s="156" t="inlineStr">
        <is>
          <t>Rojo</t>
        </is>
      </c>
      <c r="Q646" s="156" t="n"/>
      <c r="R646" s="156" t="n"/>
      <c r="S646" s="156" t="n"/>
      <c r="T646" s="156" t="n"/>
      <c r="U646" s="156" t="n"/>
      <c r="V646" s="156" t="inlineStr">
        <is>
          <t>PZS</t>
        </is>
      </c>
      <c r="W646" s="51" t="inlineStr">
        <is>
          <t>53101802</t>
        </is>
      </c>
      <c r="X646" s="156" t="inlineStr">
        <is>
          <t>https://cdn.shopify.com/s/files/1/0589/6500/0397/files/NissanS12-RainJacket-1.jpg?v=1785919741</t>
        </is>
      </c>
      <c r="Y646" s="54" t="n">
        <v>71.93000000000001</v>
      </c>
      <c r="Z646" s="54" t="n">
        <v>6199</v>
      </c>
      <c r="AA646" s="55">
        <f>IF(AND(A646="", B646="", E646=""), "", IF(AB646="", "Válido", IF((LEN(AB646)-LEN(SUBSTITUTE(AB646,"; ","")))/2+1&gt;(LEN(AB646)-LEN(SUBSTITUTE(AB646,"[Aviso]","")))/7, "Con Incidencias", "Válido")))</f>
        <v/>
      </c>
      <c r="AB646" s="56">
        <f>IF(AND(A646="", B646="", E646=""), "", TEXTJOIN("; ", TRUE, IF(OR(TRIM(A646&amp;"")="", ISNUMBER(SEARCH("FALTA", A646))), "UPC faltante/inválido", ""), IF(AND(A646&lt;&gt;"", IFERROR(_xlfn.XMATCH(A646,$A$2:$A$653,0,1)&lt;&gt;_xlfn.XMATCH(A646,$A$2:$A$653,0,-1),FALSE)), "Código de barras duplicado", ""), IF(AND(E646&lt;&gt;"", COUNTIF($E$2:$E$653, E646)&gt;1), "SKU duplicado", ""), IF(OR(J646="", J646=""), "[Aviso] División no capturada ()", IF(ISNA(MATCH(J646, Criterios!$A$123:$A$126, 0)), "División no válida", "")), IF(OR(K646="", K646=""), "[Aviso] Categoría no capturada ()", IF(ISNA(MATCH(K646, Criterios!$A$81:$A$120, 0)), "Categoría no válida", IF(AND(J646&lt;&gt;"", J646&lt;&gt;"", J646&lt;&gt;VLOOKUP(K646, Criterios!$A$81:$B$120, 2, FALSE)), "División no coincide con Categoría", ""))), IF(OR(L646="", L646=""), "[Aviso] Género no capturado ()", IF(ISNA(MATCH(L646, Criterios!$B$123:$B$127, 0)), "Género no válido", "")), IF(OR(N646="", N646=""), "[Aviso] Temporada no capturada ()", IF(ISNA(MATCH(N646, Criterios!$C$123:$C$128, 0)), "Temporada no válida", "")), IF(OR(O646="", O646=""), "[Aviso] Ciclo de vida no capturado ()", IF(ISNA(MATCH(O646, Criterios!$D$123:$D$124, 0)), "Ciclo de vida no válido", ""))))</f>
        <v/>
      </c>
      <c r="AC646" s="56" t="n"/>
      <c r="AD646" s="51" t="n">
        <v>0</v>
      </c>
      <c r="AE646" s="156" t="n"/>
      <c r="AF646" s="51" t="n">
        <v>0</v>
      </c>
      <c r="AG646" s="156" t="inlineStr">
        <is>
          <t>Nuevo – NetSuite sin existencia</t>
        </is>
      </c>
      <c r="AH646" s="156" t="inlineStr">
        <is>
          <t>Alta auditoría 30/09/2026 desde extracción NetSuite; Atributos WB vacíos en NetSuite (sin estilo, talla, descripción ni categoría): completar | Homologación G1522 06/10/2026: WB Categoría: «» → «Chamarras» (Completado por investigación en línea) · WB Género: «» → «Unisex» (Completado por investigación en línea) · Enlace de imagen: «» → «https://cdn.shopify.com/s/files/1/0589/6500/0397/files/NissanS12-RainJacket-1.jpg?v=1785919741» (Completado por investigación en línea) · WB Color: «» → «Rojo» (Completado por investigación en línea) · WB Descripcion: «» → «Nissan Formula E Unisex Rain Jacket - Season 12» (Completado por investigación en línea) · WB División: «» → «Ropa» (Completado por regla) · Validación G1522: WB SKU faltante; Falta estilo · Validador NetSuite / Odoo: V6: falta estilo; N2: talla cero o vacía · Validador Shopify: V6: falta estilo; WB: precio con IVA no termina en 9</t>
        </is>
      </c>
      <c r="AI646" s="156" t="inlineStr">
        <is>
          <t>No</t>
        </is>
      </c>
      <c r="AJ646" s="156" t="n"/>
      <c r="AK646" s="155" t="inlineStr">
        <is>
          <t>G1522_Extraccion_Articulos_NetSuite_2026-09-30.xlsx: fila 52755 | Investigación en línea 06/10/2026: https://reflo.com/products/nissan-formula-e-rain-jacket-red</t>
        </is>
      </c>
      <c r="AL646" s="58" t="n"/>
      <c r="AM646" s="58" t="n"/>
      <c r="AN646" s="155" t="n"/>
      <c r="AO646" s="59" t="n"/>
      <c r="AP646" s="59" t="n"/>
      <c r="AQ646" s="59" t="n"/>
      <c r="AR646" s="155" t="n"/>
    </row>
    <row r="647">
      <c r="A647" s="50" t="inlineStr">
        <is>
          <t>5056658755125</t>
        </is>
      </c>
      <c r="B647" s="51" t="inlineStr">
        <is>
          <t>104036</t>
        </is>
      </c>
      <c r="C647" s="156" t="inlineStr">
        <is>
          <t>REFLO</t>
        </is>
      </c>
      <c r="D647" s="156" t="n"/>
      <c r="E647" s="156" t="n"/>
      <c r="F647" s="156" t="inlineStr">
        <is>
          <t>XS</t>
        </is>
      </c>
      <c r="G647" s="156" t="inlineStr">
        <is>
          <t>XS</t>
        </is>
      </c>
      <c r="H647" s="156" t="inlineStr">
        <is>
          <t>REFLO</t>
        </is>
      </c>
      <c r="I647" s="156" t="inlineStr">
        <is>
          <t>Nissan Formula E Unisex Rain Jacket - Season 12</t>
        </is>
      </c>
      <c r="J647" s="156" t="inlineStr">
        <is>
          <t>Ropa</t>
        </is>
      </c>
      <c r="K647" s="156" t="inlineStr">
        <is>
          <t>Chamarras</t>
        </is>
      </c>
      <c r="L647" s="156" t="inlineStr">
        <is>
          <t>Unisex</t>
        </is>
      </c>
      <c r="M647" s="156" t="n"/>
      <c r="N647" s="156" t="n"/>
      <c r="O647" s="156" t="n"/>
      <c r="P647" s="156" t="inlineStr">
        <is>
          <t>Rojo</t>
        </is>
      </c>
      <c r="Q647" s="156" t="n"/>
      <c r="R647" s="156" t="n"/>
      <c r="S647" s="156" t="n"/>
      <c r="T647" s="156" t="n"/>
      <c r="U647" s="156" t="n"/>
      <c r="V647" s="156" t="inlineStr">
        <is>
          <t>PZS</t>
        </is>
      </c>
      <c r="W647" s="51" t="inlineStr">
        <is>
          <t>53101802</t>
        </is>
      </c>
      <c r="X647" s="156" t="inlineStr">
        <is>
          <t>https://cdn.shopify.com/s/files/1/0589/6500/0397/files/NissanS12-RainJacket-1.jpg?v=1785919741</t>
        </is>
      </c>
      <c r="Y647" s="54" t="n">
        <v>71.93000000000001</v>
      </c>
      <c r="Z647" s="54" t="n">
        <v>6199</v>
      </c>
      <c r="AA647" s="55">
        <f>IF(AND(A647="", B647="", E647=""), "", IF(AB647="", "Válido", IF((LEN(AB647)-LEN(SUBSTITUTE(AB647,"; ","")))/2+1&gt;(LEN(AB647)-LEN(SUBSTITUTE(AB647,"[Aviso]","")))/7, "Con Incidencias", "Válido")))</f>
        <v/>
      </c>
      <c r="AB647" s="56">
        <f>IF(AND(A647="", B647="", E647=""), "", TEXTJOIN("; ", TRUE, IF(OR(TRIM(A647&amp;"")="", ISNUMBER(SEARCH("FALTA", A647))), "UPC faltante/inválido", ""), IF(AND(A647&lt;&gt;"", IFERROR(_xlfn.XMATCH(A647,$A$2:$A$653,0,1)&lt;&gt;_xlfn.XMATCH(A647,$A$2:$A$653,0,-1),FALSE)), "Código de barras duplicado", ""), IF(AND(E647&lt;&gt;"", COUNTIF($E$2:$E$653, E647)&gt;1), "SKU duplicado", ""), IF(OR(J647="", J647=""), "[Aviso] División no capturada ()", IF(ISNA(MATCH(J647, Criterios!$A$123:$A$126, 0)), "División no válida", "")), IF(OR(K647="", K647=""), "[Aviso] Categoría no capturada ()", IF(ISNA(MATCH(K647, Criterios!$A$81:$A$120, 0)), "Categoría no válida", IF(AND(J647&lt;&gt;"", J647&lt;&gt;"", J647&lt;&gt;VLOOKUP(K647, Criterios!$A$81:$B$120, 2, FALSE)), "División no coincide con Categoría", ""))), IF(OR(L647="", L647=""), "[Aviso] Género no capturado ()", IF(ISNA(MATCH(L647, Criterios!$B$123:$B$127, 0)), "Género no válido", "")), IF(OR(N647="", N647=""), "[Aviso] Temporada no capturada ()", IF(ISNA(MATCH(N647, Criterios!$C$123:$C$128, 0)), "Temporada no válida", "")), IF(OR(O647="", O647=""), "[Aviso] Ciclo de vida no capturado ()", IF(ISNA(MATCH(O647, Criterios!$D$123:$D$124, 0)), "Ciclo de vida no válido", ""))))</f>
        <v/>
      </c>
      <c r="AC647" s="56" t="n"/>
      <c r="AD647" s="51" t="n">
        <v>0</v>
      </c>
      <c r="AE647" s="156" t="n"/>
      <c r="AF647" s="51" t="n">
        <v>0</v>
      </c>
      <c r="AG647" s="156" t="inlineStr">
        <is>
          <t>Nuevo – NetSuite sin existencia</t>
        </is>
      </c>
      <c r="AH647" s="156" t="inlineStr">
        <is>
          <t>Alta auditoría 30/09/2026 desde extracción NetSuite; Atributos WB vacíos en NetSuite (sin estilo, talla, descripción ni categoría): completar | Homologación G1522 06/10/2026: WB Categoría: «» → «Chamarras» (Completado por investigación en línea) · WB Género: «» → «Unisex» (Completado por investigación en línea) · Enlace de imagen: «» → «https://cdn.shopify.com/s/files/1/0589/6500/0397/files/NissanS12-RainJacket-1.jpg?v=1785919741» (Completado por investigación en línea) · WB Color: «» → «Rojo» (Completado por investigación en línea) · WB Talla: «» → «XS» (Completado por investigación en línea) · WB Talla de EE. UU.: «» → «XS» (Completado por investigación en línea) · WB Descripcion: «» → «Nissan Formula E Unisex Rain Jacket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47" s="156" t="inlineStr">
        <is>
          <t>No</t>
        </is>
      </c>
      <c r="AJ647" s="156" t="n"/>
      <c r="AK647" s="155" t="inlineStr">
        <is>
          <t>G1522_Extraccion_Articulos_NetSuite_2026-09-30.xlsx: fila 52756 | Investigación en línea 06/10/2026: https://reflo.com/products/nissan-formula-e-rain-jacket-red</t>
        </is>
      </c>
      <c r="AL647" s="58" t="n"/>
      <c r="AM647" s="58" t="n"/>
      <c r="AN647" s="155" t="n"/>
      <c r="AO647" s="59" t="n"/>
      <c r="AP647" s="59" t="n"/>
      <c r="AQ647" s="59" t="n"/>
      <c r="AR647" s="155" t="n"/>
    </row>
    <row r="648">
      <c r="A648" s="50" t="inlineStr">
        <is>
          <t>5056658755132</t>
        </is>
      </c>
      <c r="B648" s="51" t="inlineStr">
        <is>
          <t>104037</t>
        </is>
      </c>
      <c r="C648" s="156" t="inlineStr">
        <is>
          <t>REFLO</t>
        </is>
      </c>
      <c r="D648" s="156" t="n"/>
      <c r="E648" s="156" t="n"/>
      <c r="F648" s="156" t="inlineStr">
        <is>
          <t>S</t>
        </is>
      </c>
      <c r="G648" s="156" t="inlineStr">
        <is>
          <t>S</t>
        </is>
      </c>
      <c r="H648" s="156" t="inlineStr">
        <is>
          <t>REFLO</t>
        </is>
      </c>
      <c r="I648" s="156" t="inlineStr">
        <is>
          <t>Nissan Formula E Unisex Rain Jacket - Season 12</t>
        </is>
      </c>
      <c r="J648" s="156" t="inlineStr">
        <is>
          <t>Ropa</t>
        </is>
      </c>
      <c r="K648" s="156" t="inlineStr">
        <is>
          <t>Chamarras</t>
        </is>
      </c>
      <c r="L648" s="156" t="inlineStr">
        <is>
          <t>Unisex</t>
        </is>
      </c>
      <c r="M648" s="156" t="n"/>
      <c r="N648" s="156" t="n"/>
      <c r="O648" s="156" t="n"/>
      <c r="P648" s="156" t="inlineStr">
        <is>
          <t>Rojo</t>
        </is>
      </c>
      <c r="Q648" s="156" t="n"/>
      <c r="R648" s="156" t="n"/>
      <c r="S648" s="156" t="n"/>
      <c r="T648" s="156" t="n"/>
      <c r="U648" s="156" t="n"/>
      <c r="V648" s="156" t="inlineStr">
        <is>
          <t>PZS</t>
        </is>
      </c>
      <c r="W648" s="51" t="inlineStr">
        <is>
          <t>53101802</t>
        </is>
      </c>
      <c r="X648" s="156" t="inlineStr">
        <is>
          <t>https://cdn.shopify.com/s/files/1/0589/6500/0397/files/NissanS12-RainJacket-1.jpg?v=1785919741</t>
        </is>
      </c>
      <c r="Y648" s="54" t="n">
        <v>71.93000000000001</v>
      </c>
      <c r="Z648" s="54" t="n">
        <v>6199</v>
      </c>
      <c r="AA648" s="55">
        <f>IF(AND(A648="", B648="", E648=""), "", IF(AB648="", "Válido", IF((LEN(AB648)-LEN(SUBSTITUTE(AB648,"; ","")))/2+1&gt;(LEN(AB648)-LEN(SUBSTITUTE(AB648,"[Aviso]","")))/7, "Con Incidencias", "Válido")))</f>
        <v/>
      </c>
      <c r="AB648" s="56">
        <f>IF(AND(A648="", B648="", E648=""), "", TEXTJOIN("; ", TRUE, IF(OR(TRIM(A648&amp;"")="", ISNUMBER(SEARCH("FALTA", A648))), "UPC faltante/inválido", ""), IF(AND(A648&lt;&gt;"", IFERROR(_xlfn.XMATCH(A648,$A$2:$A$653,0,1)&lt;&gt;_xlfn.XMATCH(A648,$A$2:$A$653,0,-1),FALSE)), "Código de barras duplicado", ""), IF(AND(E648&lt;&gt;"", COUNTIF($E$2:$E$653, E648)&gt;1), "SKU duplicado", ""), IF(OR(J648="", J648=""), "[Aviso] División no capturada ()", IF(ISNA(MATCH(J648, Criterios!$A$123:$A$126, 0)), "División no válida", "")), IF(OR(K648="", K648=""), "[Aviso] Categoría no capturada ()", IF(ISNA(MATCH(K648, Criterios!$A$81:$A$120, 0)), "Categoría no válida", IF(AND(J648&lt;&gt;"", J648&lt;&gt;"", J648&lt;&gt;VLOOKUP(K648, Criterios!$A$81:$B$120, 2, FALSE)), "División no coincide con Categoría", ""))), IF(OR(L648="", L648=""), "[Aviso] Género no capturado ()", IF(ISNA(MATCH(L648, Criterios!$B$123:$B$127, 0)), "Género no válido", "")), IF(OR(N648="", N648=""), "[Aviso] Temporada no capturada ()", IF(ISNA(MATCH(N648, Criterios!$C$123:$C$128, 0)), "Temporada no válida", "")), IF(OR(O648="", O648=""), "[Aviso] Ciclo de vida no capturado ()", IF(ISNA(MATCH(O648, Criterios!$D$123:$D$124, 0)), "Ciclo de vida no válido", ""))))</f>
        <v/>
      </c>
      <c r="AC648" s="56" t="n"/>
      <c r="AD648" s="51" t="n">
        <v>0</v>
      </c>
      <c r="AE648" s="156" t="n"/>
      <c r="AF648" s="51" t="n">
        <v>0</v>
      </c>
      <c r="AG648" s="156" t="inlineStr">
        <is>
          <t>Nuevo – NetSuite sin existencia</t>
        </is>
      </c>
      <c r="AH648" s="156" t="inlineStr">
        <is>
          <t>Alta auditoría 30/09/2026 desde extracción NetSuite; Atributos WB vacíos en NetSuite (sin estilo, talla, descripción ni categoría): completar | Homologación G1522 06/10/2026: WB Categoría: «» → «Chamarras» (Completado por investigación en línea) · WB Género: «» → «Unisex» (Completado por investigación en línea) · Enlace de imagen: «» → «https://cdn.shopify.com/s/files/1/0589/6500/0397/files/NissanS12-RainJacket-1.jpg?v=1785919741» (Completado por investigación en línea) · WB Color: «» → «Rojo» (Completado por investigación en línea) · WB Talla: «» → «S» (Completado por investigación en línea) · WB Talla de EE. UU.: «» → «S» (Completado por investigación en línea) · WB Descripcion: «» → «Nissan Formula E Unisex Rain Jacket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48" s="156" t="inlineStr">
        <is>
          <t>No</t>
        </is>
      </c>
      <c r="AJ648" s="156" t="n"/>
      <c r="AK648" s="155" t="inlineStr">
        <is>
          <t>G1522_Extraccion_Articulos_NetSuite_2026-09-30.xlsx: fila 52757 | Investigación en línea 06/10/2026: https://reflo.com/products/nissan-formula-e-rain-jacket-red</t>
        </is>
      </c>
      <c r="AL648" s="58" t="n"/>
      <c r="AM648" s="58" t="n"/>
      <c r="AN648" s="155" t="n"/>
      <c r="AO648" s="59" t="n"/>
      <c r="AP648" s="59" t="n"/>
      <c r="AQ648" s="59" t="n"/>
      <c r="AR648" s="155" t="n"/>
    </row>
    <row r="649">
      <c r="A649" s="50" t="inlineStr">
        <is>
          <t>5056658755149</t>
        </is>
      </c>
      <c r="B649" s="51" t="inlineStr">
        <is>
          <t>104038</t>
        </is>
      </c>
      <c r="C649" s="156" t="inlineStr">
        <is>
          <t>REFLO</t>
        </is>
      </c>
      <c r="D649" s="156" t="n"/>
      <c r="E649" s="156" t="n"/>
      <c r="F649" s="156" t="inlineStr">
        <is>
          <t>M</t>
        </is>
      </c>
      <c r="G649" s="156" t="inlineStr">
        <is>
          <t>M</t>
        </is>
      </c>
      <c r="H649" s="156" t="inlineStr">
        <is>
          <t>REFLO</t>
        </is>
      </c>
      <c r="I649" s="156" t="inlineStr">
        <is>
          <t>Nissan Formula E Unisex Rain Jacket - Season 12</t>
        </is>
      </c>
      <c r="J649" s="156" t="inlineStr">
        <is>
          <t>Ropa</t>
        </is>
      </c>
      <c r="K649" s="156" t="inlineStr">
        <is>
          <t>Chamarras</t>
        </is>
      </c>
      <c r="L649" s="156" t="inlineStr">
        <is>
          <t>Unisex</t>
        </is>
      </c>
      <c r="M649" s="156" t="n"/>
      <c r="N649" s="156" t="n"/>
      <c r="O649" s="156" t="n"/>
      <c r="P649" s="156" t="inlineStr">
        <is>
          <t>Rojo</t>
        </is>
      </c>
      <c r="Q649" s="156" t="n"/>
      <c r="R649" s="156" t="n"/>
      <c r="S649" s="156" t="n"/>
      <c r="T649" s="156" t="n"/>
      <c r="U649" s="156" t="n"/>
      <c r="V649" s="156" t="inlineStr">
        <is>
          <t>PZS</t>
        </is>
      </c>
      <c r="W649" s="51" t="inlineStr">
        <is>
          <t>53101802</t>
        </is>
      </c>
      <c r="X649" s="156" t="inlineStr">
        <is>
          <t>https://cdn.shopify.com/s/files/1/0589/6500/0397/files/NissanS12-RainJacket-1.jpg?v=1785919741</t>
        </is>
      </c>
      <c r="Y649" s="54" t="n">
        <v>71.93000000000001</v>
      </c>
      <c r="Z649" s="54" t="n">
        <v>6199</v>
      </c>
      <c r="AA649" s="55">
        <f>IF(AND(A649="", B649="", E649=""), "", IF(AB649="", "Válido", IF((LEN(AB649)-LEN(SUBSTITUTE(AB649,"; ","")))/2+1&gt;(LEN(AB649)-LEN(SUBSTITUTE(AB649,"[Aviso]","")))/7, "Con Incidencias", "Válido")))</f>
        <v/>
      </c>
      <c r="AB649" s="56">
        <f>IF(AND(A649="", B649="", E649=""), "", TEXTJOIN("; ", TRUE, IF(OR(TRIM(A649&amp;"")="", ISNUMBER(SEARCH("FALTA", A649))), "UPC faltante/inválido", ""), IF(AND(A649&lt;&gt;"", IFERROR(_xlfn.XMATCH(A649,$A$2:$A$653,0,1)&lt;&gt;_xlfn.XMATCH(A649,$A$2:$A$653,0,-1),FALSE)), "Código de barras duplicado", ""), IF(AND(E649&lt;&gt;"", COUNTIF($E$2:$E$653, E649)&gt;1), "SKU duplicado", ""), IF(OR(J649="", J649=""), "[Aviso] División no capturada ()", IF(ISNA(MATCH(J649, Criterios!$A$123:$A$126, 0)), "División no válida", "")), IF(OR(K649="", K649=""), "[Aviso] Categoría no capturada ()", IF(ISNA(MATCH(K649, Criterios!$A$81:$A$120, 0)), "Categoría no válida", IF(AND(J649&lt;&gt;"", J649&lt;&gt;"", J649&lt;&gt;VLOOKUP(K649, Criterios!$A$81:$B$120, 2, FALSE)), "División no coincide con Categoría", ""))), IF(OR(L649="", L649=""), "[Aviso] Género no capturado ()", IF(ISNA(MATCH(L649, Criterios!$B$123:$B$127, 0)), "Género no válido", "")), IF(OR(N649="", N649=""), "[Aviso] Temporada no capturada ()", IF(ISNA(MATCH(N649, Criterios!$C$123:$C$128, 0)), "Temporada no válida", "")), IF(OR(O649="", O649=""), "[Aviso] Ciclo de vida no capturado ()", IF(ISNA(MATCH(O649, Criterios!$D$123:$D$124, 0)), "Ciclo de vida no válido", ""))))</f>
        <v/>
      </c>
      <c r="AC649" s="56" t="n"/>
      <c r="AD649" s="51" t="n">
        <v>0</v>
      </c>
      <c r="AE649" s="156" t="n"/>
      <c r="AF649" s="51" t="n">
        <v>0</v>
      </c>
      <c r="AG649" s="156" t="inlineStr">
        <is>
          <t>Nuevo – NetSuite sin existencia</t>
        </is>
      </c>
      <c r="AH649" s="156" t="inlineStr">
        <is>
          <t>Alta auditoría 30/09/2026 desde extracción NetSuite; Atributos WB vacíos en NetSuite (sin estilo, talla, descripción ni categoría): completar | Homologación G1522 06/10/2026: WB Categoría: «» → «Chamarras» (Completado por investigación en línea) · WB Género: «» → «Unisex» (Completado por investigación en línea) · Enlace de imagen: «» → «https://cdn.shopify.com/s/files/1/0589/6500/0397/files/NissanS12-RainJacket-1.jpg?v=1785919741» (Completado por investigación en línea) · WB Color: «» → «Rojo» (Completado por investigación en línea) · WB Talla: «» → «M» (Completado por investigación en línea) · WB Talla de EE. UU.: «» → «M» (Completado por investigación en línea) · WB Descripcion: «» → «Nissan Formula E Unisex Rain Jacket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49" s="156" t="inlineStr">
        <is>
          <t>No</t>
        </is>
      </c>
      <c r="AJ649" s="156" t="n"/>
      <c r="AK649" s="155" t="inlineStr">
        <is>
          <t>G1522_Extraccion_Articulos_NetSuite_2026-09-30.xlsx: fila 52758 | Investigación en línea 06/10/2026: https://reflo.com/products/nissan-formula-e-rain-jacket-red</t>
        </is>
      </c>
      <c r="AL649" s="58" t="n"/>
      <c r="AM649" s="58" t="n"/>
      <c r="AN649" s="155" t="n"/>
      <c r="AO649" s="59" t="n"/>
      <c r="AP649" s="59" t="n"/>
      <c r="AQ649" s="59" t="n"/>
      <c r="AR649" s="155" t="n"/>
    </row>
    <row r="650">
      <c r="A650" s="50" t="inlineStr">
        <is>
          <t>5056658755156</t>
        </is>
      </c>
      <c r="B650" s="51" t="inlineStr">
        <is>
          <t>104039</t>
        </is>
      </c>
      <c r="C650" s="156" t="inlineStr">
        <is>
          <t>REFLO</t>
        </is>
      </c>
      <c r="D650" s="156" t="n"/>
      <c r="E650" s="156" t="n"/>
      <c r="F650" s="156" t="inlineStr">
        <is>
          <t>L</t>
        </is>
      </c>
      <c r="G650" s="156" t="inlineStr">
        <is>
          <t>L</t>
        </is>
      </c>
      <c r="H650" s="156" t="inlineStr">
        <is>
          <t>REFLO</t>
        </is>
      </c>
      <c r="I650" s="156" t="inlineStr">
        <is>
          <t>Nissan Formula E Unisex Rain Jacket - Season 12</t>
        </is>
      </c>
      <c r="J650" s="156" t="inlineStr">
        <is>
          <t>Ropa</t>
        </is>
      </c>
      <c r="K650" s="156" t="inlineStr">
        <is>
          <t>Chamarras</t>
        </is>
      </c>
      <c r="L650" s="156" t="inlineStr">
        <is>
          <t>Unisex</t>
        </is>
      </c>
      <c r="M650" s="156" t="n"/>
      <c r="N650" s="156" t="n"/>
      <c r="O650" s="156" t="n"/>
      <c r="P650" s="156" t="inlineStr">
        <is>
          <t>Rojo</t>
        </is>
      </c>
      <c r="Q650" s="156" t="n"/>
      <c r="R650" s="156" t="n"/>
      <c r="S650" s="156" t="n"/>
      <c r="T650" s="156" t="n"/>
      <c r="U650" s="156" t="n"/>
      <c r="V650" s="156" t="inlineStr">
        <is>
          <t>PZS</t>
        </is>
      </c>
      <c r="W650" s="51" t="inlineStr">
        <is>
          <t>53101802</t>
        </is>
      </c>
      <c r="X650" s="156" t="inlineStr">
        <is>
          <t>https://cdn.shopify.com/s/files/1/0589/6500/0397/files/NissanS12-RainJacket-1.jpg?v=1785919741</t>
        </is>
      </c>
      <c r="Y650" s="54" t="n">
        <v>71.93000000000001</v>
      </c>
      <c r="Z650" s="54" t="n">
        <v>6199</v>
      </c>
      <c r="AA650" s="55">
        <f>IF(AND(A650="", B650="", E650=""), "", IF(AB650="", "Válido", IF((LEN(AB650)-LEN(SUBSTITUTE(AB650,"; ","")))/2+1&gt;(LEN(AB650)-LEN(SUBSTITUTE(AB650,"[Aviso]","")))/7, "Con Incidencias", "Válido")))</f>
        <v/>
      </c>
      <c r="AB650" s="56">
        <f>IF(AND(A650="", B650="", E650=""), "", TEXTJOIN("; ", TRUE, IF(OR(TRIM(A650&amp;"")="", ISNUMBER(SEARCH("FALTA", A650))), "UPC faltante/inválido", ""), IF(AND(A650&lt;&gt;"", IFERROR(_xlfn.XMATCH(A650,$A$2:$A$653,0,1)&lt;&gt;_xlfn.XMATCH(A650,$A$2:$A$653,0,-1),FALSE)), "Código de barras duplicado", ""), IF(AND(E650&lt;&gt;"", COUNTIF($E$2:$E$653, E650)&gt;1), "SKU duplicado", ""), IF(OR(J650="", J650=""), "[Aviso] División no capturada ()", IF(ISNA(MATCH(J650, Criterios!$A$123:$A$126, 0)), "División no válida", "")), IF(OR(K650="", K650=""), "[Aviso] Categoría no capturada ()", IF(ISNA(MATCH(K650, Criterios!$A$81:$A$120, 0)), "Categoría no válida", IF(AND(J650&lt;&gt;"", J650&lt;&gt;"", J650&lt;&gt;VLOOKUP(K650, Criterios!$A$81:$B$120, 2, FALSE)), "División no coincide con Categoría", ""))), IF(OR(L650="", L650=""), "[Aviso] Género no capturado ()", IF(ISNA(MATCH(L650, Criterios!$B$123:$B$127, 0)), "Género no válido", "")), IF(OR(N650="", N650=""), "[Aviso] Temporada no capturada ()", IF(ISNA(MATCH(N650, Criterios!$C$123:$C$128, 0)), "Temporada no válida", "")), IF(OR(O650="", O650=""), "[Aviso] Ciclo de vida no capturado ()", IF(ISNA(MATCH(O650, Criterios!$D$123:$D$124, 0)), "Ciclo de vida no válido", ""))))</f>
        <v/>
      </c>
      <c r="AC650" s="56" t="n"/>
      <c r="AD650" s="51" t="n">
        <v>0</v>
      </c>
      <c r="AE650" s="156" t="n"/>
      <c r="AF650" s="51" t="n">
        <v>0</v>
      </c>
      <c r="AG650" s="156" t="inlineStr">
        <is>
          <t>Nuevo – NetSuite sin existencia</t>
        </is>
      </c>
      <c r="AH650" s="156" t="inlineStr">
        <is>
          <t>Alta auditoría 30/09/2026 desde extracción NetSuite; Atributos WB vacíos en NetSuite (sin estilo, talla, descripción ni categoría): completar | Homologación G1522 06/10/2026: WB Categoría: «» → «Chamarras» (Completado por investigación en línea) · WB Género: «» → «Unisex» (Completado por investigación en línea) · Enlace de imagen: «» → «https://cdn.shopify.com/s/files/1/0589/6500/0397/files/NissanS12-RainJacket-1.jpg?v=1785919741» (Completado por investigación en línea) · WB Color: «» → «Rojo» (Completado por investigación en línea) · WB Talla: «» → «L» (Completado por investigación en línea) · WB Talla de EE. UU.: «» → «L» (Completado por investigación en línea) · WB Descripcion: «» → «Nissan Formula E Unisex Rain Jacket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50" s="156" t="inlineStr">
        <is>
          <t>No</t>
        </is>
      </c>
      <c r="AJ650" s="156" t="n"/>
      <c r="AK650" s="155" t="inlineStr">
        <is>
          <t>G1522_Extraccion_Articulos_NetSuite_2026-09-30.xlsx: fila 52759 | Investigación en línea 06/10/2026: https://reflo.com/products/nissan-formula-e-rain-jacket-red</t>
        </is>
      </c>
      <c r="AL650" s="58" t="n"/>
      <c r="AM650" s="58" t="n"/>
      <c r="AN650" s="155" t="n"/>
      <c r="AO650" s="59" t="n"/>
      <c r="AP650" s="59" t="n"/>
      <c r="AQ650" s="59" t="n"/>
      <c r="AR650" s="155" t="n"/>
    </row>
    <row r="651">
      <c r="A651" s="50" t="inlineStr">
        <is>
          <t>5056658755163</t>
        </is>
      </c>
      <c r="B651" s="51" t="inlineStr">
        <is>
          <t>104040</t>
        </is>
      </c>
      <c r="C651" s="156" t="inlineStr">
        <is>
          <t>REFLO</t>
        </is>
      </c>
      <c r="D651" s="156" t="n"/>
      <c r="E651" s="156" t="n"/>
      <c r="F651" s="156" t="inlineStr">
        <is>
          <t>XL</t>
        </is>
      </c>
      <c r="G651" s="156" t="inlineStr">
        <is>
          <t>XL</t>
        </is>
      </c>
      <c r="H651" s="156" t="inlineStr">
        <is>
          <t>REFLO</t>
        </is>
      </c>
      <c r="I651" s="156" t="inlineStr">
        <is>
          <t>Nissan Formula E Unisex Rain Jacket - Season 12</t>
        </is>
      </c>
      <c r="J651" s="156" t="inlineStr">
        <is>
          <t>Ropa</t>
        </is>
      </c>
      <c r="K651" s="156" t="inlineStr">
        <is>
          <t>Chamarras</t>
        </is>
      </c>
      <c r="L651" s="156" t="inlineStr">
        <is>
          <t>Unisex</t>
        </is>
      </c>
      <c r="M651" s="156" t="n"/>
      <c r="N651" s="156" t="n"/>
      <c r="O651" s="156" t="n"/>
      <c r="P651" s="156" t="inlineStr">
        <is>
          <t>Rojo</t>
        </is>
      </c>
      <c r="Q651" s="156" t="n"/>
      <c r="R651" s="156" t="n"/>
      <c r="S651" s="156" t="n"/>
      <c r="T651" s="156" t="n"/>
      <c r="U651" s="156" t="n"/>
      <c r="V651" s="156" t="inlineStr">
        <is>
          <t>PZS</t>
        </is>
      </c>
      <c r="W651" s="51" t="inlineStr">
        <is>
          <t>53101802</t>
        </is>
      </c>
      <c r="X651" s="156" t="inlineStr">
        <is>
          <t>https://cdn.shopify.com/s/files/1/0589/6500/0397/files/NissanS12-RainJacket-1.jpg?v=1785919741</t>
        </is>
      </c>
      <c r="Y651" s="54" t="n">
        <v>71.93000000000001</v>
      </c>
      <c r="Z651" s="54" t="n">
        <v>6199</v>
      </c>
      <c r="AA651" s="55">
        <f>IF(AND(A651="", B651="", E651=""), "", IF(AB651="", "Válido", IF((LEN(AB651)-LEN(SUBSTITUTE(AB651,"; ","")))/2+1&gt;(LEN(AB651)-LEN(SUBSTITUTE(AB651,"[Aviso]","")))/7, "Con Incidencias", "Válido")))</f>
        <v/>
      </c>
      <c r="AB651" s="56">
        <f>IF(AND(A651="", B651="", E651=""), "", TEXTJOIN("; ", TRUE, IF(OR(TRIM(A651&amp;"")="", ISNUMBER(SEARCH("FALTA", A651))), "UPC faltante/inválido", ""), IF(AND(A651&lt;&gt;"", IFERROR(_xlfn.XMATCH(A651,$A$2:$A$653,0,1)&lt;&gt;_xlfn.XMATCH(A651,$A$2:$A$653,0,-1),FALSE)), "Código de barras duplicado", ""), IF(AND(E651&lt;&gt;"", COUNTIF($E$2:$E$653, E651)&gt;1), "SKU duplicado", ""), IF(OR(J651="", J651=""), "[Aviso] División no capturada ()", IF(ISNA(MATCH(J651, Criterios!$A$123:$A$126, 0)), "División no válida", "")), IF(OR(K651="", K651=""), "[Aviso] Categoría no capturada ()", IF(ISNA(MATCH(K651, Criterios!$A$81:$A$120, 0)), "Categoría no válida", IF(AND(J651&lt;&gt;"", J651&lt;&gt;"", J651&lt;&gt;VLOOKUP(K651, Criterios!$A$81:$B$120, 2, FALSE)), "División no coincide con Categoría", ""))), IF(OR(L651="", L651=""), "[Aviso] Género no capturado ()", IF(ISNA(MATCH(L651, Criterios!$B$123:$B$127, 0)), "Género no válido", "")), IF(OR(N651="", N651=""), "[Aviso] Temporada no capturada ()", IF(ISNA(MATCH(N651, Criterios!$C$123:$C$128, 0)), "Temporada no válida", "")), IF(OR(O651="", O651=""), "[Aviso] Ciclo de vida no capturado ()", IF(ISNA(MATCH(O651, Criterios!$D$123:$D$124, 0)), "Ciclo de vida no válido", ""))))</f>
        <v/>
      </c>
      <c r="AC651" s="56" t="n"/>
      <c r="AD651" s="51" t="n">
        <v>0</v>
      </c>
      <c r="AE651" s="156" t="n"/>
      <c r="AF651" s="51" t="n">
        <v>0</v>
      </c>
      <c r="AG651" s="156" t="inlineStr">
        <is>
          <t>Nuevo – NetSuite sin existencia</t>
        </is>
      </c>
      <c r="AH651" s="156" t="inlineStr">
        <is>
          <t>Alta auditoría 30/09/2026 desde extracción NetSuite; Atributos WB vacíos en NetSuite (sin estilo, talla, descripción ni categoría): completar | Homologación G1522 06/10/2026: WB Categoría: «» → «Chamarras» (Completado por investigación en línea) · WB Género: «» → «Unisex» (Completado por investigación en línea) · Enlace de imagen: «» → «https://cdn.shopify.com/s/files/1/0589/6500/0397/files/NissanS12-RainJacket-1.jpg?v=1785919741» (Completado por investigación en línea) · WB Color: «» → «Rojo» (Completado por investigación en línea) · WB Talla: «» → «XL» (Completado por investigación en línea) · WB Talla de EE. UU.: «» → «XL» (Completado por investigación en línea) · WB Descripcion: «» → «Nissan Formula E Unisex Rain Jacket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51" s="156" t="inlineStr">
        <is>
          <t>No</t>
        </is>
      </c>
      <c r="AJ651" s="156" t="n"/>
      <c r="AK651" s="155" t="inlineStr">
        <is>
          <t>G1522_Extraccion_Articulos_NetSuite_2026-09-30.xlsx: fila 52760 | Investigación en línea 06/10/2026: https://reflo.com/products/nissan-formula-e-rain-jacket-red</t>
        </is>
      </c>
      <c r="AL651" s="58" t="n"/>
      <c r="AM651" s="58" t="n"/>
      <c r="AN651" s="155" t="n"/>
      <c r="AO651" s="59" t="n"/>
      <c r="AP651" s="59" t="n"/>
      <c r="AQ651" s="59" t="n"/>
      <c r="AR651" s="155" t="n"/>
    </row>
    <row r="652">
      <c r="A652" s="50" t="inlineStr">
        <is>
          <t>5056658755170</t>
        </is>
      </c>
      <c r="B652" s="51" t="inlineStr">
        <is>
          <t>104041</t>
        </is>
      </c>
      <c r="C652" s="156" t="inlineStr">
        <is>
          <t>REFLO</t>
        </is>
      </c>
      <c r="D652" s="156" t="n"/>
      <c r="E652" s="156" t="n"/>
      <c r="F652" s="156" t="inlineStr">
        <is>
          <t>XXL</t>
        </is>
      </c>
      <c r="G652" s="156" t="inlineStr">
        <is>
          <t>XXL</t>
        </is>
      </c>
      <c r="H652" s="156" t="inlineStr">
        <is>
          <t>REFLO</t>
        </is>
      </c>
      <c r="I652" s="156" t="inlineStr">
        <is>
          <t>Nissan Formula E Unisex Rain Jacket - Season 12</t>
        </is>
      </c>
      <c r="J652" s="156" t="inlineStr">
        <is>
          <t>Ropa</t>
        </is>
      </c>
      <c r="K652" s="156" t="inlineStr">
        <is>
          <t>Chamarras</t>
        </is>
      </c>
      <c r="L652" s="156" t="inlineStr">
        <is>
          <t>Unisex</t>
        </is>
      </c>
      <c r="M652" s="156" t="n"/>
      <c r="N652" s="156" t="n"/>
      <c r="O652" s="156" t="n"/>
      <c r="P652" s="156" t="inlineStr">
        <is>
          <t>Rojo</t>
        </is>
      </c>
      <c r="Q652" s="156" t="n"/>
      <c r="R652" s="156" t="n"/>
      <c r="S652" s="156" t="n"/>
      <c r="T652" s="156" t="n"/>
      <c r="U652" s="156" t="n"/>
      <c r="V652" s="156" t="inlineStr">
        <is>
          <t>PZS</t>
        </is>
      </c>
      <c r="W652" s="51" t="inlineStr">
        <is>
          <t>53101802</t>
        </is>
      </c>
      <c r="X652" s="156" t="inlineStr">
        <is>
          <t>https://cdn.shopify.com/s/files/1/0589/6500/0397/files/NissanS12-RainJacket-1.jpg?v=1785919741</t>
        </is>
      </c>
      <c r="Y652" s="54" t="n">
        <v>71.93000000000001</v>
      </c>
      <c r="Z652" s="54" t="n">
        <v>6199</v>
      </c>
      <c r="AA652" s="55">
        <f>IF(AND(A652="", B652="", E652=""), "", IF(AB652="", "Válido", IF((LEN(AB652)-LEN(SUBSTITUTE(AB652,"; ","")))/2+1&gt;(LEN(AB652)-LEN(SUBSTITUTE(AB652,"[Aviso]","")))/7, "Con Incidencias", "Válido")))</f>
        <v/>
      </c>
      <c r="AB652" s="56">
        <f>IF(AND(A652="", B652="", E652=""), "", TEXTJOIN("; ", TRUE, IF(OR(TRIM(A652&amp;"")="", ISNUMBER(SEARCH("FALTA", A652))), "UPC faltante/inválido", ""), IF(AND(A652&lt;&gt;"", IFERROR(_xlfn.XMATCH(A652,$A$2:$A$653,0,1)&lt;&gt;_xlfn.XMATCH(A652,$A$2:$A$653,0,-1),FALSE)), "Código de barras duplicado", ""), IF(AND(E652&lt;&gt;"", COUNTIF($E$2:$E$653, E652)&gt;1), "SKU duplicado", ""), IF(OR(J652="", J652=""), "[Aviso] División no capturada ()", IF(ISNA(MATCH(J652, Criterios!$A$123:$A$126, 0)), "División no válida", "")), IF(OR(K652="", K652=""), "[Aviso] Categoría no capturada ()", IF(ISNA(MATCH(K652, Criterios!$A$81:$A$120, 0)), "Categoría no válida", IF(AND(J652&lt;&gt;"", J652&lt;&gt;"", J652&lt;&gt;VLOOKUP(K652, Criterios!$A$81:$B$120, 2, FALSE)), "División no coincide con Categoría", ""))), IF(OR(L652="", L652=""), "[Aviso] Género no capturado ()", IF(ISNA(MATCH(L652, Criterios!$B$123:$B$127, 0)), "Género no válido", "")), IF(OR(N652="", N652=""), "[Aviso] Temporada no capturada ()", IF(ISNA(MATCH(N652, Criterios!$C$123:$C$128, 0)), "Temporada no válida", "")), IF(OR(O652="", O652=""), "[Aviso] Ciclo de vida no capturado ()", IF(ISNA(MATCH(O652, Criterios!$D$123:$D$124, 0)), "Ciclo de vida no válido", ""))))</f>
        <v/>
      </c>
      <c r="AC652" s="56" t="n"/>
      <c r="AD652" s="51" t="n">
        <v>0</v>
      </c>
      <c r="AE652" s="156" t="n"/>
      <c r="AF652" s="51" t="n">
        <v>0</v>
      </c>
      <c r="AG652" s="156" t="inlineStr">
        <is>
          <t>Nuevo – NetSuite sin existencia</t>
        </is>
      </c>
      <c r="AH652" s="156" t="inlineStr">
        <is>
          <t>Alta auditoría 30/09/2026 desde extracción NetSuite; Atributos WB vacíos en NetSuite (sin estilo, talla, descripción ni categoría): completar | Homologación G1522 06/10/2026: WB Categoría: «» → «Chamarras» (Completado por investigación en línea) · WB Género: «» → «Unisex» (Completado por investigación en línea) · Enlace de imagen: «» → «https://cdn.shopify.com/s/files/1/0589/6500/0397/files/NissanS12-RainJacket-1.jpg?v=1785919741» (Completado por investigación en línea) · WB Color: «» → «Rojo» (Completado por investigación en línea) · WB Talla: «» → «XXL» (Completado por investigación en línea) · WB Talla de EE. UU.: «» → «XXL» (Completado por investigación en línea) · WB Descripcion: «» → «Nissan Formula E Unisex Rain Jacket - Season 12» (Completado por investigación en línea) · WB División: «» → «Ropa» (Completado por regla) · Validación G1522: WB SKU faltante; Falta estilo · Validador NetSuite / Odoo: V6: falta estilo · Validador Shopify: V6: falta estilo; WB: precio con IVA no termina en 9</t>
        </is>
      </c>
      <c r="AI652" s="156" t="inlineStr">
        <is>
          <t>No</t>
        </is>
      </c>
      <c r="AJ652" s="156" t="n"/>
      <c r="AK652" s="155" t="inlineStr">
        <is>
          <t>G1522_Extraccion_Articulos_NetSuite_2026-09-30.xlsx: fila 52761 | Investigación en línea 06/10/2026: https://reflo.com/products/nissan-formula-e-rain-jacket-red</t>
        </is>
      </c>
      <c r="AL652" s="58" t="n"/>
      <c r="AM652" s="58" t="n"/>
      <c r="AN652" s="155" t="n"/>
      <c r="AO652" s="59" t="n"/>
      <c r="AP652" s="59" t="n"/>
      <c r="AQ652" s="59" t="n"/>
      <c r="AR652" s="155" t="n"/>
    </row>
    <row r="653">
      <c r="A653" s="50" t="inlineStr">
        <is>
          <t>5056658755187</t>
        </is>
      </c>
      <c r="B653" s="51" t="inlineStr">
        <is>
          <t>104042</t>
        </is>
      </c>
      <c r="C653" s="156" t="inlineStr">
        <is>
          <t>REFLO</t>
        </is>
      </c>
      <c r="D653" s="156" t="n"/>
      <c r="E653" s="156" t="n"/>
      <c r="F653" s="156" t="n"/>
      <c r="G653" s="156" t="n"/>
      <c r="H653" s="156" t="inlineStr">
        <is>
          <t>REFLO</t>
        </is>
      </c>
      <c r="I653" s="156" t="n"/>
      <c r="J653" s="156" t="n"/>
      <c r="K653" s="156" t="n"/>
      <c r="L653" s="156" t="n"/>
      <c r="M653" s="156" t="n"/>
      <c r="N653" s="156" t="n"/>
      <c r="O653" s="156" t="n"/>
      <c r="P653" s="156" t="n"/>
      <c r="Q653" s="156" t="n"/>
      <c r="R653" s="156" t="n"/>
      <c r="S653" s="156" t="n"/>
      <c r="T653" s="156" t="n"/>
      <c r="U653" s="156" t="n"/>
      <c r="V653" s="156" t="inlineStr">
        <is>
          <t>PZS</t>
        </is>
      </c>
      <c r="W653" s="51" t="inlineStr">
        <is>
          <t>53101802</t>
        </is>
      </c>
      <c r="X653" s="156" t="n"/>
      <c r="Y653" s="54" t="n">
        <v>71.93000000000001</v>
      </c>
      <c r="Z653" s="54" t="n">
        <v>6199</v>
      </c>
      <c r="AA653" s="55">
        <f>IF(AND(A653="", B653="", E653=""), "", IF(AB653="", "Válido", IF((LEN(AB653)-LEN(SUBSTITUTE(AB653,"; ","")))/2+1&gt;(LEN(AB653)-LEN(SUBSTITUTE(AB653,"[Aviso]","")))/7, "Con Incidencias", "Válido")))</f>
        <v/>
      </c>
      <c r="AB653" s="56">
        <f>IF(AND(A653="", B653="", E653=""), "", TEXTJOIN("; ", TRUE, IF(OR(TRIM(A653&amp;"")="", ISNUMBER(SEARCH("FALTA", A653))), "UPC faltante/inválido", ""), IF(AND(A653&lt;&gt;"", IFERROR(_xlfn.XMATCH(A653,$A$2:$A$653,0,1)&lt;&gt;_xlfn.XMATCH(A653,$A$2:$A$653,0,-1),FALSE)), "Código de barras duplicado", ""), IF(AND(E653&lt;&gt;"", COUNTIF($E$2:$E$653, E653)&gt;1), "SKU duplicado", ""), IF(OR(J653="", J653=""), "[Aviso] División no capturada ()", IF(ISNA(MATCH(J653, Criterios!$A$123:$A$126, 0)), "División no válida", "")), IF(OR(K653="", K653=""), "[Aviso] Categoría no capturada ()", IF(ISNA(MATCH(K653, Criterios!$A$81:$A$120, 0)), "Categoría no válida", IF(AND(J653&lt;&gt;"", J653&lt;&gt;"", J653&lt;&gt;VLOOKUP(K653, Criterios!$A$81:$B$120, 2, FALSE)), "División no coincide con Categoría", ""))), IF(OR(L653="", L653=""), "[Aviso] Género no capturado ()", IF(ISNA(MATCH(L653, Criterios!$B$123:$B$127, 0)), "Género no válido", "")), IF(OR(N653="", N653=""), "[Aviso] Temporada no capturada ()", IF(ISNA(MATCH(N653, Criterios!$C$123:$C$128, 0)), "Temporada no válida", "")), IF(OR(O653="", O653=""), "[Aviso] Ciclo de vida no capturado ()", IF(ISNA(MATCH(O653, Criterios!$D$123:$D$124, 0)), "Ciclo de vida no válido", ""))))</f>
        <v/>
      </c>
      <c r="AC653" s="56" t="n"/>
      <c r="AD653" s="51" t="n">
        <v>-6</v>
      </c>
      <c r="AE653" s="156" t="n"/>
      <c r="AF653" s="51" t="n">
        <v>0</v>
      </c>
      <c r="AG653" s="156" t="inlineStr">
        <is>
          <t>Nuevo – NetSuite sin existencia</t>
        </is>
      </c>
      <c r="AH65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653" s="156" t="inlineStr">
        <is>
          <t>No</t>
        </is>
      </c>
      <c r="AJ653" s="156" t="n"/>
      <c r="AK653" s="155" t="inlineStr">
        <is>
          <t>G1522_Extraccion_Articulos_NetSuite_2026-09-30.xlsx: fila 52762</t>
        </is>
      </c>
      <c r="AL653" s="58" t="n"/>
      <c r="AM653" s="58" t="n"/>
      <c r="AN653" s="155" t="n"/>
      <c r="AO653" s="59" t="n"/>
      <c r="AP653" s="59" t="n"/>
      <c r="AQ653" s="59" t="n"/>
      <c r="AR653" s="155" t="n"/>
    </row>
  </sheetData>
  <autoFilter ref="A1:AR653"/>
  <conditionalFormatting sqref="AA2:AA653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653">
    <cfRule type="expression" priority="3" dxfId="18" stopIfTrue="1">
      <formula>AND(AB2&lt;&gt;"", AA2="Con Incidencias")</formula>
    </cfRule>
  </conditionalFormatting>
  <dataValidations count="11">
    <dataValidation sqref="O2:O653" showDropDown="0" showInputMessage="0" showErrorMessage="0" allowBlank="1" type="list">
      <formula1>"Seasonal,Core,No Aplica"</formula1>
    </dataValidation>
    <dataValidation sqref="C2:C653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653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653" showDropDown="0" showInputMessage="0" showErrorMessage="0" allowBlank="1" type="list">
      <formula1>"Rojo,Azul,Amarillo,Verde,Naranja,Morado,Rosa,Negro,Blanco,Gris,Beige,Cafe,Varios,No Aplica"</formula1>
    </dataValidation>
    <dataValidation sqref="R2:R653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653" showDropDown="0" showInputMessage="0" showErrorMessage="1" allowBlank="1" type="list">
      <formula1>Criterios!$A$81:$A$120</formula1>
    </dataValidation>
    <dataValidation sqref="N2:N653" showDropDown="0" showInputMessage="0" showErrorMessage="0" allowBlank="1" type="list">
      <formula1>"SS26,FW26,SS27,FW27,SS28,FW28,No Aplica"</formula1>
    </dataValidation>
    <dataValidation sqref="Q2:Q653" showDropDown="0" showInputMessage="0" showErrorMessage="0" allowBlank="1" type="list">
      <formula1>"Regular,Relajado,Slim,Clásico,Moderno,Recto,Bootcut"</formula1>
    </dataValidation>
    <dataValidation sqref="J2:J653" showDropDown="0" showInputMessage="0" showErrorMessage="0" allowBlank="1" type="list">
      <formula1>"Accesorios,Ropa,Denim,Calzado,No Aplica"</formula1>
    </dataValidation>
    <dataValidation sqref="L2:L653" showDropDown="0" showInputMessage="0" showErrorMessage="0" allowBlank="1" type="list">
      <formula1>"Hombre,Mujer,Niño,Niña,Unisex,No Aplica"</formula1>
    </dataValidation>
    <dataValidation sqref="V2:V653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653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652, 16)"),"052356088867")</f>
        <v/>
      </c>
      <c r="Q2">
        <f>IFERROR(__xludf.DUMMYFUNCTION("MAP(FILTER(A2:A653, (B2:B653&lt;&gt;"""")+(D2:D653&lt;&gt;"""")), FILTER(B2:B653, (B2:B653&lt;&gt;"""")+(D2:D653&lt;&gt;"""")),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IFERROR(__xludf.DUMMYFUNCTION("MAP(FILTER(A2:A653, (B2:B653&lt;&gt;"""")+(D2:D653&lt;&gt;"""")), FILTER(B2:B653, (B2:B653&lt;&gt;"""")+(D2:D653&lt;&gt;"""")), FILTER(Q2:Q653, (B2:B653&lt;&gt;"""")+(D2:D653&lt;&gt;"""")),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</sheetData>
  <autoFilter ref="A1:AU2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CONSIGNA REFLO</t>
        </is>
      </c>
      <c r="B2" s="5">
        <f>IF($I2="","",INDEX(Productos!$A:$A,$I2))</f>
        <v/>
      </c>
      <c r="C2" s="134" t="inlineStr">
        <is>
          <t>ADRIAQU-S</t>
        </is>
      </c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2</v>
      </c>
      <c r="H2" s="5">
        <f>IF($I2="","",INDEX(Productos!$AG:$AG,$I2))</f>
        <v/>
      </c>
      <c r="I2" s="136">
        <f>LET(_xlpm.r,Productos!$E$2:$E$653,_xlpm.m,IFERROR(_xlfn.XMATCH(C2,_xlpm.r),IFERROR(_xlfn.XMATCH(VALUE(C2),_xlpm.r),0)),IF(_xlpm.m=0,"",_xlpm.m+1))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CONSIGNA REFLO</t>
        </is>
      </c>
      <c r="B3" s="5">
        <f>IF($I2="","",INDEX(Productos!$A:$A,$I2))</f>
        <v/>
      </c>
      <c r="C3" s="134" t="inlineStr">
        <is>
          <t>ADRICLO-L</t>
        </is>
      </c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-2</v>
      </c>
      <c r="H3" s="5">
        <f>IF($I2="","",INDEX(Productos!$AG:$AG,$I2))</f>
        <v/>
      </c>
      <c r="I3" s="136">
        <f>LET(_xlpm.r,Productos!$E$2:$E$653,_xlpm.m,IFERROR(_xlfn.XMATCH(C3,_xlpm.r),IFERROR(_xlfn.XMATCH(VALUE(C3),_xlpm.r),0)),IF(_xlpm.m=0,"",_xlpm.m+1))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CONSIGNA REFLO</t>
        </is>
      </c>
      <c r="B4" s="5">
        <f>IF($I2="","",INDEX(Productos!$A:$A,$I2))</f>
        <v/>
      </c>
      <c r="C4" s="134" t="inlineStr">
        <is>
          <t>ADRICLO-M</t>
        </is>
      </c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-2</v>
      </c>
      <c r="H4" s="5">
        <f>IF($I2="","",INDEX(Productos!$AG:$AG,$I2))</f>
        <v/>
      </c>
      <c r="I4" s="136">
        <f>LET(_xlpm.r,Productos!$E$2:$E$653,_xlpm.m,IFERROR(_xlfn.XMATCH(C4,_xlpm.r),IFERROR(_xlfn.XMATCH(VALUE(C4),_xlpm.r),0)),IF(_xlpm.m=0,"",_xlpm.m+1))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CONSIGNA REFLO</t>
        </is>
      </c>
      <c r="B5" s="5">
        <f>IF($I2="","",INDEX(Productos!$A:$A,$I2))</f>
        <v/>
      </c>
      <c r="C5" s="134" t="inlineStr">
        <is>
          <t>ADRICLO-XL</t>
        </is>
      </c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-1</v>
      </c>
      <c r="H5" s="5">
        <f>IF($I2="","",INDEX(Productos!$AG:$AG,$I2))</f>
        <v/>
      </c>
      <c r="I5" s="136">
        <f>LET(_xlpm.r,Productos!$E$2:$E$653,_xlpm.m,IFERROR(_xlfn.XMATCH(C5,_xlpm.r),IFERROR(_xlfn.XMATCH(VALUE(C5),_xlpm.r),0)),IF(_xlpm.m=0,"",_xlpm.m+1))</f>
        <v/>
      </c>
      <c r="J5" s="137" t="inlineStr">
        <is>
          <t>NetSuite</t>
        </is>
      </c>
    </row>
    <row r="6">
      <c r="A6" s="5" t="inlineStr">
        <is>
          <t>CONSIGNA REFLO</t>
        </is>
      </c>
      <c r="B6" s="5">
        <f>IF($I2="","",INDEX(Productos!$A:$A,$I2))</f>
        <v/>
      </c>
      <c r="C6" s="134" t="inlineStr">
        <is>
          <t>ADRICLO-XXL</t>
        </is>
      </c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-1</v>
      </c>
      <c r="H6" s="5">
        <f>IF($I2="","",INDEX(Productos!$AG:$AG,$I2))</f>
        <v/>
      </c>
      <c r="I6" s="136">
        <f>LET(_xlpm.r,Productos!$E$2:$E$653,_xlpm.m,IFERROR(_xlfn.XMATCH(C6,_xlpm.r),IFERROR(_xlfn.XMATCH(VALUE(C6),_xlpm.r),0)),IF(_xlpm.m=0,"",_xlpm.m+1))</f>
        <v/>
      </c>
      <c r="J6" s="137" t="inlineStr">
        <is>
          <t>NetSuite</t>
        </is>
      </c>
    </row>
    <row r="7">
      <c r="A7" s="5" t="inlineStr">
        <is>
          <t>CONSIGNA REFLO</t>
        </is>
      </c>
      <c r="B7" s="5">
        <f>IF($I2="","",INDEX(Productos!$A:$A,$I2))</f>
        <v/>
      </c>
      <c r="C7" s="134" t="inlineStr">
        <is>
          <t>ADRIOXY-L</t>
        </is>
      </c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1</v>
      </c>
      <c r="H7" s="5">
        <f>IF($I2="","",INDEX(Productos!$AG:$AG,$I2))</f>
        <v/>
      </c>
      <c r="I7" s="136">
        <f>LET(_xlpm.r,Productos!$E$2:$E$653,_xlpm.m,IFERROR(_xlfn.XMATCH(C7,_xlpm.r),IFERROR(_xlfn.XMATCH(VALUE(C7),_xlpm.r),0)),IF(_xlpm.m=0,"",_xlpm.m+1))</f>
        <v/>
      </c>
      <c r="J7" s="137" t="inlineStr">
        <is>
          <t>NetSuite</t>
        </is>
      </c>
    </row>
    <row r="8">
      <c r="A8" s="5" t="inlineStr">
        <is>
          <t>CONSIGNA REFLO</t>
        </is>
      </c>
      <c r="B8" s="5">
        <f>IF($I2="","",INDEX(Productos!$A:$A,$I2))</f>
        <v/>
      </c>
      <c r="C8" s="134" t="inlineStr">
        <is>
          <t>ADRIOXY-M</t>
        </is>
      </c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1</v>
      </c>
      <c r="H8" s="5">
        <f>IF($I2="","",INDEX(Productos!$AG:$AG,$I2))</f>
        <v/>
      </c>
      <c r="I8" s="136">
        <f>LET(_xlpm.r,Productos!$E$2:$E$653,_xlpm.m,IFERROR(_xlfn.XMATCH(C8,_xlpm.r),IFERROR(_xlfn.XMATCH(VALUE(C8),_xlpm.r),0)),IF(_xlpm.m=0,"",_xlpm.m+1))</f>
        <v/>
      </c>
      <c r="J8" s="137" t="inlineStr">
        <is>
          <t>NetSuite</t>
        </is>
      </c>
    </row>
    <row r="9">
      <c r="A9" s="5" t="inlineStr">
        <is>
          <t>CONSIGNA REFLO</t>
        </is>
      </c>
      <c r="B9" s="5">
        <f>IF($I2="","",INDEX(Productos!$A:$A,$I2))</f>
        <v/>
      </c>
      <c r="C9" s="134" t="inlineStr">
        <is>
          <t>ADRIOXY-S</t>
        </is>
      </c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2</v>
      </c>
      <c r="H9" s="5">
        <f>IF($I2="","",INDEX(Productos!$AG:$AG,$I2))</f>
        <v/>
      </c>
      <c r="I9" s="136">
        <f>LET(_xlpm.r,Productos!$E$2:$E$653,_xlpm.m,IFERROR(_xlfn.XMATCH(C9,_xlpm.r),IFERROR(_xlfn.XMATCH(VALUE(C9),_xlpm.r),0)),IF(_xlpm.m=0,"",_xlpm.m+1))</f>
        <v/>
      </c>
      <c r="J9" s="137" t="inlineStr">
        <is>
          <t>NetSuite</t>
        </is>
      </c>
    </row>
    <row r="10">
      <c r="A10" s="5" t="inlineStr">
        <is>
          <t>CONSIGNA REFLO</t>
        </is>
      </c>
      <c r="B10" s="5">
        <f>IF($I2="","",INDEX(Productos!$A:$A,$I2))</f>
        <v/>
      </c>
      <c r="C10" s="134" t="inlineStr">
        <is>
          <t>ADRIOXY-XL</t>
        </is>
      </c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1</v>
      </c>
      <c r="H10" s="5">
        <f>IF($I2="","",INDEX(Productos!$AG:$AG,$I2))</f>
        <v/>
      </c>
      <c r="I10" s="136">
        <f>LET(_xlpm.r,Productos!$E$2:$E$653,_xlpm.m,IFERROR(_xlfn.XMATCH(C10,_xlpm.r),IFERROR(_xlfn.XMATCH(VALUE(C10),_xlpm.r),0)),IF(_xlpm.m=0,"",_xlpm.m+1))</f>
        <v/>
      </c>
      <c r="J10" s="137" t="inlineStr">
        <is>
          <t>NetSuite</t>
        </is>
      </c>
    </row>
    <row r="11">
      <c r="A11" s="5" t="inlineStr">
        <is>
          <t>CONSIGNA REFLO</t>
        </is>
      </c>
      <c r="B11" s="5">
        <f>IF($I2="","",INDEX(Productos!$A:$A,$I2))</f>
        <v/>
      </c>
      <c r="C11" s="134" t="inlineStr">
        <is>
          <t>BISCAQU-M</t>
        </is>
      </c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-1</v>
      </c>
      <c r="H11" s="5">
        <f>IF($I2="","",INDEX(Productos!$AG:$AG,$I2))</f>
        <v/>
      </c>
      <c r="I11" s="136">
        <f>LET(_xlpm.r,Productos!$E$2:$E$653,_xlpm.m,IFERROR(_xlfn.XMATCH(C11,_xlpm.r),IFERROR(_xlfn.XMATCH(VALUE(C11),_xlpm.r),0)),IF(_xlpm.m=0,"",_xlpm.m+1))</f>
        <v/>
      </c>
      <c r="J11" s="137" t="inlineStr">
        <is>
          <t>NetSuite</t>
        </is>
      </c>
    </row>
    <row r="12">
      <c r="A12" s="5" t="inlineStr">
        <is>
          <t>CONSIGNA REFLO</t>
        </is>
      </c>
      <c r="B12" s="5">
        <f>IF($I2="","",INDEX(Productos!$A:$A,$I2))</f>
        <v/>
      </c>
      <c r="C12" s="134" t="inlineStr">
        <is>
          <t>BISCAQU-S</t>
        </is>
      </c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-1</v>
      </c>
      <c r="H12" s="5">
        <f>IF($I2="","",INDEX(Productos!$AG:$AG,$I2))</f>
        <v/>
      </c>
      <c r="I12" s="136">
        <f>LET(_xlpm.r,Productos!$E$2:$E$653,_xlpm.m,IFERROR(_xlfn.XMATCH(C12,_xlpm.r),IFERROR(_xlfn.XMATCH(VALUE(C12),_xlpm.r),0)),IF(_xlpm.m=0,"",_xlpm.m+1))</f>
        <v/>
      </c>
      <c r="J12" s="137" t="inlineStr">
        <is>
          <t>NetSuite</t>
        </is>
      </c>
    </row>
    <row r="13">
      <c r="A13" s="5" t="inlineStr">
        <is>
          <t>CONSIGNA REFLO</t>
        </is>
      </c>
      <c r="B13" s="5">
        <f>IF($I2="","",INDEX(Productos!$A:$A,$I2))</f>
        <v/>
      </c>
      <c r="C13" s="134" t="inlineStr">
        <is>
          <t>BISCBLA-L</t>
        </is>
      </c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-1</v>
      </c>
      <c r="H13" s="5">
        <f>IF($I2="","",INDEX(Productos!$AG:$AG,$I2))</f>
        <v/>
      </c>
      <c r="I13" s="136">
        <f>LET(_xlpm.r,Productos!$E$2:$E$653,_xlpm.m,IFERROR(_xlfn.XMATCH(C13,_xlpm.r),IFERROR(_xlfn.XMATCH(VALUE(C13),_xlpm.r),0)),IF(_xlpm.m=0,"",_xlpm.m+1))</f>
        <v/>
      </c>
      <c r="J13" s="137" t="inlineStr">
        <is>
          <t>NetSuite</t>
        </is>
      </c>
    </row>
    <row r="14">
      <c r="A14" s="5" t="inlineStr">
        <is>
          <t>CONSIGNA REFLO</t>
        </is>
      </c>
      <c r="B14" s="5">
        <f>IF($I2="","",INDEX(Productos!$A:$A,$I2))</f>
        <v/>
      </c>
      <c r="C14" s="134" t="inlineStr">
        <is>
          <t>BISCBLA-XL</t>
        </is>
      </c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-1</v>
      </c>
      <c r="H14" s="5">
        <f>IF($I2="","",INDEX(Productos!$AG:$AG,$I2))</f>
        <v/>
      </c>
      <c r="I14" s="136">
        <f>LET(_xlpm.r,Productos!$E$2:$E$653,_xlpm.m,IFERROR(_xlfn.XMATCH(C14,_xlpm.r),IFERROR(_xlfn.XMATCH(VALUE(C14),_xlpm.r),0)),IF(_xlpm.m=0,"",_xlpm.m+1))</f>
        <v/>
      </c>
      <c r="J14" s="137" t="inlineStr">
        <is>
          <t>NetSuite</t>
        </is>
      </c>
    </row>
    <row r="15">
      <c r="A15" s="5" t="inlineStr">
        <is>
          <t>CONSIGNA REFLO</t>
        </is>
      </c>
      <c r="B15" s="5">
        <f>IF($I2="","",INDEX(Productos!$A:$A,$I2))</f>
        <v/>
      </c>
      <c r="C15" s="134" t="inlineStr">
        <is>
          <t>BISCFRE-XL</t>
        </is>
      </c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2</v>
      </c>
      <c r="H15" s="5">
        <f>IF($I2="","",INDEX(Productos!$AG:$AG,$I2))</f>
        <v/>
      </c>
      <c r="I15" s="136">
        <f>LET(_xlpm.r,Productos!$E$2:$E$653,_xlpm.m,IFERROR(_xlfn.XMATCH(C15,_xlpm.r),IFERROR(_xlfn.XMATCH(VALUE(C15),_xlpm.r),0)),IF(_xlpm.m=0,"",_xlpm.m+1))</f>
        <v/>
      </c>
      <c r="J15" s="137" t="inlineStr">
        <is>
          <t>NetSuite</t>
        </is>
      </c>
    </row>
    <row r="16">
      <c r="A16" s="5" t="inlineStr">
        <is>
          <t>CONSIGNA REFLO</t>
        </is>
      </c>
      <c r="B16" s="5">
        <f>IF($I2="","",INDEX(Productos!$A:$A,$I2))</f>
        <v/>
      </c>
      <c r="C16" s="134" t="inlineStr">
        <is>
          <t>BOHAGRE-XXL</t>
        </is>
      </c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-1</v>
      </c>
      <c r="H16" s="5">
        <f>IF($I2="","",INDEX(Productos!$AG:$AG,$I2))</f>
        <v/>
      </c>
      <c r="I16" s="136">
        <f>LET(_xlpm.r,Productos!$E$2:$E$653,_xlpm.m,IFERROR(_xlfn.XMATCH(C16,_xlpm.r),IFERROR(_xlfn.XMATCH(VALUE(C16),_xlpm.r),0)),IF(_xlpm.m=0,"",_xlpm.m+1))</f>
        <v/>
      </c>
      <c r="J16" s="137" t="inlineStr">
        <is>
          <t>NetSuite</t>
        </is>
      </c>
    </row>
    <row r="17">
      <c r="A17" s="5" t="inlineStr">
        <is>
          <t>CONSIGNA REFLO</t>
        </is>
      </c>
      <c r="B17" s="5">
        <f>IF($I2="","",INDEX(Productos!$A:$A,$I2))</f>
        <v/>
      </c>
      <c r="C17" s="134" t="inlineStr">
        <is>
          <t>BOHAWHI-XL</t>
        </is>
      </c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-1</v>
      </c>
      <c r="H17" s="5">
        <f>IF($I2="","",INDEX(Productos!$AG:$AG,$I2))</f>
        <v/>
      </c>
      <c r="I17" s="136">
        <f>LET(_xlpm.r,Productos!$E$2:$E$653,_xlpm.m,IFERROR(_xlfn.XMATCH(C17,_xlpm.r),IFERROR(_xlfn.XMATCH(VALUE(C17),_xlpm.r),0)),IF(_xlpm.m=0,"",_xlpm.m+1))</f>
        <v/>
      </c>
      <c r="J17" s="137" t="inlineStr">
        <is>
          <t>NetSuite</t>
        </is>
      </c>
    </row>
    <row r="18">
      <c r="A18" s="5" t="inlineStr">
        <is>
          <t>CONSIGNA REFLO</t>
        </is>
      </c>
      <c r="B18" s="5">
        <f>IF($I2="","",INDEX(Productos!$A:$A,$I2))</f>
        <v/>
      </c>
      <c r="C18" s="134" t="inlineStr">
        <is>
          <t>BOHAYEL-L</t>
        </is>
      </c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1</v>
      </c>
      <c r="H18" s="5">
        <f>IF($I2="","",INDEX(Productos!$AG:$AG,$I2))</f>
        <v/>
      </c>
      <c r="I18" s="136">
        <f>LET(_xlpm.r,Productos!$E$2:$E$653,_xlpm.m,IFERROR(_xlfn.XMATCH(C18,_xlpm.r),IFERROR(_xlfn.XMATCH(VALUE(C18),_xlpm.r),0)),IF(_xlpm.m=0,"",_xlpm.m+1))</f>
        <v/>
      </c>
      <c r="J18" s="137" t="inlineStr">
        <is>
          <t>NetSuite</t>
        </is>
      </c>
    </row>
    <row r="19">
      <c r="A19" s="5" t="inlineStr">
        <is>
          <t>CONSIGNA REFLO</t>
        </is>
      </c>
      <c r="B19" s="5">
        <f>IF($I2="","",INDEX(Productos!$A:$A,$I2))</f>
        <v/>
      </c>
      <c r="C19" s="134" t="inlineStr">
        <is>
          <t>BOHAYEL-M</t>
        </is>
      </c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1</v>
      </c>
      <c r="H19" s="5">
        <f>IF($I2="","",INDEX(Productos!$AG:$AG,$I2))</f>
        <v/>
      </c>
      <c r="I19" s="136">
        <f>LET(_xlpm.r,Productos!$E$2:$E$653,_xlpm.m,IFERROR(_xlfn.XMATCH(C19,_xlpm.r),IFERROR(_xlfn.XMATCH(VALUE(C19),_xlpm.r),0)),IF(_xlpm.m=0,"",_xlpm.m+1))</f>
        <v/>
      </c>
      <c r="J19" s="137" t="inlineStr">
        <is>
          <t>NetSuite</t>
        </is>
      </c>
    </row>
    <row r="20">
      <c r="A20" s="5" t="inlineStr">
        <is>
          <t>CONSIGNA REFLO</t>
        </is>
      </c>
      <c r="B20" s="5">
        <f>IF($I2="","",INDEX(Productos!$A:$A,$I2))</f>
        <v/>
      </c>
      <c r="C20" s="134" t="inlineStr">
        <is>
          <t>BOHCOR-L</t>
        </is>
      </c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1</v>
      </c>
      <c r="H20" s="5">
        <f>IF($I2="","",INDEX(Productos!$AG:$AG,$I2))</f>
        <v/>
      </c>
      <c r="I20" s="136">
        <f>LET(_xlpm.r,Productos!$E$2:$E$653,_xlpm.m,IFERROR(_xlfn.XMATCH(C20,_xlpm.r),IFERROR(_xlfn.XMATCH(VALUE(C20),_xlpm.r),0)),IF(_xlpm.m=0,"",_xlpm.m+1))</f>
        <v/>
      </c>
      <c r="J20" s="137" t="inlineStr">
        <is>
          <t>NetSuite</t>
        </is>
      </c>
    </row>
    <row r="21">
      <c r="A21" s="5" t="inlineStr">
        <is>
          <t>CONSIGNA REFLO</t>
        </is>
      </c>
      <c r="B21" s="5">
        <f>IF($I2="","",INDEX(Productos!$A:$A,$I2))</f>
        <v/>
      </c>
      <c r="C21" s="134" t="inlineStr">
        <is>
          <t>BOHCOR-S</t>
        </is>
      </c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1</v>
      </c>
      <c r="H21" s="5">
        <f>IF($I2="","",INDEX(Productos!$AG:$AG,$I2))</f>
        <v/>
      </c>
      <c r="I21" s="136">
        <f>LET(_xlpm.r,Productos!$E$2:$E$653,_xlpm.m,IFERROR(_xlfn.XMATCH(C21,_xlpm.r),IFERROR(_xlfn.XMATCH(VALUE(C21),_xlpm.r),0)),IF(_xlpm.m=0,"",_xlpm.m+1))</f>
        <v/>
      </c>
      <c r="J21" s="137" t="inlineStr">
        <is>
          <t>NetSuite</t>
        </is>
      </c>
    </row>
    <row r="22">
      <c r="A22" s="5" t="inlineStr">
        <is>
          <t>CONSIGNA REFLO</t>
        </is>
      </c>
      <c r="B22" s="5">
        <f>IF($I2="","",INDEX(Productos!$A:$A,$I2))</f>
        <v/>
      </c>
      <c r="C22" s="134" t="inlineStr">
        <is>
          <t>BOHDAR-L</t>
        </is>
      </c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2</v>
      </c>
      <c r="H22" s="5">
        <f>IF($I2="","",INDEX(Productos!$AG:$AG,$I2))</f>
        <v/>
      </c>
      <c r="I22" s="136">
        <f>LET(_xlpm.r,Productos!$E$2:$E$653,_xlpm.m,IFERROR(_xlfn.XMATCH(C22,_xlpm.r),IFERROR(_xlfn.XMATCH(VALUE(C22),_xlpm.r),0)),IF(_xlpm.m=0,"",_xlpm.m+1))</f>
        <v/>
      </c>
      <c r="J22" s="137" t="inlineStr">
        <is>
          <t>NetSuite</t>
        </is>
      </c>
    </row>
    <row r="23">
      <c r="A23" s="5" t="inlineStr">
        <is>
          <t>CONSIGNA REFLO</t>
        </is>
      </c>
      <c r="B23" s="5">
        <f>IF($I2="","",INDEX(Productos!$A:$A,$I2))</f>
        <v/>
      </c>
      <c r="C23" s="134" t="inlineStr">
        <is>
          <t>BOHDAR-M</t>
        </is>
      </c>
      <c r="D23" s="5">
        <f>IF($I2="","",INDEX(Productos!$B:$B,$I2))</f>
        <v/>
      </c>
      <c r="E23" s="5">
        <f>IF($I2="","",INDEX(Productos!$H:$H,$I2))</f>
        <v/>
      </c>
      <c r="F23" s="5">
        <f>IF($I2="","",INDEX(Productos!$I:$I,$I2))</f>
        <v/>
      </c>
      <c r="G23" s="135" t="n">
        <v>1</v>
      </c>
      <c r="H23" s="5">
        <f>IF($I2="","",INDEX(Productos!$AG:$AG,$I2))</f>
        <v/>
      </c>
      <c r="I23" s="136">
        <f>LET(_xlpm.r,Productos!$E$2:$E$653,_xlpm.m,IFERROR(_xlfn.XMATCH(C23,_xlpm.r),IFERROR(_xlfn.XMATCH(VALUE(C23),_xlpm.r),0)),IF(_xlpm.m=0,"",_xlpm.m+1))</f>
        <v/>
      </c>
      <c r="J23" s="137" t="inlineStr">
        <is>
          <t>NetSuite</t>
        </is>
      </c>
    </row>
    <row r="24">
      <c r="A24" s="5" t="inlineStr">
        <is>
          <t>CONSIGNA REFLO</t>
        </is>
      </c>
      <c r="B24" s="5">
        <f>IF($I2="","",INDEX(Productos!$A:$A,$I2))</f>
        <v/>
      </c>
      <c r="C24" s="134" t="inlineStr">
        <is>
          <t>BOHDAR-XL</t>
        </is>
      </c>
      <c r="D24" s="5">
        <f>IF($I2="","",INDEX(Productos!$B:$B,$I2))</f>
        <v/>
      </c>
      <c r="E24" s="5">
        <f>IF($I2="","",INDEX(Productos!$H:$H,$I2))</f>
        <v/>
      </c>
      <c r="F24" s="5">
        <f>IF($I2="","",INDEX(Productos!$I:$I,$I2))</f>
        <v/>
      </c>
      <c r="G24" s="135" t="n">
        <v>1</v>
      </c>
      <c r="H24" s="5">
        <f>IF($I2="","",INDEX(Productos!$AG:$AG,$I2))</f>
        <v/>
      </c>
      <c r="I24" s="136">
        <f>LET(_xlpm.r,Productos!$E$2:$E$653,_xlpm.m,IFERROR(_xlfn.XMATCH(C24,_xlpm.r),IFERROR(_xlfn.XMATCH(VALUE(C24),_xlpm.r),0)),IF(_xlpm.m=0,"",_xlpm.m+1))</f>
        <v/>
      </c>
      <c r="J24" s="137" t="inlineStr">
        <is>
          <t>NetSuite</t>
        </is>
      </c>
    </row>
    <row r="25">
      <c r="A25" s="5" t="inlineStr">
        <is>
          <t>CONSIGNA REFLO</t>
        </is>
      </c>
      <c r="B25" s="5">
        <f>IF($I2="","",INDEX(Productos!$A:$A,$I2))</f>
        <v/>
      </c>
      <c r="C25" s="134" t="inlineStr">
        <is>
          <t>BOHMED-L</t>
        </is>
      </c>
      <c r="D25" s="5">
        <f>IF($I2="","",INDEX(Productos!$B:$B,$I2))</f>
        <v/>
      </c>
      <c r="E25" s="5">
        <f>IF($I2="","",INDEX(Productos!$H:$H,$I2))</f>
        <v/>
      </c>
      <c r="F25" s="5">
        <f>IF($I2="","",INDEX(Productos!$I:$I,$I2))</f>
        <v/>
      </c>
      <c r="G25" s="135" t="n">
        <v>1</v>
      </c>
      <c r="H25" s="5">
        <f>IF($I2="","",INDEX(Productos!$AG:$AG,$I2))</f>
        <v/>
      </c>
      <c r="I25" s="136">
        <f>LET(_xlpm.r,Productos!$E$2:$E$653,_xlpm.m,IFERROR(_xlfn.XMATCH(C25,_xlpm.r),IFERROR(_xlfn.XMATCH(VALUE(C25),_xlpm.r),0)),IF(_xlpm.m=0,"",_xlpm.m+1))</f>
        <v/>
      </c>
      <c r="J25" s="137" t="inlineStr">
        <is>
          <t>NetSuite</t>
        </is>
      </c>
    </row>
    <row r="26">
      <c r="A26" s="5" t="inlineStr">
        <is>
          <t>CONSIGNA REFLO</t>
        </is>
      </c>
      <c r="B26" s="5">
        <f>IF($I2="","",INDEX(Productos!$A:$A,$I2))</f>
        <v/>
      </c>
      <c r="C26" s="134" t="inlineStr">
        <is>
          <t>BOHQUA-L</t>
        </is>
      </c>
      <c r="D26" s="5">
        <f>IF($I2="","",INDEX(Productos!$B:$B,$I2))</f>
        <v/>
      </c>
      <c r="E26" s="5">
        <f>IF($I2="","",INDEX(Productos!$H:$H,$I2))</f>
        <v/>
      </c>
      <c r="F26" s="5">
        <f>IF($I2="","",INDEX(Productos!$I:$I,$I2))</f>
        <v/>
      </c>
      <c r="G26" s="135" t="n">
        <v>1</v>
      </c>
      <c r="H26" s="5">
        <f>IF($I2="","",INDEX(Productos!$AG:$AG,$I2))</f>
        <v/>
      </c>
      <c r="I26" s="136">
        <f>LET(_xlpm.r,Productos!$E$2:$E$653,_xlpm.m,IFERROR(_xlfn.XMATCH(C26,_xlpm.r),IFERROR(_xlfn.XMATCH(VALUE(C26),_xlpm.r),0)),IF(_xlpm.m=0,"",_xlpm.m+1))</f>
        <v/>
      </c>
      <c r="J26" s="137" t="inlineStr">
        <is>
          <t>NetSuite</t>
        </is>
      </c>
    </row>
    <row r="27">
      <c r="A27" s="5" t="inlineStr">
        <is>
          <t>CONSIGNA REFLO</t>
        </is>
      </c>
      <c r="B27" s="5">
        <f>IF($I2="","",INDEX(Productos!$A:$A,$I2))</f>
        <v/>
      </c>
      <c r="C27" s="134" t="inlineStr">
        <is>
          <t>BOHQUA-M</t>
        </is>
      </c>
      <c r="D27" s="5">
        <f>IF($I2="","",INDEX(Productos!$B:$B,$I2))</f>
        <v/>
      </c>
      <c r="E27" s="5">
        <f>IF($I2="","",INDEX(Productos!$H:$H,$I2))</f>
        <v/>
      </c>
      <c r="F27" s="5">
        <f>IF($I2="","",INDEX(Productos!$I:$I,$I2))</f>
        <v/>
      </c>
      <c r="G27" s="135" t="n">
        <v>1</v>
      </c>
      <c r="H27" s="5">
        <f>IF($I2="","",INDEX(Productos!$AG:$AG,$I2))</f>
        <v/>
      </c>
      <c r="I27" s="136">
        <f>LET(_xlpm.r,Productos!$E$2:$E$653,_xlpm.m,IFERROR(_xlfn.XMATCH(C27,_xlpm.r),IFERROR(_xlfn.XMATCH(VALUE(C27),_xlpm.r),0)),IF(_xlpm.m=0,"",_xlpm.m+1))</f>
        <v/>
      </c>
      <c r="J27" s="137" t="inlineStr">
        <is>
          <t>NetSuite</t>
        </is>
      </c>
    </row>
    <row r="28">
      <c r="A28" s="5" t="inlineStr">
        <is>
          <t>CONSIGNA REFLO</t>
        </is>
      </c>
      <c r="B28" s="5">
        <f>IF($I2="","",INDEX(Productos!$A:$A,$I2))</f>
        <v/>
      </c>
      <c r="C28" s="134" t="inlineStr">
        <is>
          <t>BOHQUA-XL</t>
        </is>
      </c>
      <c r="D28" s="5">
        <f>IF($I2="","",INDEX(Productos!$B:$B,$I2))</f>
        <v/>
      </c>
      <c r="E28" s="5">
        <f>IF($I2="","",INDEX(Productos!$H:$H,$I2))</f>
        <v/>
      </c>
      <c r="F28" s="5">
        <f>IF($I2="","",INDEX(Productos!$I:$I,$I2))</f>
        <v/>
      </c>
      <c r="G28" s="135" t="n">
        <v>1</v>
      </c>
      <c r="H28" s="5">
        <f>IF($I2="","",INDEX(Productos!$AG:$AG,$I2))</f>
        <v/>
      </c>
      <c r="I28" s="136">
        <f>LET(_xlpm.r,Productos!$E$2:$E$653,_xlpm.m,IFERROR(_xlfn.XMATCH(C28,_xlpm.r),IFERROR(_xlfn.XMATCH(VALUE(C28),_xlpm.r),0)),IF(_xlpm.m=0,"",_xlpm.m+1))</f>
        <v/>
      </c>
      <c r="J28" s="137" t="inlineStr">
        <is>
          <t>NetSuite</t>
        </is>
      </c>
    </row>
    <row r="29">
      <c r="A29" s="5" t="inlineStr">
        <is>
          <t>CONSIGNA REFLO</t>
        </is>
      </c>
      <c r="B29" s="5">
        <f>IF($I2="","",INDEX(Productos!$A:$A,$I2))</f>
        <v/>
      </c>
      <c r="C29" s="134" t="inlineStr">
        <is>
          <t>BOHTAN-L</t>
        </is>
      </c>
      <c r="D29" s="5">
        <f>IF($I2="","",INDEX(Productos!$B:$B,$I2))</f>
        <v/>
      </c>
      <c r="E29" s="5">
        <f>IF($I2="","",INDEX(Productos!$H:$H,$I2))</f>
        <v/>
      </c>
      <c r="F29" s="5">
        <f>IF($I2="","",INDEX(Productos!$I:$I,$I2))</f>
        <v/>
      </c>
      <c r="G29" s="135" t="n">
        <v>1</v>
      </c>
      <c r="H29" s="5">
        <f>IF($I2="","",INDEX(Productos!$AG:$AG,$I2))</f>
        <v/>
      </c>
      <c r="I29" s="136">
        <f>LET(_xlpm.r,Productos!$E$2:$E$653,_xlpm.m,IFERROR(_xlfn.XMATCH(C29,_xlpm.r),IFERROR(_xlfn.XMATCH(VALUE(C29),_xlpm.r),0)),IF(_xlpm.m=0,"",_xlpm.m+1))</f>
        <v/>
      </c>
      <c r="J29" s="137" t="inlineStr">
        <is>
          <t>NetSuite</t>
        </is>
      </c>
    </row>
    <row r="30">
      <c r="A30" s="5" t="inlineStr">
        <is>
          <t>CONSIGNA REFLO</t>
        </is>
      </c>
      <c r="B30" s="5">
        <f>IF($I2="","",INDEX(Productos!$A:$A,$I2))</f>
        <v/>
      </c>
      <c r="C30" s="134" t="inlineStr">
        <is>
          <t>BOHTAN-M</t>
        </is>
      </c>
      <c r="D30" s="5">
        <f>IF($I2="","",INDEX(Productos!$B:$B,$I2))</f>
        <v/>
      </c>
      <c r="E30" s="5">
        <f>IF($I2="","",INDEX(Productos!$H:$H,$I2))</f>
        <v/>
      </c>
      <c r="F30" s="5">
        <f>IF($I2="","",INDEX(Productos!$I:$I,$I2))</f>
        <v/>
      </c>
      <c r="G30" s="135" t="n">
        <v>1</v>
      </c>
      <c r="H30" s="5">
        <f>IF($I2="","",INDEX(Productos!$AG:$AG,$I2))</f>
        <v/>
      </c>
      <c r="I30" s="136">
        <f>LET(_xlpm.r,Productos!$E$2:$E$653,_xlpm.m,IFERROR(_xlfn.XMATCH(C30,_xlpm.r),IFERROR(_xlfn.XMATCH(VALUE(C30),_xlpm.r),0)),IF(_xlpm.m=0,"",_xlpm.m+1))</f>
        <v/>
      </c>
      <c r="J30" s="137" t="inlineStr">
        <is>
          <t>NetSuite</t>
        </is>
      </c>
    </row>
    <row r="31">
      <c r="A31" s="5" t="inlineStr">
        <is>
          <t>CONSIGNA REFLO</t>
        </is>
      </c>
      <c r="B31" s="5">
        <f>IF($I2="","",INDEX(Productos!$A:$A,$I2))</f>
        <v/>
      </c>
      <c r="C31" s="134" t="inlineStr">
        <is>
          <t>BOHTAN-S</t>
        </is>
      </c>
      <c r="D31" s="5">
        <f>IF($I2="","",INDEX(Productos!$B:$B,$I2))</f>
        <v/>
      </c>
      <c r="E31" s="5">
        <f>IF($I2="","",INDEX(Productos!$H:$H,$I2))</f>
        <v/>
      </c>
      <c r="F31" s="5">
        <f>IF($I2="","",INDEX(Productos!$I:$I,$I2))</f>
        <v/>
      </c>
      <c r="G31" s="135" t="n">
        <v>2</v>
      </c>
      <c r="H31" s="5">
        <f>IF($I2="","",INDEX(Productos!$AG:$AG,$I2))</f>
        <v/>
      </c>
      <c r="I31" s="136">
        <f>LET(_xlpm.r,Productos!$E$2:$E$653,_xlpm.m,IFERROR(_xlfn.XMATCH(C31,_xlpm.r),IFERROR(_xlfn.XMATCH(VALUE(C31),_xlpm.r),0)),IF(_xlpm.m=0,"",_xlpm.m+1))</f>
        <v/>
      </c>
      <c r="J31" s="137" t="inlineStr">
        <is>
          <t>NetSuite</t>
        </is>
      </c>
    </row>
    <row r="32">
      <c r="A32" s="5" t="inlineStr">
        <is>
          <t>CONSIGNA REFLO</t>
        </is>
      </c>
      <c r="B32" s="5">
        <f>IF($I2="","",INDEX(Productos!$A:$A,$I2))</f>
        <v/>
      </c>
      <c r="C32" s="134" t="inlineStr">
        <is>
          <t>CONGQGRE-L</t>
        </is>
      </c>
      <c r="D32" s="5">
        <f>IF($I2="","",INDEX(Productos!$B:$B,$I2))</f>
        <v/>
      </c>
      <c r="E32" s="5">
        <f>IF($I2="","",INDEX(Productos!$H:$H,$I2))</f>
        <v/>
      </c>
      <c r="F32" s="5">
        <f>IF($I2="","",INDEX(Productos!$I:$I,$I2))</f>
        <v/>
      </c>
      <c r="G32" s="135" t="n">
        <v>1</v>
      </c>
      <c r="H32" s="5">
        <f>IF($I2="","",INDEX(Productos!$AG:$AG,$I2))</f>
        <v/>
      </c>
      <c r="I32" s="136">
        <f>LET(_xlpm.r,Productos!$E$2:$E$653,_xlpm.m,IFERROR(_xlfn.XMATCH(C32,_xlpm.r),IFERROR(_xlfn.XMATCH(VALUE(C32),_xlpm.r),0)),IF(_xlpm.m=0,"",_xlpm.m+1))</f>
        <v/>
      </c>
      <c r="J32" s="137" t="inlineStr">
        <is>
          <t>NetSuite</t>
        </is>
      </c>
    </row>
    <row r="33">
      <c r="A33" s="5" t="inlineStr">
        <is>
          <t>CONSIGNA REFLO</t>
        </is>
      </c>
      <c r="B33" s="5">
        <f>IF($I2="","",INDEX(Productos!$A:$A,$I2))</f>
        <v/>
      </c>
      <c r="C33" s="134" t="inlineStr">
        <is>
          <t>CONGQGRE-M</t>
        </is>
      </c>
      <c r="D33" s="5">
        <f>IF($I2="","",INDEX(Productos!$B:$B,$I2))</f>
        <v/>
      </c>
      <c r="E33" s="5">
        <f>IF($I2="","",INDEX(Productos!$H:$H,$I2))</f>
        <v/>
      </c>
      <c r="F33" s="5">
        <f>IF($I2="","",INDEX(Productos!$I:$I,$I2))</f>
        <v/>
      </c>
      <c r="G33" s="135" t="n">
        <v>1</v>
      </c>
      <c r="H33" s="5">
        <f>IF($I2="","",INDEX(Productos!$AG:$AG,$I2))</f>
        <v/>
      </c>
      <c r="I33" s="136">
        <f>LET(_xlpm.r,Productos!$E$2:$E$653,_xlpm.m,IFERROR(_xlfn.XMATCH(C33,_xlpm.r),IFERROR(_xlfn.XMATCH(VALUE(C33),_xlpm.r),0)),IF(_xlpm.m=0,"",_xlpm.m+1))</f>
        <v/>
      </c>
      <c r="J33" s="137" t="inlineStr">
        <is>
          <t>NetSuite</t>
        </is>
      </c>
    </row>
    <row r="34">
      <c r="A34" s="5" t="inlineStr">
        <is>
          <t>CONSIGNA REFLO</t>
        </is>
      </c>
      <c r="B34" s="5">
        <f>IF($I2="","",INDEX(Productos!$A:$A,$I2))</f>
        <v/>
      </c>
      <c r="C34" s="134" t="inlineStr">
        <is>
          <t>CONGQGRE-S</t>
        </is>
      </c>
      <c r="D34" s="5">
        <f>IF($I2="","",INDEX(Productos!$B:$B,$I2))</f>
        <v/>
      </c>
      <c r="E34" s="5">
        <f>IF($I2="","",INDEX(Productos!$H:$H,$I2))</f>
        <v/>
      </c>
      <c r="F34" s="5">
        <f>IF($I2="","",INDEX(Productos!$I:$I,$I2))</f>
        <v/>
      </c>
      <c r="G34" s="135" t="n">
        <v>2</v>
      </c>
      <c r="H34" s="5">
        <f>IF($I2="","",INDEX(Productos!$AG:$AG,$I2))</f>
        <v/>
      </c>
      <c r="I34" s="136">
        <f>LET(_xlpm.r,Productos!$E$2:$E$653,_xlpm.m,IFERROR(_xlfn.XMATCH(C34,_xlpm.r),IFERROR(_xlfn.XMATCH(VALUE(C34),_xlpm.r),0)),IF(_xlpm.m=0,"",_xlpm.m+1))</f>
        <v/>
      </c>
      <c r="J34" s="137" t="inlineStr">
        <is>
          <t>NetSuite</t>
        </is>
      </c>
    </row>
    <row r="35">
      <c r="A35" s="5" t="inlineStr">
        <is>
          <t>CONSIGNA REFLO</t>
        </is>
      </c>
      <c r="B35" s="5">
        <f>IF($I2="","",INDEX(Productos!$A:$A,$I2))</f>
        <v/>
      </c>
      <c r="C35" s="134" t="inlineStr">
        <is>
          <t>DESCAV-2XL</t>
        </is>
      </c>
      <c r="D35" s="5">
        <f>IF($I2="","",INDEX(Productos!$B:$B,$I2))</f>
        <v/>
      </c>
      <c r="E35" s="5">
        <f>IF($I2="","",INDEX(Productos!$H:$H,$I2))</f>
        <v/>
      </c>
      <c r="F35" s="5">
        <f>IF($I2="","",INDEX(Productos!$I:$I,$I2))</f>
        <v/>
      </c>
      <c r="G35" s="135" t="n">
        <v>-1</v>
      </c>
      <c r="H35" s="5">
        <f>IF($I2="","",INDEX(Productos!$AG:$AG,$I2))</f>
        <v/>
      </c>
      <c r="I35" s="136">
        <f>LET(_xlpm.r,Productos!$E$2:$E$653,_xlpm.m,IFERROR(_xlfn.XMATCH(C35,_xlpm.r),IFERROR(_xlfn.XMATCH(VALUE(C35),_xlpm.r),0)),IF(_xlpm.m=0,"",_xlpm.m+1))</f>
        <v/>
      </c>
      <c r="J35" s="137" t="inlineStr">
        <is>
          <t>NetSuite</t>
        </is>
      </c>
    </row>
    <row r="36">
      <c r="A36" s="5" t="inlineStr">
        <is>
          <t>CONSIGNA REFLO</t>
        </is>
      </c>
      <c r="B36" s="5">
        <f>IF($I2="","",INDEX(Productos!$A:$A,$I2))</f>
        <v/>
      </c>
      <c r="C36" s="134" t="inlineStr">
        <is>
          <t>DESCAV-L</t>
        </is>
      </c>
      <c r="D36" s="5">
        <f>IF($I2="","",INDEX(Productos!$B:$B,$I2))</f>
        <v/>
      </c>
      <c r="E36" s="5">
        <f>IF($I2="","",INDEX(Productos!$H:$H,$I2))</f>
        <v/>
      </c>
      <c r="F36" s="5">
        <f>IF($I2="","",INDEX(Productos!$I:$I,$I2))</f>
        <v/>
      </c>
      <c r="G36" s="135" t="n">
        <v>-1</v>
      </c>
      <c r="H36" s="5">
        <f>IF($I2="","",INDEX(Productos!$AG:$AG,$I2))</f>
        <v/>
      </c>
      <c r="I36" s="136">
        <f>LET(_xlpm.r,Productos!$E$2:$E$653,_xlpm.m,IFERROR(_xlfn.XMATCH(C36,_xlpm.r),IFERROR(_xlfn.XMATCH(VALUE(C36),_xlpm.r),0)),IF(_xlpm.m=0,"",_xlpm.m+1))</f>
        <v/>
      </c>
      <c r="J36" s="137" t="inlineStr">
        <is>
          <t>NetSuite</t>
        </is>
      </c>
    </row>
    <row r="37">
      <c r="A37" s="5" t="inlineStr">
        <is>
          <t>CONSIGNA REFLO</t>
        </is>
      </c>
      <c r="B37" s="5">
        <f>IF($I2="","",INDEX(Productos!$A:$A,$I2))</f>
        <v/>
      </c>
      <c r="C37" s="134" t="inlineStr">
        <is>
          <t>DESCAV-M</t>
        </is>
      </c>
      <c r="D37" s="5">
        <f>IF($I2="","",INDEX(Productos!$B:$B,$I2))</f>
        <v/>
      </c>
      <c r="E37" s="5">
        <f>IF($I2="","",INDEX(Productos!$H:$H,$I2))</f>
        <v/>
      </c>
      <c r="F37" s="5">
        <f>IF($I2="","",INDEX(Productos!$I:$I,$I2))</f>
        <v/>
      </c>
      <c r="G37" s="135" t="n">
        <v>-1</v>
      </c>
      <c r="H37" s="5">
        <f>IF($I2="","",INDEX(Productos!$AG:$AG,$I2))</f>
        <v/>
      </c>
      <c r="I37" s="136">
        <f>LET(_xlpm.r,Productos!$E$2:$E$653,_xlpm.m,IFERROR(_xlfn.XMATCH(C37,_xlpm.r),IFERROR(_xlfn.XMATCH(VALUE(C37),_xlpm.r),0)),IF(_xlpm.m=0,"",_xlpm.m+1))</f>
        <v/>
      </c>
      <c r="J37" s="137" t="inlineStr">
        <is>
          <t>NetSuite</t>
        </is>
      </c>
    </row>
    <row r="38">
      <c r="A38" s="5" t="inlineStr">
        <is>
          <t>CONSIGNA REFLO</t>
        </is>
      </c>
      <c r="B38" s="5">
        <f>IF($I2="","",INDEX(Productos!$A:$A,$I2))</f>
        <v/>
      </c>
      <c r="C38" s="134" t="inlineStr">
        <is>
          <t>DESCAV-XL</t>
        </is>
      </c>
      <c r="D38" s="5">
        <f>IF($I2="","",INDEX(Productos!$B:$B,$I2))</f>
        <v/>
      </c>
      <c r="E38" s="5">
        <f>IF($I2="","",INDEX(Productos!$H:$H,$I2))</f>
        <v/>
      </c>
      <c r="F38" s="5">
        <f>IF($I2="","",INDEX(Productos!$I:$I,$I2))</f>
        <v/>
      </c>
      <c r="G38" s="135" t="n">
        <v>-1</v>
      </c>
      <c r="H38" s="5">
        <f>IF($I2="","",INDEX(Productos!$AG:$AG,$I2))</f>
        <v/>
      </c>
      <c r="I38" s="136">
        <f>LET(_xlpm.r,Productos!$E$2:$E$653,_xlpm.m,IFERROR(_xlfn.XMATCH(C38,_xlpm.r),IFERROR(_xlfn.XMATCH(VALUE(C38),_xlpm.r),0)),IF(_xlpm.m=0,"",_xlpm.m+1))</f>
        <v/>
      </c>
      <c r="J38" s="137" t="inlineStr">
        <is>
          <t>NetSuite</t>
        </is>
      </c>
    </row>
    <row r="39">
      <c r="A39" s="5" t="inlineStr">
        <is>
          <t>CONSIGNA REFLO</t>
        </is>
      </c>
      <c r="B39" s="5">
        <f>IF($I2="","",INDEX(Productos!$A:$A,$I2))</f>
        <v/>
      </c>
      <c r="C39" s="134" t="inlineStr">
        <is>
          <t>DESMED-2XL</t>
        </is>
      </c>
      <c r="D39" s="5">
        <f>IF($I2="","",INDEX(Productos!$B:$B,$I2))</f>
        <v/>
      </c>
      <c r="E39" s="5">
        <f>IF($I2="","",INDEX(Productos!$H:$H,$I2))</f>
        <v/>
      </c>
      <c r="F39" s="5">
        <f>IF($I2="","",INDEX(Productos!$I:$I,$I2))</f>
        <v/>
      </c>
      <c r="G39" s="135" t="n">
        <v>-1</v>
      </c>
      <c r="H39" s="5">
        <f>IF($I2="","",INDEX(Productos!$AG:$AG,$I2))</f>
        <v/>
      </c>
      <c r="I39" s="136">
        <f>LET(_xlpm.r,Productos!$E$2:$E$653,_xlpm.m,IFERROR(_xlfn.XMATCH(C39,_xlpm.r),IFERROR(_xlfn.XMATCH(VALUE(C39),_xlpm.r),0)),IF(_xlpm.m=0,"",_xlpm.m+1))</f>
        <v/>
      </c>
      <c r="J39" s="137" t="inlineStr">
        <is>
          <t>NetSuite</t>
        </is>
      </c>
    </row>
    <row r="40">
      <c r="A40" s="5" t="inlineStr">
        <is>
          <t>CONSIGNA REFLO</t>
        </is>
      </c>
      <c r="B40" s="5">
        <f>IF($I2="","",INDEX(Productos!$A:$A,$I2))</f>
        <v/>
      </c>
      <c r="C40" s="134" t="inlineStr">
        <is>
          <t>DESMED-L</t>
        </is>
      </c>
      <c r="D40" s="5">
        <f>IF($I2="","",INDEX(Productos!$B:$B,$I2))</f>
        <v/>
      </c>
      <c r="E40" s="5">
        <f>IF($I2="","",INDEX(Productos!$H:$H,$I2))</f>
        <v/>
      </c>
      <c r="F40" s="5">
        <f>IF($I2="","",INDEX(Productos!$I:$I,$I2))</f>
        <v/>
      </c>
      <c r="G40" s="135" t="n">
        <v>-1</v>
      </c>
      <c r="H40" s="5">
        <f>IF($I2="","",INDEX(Productos!$AG:$AG,$I2))</f>
        <v/>
      </c>
      <c r="I40" s="136">
        <f>LET(_xlpm.r,Productos!$E$2:$E$653,_xlpm.m,IFERROR(_xlfn.XMATCH(C40,_xlpm.r),IFERROR(_xlfn.XMATCH(VALUE(C40),_xlpm.r),0)),IF(_xlpm.m=0,"",_xlpm.m+1))</f>
        <v/>
      </c>
      <c r="J40" s="137" t="inlineStr">
        <is>
          <t>NetSuite</t>
        </is>
      </c>
    </row>
    <row r="41">
      <c r="A41" s="5" t="inlineStr">
        <is>
          <t>CONSIGNA REFLO</t>
        </is>
      </c>
      <c r="B41" s="5">
        <f>IF($I2="","",INDEX(Productos!$A:$A,$I2))</f>
        <v/>
      </c>
      <c r="C41" s="134" t="inlineStr">
        <is>
          <t>DESMED-M</t>
        </is>
      </c>
      <c r="D41" s="5">
        <f>IF($I2="","",INDEX(Productos!$B:$B,$I2))</f>
        <v/>
      </c>
      <c r="E41" s="5">
        <f>IF($I2="","",INDEX(Productos!$H:$H,$I2))</f>
        <v/>
      </c>
      <c r="F41" s="5">
        <f>IF($I2="","",INDEX(Productos!$I:$I,$I2))</f>
        <v/>
      </c>
      <c r="G41" s="135" t="n">
        <v>-1</v>
      </c>
      <c r="H41" s="5">
        <f>IF($I2="","",INDEX(Productos!$AG:$AG,$I2))</f>
        <v/>
      </c>
      <c r="I41" s="136">
        <f>LET(_xlpm.r,Productos!$E$2:$E$653,_xlpm.m,IFERROR(_xlfn.XMATCH(C41,_xlpm.r),IFERROR(_xlfn.XMATCH(VALUE(C41),_xlpm.r),0)),IF(_xlpm.m=0,"",_xlpm.m+1))</f>
        <v/>
      </c>
      <c r="J41" s="137" t="inlineStr">
        <is>
          <t>NetSuite</t>
        </is>
      </c>
    </row>
    <row r="42">
      <c r="A42" s="5" t="inlineStr">
        <is>
          <t>CONSIGNA REFLO</t>
        </is>
      </c>
      <c r="B42" s="5">
        <f>IF($I2="","",INDEX(Productos!$A:$A,$I2))</f>
        <v/>
      </c>
      <c r="C42" s="134" t="inlineStr">
        <is>
          <t>DESMED-XL</t>
        </is>
      </c>
      <c r="D42" s="5">
        <f>IF($I2="","",INDEX(Productos!$B:$B,$I2))</f>
        <v/>
      </c>
      <c r="E42" s="5">
        <f>IF($I2="","",INDEX(Productos!$H:$H,$I2))</f>
        <v/>
      </c>
      <c r="F42" s="5">
        <f>IF($I2="","",INDEX(Productos!$I:$I,$I2))</f>
        <v/>
      </c>
      <c r="G42" s="135" t="n">
        <v>-1</v>
      </c>
      <c r="H42" s="5">
        <f>IF($I2="","",INDEX(Productos!$AG:$AG,$I2))</f>
        <v/>
      </c>
      <c r="I42" s="136">
        <f>LET(_xlpm.r,Productos!$E$2:$E$653,_xlpm.m,IFERROR(_xlfn.XMATCH(C42,_xlpm.r),IFERROR(_xlfn.XMATCH(VALUE(C42),_xlpm.r),0)),IF(_xlpm.m=0,"",_xlpm.m+1))</f>
        <v/>
      </c>
      <c r="J42" s="137" t="inlineStr">
        <is>
          <t>NetSuite</t>
        </is>
      </c>
    </row>
    <row r="43">
      <c r="A43" s="5" t="inlineStr">
        <is>
          <t>CONSIGNA REFLO</t>
        </is>
      </c>
      <c r="B43" s="5">
        <f>IF($I2="","",INDEX(Productos!$A:$A,$I2))</f>
        <v/>
      </c>
      <c r="C43" s="134" t="inlineStr">
        <is>
          <t>DESQUA-M</t>
        </is>
      </c>
      <c r="D43" s="5">
        <f>IF($I2="","",INDEX(Productos!$B:$B,$I2))</f>
        <v/>
      </c>
      <c r="E43" s="5">
        <f>IF($I2="","",INDEX(Productos!$H:$H,$I2))</f>
        <v/>
      </c>
      <c r="F43" s="5">
        <f>IF($I2="","",INDEX(Productos!$I:$I,$I2))</f>
        <v/>
      </c>
      <c r="G43" s="135" t="n">
        <v>1</v>
      </c>
      <c r="H43" s="5">
        <f>IF($I2="","",INDEX(Productos!$AG:$AG,$I2))</f>
        <v/>
      </c>
      <c r="I43" s="136">
        <f>LET(_xlpm.r,Productos!$E$2:$E$653,_xlpm.m,IFERROR(_xlfn.XMATCH(C43,_xlpm.r),IFERROR(_xlfn.XMATCH(VALUE(C43),_xlpm.r),0)),IF(_xlpm.m=0,"",_xlpm.m+1))</f>
        <v/>
      </c>
      <c r="J43" s="137" t="inlineStr">
        <is>
          <t>NetSuite</t>
        </is>
      </c>
    </row>
    <row r="44">
      <c r="A44" s="5" t="inlineStr">
        <is>
          <t>CONSIGNA REFLO</t>
        </is>
      </c>
      <c r="B44" s="5">
        <f>IF($I2="","",INDEX(Productos!$A:$A,$I2))</f>
        <v/>
      </c>
      <c r="C44" s="134" t="inlineStr">
        <is>
          <t>DESQUA-XL</t>
        </is>
      </c>
      <c r="D44" s="5">
        <f>IF($I2="","",INDEX(Productos!$B:$B,$I2))</f>
        <v/>
      </c>
      <c r="E44" s="5">
        <f>IF($I2="","",INDEX(Productos!$H:$H,$I2))</f>
        <v/>
      </c>
      <c r="F44" s="5">
        <f>IF($I2="","",INDEX(Productos!$I:$I,$I2))</f>
        <v/>
      </c>
      <c r="G44" s="135" t="n">
        <v>1</v>
      </c>
      <c r="H44" s="5">
        <f>IF($I2="","",INDEX(Productos!$AG:$AG,$I2))</f>
        <v/>
      </c>
      <c r="I44" s="136">
        <f>LET(_xlpm.r,Productos!$E$2:$E$653,_xlpm.m,IFERROR(_xlfn.XMATCH(C44,_xlpm.r),IFERROR(_xlfn.XMATCH(VALUE(C44),_xlpm.r),0)),IF(_xlpm.m=0,"",_xlpm.m+1))</f>
        <v/>
      </c>
      <c r="J44" s="137" t="inlineStr">
        <is>
          <t>NetSuite</t>
        </is>
      </c>
    </row>
    <row r="45">
      <c r="A45" s="5" t="inlineStr">
        <is>
          <t>CONSIGNA REFLO</t>
        </is>
      </c>
      <c r="B45" s="5">
        <f>IF($I2="","",INDEX(Productos!$A:$A,$I2))</f>
        <v/>
      </c>
      <c r="C45" s="134" t="inlineStr">
        <is>
          <t>HUDBLA-M</t>
        </is>
      </c>
      <c r="D45" s="5">
        <f>IF($I2="","",INDEX(Productos!$B:$B,$I2))</f>
        <v/>
      </c>
      <c r="E45" s="5">
        <f>IF($I2="","",INDEX(Productos!$H:$H,$I2))</f>
        <v/>
      </c>
      <c r="F45" s="5">
        <f>IF($I2="","",INDEX(Productos!$I:$I,$I2))</f>
        <v/>
      </c>
      <c r="G45" s="135" t="n">
        <v>1</v>
      </c>
      <c r="H45" s="5">
        <f>IF($I2="","",INDEX(Productos!$AG:$AG,$I2))</f>
        <v/>
      </c>
      <c r="I45" s="136">
        <f>LET(_xlpm.r,Productos!$E$2:$E$653,_xlpm.m,IFERROR(_xlfn.XMATCH(C45,_xlpm.r),IFERROR(_xlfn.XMATCH(VALUE(C45),_xlpm.r),0)),IF(_xlpm.m=0,"",_xlpm.m+1))</f>
        <v/>
      </c>
      <c r="J45" s="137" t="inlineStr">
        <is>
          <t>NetSuite</t>
        </is>
      </c>
    </row>
    <row r="46">
      <c r="A46" s="5" t="inlineStr">
        <is>
          <t>CONSIGNA REFLO</t>
        </is>
      </c>
      <c r="B46" s="5">
        <f>IF($I2="","",INDEX(Productos!$A:$A,$I2))</f>
        <v/>
      </c>
      <c r="C46" s="134" t="inlineStr">
        <is>
          <t>HUDBLA-S</t>
        </is>
      </c>
      <c r="D46" s="5">
        <f>IF($I2="","",INDEX(Productos!$B:$B,$I2))</f>
        <v/>
      </c>
      <c r="E46" s="5">
        <f>IF($I2="","",INDEX(Productos!$H:$H,$I2))</f>
        <v/>
      </c>
      <c r="F46" s="5">
        <f>IF($I2="","",INDEX(Productos!$I:$I,$I2))</f>
        <v/>
      </c>
      <c r="G46" s="135" t="n">
        <v>2</v>
      </c>
      <c r="H46" s="5">
        <f>IF($I2="","",INDEX(Productos!$AG:$AG,$I2))</f>
        <v/>
      </c>
      <c r="I46" s="136">
        <f>LET(_xlpm.r,Productos!$E$2:$E$653,_xlpm.m,IFERROR(_xlfn.XMATCH(C46,_xlpm.r),IFERROR(_xlfn.XMATCH(VALUE(C46),_xlpm.r),0)),IF(_xlpm.m=0,"",_xlpm.m+1))</f>
        <v/>
      </c>
      <c r="J46" s="137" t="inlineStr">
        <is>
          <t>NetSuite</t>
        </is>
      </c>
    </row>
    <row r="47">
      <c r="A47" s="5" t="inlineStr">
        <is>
          <t>CONSIGNA REFLO</t>
        </is>
      </c>
      <c r="B47" s="5">
        <f>IF($I2="","",INDEX(Productos!$A:$A,$I2))</f>
        <v/>
      </c>
      <c r="C47" s="134" t="inlineStr">
        <is>
          <t>HUDBLA-XL</t>
        </is>
      </c>
      <c r="D47" s="5">
        <f>IF($I2="","",INDEX(Productos!$B:$B,$I2))</f>
        <v/>
      </c>
      <c r="E47" s="5">
        <f>IF($I2="","",INDEX(Productos!$H:$H,$I2))</f>
        <v/>
      </c>
      <c r="F47" s="5">
        <f>IF($I2="","",INDEX(Productos!$I:$I,$I2))</f>
        <v/>
      </c>
      <c r="G47" s="135" t="n">
        <v>1</v>
      </c>
      <c r="H47" s="5">
        <f>IF($I2="","",INDEX(Productos!$AG:$AG,$I2))</f>
        <v/>
      </c>
      <c r="I47" s="136">
        <f>LET(_xlpm.r,Productos!$E$2:$E$653,_xlpm.m,IFERROR(_xlfn.XMATCH(C47,_xlpm.r),IFERROR(_xlfn.XMATCH(VALUE(C47),_xlpm.r),0)),IF(_xlpm.m=0,"",_xlpm.m+1))</f>
        <v/>
      </c>
      <c r="J47" s="137" t="inlineStr">
        <is>
          <t>NetSuite</t>
        </is>
      </c>
    </row>
    <row r="48">
      <c r="A48" s="5" t="inlineStr">
        <is>
          <t>CONSIGNA REFLO</t>
        </is>
      </c>
      <c r="B48" s="5">
        <f>IF($I2="","",INDEX(Productos!$A:$A,$I2))</f>
        <v/>
      </c>
      <c r="C48" s="134" t="inlineStr">
        <is>
          <t>HUDCLO-M</t>
        </is>
      </c>
      <c r="D48" s="5">
        <f>IF($I2="","",INDEX(Productos!$B:$B,$I2))</f>
        <v/>
      </c>
      <c r="E48" s="5">
        <f>IF($I2="","",INDEX(Productos!$H:$H,$I2))</f>
        <v/>
      </c>
      <c r="F48" s="5">
        <f>IF($I2="","",INDEX(Productos!$I:$I,$I2))</f>
        <v/>
      </c>
      <c r="G48" s="135" t="n">
        <v>1</v>
      </c>
      <c r="H48" s="5">
        <f>IF($I2="","",INDEX(Productos!$AG:$AG,$I2))</f>
        <v/>
      </c>
      <c r="I48" s="136">
        <f>LET(_xlpm.r,Productos!$E$2:$E$653,_xlpm.m,IFERROR(_xlfn.XMATCH(C48,_xlpm.r),IFERROR(_xlfn.XMATCH(VALUE(C48),_xlpm.r),0)),IF(_xlpm.m=0,"",_xlpm.m+1))</f>
        <v/>
      </c>
      <c r="J48" s="137" t="inlineStr">
        <is>
          <t>NetSuite</t>
        </is>
      </c>
    </row>
    <row r="49">
      <c r="A49" s="5" t="inlineStr">
        <is>
          <t>CONSIGNA REFLO</t>
        </is>
      </c>
      <c r="B49" s="5">
        <f>IF($I2="","",INDEX(Productos!$A:$A,$I2))</f>
        <v/>
      </c>
      <c r="C49" s="134" t="inlineStr">
        <is>
          <t>HUDCLO-S</t>
        </is>
      </c>
      <c r="D49" s="5">
        <f>IF($I2="","",INDEX(Productos!$B:$B,$I2))</f>
        <v/>
      </c>
      <c r="E49" s="5">
        <f>IF($I2="","",INDEX(Productos!$H:$H,$I2))</f>
        <v/>
      </c>
      <c r="F49" s="5">
        <f>IF($I2="","",INDEX(Productos!$I:$I,$I2))</f>
        <v/>
      </c>
      <c r="G49" s="135" t="n">
        <v>2</v>
      </c>
      <c r="H49" s="5">
        <f>IF($I2="","",INDEX(Productos!$AG:$AG,$I2))</f>
        <v/>
      </c>
      <c r="I49" s="136">
        <f>LET(_xlpm.r,Productos!$E$2:$E$653,_xlpm.m,IFERROR(_xlfn.XMATCH(C49,_xlpm.r),IFERROR(_xlfn.XMATCH(VALUE(C49),_xlpm.r),0)),IF(_xlpm.m=0,"",_xlpm.m+1))</f>
        <v/>
      </c>
      <c r="J49" s="137" t="inlineStr">
        <is>
          <t>NetSuite</t>
        </is>
      </c>
    </row>
    <row r="50">
      <c r="A50" s="5" t="inlineStr">
        <is>
          <t>CONSIGNA REFLO</t>
        </is>
      </c>
      <c r="B50" s="5">
        <f>IF($I2="","",INDEX(Productos!$A:$A,$I2))</f>
        <v/>
      </c>
      <c r="C50" s="134" t="inlineStr">
        <is>
          <t>HUDCLO-XL</t>
        </is>
      </c>
      <c r="D50" s="5">
        <f>IF($I2="","",INDEX(Productos!$B:$B,$I2))</f>
        <v/>
      </c>
      <c r="E50" s="5">
        <f>IF($I2="","",INDEX(Productos!$H:$H,$I2))</f>
        <v/>
      </c>
      <c r="F50" s="5">
        <f>IF($I2="","",INDEX(Productos!$I:$I,$I2))</f>
        <v/>
      </c>
      <c r="G50" s="135" t="n">
        <v>1</v>
      </c>
      <c r="H50" s="5">
        <f>IF($I2="","",INDEX(Productos!$AG:$AG,$I2))</f>
        <v/>
      </c>
      <c r="I50" s="136">
        <f>LET(_xlpm.r,Productos!$E$2:$E$653,_xlpm.m,IFERROR(_xlfn.XMATCH(C50,_xlpm.r),IFERROR(_xlfn.XMATCH(VALUE(C50),_xlpm.r),0)),IF(_xlpm.m=0,"",_xlpm.m+1))</f>
        <v/>
      </c>
      <c r="J50" s="137" t="inlineStr">
        <is>
          <t>NetSuite</t>
        </is>
      </c>
    </row>
    <row r="51">
      <c r="A51" s="5" t="inlineStr">
        <is>
          <t>CONSIGNA REFLO</t>
        </is>
      </c>
      <c r="B51" s="5">
        <f>IF($I2="","",INDEX(Productos!$A:$A,$I2))</f>
        <v/>
      </c>
      <c r="C51" s="134" t="inlineStr">
        <is>
          <t>HUDCOR-2XL</t>
        </is>
      </c>
      <c r="D51" s="5">
        <f>IF($I2="","",INDEX(Productos!$B:$B,$I2))</f>
        <v/>
      </c>
      <c r="E51" s="5">
        <f>IF($I2="","",INDEX(Productos!$H:$H,$I2))</f>
        <v/>
      </c>
      <c r="F51" s="5">
        <f>IF($I2="","",INDEX(Productos!$I:$I,$I2))</f>
        <v/>
      </c>
      <c r="G51" s="135" t="n">
        <v>-1</v>
      </c>
      <c r="H51" s="5">
        <f>IF($I2="","",INDEX(Productos!$AG:$AG,$I2))</f>
        <v/>
      </c>
      <c r="I51" s="136">
        <f>LET(_xlpm.r,Productos!$E$2:$E$653,_xlpm.m,IFERROR(_xlfn.XMATCH(C51,_xlpm.r),IFERROR(_xlfn.XMATCH(VALUE(C51),_xlpm.r),0)),IF(_xlpm.m=0,"",_xlpm.m+1))</f>
        <v/>
      </c>
      <c r="J51" s="137" t="inlineStr">
        <is>
          <t>NetSuite</t>
        </is>
      </c>
    </row>
    <row r="52">
      <c r="A52" s="5" t="inlineStr">
        <is>
          <t>CONSIGNA REFLO</t>
        </is>
      </c>
      <c r="B52" s="5">
        <f>IF($I2="","",INDEX(Productos!$A:$A,$I2))</f>
        <v/>
      </c>
      <c r="C52" s="134" t="inlineStr">
        <is>
          <t>HUDCOR-M</t>
        </is>
      </c>
      <c r="D52" s="5">
        <f>IF($I2="","",INDEX(Productos!$B:$B,$I2))</f>
        <v/>
      </c>
      <c r="E52" s="5">
        <f>IF($I2="","",INDEX(Productos!$H:$H,$I2))</f>
        <v/>
      </c>
      <c r="F52" s="5">
        <f>IF($I2="","",INDEX(Productos!$I:$I,$I2))</f>
        <v/>
      </c>
      <c r="G52" s="135" t="n">
        <v>1</v>
      </c>
      <c r="H52" s="5">
        <f>IF($I2="","",INDEX(Productos!$AG:$AG,$I2))</f>
        <v/>
      </c>
      <c r="I52" s="136">
        <f>LET(_xlpm.r,Productos!$E$2:$E$653,_xlpm.m,IFERROR(_xlfn.XMATCH(C52,_xlpm.r),IFERROR(_xlfn.XMATCH(VALUE(C52),_xlpm.r),0)),IF(_xlpm.m=0,"",_xlpm.m+1))</f>
        <v/>
      </c>
      <c r="J52" s="137" t="inlineStr">
        <is>
          <t>NetSuite</t>
        </is>
      </c>
    </row>
    <row r="53">
      <c r="A53" s="5" t="inlineStr">
        <is>
          <t>CONSIGNA REFLO</t>
        </is>
      </c>
      <c r="B53" s="5">
        <f>IF($I2="","",INDEX(Productos!$A:$A,$I2))</f>
        <v/>
      </c>
      <c r="C53" s="134" t="inlineStr">
        <is>
          <t>HUDCOR-XL</t>
        </is>
      </c>
      <c r="D53" s="5">
        <f>IF($I2="","",INDEX(Productos!$B:$B,$I2))</f>
        <v/>
      </c>
      <c r="E53" s="5">
        <f>IF($I2="","",INDEX(Productos!$H:$H,$I2))</f>
        <v/>
      </c>
      <c r="F53" s="5">
        <f>IF($I2="","",INDEX(Productos!$I:$I,$I2))</f>
        <v/>
      </c>
      <c r="G53" s="135" t="n">
        <v>1</v>
      </c>
      <c r="H53" s="5">
        <f>IF($I2="","",INDEX(Productos!$AG:$AG,$I2))</f>
        <v/>
      </c>
      <c r="I53" s="136">
        <f>LET(_xlpm.r,Productos!$E$2:$E$653,_xlpm.m,IFERROR(_xlfn.XMATCH(C53,_xlpm.r),IFERROR(_xlfn.XMATCH(VALUE(C53),_xlpm.r),0)),IF(_xlpm.m=0,"",_xlpm.m+1))</f>
        <v/>
      </c>
      <c r="J53" s="137" t="inlineStr">
        <is>
          <t>NetSuite</t>
        </is>
      </c>
    </row>
    <row r="54">
      <c r="A54" s="5" t="inlineStr">
        <is>
          <t>CONSIGNA REFLO</t>
        </is>
      </c>
      <c r="B54" s="5">
        <f>IF($I2="","",INDEX(Productos!$A:$A,$I2))</f>
        <v/>
      </c>
      <c r="C54" s="134" t="inlineStr">
        <is>
          <t>HUDDAR-S</t>
        </is>
      </c>
      <c r="D54" s="5">
        <f>IF($I2="","",INDEX(Productos!$B:$B,$I2))</f>
        <v/>
      </c>
      <c r="E54" s="5">
        <f>IF($I2="","",INDEX(Productos!$H:$H,$I2))</f>
        <v/>
      </c>
      <c r="F54" s="5">
        <f>IF($I2="","",INDEX(Productos!$I:$I,$I2))</f>
        <v/>
      </c>
      <c r="G54" s="135" t="n">
        <v>2</v>
      </c>
      <c r="H54" s="5">
        <f>IF($I2="","",INDEX(Productos!$AG:$AG,$I2))</f>
        <v/>
      </c>
      <c r="I54" s="136">
        <f>LET(_xlpm.r,Productos!$E$2:$E$653,_xlpm.m,IFERROR(_xlfn.XMATCH(C54,_xlpm.r),IFERROR(_xlfn.XMATCH(VALUE(C54),_xlpm.r),0)),IF(_xlpm.m=0,"",_xlpm.m+1))</f>
        <v/>
      </c>
      <c r="J54" s="137" t="inlineStr">
        <is>
          <t>NetSuite</t>
        </is>
      </c>
    </row>
    <row r="55">
      <c r="A55" s="5" t="inlineStr">
        <is>
          <t>CONSIGNA REFLO</t>
        </is>
      </c>
      <c r="B55" s="5">
        <f>IF($I2="","",INDEX(Productos!$A:$A,$I2))</f>
        <v/>
      </c>
      <c r="C55" s="134" t="inlineStr">
        <is>
          <t>HUDDAR-XL</t>
        </is>
      </c>
      <c r="D55" s="5">
        <f>IF($I2="","",INDEX(Productos!$B:$B,$I2))</f>
        <v/>
      </c>
      <c r="E55" s="5">
        <f>IF($I2="","",INDEX(Productos!$H:$H,$I2))</f>
        <v/>
      </c>
      <c r="F55" s="5">
        <f>IF($I2="","",INDEX(Productos!$I:$I,$I2))</f>
        <v/>
      </c>
      <c r="G55" s="135" t="n">
        <v>1</v>
      </c>
      <c r="H55" s="5">
        <f>IF($I2="","",INDEX(Productos!$AG:$AG,$I2))</f>
        <v/>
      </c>
      <c r="I55" s="136">
        <f>LET(_xlpm.r,Productos!$E$2:$E$653,_xlpm.m,IFERROR(_xlfn.XMATCH(C55,_xlpm.r),IFERROR(_xlfn.XMATCH(VALUE(C55),_xlpm.r),0)),IF(_xlpm.m=0,"",_xlpm.m+1))</f>
        <v/>
      </c>
      <c r="J55" s="137" t="inlineStr">
        <is>
          <t>NetSuite</t>
        </is>
      </c>
    </row>
    <row r="56">
      <c r="A56" s="5" t="inlineStr">
        <is>
          <t>CONSIGNA REFLO</t>
        </is>
      </c>
      <c r="B56" s="5">
        <f>IF($I2="","",INDEX(Productos!$A:$A,$I2))</f>
        <v/>
      </c>
      <c r="C56" s="134" t="inlineStr">
        <is>
          <t>HUDNAV-S</t>
        </is>
      </c>
      <c r="D56" s="5">
        <f>IF($I2="","",INDEX(Productos!$B:$B,$I2))</f>
        <v/>
      </c>
      <c r="E56" s="5">
        <f>IF($I2="","",INDEX(Productos!$H:$H,$I2))</f>
        <v/>
      </c>
      <c r="F56" s="5">
        <f>IF($I2="","",INDEX(Productos!$I:$I,$I2))</f>
        <v/>
      </c>
      <c r="G56" s="135" t="n">
        <v>2</v>
      </c>
      <c r="H56" s="5">
        <f>IF($I2="","",INDEX(Productos!$AG:$AG,$I2))</f>
        <v/>
      </c>
      <c r="I56" s="136">
        <f>LET(_xlpm.r,Productos!$E$2:$E$653,_xlpm.m,IFERROR(_xlfn.XMATCH(C56,_xlpm.r),IFERROR(_xlfn.XMATCH(VALUE(C56),_xlpm.r),0)),IF(_xlpm.m=0,"",_xlpm.m+1))</f>
        <v/>
      </c>
      <c r="J56" s="137" t="inlineStr">
        <is>
          <t>NetSuite</t>
        </is>
      </c>
    </row>
    <row r="57">
      <c r="A57" s="5" t="inlineStr">
        <is>
          <t>CONSIGNA REFLO</t>
        </is>
      </c>
      <c r="B57" s="5">
        <f>IF($I2="","",INDEX(Productos!$A:$A,$I2))</f>
        <v/>
      </c>
      <c r="C57" s="134" t="inlineStr">
        <is>
          <t>HUDNAV-XL</t>
        </is>
      </c>
      <c r="D57" s="5">
        <f>IF($I2="","",INDEX(Productos!$B:$B,$I2))</f>
        <v/>
      </c>
      <c r="E57" s="5">
        <f>IF($I2="","",INDEX(Productos!$H:$H,$I2))</f>
        <v/>
      </c>
      <c r="F57" s="5">
        <f>IF($I2="","",INDEX(Productos!$I:$I,$I2))</f>
        <v/>
      </c>
      <c r="G57" s="135" t="n">
        <v>1</v>
      </c>
      <c r="H57" s="5">
        <f>IF($I2="","",INDEX(Productos!$AG:$AG,$I2))</f>
        <v/>
      </c>
      <c r="I57" s="136">
        <f>LET(_xlpm.r,Productos!$E$2:$E$653,_xlpm.m,IFERROR(_xlfn.XMATCH(C57,_xlpm.r),IFERROR(_xlfn.XMATCH(VALUE(C57),_xlpm.r),0)),IF(_xlpm.m=0,"",_xlpm.m+1))</f>
        <v/>
      </c>
      <c r="J57" s="137" t="inlineStr">
        <is>
          <t>NetSuite</t>
        </is>
      </c>
    </row>
    <row r="58">
      <c r="A58" s="5" t="inlineStr">
        <is>
          <t>CONSIGNA REFLO</t>
        </is>
      </c>
      <c r="B58" s="5">
        <f>IF($I2="","",INDEX(Productos!$A:$A,$I2))</f>
        <v/>
      </c>
      <c r="C58" s="134" t="inlineStr">
        <is>
          <t>HUDSOXY-M</t>
        </is>
      </c>
      <c r="D58" s="5">
        <f>IF($I2="","",INDEX(Productos!$B:$B,$I2))</f>
        <v/>
      </c>
      <c r="E58" s="5">
        <f>IF($I2="","",INDEX(Productos!$H:$H,$I2))</f>
        <v/>
      </c>
      <c r="F58" s="5">
        <f>IF($I2="","",INDEX(Productos!$I:$I,$I2))</f>
        <v/>
      </c>
      <c r="G58" s="135" t="n">
        <v>-1</v>
      </c>
      <c r="H58" s="5">
        <f>IF($I2="","",INDEX(Productos!$AG:$AG,$I2))</f>
        <v/>
      </c>
      <c r="I58" s="136">
        <f>LET(_xlpm.r,Productos!$E$2:$E$653,_xlpm.m,IFERROR(_xlfn.XMATCH(C58,_xlpm.r),IFERROR(_xlfn.XMATCH(VALUE(C58),_xlpm.r),0)),IF(_xlpm.m=0,"",_xlpm.m+1))</f>
        <v/>
      </c>
      <c r="J58" s="137" t="inlineStr">
        <is>
          <t>NetSuite</t>
        </is>
      </c>
    </row>
    <row r="59">
      <c r="A59" s="5" t="inlineStr">
        <is>
          <t>CONSIGNA REFLO</t>
        </is>
      </c>
      <c r="B59" s="5">
        <f>IF($I2="","",INDEX(Productos!$A:$A,$I2))</f>
        <v/>
      </c>
      <c r="C59" s="134" t="inlineStr">
        <is>
          <t>HUDSOXY-XL</t>
        </is>
      </c>
      <c r="D59" s="5">
        <f>IF($I2="","",INDEX(Productos!$B:$B,$I2))</f>
        <v/>
      </c>
      <c r="E59" s="5">
        <f>IF($I2="","",INDEX(Productos!$H:$H,$I2))</f>
        <v/>
      </c>
      <c r="F59" s="5">
        <f>IF($I2="","",INDEX(Productos!$I:$I,$I2))</f>
        <v/>
      </c>
      <c r="G59" s="135" t="n">
        <v>-1</v>
      </c>
      <c r="H59" s="5">
        <f>IF($I2="","",INDEX(Productos!$AG:$AG,$I2))</f>
        <v/>
      </c>
      <c r="I59" s="136">
        <f>LET(_xlpm.r,Productos!$E$2:$E$653,_xlpm.m,IFERROR(_xlfn.XMATCH(C59,_xlpm.r),IFERROR(_xlfn.XMATCH(VALUE(C59),_xlpm.r),0)),IF(_xlpm.m=0,"",_xlpm.m+1))</f>
        <v/>
      </c>
      <c r="J59" s="137" t="inlineStr">
        <is>
          <t>NetSuite</t>
        </is>
      </c>
    </row>
    <row r="60">
      <c r="A60" s="5" t="inlineStr">
        <is>
          <t>CONSIGNA REFLO</t>
        </is>
      </c>
      <c r="B60" s="5">
        <f>IF($I2="","",INDEX(Productos!$A:$A,$I2))</f>
        <v/>
      </c>
      <c r="C60" s="134" t="inlineStr">
        <is>
          <t>LEVANAVO-OS</t>
        </is>
      </c>
      <c r="D60" s="5">
        <f>IF($I2="","",INDEX(Productos!$B:$B,$I2))</f>
        <v/>
      </c>
      <c r="E60" s="5">
        <f>IF($I2="","",INDEX(Productos!$H:$H,$I2))</f>
        <v/>
      </c>
      <c r="F60" s="5">
        <f>IF($I2="","",INDEX(Productos!$I:$I,$I2))</f>
        <v/>
      </c>
      <c r="G60" s="135" t="n">
        <v>-2</v>
      </c>
      <c r="H60" s="5">
        <f>IF($I2="","",INDEX(Productos!$AG:$AG,$I2))</f>
        <v/>
      </c>
      <c r="I60" s="136">
        <f>LET(_xlpm.r,Productos!$E$2:$E$653,_xlpm.m,IFERROR(_xlfn.XMATCH(C60,_xlpm.r),IFERROR(_xlfn.XMATCH(VALUE(C60),_xlpm.r),0)),IF(_xlpm.m=0,"",_xlpm.m+1))</f>
        <v/>
      </c>
      <c r="J60" s="137" t="inlineStr">
        <is>
          <t>NetSuite</t>
        </is>
      </c>
    </row>
    <row r="61">
      <c r="A61" s="5" t="inlineStr">
        <is>
          <t>CONSIGNA REFLO</t>
        </is>
      </c>
      <c r="B61" s="5">
        <f>IF($I2="","",INDEX(Productos!$A:$A,$I2))</f>
        <v/>
      </c>
      <c r="C61" s="134" t="inlineStr">
        <is>
          <t>LEVAWHIO-OS</t>
        </is>
      </c>
      <c r="D61" s="5">
        <f>IF($I2="","",INDEX(Productos!$B:$B,$I2))</f>
        <v/>
      </c>
      <c r="E61" s="5">
        <f>IF($I2="","",INDEX(Productos!$H:$H,$I2))</f>
        <v/>
      </c>
      <c r="F61" s="5">
        <f>IF($I2="","",INDEX(Productos!$I:$I,$I2))</f>
        <v/>
      </c>
      <c r="G61" s="135" t="n">
        <v>-2</v>
      </c>
      <c r="H61" s="5">
        <f>IF($I2="","",INDEX(Productos!$AG:$AG,$I2))</f>
        <v/>
      </c>
      <c r="I61" s="136">
        <f>LET(_xlpm.r,Productos!$E$2:$E$653,_xlpm.m,IFERROR(_xlfn.XMATCH(C61,_xlpm.r),IFERROR(_xlfn.XMATCH(VALUE(C61),_xlpm.r),0)),IF(_xlpm.m=0,"",_xlpm.m+1))</f>
        <v/>
      </c>
      <c r="J61" s="137" t="inlineStr">
        <is>
          <t>NetSuite</t>
        </is>
      </c>
    </row>
    <row r="62">
      <c r="A62" s="5" t="inlineStr">
        <is>
          <t>CONSIGNA REFLO</t>
        </is>
      </c>
      <c r="B62" s="5">
        <f>IF($I2="","",INDEX(Productos!$A:$A,$I2))</f>
        <v/>
      </c>
      <c r="C62" s="134" t="inlineStr">
        <is>
          <t>MAHITOWG-OS</t>
        </is>
      </c>
      <c r="D62" s="5">
        <f>IF($I2="","",INDEX(Productos!$B:$B,$I2))</f>
        <v/>
      </c>
      <c r="E62" s="5">
        <f>IF($I2="","",INDEX(Productos!$H:$H,$I2))</f>
        <v/>
      </c>
      <c r="F62" s="5">
        <f>IF($I2="","",INDEX(Productos!$I:$I,$I2))</f>
        <v/>
      </c>
      <c r="G62" s="135" t="n">
        <v>-5</v>
      </c>
      <c r="H62" s="5">
        <f>IF($I2="","",INDEX(Productos!$AG:$AG,$I2))</f>
        <v/>
      </c>
      <c r="I62" s="136">
        <f>LET(_xlpm.r,Productos!$E$2:$E$653,_xlpm.m,IFERROR(_xlfn.XMATCH(C62,_xlpm.r),IFERROR(_xlfn.XMATCH(VALUE(C62),_xlpm.r),0)),IF(_xlpm.m=0,"",_xlpm.m+1))</f>
        <v/>
      </c>
      <c r="J62" s="137" t="inlineStr">
        <is>
          <t>NetSuite</t>
        </is>
      </c>
    </row>
    <row r="63">
      <c r="A63" s="5" t="inlineStr">
        <is>
          <t>CONSIGNA REFLO</t>
        </is>
      </c>
      <c r="B63" s="5">
        <f>IF($I2="","",INDEX(Productos!$A:$A,$I2))</f>
        <v/>
      </c>
      <c r="C63" s="134" t="inlineStr">
        <is>
          <t>MOACOR-2XL</t>
        </is>
      </c>
      <c r="D63" s="5">
        <f>IF($I2="","",INDEX(Productos!$B:$B,$I2))</f>
        <v/>
      </c>
      <c r="E63" s="5">
        <f>IF($I2="","",INDEX(Productos!$H:$H,$I2))</f>
        <v/>
      </c>
      <c r="F63" s="5">
        <f>IF($I2="","",INDEX(Productos!$I:$I,$I2))</f>
        <v/>
      </c>
      <c r="G63" s="135" t="n">
        <v>1</v>
      </c>
      <c r="H63" s="5">
        <f>IF($I2="","",INDEX(Productos!$AG:$AG,$I2))</f>
        <v/>
      </c>
      <c r="I63" s="136">
        <f>LET(_xlpm.r,Productos!$E$2:$E$653,_xlpm.m,IFERROR(_xlfn.XMATCH(C63,_xlpm.r),IFERROR(_xlfn.XMATCH(VALUE(C63),_xlpm.r),0)),IF(_xlpm.m=0,"",_xlpm.m+1))</f>
        <v/>
      </c>
      <c r="J63" s="137" t="inlineStr">
        <is>
          <t>NetSuite</t>
        </is>
      </c>
    </row>
    <row r="64">
      <c r="A64" s="5" t="inlineStr">
        <is>
          <t>CONSIGNA REFLO</t>
        </is>
      </c>
      <c r="B64" s="5">
        <f>IF($I2="","",INDEX(Productos!$A:$A,$I2))</f>
        <v/>
      </c>
      <c r="C64" s="134" t="inlineStr">
        <is>
          <t>MOACOR-L</t>
        </is>
      </c>
      <c r="D64" s="5">
        <f>IF($I2="","",INDEX(Productos!$B:$B,$I2))</f>
        <v/>
      </c>
      <c r="E64" s="5">
        <f>IF($I2="","",INDEX(Productos!$H:$H,$I2))</f>
        <v/>
      </c>
      <c r="F64" s="5">
        <f>IF($I2="","",INDEX(Productos!$I:$I,$I2))</f>
        <v/>
      </c>
      <c r="G64" s="135" t="n">
        <v>2</v>
      </c>
      <c r="H64" s="5">
        <f>IF($I2="","",INDEX(Productos!$AG:$AG,$I2))</f>
        <v/>
      </c>
      <c r="I64" s="136">
        <f>LET(_xlpm.r,Productos!$E$2:$E$653,_xlpm.m,IFERROR(_xlfn.XMATCH(C64,_xlpm.r),IFERROR(_xlfn.XMATCH(VALUE(C64),_xlpm.r),0)),IF(_xlpm.m=0,"",_xlpm.m+1))</f>
        <v/>
      </c>
      <c r="J64" s="137" t="inlineStr">
        <is>
          <t>NetSuite</t>
        </is>
      </c>
    </row>
    <row r="65">
      <c r="A65" s="5" t="inlineStr">
        <is>
          <t>CONSIGNA REFLO</t>
        </is>
      </c>
      <c r="B65" s="5">
        <f>IF($I2="","",INDEX(Productos!$A:$A,$I2))</f>
        <v/>
      </c>
      <c r="C65" s="134" t="inlineStr">
        <is>
          <t>MOACOR-M</t>
        </is>
      </c>
      <c r="D65" s="5">
        <f>IF($I2="","",INDEX(Productos!$B:$B,$I2))</f>
        <v/>
      </c>
      <c r="E65" s="5">
        <f>IF($I2="","",INDEX(Productos!$H:$H,$I2))</f>
        <v/>
      </c>
      <c r="F65" s="5">
        <f>IF($I2="","",INDEX(Productos!$I:$I,$I2))</f>
        <v/>
      </c>
      <c r="G65" s="135" t="n">
        <v>1</v>
      </c>
      <c r="H65" s="5">
        <f>IF($I2="","",INDEX(Productos!$AG:$AG,$I2))</f>
        <v/>
      </c>
      <c r="I65" s="136">
        <f>LET(_xlpm.r,Productos!$E$2:$E$653,_xlpm.m,IFERROR(_xlfn.XMATCH(C65,_xlpm.r),IFERROR(_xlfn.XMATCH(VALUE(C65),_xlpm.r),0)),IF(_xlpm.m=0,"",_xlpm.m+1))</f>
        <v/>
      </c>
      <c r="J65" s="137" t="inlineStr">
        <is>
          <t>NetSuite</t>
        </is>
      </c>
    </row>
    <row r="66">
      <c r="A66" s="5" t="inlineStr">
        <is>
          <t>CONSIGNA REFLO</t>
        </is>
      </c>
      <c r="B66" s="5">
        <f>IF($I2="","",INDEX(Productos!$A:$A,$I2))</f>
        <v/>
      </c>
      <c r="C66" s="134" t="inlineStr">
        <is>
          <t>MOACOR-S</t>
        </is>
      </c>
      <c r="D66" s="5">
        <f>IF($I2="","",INDEX(Productos!$B:$B,$I2))</f>
        <v/>
      </c>
      <c r="E66" s="5">
        <f>IF($I2="","",INDEX(Productos!$H:$H,$I2))</f>
        <v/>
      </c>
      <c r="F66" s="5">
        <f>IF($I2="","",INDEX(Productos!$I:$I,$I2))</f>
        <v/>
      </c>
      <c r="G66" s="135" t="n">
        <v>2</v>
      </c>
      <c r="H66" s="5">
        <f>IF($I2="","",INDEX(Productos!$AG:$AG,$I2))</f>
        <v/>
      </c>
      <c r="I66" s="136">
        <f>LET(_xlpm.r,Productos!$E$2:$E$653,_xlpm.m,IFERROR(_xlfn.XMATCH(C66,_xlpm.r),IFERROR(_xlfn.XMATCH(VALUE(C66),_xlpm.r),0)),IF(_xlpm.m=0,"",_xlpm.m+1))</f>
        <v/>
      </c>
      <c r="J66" s="137" t="inlineStr">
        <is>
          <t>NetSuite</t>
        </is>
      </c>
    </row>
    <row r="67">
      <c r="A67" s="5" t="inlineStr">
        <is>
          <t>CONSIGNA REFLO</t>
        </is>
      </c>
      <c r="B67" s="5">
        <f>IF($I2="","",INDEX(Productos!$A:$A,$I2))</f>
        <v/>
      </c>
      <c r="C67" s="134" t="inlineStr">
        <is>
          <t>MOACOR-XL</t>
        </is>
      </c>
      <c r="D67" s="5">
        <f>IF($I2="","",INDEX(Productos!$B:$B,$I2))</f>
        <v/>
      </c>
      <c r="E67" s="5">
        <f>IF($I2="","",INDEX(Productos!$H:$H,$I2))</f>
        <v/>
      </c>
      <c r="F67" s="5">
        <f>IF($I2="","",INDEX(Productos!$I:$I,$I2))</f>
        <v/>
      </c>
      <c r="G67" s="135" t="n">
        <v>2</v>
      </c>
      <c r="H67" s="5">
        <f>IF($I2="","",INDEX(Productos!$AG:$AG,$I2))</f>
        <v/>
      </c>
      <c r="I67" s="136">
        <f>LET(_xlpm.r,Productos!$E$2:$E$653,_xlpm.m,IFERROR(_xlfn.XMATCH(C67,_xlpm.r),IFERROR(_xlfn.XMATCH(VALUE(C67),_xlpm.r),0)),IF(_xlpm.m=0,"",_xlpm.m+1))</f>
        <v/>
      </c>
      <c r="J67" s="137" t="inlineStr">
        <is>
          <t>NetSuite</t>
        </is>
      </c>
    </row>
    <row r="68">
      <c r="A68" s="5" t="inlineStr">
        <is>
          <t>CONSIGNA REFLO</t>
        </is>
      </c>
      <c r="B68" s="5">
        <f>IF($I2="","",INDEX(Productos!$A:$A,$I2))</f>
        <v/>
      </c>
      <c r="C68" s="134" t="inlineStr">
        <is>
          <t>OTIGRE-S</t>
        </is>
      </c>
      <c r="D68" s="5">
        <f>IF($I2="","",INDEX(Productos!$B:$B,$I2))</f>
        <v/>
      </c>
      <c r="E68" s="5">
        <f>IF($I2="","",INDEX(Productos!$H:$H,$I2))</f>
        <v/>
      </c>
      <c r="F68" s="5">
        <f>IF($I2="","",INDEX(Productos!$I:$I,$I2))</f>
        <v/>
      </c>
      <c r="G68" s="135" t="n">
        <v>1</v>
      </c>
      <c r="H68" s="5">
        <f>IF($I2="","",INDEX(Productos!$AG:$AG,$I2))</f>
        <v/>
      </c>
      <c r="I68" s="136">
        <f>LET(_xlpm.r,Productos!$E$2:$E$653,_xlpm.m,IFERROR(_xlfn.XMATCH(C68,_xlpm.r),IFERROR(_xlfn.XMATCH(VALUE(C68),_xlpm.r),0)),IF(_xlpm.m=0,"",_xlpm.m+1))</f>
        <v/>
      </c>
      <c r="J68" s="137" t="inlineStr">
        <is>
          <t>NetSuite</t>
        </is>
      </c>
    </row>
    <row r="69">
      <c r="A69" s="5" t="inlineStr">
        <is>
          <t>CONSIGNA REFLO</t>
        </is>
      </c>
      <c r="B69" s="5">
        <f>IF($I2="","",INDEX(Productos!$A:$A,$I2))</f>
        <v/>
      </c>
      <c r="C69" s="134" t="inlineStr">
        <is>
          <t>OTIGRE-XL</t>
        </is>
      </c>
      <c r="D69" s="5">
        <f>IF($I2="","",INDEX(Productos!$B:$B,$I2))</f>
        <v/>
      </c>
      <c r="E69" s="5">
        <f>IF($I2="","",INDEX(Productos!$H:$H,$I2))</f>
        <v/>
      </c>
      <c r="F69" s="5">
        <f>IF($I2="","",INDEX(Productos!$I:$I,$I2))</f>
        <v/>
      </c>
      <c r="G69" s="135" t="n">
        <v>-1</v>
      </c>
      <c r="H69" s="5">
        <f>IF($I2="","",INDEX(Productos!$AG:$AG,$I2))</f>
        <v/>
      </c>
      <c r="I69" s="136">
        <f>LET(_xlpm.r,Productos!$E$2:$E$653,_xlpm.m,IFERROR(_xlfn.XMATCH(C69,_xlpm.r),IFERROR(_xlfn.XMATCH(VALUE(C69),_xlpm.r),0)),IF(_xlpm.m=0,"",_xlpm.m+1))</f>
        <v/>
      </c>
      <c r="J69" s="137" t="inlineStr">
        <is>
          <t>NetSuite</t>
        </is>
      </c>
    </row>
    <row r="70">
      <c r="A70" s="5" t="inlineStr">
        <is>
          <t>CONSIGNA REFLO</t>
        </is>
      </c>
      <c r="B70" s="5">
        <f>IF($I2="","",INDEX(Productos!$A:$A,$I2))</f>
        <v/>
      </c>
      <c r="C70" s="134" t="inlineStr">
        <is>
          <t>RM02101009-30</t>
        </is>
      </c>
      <c r="D70" s="5">
        <f>IF($I2="","",INDEX(Productos!$B:$B,$I2))</f>
        <v/>
      </c>
      <c r="E70" s="5">
        <f>IF($I2="","",INDEX(Productos!$H:$H,$I2))</f>
        <v/>
      </c>
      <c r="F70" s="5">
        <f>IF($I2="","",INDEX(Productos!$I:$I,$I2))</f>
        <v/>
      </c>
      <c r="G70" s="135" t="n">
        <v>-1</v>
      </c>
      <c r="H70" s="5">
        <f>IF($I2="","",INDEX(Productos!$AG:$AG,$I2))</f>
        <v/>
      </c>
      <c r="I70" s="136">
        <f>LET(_xlpm.r,Productos!$E$2:$E$653,_xlpm.m,IFERROR(_xlfn.XMATCH(C70,_xlpm.r),IFERROR(_xlfn.XMATCH(VALUE(C70),_xlpm.r),0)),IF(_xlpm.m=0,"",_xlpm.m+1))</f>
        <v/>
      </c>
      <c r="J70" s="137" t="inlineStr">
        <is>
          <t>NetSuite</t>
        </is>
      </c>
    </row>
    <row r="71">
      <c r="A71" s="5" t="inlineStr">
        <is>
          <t>CONSIGNA REFLO</t>
        </is>
      </c>
      <c r="B71" s="5">
        <f>IF($I2="","",INDEX(Productos!$A:$A,$I2))</f>
        <v/>
      </c>
      <c r="C71" s="134" t="inlineStr">
        <is>
          <t>RM02101009-32</t>
        </is>
      </c>
      <c r="D71" s="5">
        <f>IF($I2="","",INDEX(Productos!$B:$B,$I2))</f>
        <v/>
      </c>
      <c r="E71" s="5">
        <f>IF($I2="","",INDEX(Productos!$H:$H,$I2))</f>
        <v/>
      </c>
      <c r="F71" s="5">
        <f>IF($I2="","",INDEX(Productos!$I:$I,$I2))</f>
        <v/>
      </c>
      <c r="G71" s="135" t="n">
        <v>-1</v>
      </c>
      <c r="H71" s="5">
        <f>IF($I2="","",INDEX(Productos!$AG:$AG,$I2))</f>
        <v/>
      </c>
      <c r="I71" s="136">
        <f>LET(_xlpm.r,Productos!$E$2:$E$653,_xlpm.m,IFERROR(_xlfn.XMATCH(C71,_xlpm.r),IFERROR(_xlfn.XMATCH(VALUE(C71),_xlpm.r),0)),IF(_xlpm.m=0,"",_xlpm.m+1))</f>
        <v/>
      </c>
      <c r="J71" s="137" t="inlineStr">
        <is>
          <t>NetSuite</t>
        </is>
      </c>
    </row>
    <row r="72">
      <c r="A72" s="5" t="inlineStr">
        <is>
          <t>CONSIGNA REFLO</t>
        </is>
      </c>
      <c r="B72" s="5">
        <f>IF($I2="","",INDEX(Productos!$A:$A,$I2))</f>
        <v/>
      </c>
      <c r="C72" s="134" t="inlineStr">
        <is>
          <t>RM02101009-34</t>
        </is>
      </c>
      <c r="D72" s="5">
        <f>IF($I2="","",INDEX(Productos!$B:$B,$I2))</f>
        <v/>
      </c>
      <c r="E72" s="5">
        <f>IF($I2="","",INDEX(Productos!$H:$H,$I2))</f>
        <v/>
      </c>
      <c r="F72" s="5">
        <f>IF($I2="","",INDEX(Productos!$I:$I,$I2))</f>
        <v/>
      </c>
      <c r="G72" s="135" t="n">
        <v>-2</v>
      </c>
      <c r="H72" s="5">
        <f>IF($I2="","",INDEX(Productos!$AG:$AG,$I2))</f>
        <v/>
      </c>
      <c r="I72" s="136">
        <f>LET(_xlpm.r,Productos!$E$2:$E$653,_xlpm.m,IFERROR(_xlfn.XMATCH(C72,_xlpm.r),IFERROR(_xlfn.XMATCH(VALUE(C72),_xlpm.r),0)),IF(_xlpm.m=0,"",_xlpm.m+1))</f>
        <v/>
      </c>
      <c r="J72" s="137" t="inlineStr">
        <is>
          <t>NetSuite</t>
        </is>
      </c>
    </row>
    <row r="73">
      <c r="A73" s="5" t="inlineStr">
        <is>
          <t>CONSIGNA REFLO</t>
        </is>
      </c>
      <c r="B73" s="5">
        <f>IF($I2="","",INDEX(Productos!$A:$A,$I2))</f>
        <v/>
      </c>
      <c r="C73" s="134" t="inlineStr">
        <is>
          <t>RM02101009-36</t>
        </is>
      </c>
      <c r="D73" s="5">
        <f>IF($I2="","",INDEX(Productos!$B:$B,$I2))</f>
        <v/>
      </c>
      <c r="E73" s="5">
        <f>IF($I2="","",INDEX(Productos!$H:$H,$I2))</f>
        <v/>
      </c>
      <c r="F73" s="5">
        <f>IF($I2="","",INDEX(Productos!$I:$I,$I2))</f>
        <v/>
      </c>
      <c r="G73" s="135" t="n">
        <v>-1</v>
      </c>
      <c r="H73" s="5">
        <f>IF($I2="","",INDEX(Productos!$AG:$AG,$I2))</f>
        <v/>
      </c>
      <c r="I73" s="136">
        <f>LET(_xlpm.r,Productos!$E$2:$E$653,_xlpm.m,IFERROR(_xlfn.XMATCH(C73,_xlpm.r),IFERROR(_xlfn.XMATCH(VALUE(C73),_xlpm.r),0)),IF(_xlpm.m=0,"",_xlpm.m+1))</f>
        <v/>
      </c>
      <c r="J73" s="137" t="inlineStr">
        <is>
          <t>NetSuite</t>
        </is>
      </c>
    </row>
    <row r="74">
      <c r="A74" s="5" t="inlineStr">
        <is>
          <t>CONSIGNA REFLO</t>
        </is>
      </c>
      <c r="B74" s="5">
        <f>IF($I2="","",INDEX(Productos!$A:$A,$I2))</f>
        <v/>
      </c>
      <c r="C74" s="134" t="inlineStr">
        <is>
          <t>RM02101009-38</t>
        </is>
      </c>
      <c r="D74" s="5">
        <f>IF($I2="","",INDEX(Productos!$B:$B,$I2))</f>
        <v/>
      </c>
      <c r="E74" s="5">
        <f>IF($I2="","",INDEX(Productos!$H:$H,$I2))</f>
        <v/>
      </c>
      <c r="F74" s="5">
        <f>IF($I2="","",INDEX(Productos!$I:$I,$I2))</f>
        <v/>
      </c>
      <c r="G74" s="135" t="n">
        <v>-1</v>
      </c>
      <c r="H74" s="5">
        <f>IF($I2="","",INDEX(Productos!$AG:$AG,$I2))</f>
        <v/>
      </c>
      <c r="I74" s="136">
        <f>LET(_xlpm.r,Productos!$E$2:$E$653,_xlpm.m,IFERROR(_xlfn.XMATCH(C74,_xlpm.r),IFERROR(_xlfn.XMATCH(VALUE(C74),_xlpm.r),0)),IF(_xlpm.m=0,"",_xlpm.m+1))</f>
        <v/>
      </c>
      <c r="J74" s="137" t="inlineStr">
        <is>
          <t>NetSuite</t>
        </is>
      </c>
    </row>
    <row r="75">
      <c r="A75" s="5" t="inlineStr">
        <is>
          <t>CONSIGNA REFLO</t>
        </is>
      </c>
      <c r="B75" s="5">
        <f>IF($I2="","",INDEX(Productos!$A:$A,$I2))</f>
        <v/>
      </c>
      <c r="C75" s="134" t="inlineStr">
        <is>
          <t>RM02101035-30</t>
        </is>
      </c>
      <c r="D75" s="5">
        <f>IF($I2="","",INDEX(Productos!$B:$B,$I2))</f>
        <v/>
      </c>
      <c r="E75" s="5">
        <f>IF($I2="","",INDEX(Productos!$H:$H,$I2))</f>
        <v/>
      </c>
      <c r="F75" s="5">
        <f>IF($I2="","",INDEX(Productos!$I:$I,$I2))</f>
        <v/>
      </c>
      <c r="G75" s="135" t="n">
        <v>-1</v>
      </c>
      <c r="H75" s="5">
        <f>IF($I2="","",INDEX(Productos!$AG:$AG,$I2))</f>
        <v/>
      </c>
      <c r="I75" s="136">
        <f>LET(_xlpm.r,Productos!$E$2:$E$653,_xlpm.m,IFERROR(_xlfn.XMATCH(C75,_xlpm.r),IFERROR(_xlfn.XMATCH(VALUE(C75),_xlpm.r),0)),IF(_xlpm.m=0,"",_xlpm.m+1))</f>
        <v/>
      </c>
      <c r="J75" s="137" t="inlineStr">
        <is>
          <t>NetSuite</t>
        </is>
      </c>
    </row>
    <row r="76">
      <c r="A76" s="5" t="inlineStr">
        <is>
          <t>CONSIGNA REFLO</t>
        </is>
      </c>
      <c r="B76" s="5">
        <f>IF($I2="","",INDEX(Productos!$A:$A,$I2))</f>
        <v/>
      </c>
      <c r="C76" s="134" t="inlineStr">
        <is>
          <t>RM02101035-32</t>
        </is>
      </c>
      <c r="D76" s="5">
        <f>IF($I2="","",INDEX(Productos!$B:$B,$I2))</f>
        <v/>
      </c>
      <c r="E76" s="5">
        <f>IF($I2="","",INDEX(Productos!$H:$H,$I2))</f>
        <v/>
      </c>
      <c r="F76" s="5">
        <f>IF($I2="","",INDEX(Productos!$I:$I,$I2))</f>
        <v/>
      </c>
      <c r="G76" s="135" t="n">
        <v>-2</v>
      </c>
      <c r="H76" s="5">
        <f>IF($I2="","",INDEX(Productos!$AG:$AG,$I2))</f>
        <v/>
      </c>
      <c r="I76" s="136">
        <f>LET(_xlpm.r,Productos!$E$2:$E$653,_xlpm.m,IFERROR(_xlfn.XMATCH(C76,_xlpm.r),IFERROR(_xlfn.XMATCH(VALUE(C76),_xlpm.r),0)),IF(_xlpm.m=0,"",_xlpm.m+1))</f>
        <v/>
      </c>
      <c r="J76" s="137" t="inlineStr">
        <is>
          <t>NetSuite</t>
        </is>
      </c>
    </row>
    <row r="77">
      <c r="A77" s="5" t="inlineStr">
        <is>
          <t>CONSIGNA REFLO</t>
        </is>
      </c>
      <c r="B77" s="5">
        <f>IF($I2="","",INDEX(Productos!$A:$A,$I2))</f>
        <v/>
      </c>
      <c r="C77" s="134" t="inlineStr">
        <is>
          <t>RM02101035-34</t>
        </is>
      </c>
      <c r="D77" s="5">
        <f>IF($I2="","",INDEX(Productos!$B:$B,$I2))</f>
        <v/>
      </c>
      <c r="E77" s="5">
        <f>IF($I2="","",INDEX(Productos!$H:$H,$I2))</f>
        <v/>
      </c>
      <c r="F77" s="5">
        <f>IF($I2="","",INDEX(Productos!$I:$I,$I2))</f>
        <v/>
      </c>
      <c r="G77" s="135" t="n">
        <v>-2</v>
      </c>
      <c r="H77" s="5">
        <f>IF($I2="","",INDEX(Productos!$AG:$AG,$I2))</f>
        <v/>
      </c>
      <c r="I77" s="136">
        <f>LET(_xlpm.r,Productos!$E$2:$E$653,_xlpm.m,IFERROR(_xlfn.XMATCH(C77,_xlpm.r),IFERROR(_xlfn.XMATCH(VALUE(C77),_xlpm.r),0)),IF(_xlpm.m=0,"",_xlpm.m+1))</f>
        <v/>
      </c>
      <c r="J77" s="137" t="inlineStr">
        <is>
          <t>NetSuite</t>
        </is>
      </c>
    </row>
    <row r="78">
      <c r="A78" s="5" t="inlineStr">
        <is>
          <t>CONSIGNA REFLO</t>
        </is>
      </c>
      <c r="B78" s="5">
        <f>IF($I2="","",INDEX(Productos!$A:$A,$I2))</f>
        <v/>
      </c>
      <c r="C78" s="134" t="inlineStr">
        <is>
          <t>RM02101035-36</t>
        </is>
      </c>
      <c r="D78" s="5">
        <f>IF($I2="","",INDEX(Productos!$B:$B,$I2))</f>
        <v/>
      </c>
      <c r="E78" s="5">
        <f>IF($I2="","",INDEX(Productos!$H:$H,$I2))</f>
        <v/>
      </c>
      <c r="F78" s="5">
        <f>IF($I2="","",INDEX(Productos!$I:$I,$I2))</f>
        <v/>
      </c>
      <c r="G78" s="135" t="n">
        <v>-1</v>
      </c>
      <c r="H78" s="5">
        <f>IF($I2="","",INDEX(Productos!$AG:$AG,$I2))</f>
        <v/>
      </c>
      <c r="I78" s="136">
        <f>LET(_xlpm.r,Productos!$E$2:$E$653,_xlpm.m,IFERROR(_xlfn.XMATCH(C78,_xlpm.r),IFERROR(_xlfn.XMATCH(VALUE(C78),_xlpm.r),0)),IF(_xlpm.m=0,"",_xlpm.m+1))</f>
        <v/>
      </c>
      <c r="J78" s="137" t="inlineStr">
        <is>
          <t>NetSuite</t>
        </is>
      </c>
    </row>
    <row r="79">
      <c r="A79" s="5" t="inlineStr">
        <is>
          <t>CONSIGNA REFLO</t>
        </is>
      </c>
      <c r="B79" s="5">
        <f>IF($I2="","",INDEX(Productos!$A:$A,$I2))</f>
        <v/>
      </c>
      <c r="C79" s="134" t="inlineStr">
        <is>
          <t>RM02101035-38</t>
        </is>
      </c>
      <c r="D79" s="5">
        <f>IF($I2="","",INDEX(Productos!$B:$B,$I2))</f>
        <v/>
      </c>
      <c r="E79" s="5">
        <f>IF($I2="","",INDEX(Productos!$H:$H,$I2))</f>
        <v/>
      </c>
      <c r="F79" s="5">
        <f>IF($I2="","",INDEX(Productos!$I:$I,$I2))</f>
        <v/>
      </c>
      <c r="G79" s="135" t="n">
        <v>-1</v>
      </c>
      <c r="H79" s="5">
        <f>IF($I2="","",INDEX(Productos!$AG:$AG,$I2))</f>
        <v/>
      </c>
      <c r="I79" s="136">
        <f>LET(_xlpm.r,Productos!$E$2:$E$653,_xlpm.m,IFERROR(_xlfn.XMATCH(C79,_xlpm.r),IFERROR(_xlfn.XMATCH(VALUE(C79),_xlpm.r),0)),IF(_xlpm.m=0,"",_xlpm.m+1))</f>
        <v/>
      </c>
      <c r="J79" s="137" t="inlineStr">
        <is>
          <t>NetSuite</t>
        </is>
      </c>
    </row>
    <row r="80">
      <c r="A80" s="5" t="inlineStr">
        <is>
          <t>CONSIGNA REFLO</t>
        </is>
      </c>
      <c r="B80" s="5">
        <f>IF($I2="","",INDEX(Productos!$A:$A,$I2))</f>
        <v/>
      </c>
      <c r="C80" s="134" t="inlineStr">
        <is>
          <t>RM02101054-30</t>
        </is>
      </c>
      <c r="D80" s="5">
        <f>IF($I2="","",INDEX(Productos!$B:$B,$I2))</f>
        <v/>
      </c>
      <c r="E80" s="5">
        <f>IF($I2="","",INDEX(Productos!$H:$H,$I2))</f>
        <v/>
      </c>
      <c r="F80" s="5">
        <f>IF($I2="","",INDEX(Productos!$I:$I,$I2))</f>
        <v/>
      </c>
      <c r="G80" s="135" t="n">
        <v>-1</v>
      </c>
      <c r="H80" s="5">
        <f>IF($I2="","",INDEX(Productos!$AG:$AG,$I2))</f>
        <v/>
      </c>
      <c r="I80" s="136">
        <f>LET(_xlpm.r,Productos!$E$2:$E$653,_xlpm.m,IFERROR(_xlfn.XMATCH(C80,_xlpm.r),IFERROR(_xlfn.XMATCH(VALUE(C80),_xlpm.r),0)),IF(_xlpm.m=0,"",_xlpm.m+1))</f>
        <v/>
      </c>
      <c r="J80" s="137" t="inlineStr">
        <is>
          <t>NetSuite</t>
        </is>
      </c>
    </row>
    <row r="81">
      <c r="A81" s="5" t="inlineStr">
        <is>
          <t>CONSIGNA REFLO</t>
        </is>
      </c>
      <c r="B81" s="5">
        <f>IF($I2="","",INDEX(Productos!$A:$A,$I2))</f>
        <v/>
      </c>
      <c r="C81" s="134" t="inlineStr">
        <is>
          <t>RM02101054-32</t>
        </is>
      </c>
      <c r="D81" s="5">
        <f>IF($I2="","",INDEX(Productos!$B:$B,$I2))</f>
        <v/>
      </c>
      <c r="E81" s="5">
        <f>IF($I2="","",INDEX(Productos!$H:$H,$I2))</f>
        <v/>
      </c>
      <c r="F81" s="5">
        <f>IF($I2="","",INDEX(Productos!$I:$I,$I2))</f>
        <v/>
      </c>
      <c r="G81" s="135" t="n">
        <v>-1</v>
      </c>
      <c r="H81" s="5">
        <f>IF($I2="","",INDEX(Productos!$AG:$AG,$I2))</f>
        <v/>
      </c>
      <c r="I81" s="136">
        <f>LET(_xlpm.r,Productos!$E$2:$E$653,_xlpm.m,IFERROR(_xlfn.XMATCH(C81,_xlpm.r),IFERROR(_xlfn.XMATCH(VALUE(C81),_xlpm.r),0)),IF(_xlpm.m=0,"",_xlpm.m+1))</f>
        <v/>
      </c>
      <c r="J81" s="137" t="inlineStr">
        <is>
          <t>NetSuite</t>
        </is>
      </c>
    </row>
    <row r="82">
      <c r="A82" s="5" t="inlineStr">
        <is>
          <t>CONSIGNA REFLO</t>
        </is>
      </c>
      <c r="B82" s="5">
        <f>IF($I2="","",INDEX(Productos!$A:$A,$I2))</f>
        <v/>
      </c>
      <c r="C82" s="134" t="inlineStr">
        <is>
          <t>RM02101054-34</t>
        </is>
      </c>
      <c r="D82" s="5">
        <f>IF($I2="","",INDEX(Productos!$B:$B,$I2))</f>
        <v/>
      </c>
      <c r="E82" s="5">
        <f>IF($I2="","",INDEX(Productos!$H:$H,$I2))</f>
        <v/>
      </c>
      <c r="F82" s="5">
        <f>IF($I2="","",INDEX(Productos!$I:$I,$I2))</f>
        <v/>
      </c>
      <c r="G82" s="135" t="n">
        <v>-2</v>
      </c>
      <c r="H82" s="5">
        <f>IF($I2="","",INDEX(Productos!$AG:$AG,$I2))</f>
        <v/>
      </c>
      <c r="I82" s="136">
        <f>LET(_xlpm.r,Productos!$E$2:$E$653,_xlpm.m,IFERROR(_xlfn.XMATCH(C82,_xlpm.r),IFERROR(_xlfn.XMATCH(VALUE(C82),_xlpm.r),0)),IF(_xlpm.m=0,"",_xlpm.m+1))</f>
        <v/>
      </c>
      <c r="J82" s="137" t="inlineStr">
        <is>
          <t>NetSuite</t>
        </is>
      </c>
    </row>
    <row r="83">
      <c r="A83" s="5" t="inlineStr">
        <is>
          <t>CONSIGNA REFLO</t>
        </is>
      </c>
      <c r="B83" s="5">
        <f>IF($I2="","",INDEX(Productos!$A:$A,$I2))</f>
        <v/>
      </c>
      <c r="C83" s="134" t="inlineStr">
        <is>
          <t>RM02101054-36</t>
        </is>
      </c>
      <c r="D83" s="5">
        <f>IF($I2="","",INDEX(Productos!$B:$B,$I2))</f>
        <v/>
      </c>
      <c r="E83" s="5">
        <f>IF($I2="","",INDEX(Productos!$H:$H,$I2))</f>
        <v/>
      </c>
      <c r="F83" s="5">
        <f>IF($I2="","",INDEX(Productos!$I:$I,$I2))</f>
        <v/>
      </c>
      <c r="G83" s="135" t="n">
        <v>-1</v>
      </c>
      <c r="H83" s="5">
        <f>IF($I2="","",INDEX(Productos!$AG:$AG,$I2))</f>
        <v/>
      </c>
      <c r="I83" s="136">
        <f>LET(_xlpm.r,Productos!$E$2:$E$653,_xlpm.m,IFERROR(_xlfn.XMATCH(C83,_xlpm.r),IFERROR(_xlfn.XMATCH(VALUE(C83),_xlpm.r),0)),IF(_xlpm.m=0,"",_xlpm.m+1))</f>
        <v/>
      </c>
      <c r="J83" s="137" t="inlineStr">
        <is>
          <t>NetSuite</t>
        </is>
      </c>
    </row>
    <row r="84">
      <c r="A84" s="5" t="inlineStr">
        <is>
          <t>CONSIGNA REFLO</t>
        </is>
      </c>
      <c r="B84" s="5">
        <f>IF($I2="","",INDEX(Productos!$A:$A,$I2))</f>
        <v/>
      </c>
      <c r="C84" s="134" t="inlineStr">
        <is>
          <t>RM02101054-38</t>
        </is>
      </c>
      <c r="D84" s="5">
        <f>IF($I2="","",INDEX(Productos!$B:$B,$I2))</f>
        <v/>
      </c>
      <c r="E84" s="5">
        <f>IF($I2="","",INDEX(Productos!$H:$H,$I2))</f>
        <v/>
      </c>
      <c r="F84" s="5">
        <f>IF($I2="","",INDEX(Productos!$I:$I,$I2))</f>
        <v/>
      </c>
      <c r="G84" s="135" t="n">
        <v>-1</v>
      </c>
      <c r="H84" s="5">
        <f>IF($I2="","",INDEX(Productos!$AG:$AG,$I2))</f>
        <v/>
      </c>
      <c r="I84" s="136">
        <f>LET(_xlpm.r,Productos!$E$2:$E$653,_xlpm.m,IFERROR(_xlfn.XMATCH(C84,_xlpm.r),IFERROR(_xlfn.XMATCH(VALUE(C84),_xlpm.r),0)),IF(_xlpm.m=0,"",_xlpm.m+1))</f>
        <v/>
      </c>
      <c r="J84" s="137" t="inlineStr">
        <is>
          <t>NetSuite</t>
        </is>
      </c>
    </row>
    <row r="85">
      <c r="A85" s="5" t="inlineStr">
        <is>
          <t>CONSIGNA REFLO</t>
        </is>
      </c>
      <c r="B85" s="5">
        <f>IF($I2="","",INDEX(Productos!$A:$A,$I2))</f>
        <v/>
      </c>
      <c r="C85" s="134" t="inlineStr">
        <is>
          <t>RM02101068-32</t>
        </is>
      </c>
      <c r="D85" s="5">
        <f>IF($I2="","",INDEX(Productos!$B:$B,$I2))</f>
        <v/>
      </c>
      <c r="E85" s="5">
        <f>IF($I2="","",INDEX(Productos!$H:$H,$I2))</f>
        <v/>
      </c>
      <c r="F85" s="5">
        <f>IF($I2="","",INDEX(Productos!$I:$I,$I2))</f>
        <v/>
      </c>
      <c r="G85" s="135" t="n">
        <v>-1</v>
      </c>
      <c r="H85" s="5">
        <f>IF($I2="","",INDEX(Productos!$AG:$AG,$I2))</f>
        <v/>
      </c>
      <c r="I85" s="136">
        <f>LET(_xlpm.r,Productos!$E$2:$E$653,_xlpm.m,IFERROR(_xlfn.XMATCH(C85,_xlpm.r),IFERROR(_xlfn.XMATCH(VALUE(C85),_xlpm.r),0)),IF(_xlpm.m=0,"",_xlpm.m+1))</f>
        <v/>
      </c>
      <c r="J85" s="137" t="inlineStr">
        <is>
          <t>NetSuite</t>
        </is>
      </c>
    </row>
    <row r="86">
      <c r="A86" s="5" t="inlineStr">
        <is>
          <t>CONSIGNA REFLO</t>
        </is>
      </c>
      <c r="B86" s="5">
        <f>IF($I2="","",INDEX(Productos!$A:$A,$I2))</f>
        <v/>
      </c>
      <c r="C86" s="134" t="inlineStr">
        <is>
          <t>RM02101068-34</t>
        </is>
      </c>
      <c r="D86" s="5">
        <f>IF($I2="","",INDEX(Productos!$B:$B,$I2))</f>
        <v/>
      </c>
      <c r="E86" s="5">
        <f>IF($I2="","",INDEX(Productos!$H:$H,$I2))</f>
        <v/>
      </c>
      <c r="F86" s="5">
        <f>IF($I2="","",INDEX(Productos!$I:$I,$I2))</f>
        <v/>
      </c>
      <c r="G86" s="135" t="n">
        <v>-1</v>
      </c>
      <c r="H86" s="5">
        <f>IF($I2="","",INDEX(Productos!$AG:$AG,$I2))</f>
        <v/>
      </c>
      <c r="I86" s="136">
        <f>LET(_xlpm.r,Productos!$E$2:$E$653,_xlpm.m,IFERROR(_xlfn.XMATCH(C86,_xlpm.r),IFERROR(_xlfn.XMATCH(VALUE(C86),_xlpm.r),0)),IF(_xlpm.m=0,"",_xlpm.m+1))</f>
        <v/>
      </c>
      <c r="J86" s="137" t="inlineStr">
        <is>
          <t>NetSuite</t>
        </is>
      </c>
    </row>
    <row r="87">
      <c r="A87" s="5" t="inlineStr">
        <is>
          <t>CONSIGNA REFLO</t>
        </is>
      </c>
      <c r="B87" s="5">
        <f>IF($I2="","",INDEX(Productos!$A:$A,$I2))</f>
        <v/>
      </c>
      <c r="C87" s="134" t="inlineStr">
        <is>
          <t>RM02101068-40</t>
        </is>
      </c>
      <c r="D87" s="5">
        <f>IF($I2="","",INDEX(Productos!$B:$B,$I2))</f>
        <v/>
      </c>
      <c r="E87" s="5">
        <f>IF($I2="","",INDEX(Productos!$H:$H,$I2))</f>
        <v/>
      </c>
      <c r="F87" s="5">
        <f>IF($I2="","",INDEX(Productos!$I:$I,$I2))</f>
        <v/>
      </c>
      <c r="G87" s="135" t="n">
        <v>1</v>
      </c>
      <c r="H87" s="5">
        <f>IF($I2="","",INDEX(Productos!$AG:$AG,$I2))</f>
        <v/>
      </c>
      <c r="I87" s="136">
        <f>LET(_xlpm.r,Productos!$E$2:$E$653,_xlpm.m,IFERROR(_xlfn.XMATCH(C87,_xlpm.r),IFERROR(_xlfn.XMATCH(VALUE(C87),_xlpm.r),0)),IF(_xlpm.m=0,"",_xlpm.m+1))</f>
        <v/>
      </c>
      <c r="J87" s="137" t="inlineStr">
        <is>
          <t>NetSuite</t>
        </is>
      </c>
    </row>
    <row r="88">
      <c r="A88" s="5" t="inlineStr">
        <is>
          <t>CONSIGNA REFLO</t>
        </is>
      </c>
      <c r="B88" s="5">
        <f>IF($I2="","",INDEX(Productos!$A:$A,$I2))</f>
        <v/>
      </c>
      <c r="C88" s="134" t="inlineStr">
        <is>
          <t>RM02202009-32</t>
        </is>
      </c>
      <c r="D88" s="5">
        <f>IF($I2="","",INDEX(Productos!$B:$B,$I2))</f>
        <v/>
      </c>
      <c r="E88" s="5">
        <f>IF($I2="","",INDEX(Productos!$H:$H,$I2))</f>
        <v/>
      </c>
      <c r="F88" s="5">
        <f>IF($I2="","",INDEX(Productos!$I:$I,$I2))</f>
        <v/>
      </c>
      <c r="G88" s="135" t="n">
        <v>-1</v>
      </c>
      <c r="H88" s="5">
        <f>IF($I2="","",INDEX(Productos!$AG:$AG,$I2))</f>
        <v/>
      </c>
      <c r="I88" s="136">
        <f>LET(_xlpm.r,Productos!$E$2:$E$653,_xlpm.m,IFERROR(_xlfn.XMATCH(C88,_xlpm.r),IFERROR(_xlfn.XMATCH(VALUE(C88),_xlpm.r),0)),IF(_xlpm.m=0,"",_xlpm.m+1))</f>
        <v/>
      </c>
      <c r="J88" s="137" t="inlineStr">
        <is>
          <t>NetSuite</t>
        </is>
      </c>
    </row>
    <row r="89">
      <c r="A89" s="5" t="inlineStr">
        <is>
          <t>CONSIGNA REFLO</t>
        </is>
      </c>
      <c r="B89" s="5">
        <f>IF($I2="","",INDEX(Productos!$A:$A,$I2))</f>
        <v/>
      </c>
      <c r="C89" s="134" t="inlineStr">
        <is>
          <t>RM02202009-34</t>
        </is>
      </c>
      <c r="D89" s="5">
        <f>IF($I2="","",INDEX(Productos!$B:$B,$I2))</f>
        <v/>
      </c>
      <c r="E89" s="5">
        <f>IF($I2="","",INDEX(Productos!$H:$H,$I2))</f>
        <v/>
      </c>
      <c r="F89" s="5">
        <f>IF($I2="","",INDEX(Productos!$I:$I,$I2))</f>
        <v/>
      </c>
      <c r="G89" s="135" t="n">
        <v>-1</v>
      </c>
      <c r="H89" s="5">
        <f>IF($I2="","",INDEX(Productos!$AG:$AG,$I2))</f>
        <v/>
      </c>
      <c r="I89" s="136">
        <f>LET(_xlpm.r,Productos!$E$2:$E$653,_xlpm.m,IFERROR(_xlfn.XMATCH(C89,_xlpm.r),IFERROR(_xlfn.XMATCH(VALUE(C89),_xlpm.r),0)),IF(_xlpm.m=0,"",_xlpm.m+1))</f>
        <v/>
      </c>
      <c r="J89" s="137" t="inlineStr">
        <is>
          <t>NetSuite</t>
        </is>
      </c>
    </row>
    <row r="90">
      <c r="A90" s="5" t="inlineStr">
        <is>
          <t>CONSIGNA REFLO</t>
        </is>
      </c>
      <c r="B90" s="5">
        <f>IF($I2="","",INDEX(Productos!$A:$A,$I2))</f>
        <v/>
      </c>
      <c r="C90" s="134" t="inlineStr">
        <is>
          <t>RM02202009-36</t>
        </is>
      </c>
      <c r="D90" s="5">
        <f>IF($I2="","",INDEX(Productos!$B:$B,$I2))</f>
        <v/>
      </c>
      <c r="E90" s="5">
        <f>IF($I2="","",INDEX(Productos!$H:$H,$I2))</f>
        <v/>
      </c>
      <c r="F90" s="5">
        <f>IF($I2="","",INDEX(Productos!$I:$I,$I2))</f>
        <v/>
      </c>
      <c r="G90" s="135" t="n">
        <v>1</v>
      </c>
      <c r="H90" s="5">
        <f>IF($I2="","",INDEX(Productos!$AG:$AG,$I2))</f>
        <v/>
      </c>
      <c r="I90" s="136">
        <f>LET(_xlpm.r,Productos!$E$2:$E$653,_xlpm.m,IFERROR(_xlfn.XMATCH(C90,_xlpm.r),IFERROR(_xlfn.XMATCH(VALUE(C90),_xlpm.r),0)),IF(_xlpm.m=0,"",_xlpm.m+1))</f>
        <v/>
      </c>
      <c r="J90" s="137" t="inlineStr">
        <is>
          <t>NetSuite</t>
        </is>
      </c>
    </row>
    <row r="91">
      <c r="A91" s="5" t="inlineStr">
        <is>
          <t>CONSIGNA REFLO</t>
        </is>
      </c>
      <c r="B91" s="5">
        <f>IF($I2="","",INDEX(Productos!$A:$A,$I2))</f>
        <v/>
      </c>
      <c r="C91" s="134" t="inlineStr">
        <is>
          <t>RM02202009-38</t>
        </is>
      </c>
      <c r="D91" s="5">
        <f>IF($I2="","",INDEX(Productos!$B:$B,$I2))</f>
        <v/>
      </c>
      <c r="E91" s="5">
        <f>IF($I2="","",INDEX(Productos!$H:$H,$I2))</f>
        <v/>
      </c>
      <c r="F91" s="5">
        <f>IF($I2="","",INDEX(Productos!$I:$I,$I2))</f>
        <v/>
      </c>
      <c r="G91" s="135" t="n">
        <v>1</v>
      </c>
      <c r="H91" s="5">
        <f>IF($I2="","",INDEX(Productos!$AG:$AG,$I2))</f>
        <v/>
      </c>
      <c r="I91" s="136">
        <f>LET(_xlpm.r,Productos!$E$2:$E$653,_xlpm.m,IFERROR(_xlfn.XMATCH(C91,_xlpm.r),IFERROR(_xlfn.XMATCH(VALUE(C91),_xlpm.r),0)),IF(_xlpm.m=0,"",_xlpm.m+1))</f>
        <v/>
      </c>
      <c r="J91" s="137" t="inlineStr">
        <is>
          <t>NetSuite</t>
        </is>
      </c>
    </row>
    <row r="92">
      <c r="A92" s="5" t="inlineStr">
        <is>
          <t>CONSIGNA REFLO</t>
        </is>
      </c>
      <c r="B92" s="5">
        <f>IF($I2="","",INDEX(Productos!$A:$A,$I2))</f>
        <v/>
      </c>
      <c r="C92" s="134" t="inlineStr">
        <is>
          <t>RM02202009-40</t>
        </is>
      </c>
      <c r="D92" s="5">
        <f>IF($I2="","",INDEX(Productos!$B:$B,$I2))</f>
        <v/>
      </c>
      <c r="E92" s="5">
        <f>IF($I2="","",INDEX(Productos!$H:$H,$I2))</f>
        <v/>
      </c>
      <c r="F92" s="5">
        <f>IF($I2="","",INDEX(Productos!$I:$I,$I2))</f>
        <v/>
      </c>
      <c r="G92" s="135" t="n">
        <v>1</v>
      </c>
      <c r="H92" s="5">
        <f>IF($I2="","",INDEX(Productos!$AG:$AG,$I2))</f>
        <v/>
      </c>
      <c r="I92" s="136">
        <f>LET(_xlpm.r,Productos!$E$2:$E$653,_xlpm.m,IFERROR(_xlfn.XMATCH(C92,_xlpm.r),IFERROR(_xlfn.XMATCH(VALUE(C92),_xlpm.r),0)),IF(_xlpm.m=0,"",_xlpm.m+1))</f>
        <v/>
      </c>
      <c r="J92" s="137" t="inlineStr">
        <is>
          <t>NetSuite</t>
        </is>
      </c>
    </row>
    <row r="93">
      <c r="A93" s="5" t="inlineStr">
        <is>
          <t>CONSIGNA REFLO</t>
        </is>
      </c>
      <c r="B93" s="5">
        <f>IF($I2="","",INDEX(Productos!$A:$A,$I2))</f>
        <v/>
      </c>
      <c r="C93" s="134" t="inlineStr">
        <is>
          <t>RM02202023-30</t>
        </is>
      </c>
      <c r="D93" s="5">
        <f>IF($I2="","",INDEX(Productos!$B:$B,$I2))</f>
        <v/>
      </c>
      <c r="E93" s="5">
        <f>IF($I2="","",INDEX(Productos!$H:$H,$I2))</f>
        <v/>
      </c>
      <c r="F93" s="5">
        <f>IF($I2="","",INDEX(Productos!$I:$I,$I2))</f>
        <v/>
      </c>
      <c r="G93" s="135" t="n">
        <v>1</v>
      </c>
      <c r="H93" s="5">
        <f>IF($I2="","",INDEX(Productos!$AG:$AG,$I2))</f>
        <v/>
      </c>
      <c r="I93" s="136">
        <f>LET(_xlpm.r,Productos!$E$2:$E$653,_xlpm.m,IFERROR(_xlfn.XMATCH(C93,_xlpm.r),IFERROR(_xlfn.XMATCH(VALUE(C93),_xlpm.r),0)),IF(_xlpm.m=0,"",_xlpm.m+1))</f>
        <v/>
      </c>
      <c r="J93" s="137" t="inlineStr">
        <is>
          <t>NetSuite</t>
        </is>
      </c>
    </row>
    <row r="94">
      <c r="A94" s="5" t="inlineStr">
        <is>
          <t>CONSIGNA REFLO</t>
        </is>
      </c>
      <c r="B94" s="5">
        <f>IF($I2="","",INDEX(Productos!$A:$A,$I2))</f>
        <v/>
      </c>
      <c r="C94" s="134" t="inlineStr">
        <is>
          <t>RM02202023-32</t>
        </is>
      </c>
      <c r="D94" s="5">
        <f>IF($I2="","",INDEX(Productos!$B:$B,$I2))</f>
        <v/>
      </c>
      <c r="E94" s="5">
        <f>IF($I2="","",INDEX(Productos!$H:$H,$I2))</f>
        <v/>
      </c>
      <c r="F94" s="5">
        <f>IF($I2="","",INDEX(Productos!$I:$I,$I2))</f>
        <v/>
      </c>
      <c r="G94" s="135" t="n">
        <v>1</v>
      </c>
      <c r="H94" s="5">
        <f>IF($I2="","",INDEX(Productos!$AG:$AG,$I2))</f>
        <v/>
      </c>
      <c r="I94" s="136">
        <f>LET(_xlpm.r,Productos!$E$2:$E$653,_xlpm.m,IFERROR(_xlfn.XMATCH(C94,_xlpm.r),IFERROR(_xlfn.XMATCH(VALUE(C94),_xlpm.r),0)),IF(_xlpm.m=0,"",_xlpm.m+1))</f>
        <v/>
      </c>
      <c r="J94" s="137" t="inlineStr">
        <is>
          <t>NetSuite</t>
        </is>
      </c>
    </row>
    <row r="95">
      <c r="A95" s="5" t="inlineStr">
        <is>
          <t>CONSIGNA REFLO</t>
        </is>
      </c>
      <c r="B95" s="5">
        <f>IF($I2="","",INDEX(Productos!$A:$A,$I2))</f>
        <v/>
      </c>
      <c r="C95" s="134" t="inlineStr">
        <is>
          <t>RM02202023-34</t>
        </is>
      </c>
      <c r="D95" s="5">
        <f>IF($I2="","",INDEX(Productos!$B:$B,$I2))</f>
        <v/>
      </c>
      <c r="E95" s="5">
        <f>IF($I2="","",INDEX(Productos!$H:$H,$I2))</f>
        <v/>
      </c>
      <c r="F95" s="5">
        <f>IF($I2="","",INDEX(Productos!$I:$I,$I2))</f>
        <v/>
      </c>
      <c r="G95" s="135" t="n">
        <v>1</v>
      </c>
      <c r="H95" s="5">
        <f>IF($I2="","",INDEX(Productos!$AG:$AG,$I2))</f>
        <v/>
      </c>
      <c r="I95" s="136">
        <f>LET(_xlpm.r,Productos!$E$2:$E$653,_xlpm.m,IFERROR(_xlfn.XMATCH(C95,_xlpm.r),IFERROR(_xlfn.XMATCH(VALUE(C95),_xlpm.r),0)),IF(_xlpm.m=0,"",_xlpm.m+1))</f>
        <v/>
      </c>
      <c r="J95" s="137" t="inlineStr">
        <is>
          <t>NetSuite</t>
        </is>
      </c>
    </row>
    <row r="96">
      <c r="A96" s="5" t="inlineStr">
        <is>
          <t>CONSIGNA REFLO</t>
        </is>
      </c>
      <c r="B96" s="5">
        <f>IF($I2="","",INDEX(Productos!$A:$A,$I2))</f>
        <v/>
      </c>
      <c r="C96" s="134" t="inlineStr">
        <is>
          <t>RM02202023-36</t>
        </is>
      </c>
      <c r="D96" s="5">
        <f>IF($I2="","",INDEX(Productos!$B:$B,$I2))</f>
        <v/>
      </c>
      <c r="E96" s="5">
        <f>IF($I2="","",INDEX(Productos!$H:$H,$I2))</f>
        <v/>
      </c>
      <c r="F96" s="5">
        <f>IF($I2="","",INDEX(Productos!$I:$I,$I2))</f>
        <v/>
      </c>
      <c r="G96" s="135" t="n">
        <v>1</v>
      </c>
      <c r="H96" s="5">
        <f>IF($I2="","",INDEX(Productos!$AG:$AG,$I2))</f>
        <v/>
      </c>
      <c r="I96" s="136">
        <f>LET(_xlpm.r,Productos!$E$2:$E$653,_xlpm.m,IFERROR(_xlfn.XMATCH(C96,_xlpm.r),IFERROR(_xlfn.XMATCH(VALUE(C96),_xlpm.r),0)),IF(_xlpm.m=0,"",_xlpm.m+1))</f>
        <v/>
      </c>
      <c r="J96" s="137" t="inlineStr">
        <is>
          <t>NetSuite</t>
        </is>
      </c>
    </row>
    <row r="97">
      <c r="A97" s="5" t="inlineStr">
        <is>
          <t>CONSIGNA REFLO</t>
        </is>
      </c>
      <c r="B97" s="5">
        <f>IF($I2="","",INDEX(Productos!$A:$A,$I2))</f>
        <v/>
      </c>
      <c r="C97" s="134" t="inlineStr">
        <is>
          <t>RM02202023-38</t>
        </is>
      </c>
      <c r="D97" s="5">
        <f>IF($I2="","",INDEX(Productos!$B:$B,$I2))</f>
        <v/>
      </c>
      <c r="E97" s="5">
        <f>IF($I2="","",INDEX(Productos!$H:$H,$I2))</f>
        <v/>
      </c>
      <c r="F97" s="5">
        <f>IF($I2="","",INDEX(Productos!$I:$I,$I2))</f>
        <v/>
      </c>
      <c r="G97" s="135" t="n">
        <v>1</v>
      </c>
      <c r="H97" s="5">
        <f>IF($I2="","",INDEX(Productos!$AG:$AG,$I2))</f>
        <v/>
      </c>
      <c r="I97" s="136">
        <f>LET(_xlpm.r,Productos!$E$2:$E$653,_xlpm.m,IFERROR(_xlfn.XMATCH(C97,_xlpm.r),IFERROR(_xlfn.XMATCH(VALUE(C97),_xlpm.r),0)),IF(_xlpm.m=0,"",_xlpm.m+1))</f>
        <v/>
      </c>
      <c r="J97" s="137" t="inlineStr">
        <is>
          <t>NetSuite</t>
        </is>
      </c>
    </row>
    <row r="98">
      <c r="A98" s="5" t="inlineStr">
        <is>
          <t>CONSIGNA REFLO</t>
        </is>
      </c>
      <c r="B98" s="5">
        <f>IF($I2="","",INDEX(Productos!$A:$A,$I2))</f>
        <v/>
      </c>
      <c r="C98" s="134" t="inlineStr">
        <is>
          <t>RM02202023-40</t>
        </is>
      </c>
      <c r="D98" s="5">
        <f>IF($I2="","",INDEX(Productos!$B:$B,$I2))</f>
        <v/>
      </c>
      <c r="E98" s="5">
        <f>IF($I2="","",INDEX(Productos!$H:$H,$I2))</f>
        <v/>
      </c>
      <c r="F98" s="5">
        <f>IF($I2="","",INDEX(Productos!$I:$I,$I2))</f>
        <v/>
      </c>
      <c r="G98" s="135" t="n">
        <v>1</v>
      </c>
      <c r="H98" s="5">
        <f>IF($I2="","",INDEX(Productos!$AG:$AG,$I2))</f>
        <v/>
      </c>
      <c r="I98" s="136">
        <f>LET(_xlpm.r,Productos!$E$2:$E$653,_xlpm.m,IFERROR(_xlfn.XMATCH(C98,_xlpm.r),IFERROR(_xlfn.XMATCH(VALUE(C98),_xlpm.r),0)),IF(_xlpm.m=0,"",_xlpm.m+1))</f>
        <v/>
      </c>
      <c r="J98" s="137" t="inlineStr">
        <is>
          <t>NetSuite</t>
        </is>
      </c>
    </row>
    <row r="99">
      <c r="A99" s="5" t="inlineStr">
        <is>
          <t>CONSIGNA REFLO</t>
        </is>
      </c>
      <c r="B99" s="5">
        <f>IF($I2="","",INDEX(Productos!$A:$A,$I2))</f>
        <v/>
      </c>
      <c r="C99" s="134" t="inlineStr">
        <is>
          <t>RM02202035-30</t>
        </is>
      </c>
      <c r="D99" s="5">
        <f>IF($I2="","",INDEX(Productos!$B:$B,$I2))</f>
        <v/>
      </c>
      <c r="E99" s="5">
        <f>IF($I2="","",INDEX(Productos!$H:$H,$I2))</f>
        <v/>
      </c>
      <c r="F99" s="5">
        <f>IF($I2="","",INDEX(Productos!$I:$I,$I2))</f>
        <v/>
      </c>
      <c r="G99" s="135" t="n">
        <v>-1</v>
      </c>
      <c r="H99" s="5">
        <f>IF($I2="","",INDEX(Productos!$AG:$AG,$I2))</f>
        <v/>
      </c>
      <c r="I99" s="136">
        <f>LET(_xlpm.r,Productos!$E$2:$E$653,_xlpm.m,IFERROR(_xlfn.XMATCH(C99,_xlpm.r),IFERROR(_xlfn.XMATCH(VALUE(C99),_xlpm.r),0)),IF(_xlpm.m=0,"",_xlpm.m+1))</f>
        <v/>
      </c>
      <c r="J99" s="137" t="inlineStr">
        <is>
          <t>NetSuite</t>
        </is>
      </c>
    </row>
    <row r="100">
      <c r="A100" s="5" t="inlineStr">
        <is>
          <t>CONSIGNA REFLO</t>
        </is>
      </c>
      <c r="B100" s="5">
        <f>IF($I2="","",INDEX(Productos!$A:$A,$I2))</f>
        <v/>
      </c>
      <c r="C100" s="134" t="inlineStr">
        <is>
          <t>RM02202035-32</t>
        </is>
      </c>
      <c r="D100" s="5">
        <f>IF($I2="","",INDEX(Productos!$B:$B,$I2))</f>
        <v/>
      </c>
      <c r="E100" s="5">
        <f>IF($I2="","",INDEX(Productos!$H:$H,$I2))</f>
        <v/>
      </c>
      <c r="F100" s="5">
        <f>IF($I2="","",INDEX(Productos!$I:$I,$I2))</f>
        <v/>
      </c>
      <c r="G100" s="135" t="n">
        <v>-2</v>
      </c>
      <c r="H100" s="5">
        <f>IF($I2="","",INDEX(Productos!$AG:$AG,$I2))</f>
        <v/>
      </c>
      <c r="I100" s="136">
        <f>LET(_xlpm.r,Productos!$E$2:$E$653,_xlpm.m,IFERROR(_xlfn.XMATCH(C100,_xlpm.r),IFERROR(_xlfn.XMATCH(VALUE(C100),_xlpm.r),0)),IF(_xlpm.m=0,"",_xlpm.m+1))</f>
        <v/>
      </c>
      <c r="J100" s="137" t="inlineStr">
        <is>
          <t>NetSuite</t>
        </is>
      </c>
    </row>
    <row r="101">
      <c r="A101" s="5" t="inlineStr">
        <is>
          <t>CONSIGNA REFLO</t>
        </is>
      </c>
      <c r="B101" s="5">
        <f>IF($I2="","",INDEX(Productos!$A:$A,$I2))</f>
        <v/>
      </c>
      <c r="C101" s="134" t="inlineStr">
        <is>
          <t>RM02202035-34</t>
        </is>
      </c>
      <c r="D101" s="5">
        <f>IF($I2="","",INDEX(Productos!$B:$B,$I2))</f>
        <v/>
      </c>
      <c r="E101" s="5">
        <f>IF($I2="","",INDEX(Productos!$H:$H,$I2))</f>
        <v/>
      </c>
      <c r="F101" s="5">
        <f>IF($I2="","",INDEX(Productos!$I:$I,$I2))</f>
        <v/>
      </c>
      <c r="G101" s="135" t="n">
        <v>-2</v>
      </c>
      <c r="H101" s="5">
        <f>IF($I2="","",INDEX(Productos!$AG:$AG,$I2))</f>
        <v/>
      </c>
      <c r="I101" s="136">
        <f>LET(_xlpm.r,Productos!$E$2:$E$653,_xlpm.m,IFERROR(_xlfn.XMATCH(C101,_xlpm.r),IFERROR(_xlfn.XMATCH(VALUE(C101),_xlpm.r),0)),IF(_xlpm.m=0,"",_xlpm.m+1))</f>
        <v/>
      </c>
      <c r="J101" s="137" t="inlineStr">
        <is>
          <t>NetSuite</t>
        </is>
      </c>
    </row>
    <row r="102">
      <c r="A102" s="5" t="inlineStr">
        <is>
          <t>CONSIGNA REFLO</t>
        </is>
      </c>
      <c r="B102" s="5">
        <f>IF($I2="","",INDEX(Productos!$A:$A,$I2))</f>
        <v/>
      </c>
      <c r="C102" s="134" t="inlineStr">
        <is>
          <t>RM02202035-36</t>
        </is>
      </c>
      <c r="D102" s="5">
        <f>IF($I2="","",INDEX(Productos!$B:$B,$I2))</f>
        <v/>
      </c>
      <c r="E102" s="5">
        <f>IF($I2="","",INDEX(Productos!$H:$H,$I2))</f>
        <v/>
      </c>
      <c r="F102" s="5">
        <f>IF($I2="","",INDEX(Productos!$I:$I,$I2))</f>
        <v/>
      </c>
      <c r="G102" s="135" t="n">
        <v>-1</v>
      </c>
      <c r="H102" s="5">
        <f>IF($I2="","",INDEX(Productos!$AG:$AG,$I2))</f>
        <v/>
      </c>
      <c r="I102" s="136">
        <f>LET(_xlpm.r,Productos!$E$2:$E$653,_xlpm.m,IFERROR(_xlfn.XMATCH(C102,_xlpm.r),IFERROR(_xlfn.XMATCH(VALUE(C102),_xlpm.r),0)),IF(_xlpm.m=0,"",_xlpm.m+1))</f>
        <v/>
      </c>
      <c r="J102" s="137" t="inlineStr">
        <is>
          <t>NetSuite</t>
        </is>
      </c>
    </row>
    <row r="103">
      <c r="A103" s="5" t="inlineStr">
        <is>
          <t>CONSIGNA REFLO</t>
        </is>
      </c>
      <c r="B103" s="5">
        <f>IF($I2="","",INDEX(Productos!$A:$A,$I2))</f>
        <v/>
      </c>
      <c r="C103" s="134" t="inlineStr">
        <is>
          <t>RM02202054-30</t>
        </is>
      </c>
      <c r="D103" s="5">
        <f>IF($I2="","",INDEX(Productos!$B:$B,$I2))</f>
        <v/>
      </c>
      <c r="E103" s="5">
        <f>IF($I2="","",INDEX(Productos!$H:$H,$I2))</f>
        <v/>
      </c>
      <c r="F103" s="5">
        <f>IF($I2="","",INDEX(Productos!$I:$I,$I2))</f>
        <v/>
      </c>
      <c r="G103" s="135" t="n">
        <v>-1</v>
      </c>
      <c r="H103" s="5">
        <f>IF($I2="","",INDEX(Productos!$AG:$AG,$I2))</f>
        <v/>
      </c>
      <c r="I103" s="136">
        <f>LET(_xlpm.r,Productos!$E$2:$E$653,_xlpm.m,IFERROR(_xlfn.XMATCH(C103,_xlpm.r),IFERROR(_xlfn.XMATCH(VALUE(C103),_xlpm.r),0)),IF(_xlpm.m=0,"",_xlpm.m+1))</f>
        <v/>
      </c>
      <c r="J103" s="137" t="inlineStr">
        <is>
          <t>NetSuite</t>
        </is>
      </c>
    </row>
    <row r="104">
      <c r="A104" s="5" t="inlineStr">
        <is>
          <t>CONSIGNA REFLO</t>
        </is>
      </c>
      <c r="B104" s="5">
        <f>IF($I2="","",INDEX(Productos!$A:$A,$I2))</f>
        <v/>
      </c>
      <c r="C104" s="134" t="inlineStr">
        <is>
          <t>RM02202054-32</t>
        </is>
      </c>
      <c r="D104" s="5">
        <f>IF($I2="","",INDEX(Productos!$B:$B,$I2))</f>
        <v/>
      </c>
      <c r="E104" s="5">
        <f>IF($I2="","",INDEX(Productos!$H:$H,$I2))</f>
        <v/>
      </c>
      <c r="F104" s="5">
        <f>IF($I2="","",INDEX(Productos!$I:$I,$I2))</f>
        <v/>
      </c>
      <c r="G104" s="135" t="n">
        <v>-2</v>
      </c>
      <c r="H104" s="5">
        <f>IF($I2="","",INDEX(Productos!$AG:$AG,$I2))</f>
        <v/>
      </c>
      <c r="I104" s="136">
        <f>LET(_xlpm.r,Productos!$E$2:$E$653,_xlpm.m,IFERROR(_xlfn.XMATCH(C104,_xlpm.r),IFERROR(_xlfn.XMATCH(VALUE(C104),_xlpm.r),0)),IF(_xlpm.m=0,"",_xlpm.m+1))</f>
        <v/>
      </c>
      <c r="J104" s="137" t="inlineStr">
        <is>
          <t>NetSuite</t>
        </is>
      </c>
    </row>
    <row r="105">
      <c r="A105" s="5" t="inlineStr">
        <is>
          <t>CONSIGNA REFLO</t>
        </is>
      </c>
      <c r="B105" s="5">
        <f>IF($I2="","",INDEX(Productos!$A:$A,$I2))</f>
        <v/>
      </c>
      <c r="C105" s="134" t="inlineStr">
        <is>
          <t>RM02202054-34</t>
        </is>
      </c>
      <c r="D105" s="5">
        <f>IF($I2="","",INDEX(Productos!$B:$B,$I2))</f>
        <v/>
      </c>
      <c r="E105" s="5">
        <f>IF($I2="","",INDEX(Productos!$H:$H,$I2))</f>
        <v/>
      </c>
      <c r="F105" s="5">
        <f>IF($I2="","",INDEX(Productos!$I:$I,$I2))</f>
        <v/>
      </c>
      <c r="G105" s="135" t="n">
        <v>-2</v>
      </c>
      <c r="H105" s="5">
        <f>IF($I2="","",INDEX(Productos!$AG:$AG,$I2))</f>
        <v/>
      </c>
      <c r="I105" s="136">
        <f>LET(_xlpm.r,Productos!$E$2:$E$653,_xlpm.m,IFERROR(_xlfn.XMATCH(C105,_xlpm.r),IFERROR(_xlfn.XMATCH(VALUE(C105),_xlpm.r),0)),IF(_xlpm.m=0,"",_xlpm.m+1))</f>
        <v/>
      </c>
      <c r="J105" s="137" t="inlineStr">
        <is>
          <t>NetSuite</t>
        </is>
      </c>
    </row>
    <row r="106">
      <c r="A106" s="5" t="inlineStr">
        <is>
          <t>CONSIGNA REFLO</t>
        </is>
      </c>
      <c r="B106" s="5">
        <f>IF($I2="","",INDEX(Productos!$A:$A,$I2))</f>
        <v/>
      </c>
      <c r="C106" s="134" t="inlineStr">
        <is>
          <t>RM02202054-36</t>
        </is>
      </c>
      <c r="D106" s="5">
        <f>IF($I2="","",INDEX(Productos!$B:$B,$I2))</f>
        <v/>
      </c>
      <c r="E106" s="5">
        <f>IF($I2="","",INDEX(Productos!$H:$H,$I2))</f>
        <v/>
      </c>
      <c r="F106" s="5">
        <f>IF($I2="","",INDEX(Productos!$I:$I,$I2))</f>
        <v/>
      </c>
      <c r="G106" s="135" t="n">
        <v>-1</v>
      </c>
      <c r="H106" s="5">
        <f>IF($I2="","",INDEX(Productos!$AG:$AG,$I2))</f>
        <v/>
      </c>
      <c r="I106" s="136">
        <f>LET(_xlpm.r,Productos!$E$2:$E$653,_xlpm.m,IFERROR(_xlfn.XMATCH(C106,_xlpm.r),IFERROR(_xlfn.XMATCH(VALUE(C106),_xlpm.r),0)),IF(_xlpm.m=0,"",_xlpm.m+1))</f>
        <v/>
      </c>
      <c r="J106" s="137" t="inlineStr">
        <is>
          <t>NetSuite</t>
        </is>
      </c>
    </row>
    <row r="107">
      <c r="A107" s="5" t="inlineStr">
        <is>
          <t>CONSIGNA REFLO</t>
        </is>
      </c>
      <c r="B107" s="5">
        <f>IF($I2="","",INDEX(Productos!$A:$A,$I2))</f>
        <v/>
      </c>
      <c r="C107" s="134" t="inlineStr">
        <is>
          <t>RM02202068-30</t>
        </is>
      </c>
      <c r="D107" s="5">
        <f>IF($I2="","",INDEX(Productos!$B:$B,$I2))</f>
        <v/>
      </c>
      <c r="E107" s="5">
        <f>IF($I2="","",INDEX(Productos!$H:$H,$I2))</f>
        <v/>
      </c>
      <c r="F107" s="5">
        <f>IF($I2="","",INDEX(Productos!$I:$I,$I2))</f>
        <v/>
      </c>
      <c r="G107" s="135" t="n">
        <v>-1</v>
      </c>
      <c r="H107" s="5">
        <f>IF($I2="","",INDEX(Productos!$AG:$AG,$I2))</f>
        <v/>
      </c>
      <c r="I107" s="136">
        <f>LET(_xlpm.r,Productos!$E$2:$E$653,_xlpm.m,IFERROR(_xlfn.XMATCH(C107,_xlpm.r),IFERROR(_xlfn.XMATCH(VALUE(C107),_xlpm.r),0)),IF(_xlpm.m=0,"",_xlpm.m+1))</f>
        <v/>
      </c>
      <c r="J107" s="137" t="inlineStr">
        <is>
          <t>NetSuite</t>
        </is>
      </c>
    </row>
    <row r="108">
      <c r="A108" s="5" t="inlineStr">
        <is>
          <t>CONSIGNA REFLO</t>
        </is>
      </c>
      <c r="B108" s="5">
        <f>IF($I2="","",INDEX(Productos!$A:$A,$I2))</f>
        <v/>
      </c>
      <c r="C108" s="134" t="inlineStr">
        <is>
          <t>RM02202068-34</t>
        </is>
      </c>
      <c r="D108" s="5">
        <f>IF($I2="","",INDEX(Productos!$B:$B,$I2))</f>
        <v/>
      </c>
      <c r="E108" s="5">
        <f>IF($I2="","",INDEX(Productos!$H:$H,$I2))</f>
        <v/>
      </c>
      <c r="F108" s="5">
        <f>IF($I2="","",INDEX(Productos!$I:$I,$I2))</f>
        <v/>
      </c>
      <c r="G108" s="135" t="n">
        <v>-2</v>
      </c>
      <c r="H108" s="5">
        <f>IF($I2="","",INDEX(Productos!$AG:$AG,$I2))</f>
        <v/>
      </c>
      <c r="I108" s="136">
        <f>LET(_xlpm.r,Productos!$E$2:$E$653,_xlpm.m,IFERROR(_xlfn.XMATCH(C108,_xlpm.r),IFERROR(_xlfn.XMATCH(VALUE(C108),_xlpm.r),0)),IF(_xlpm.m=0,"",_xlpm.m+1))</f>
        <v/>
      </c>
      <c r="J108" s="137" t="inlineStr">
        <is>
          <t>NetSuite</t>
        </is>
      </c>
    </row>
    <row r="109">
      <c r="A109" s="5" t="inlineStr">
        <is>
          <t>CONSIGNA REFLO</t>
        </is>
      </c>
      <c r="B109" s="5">
        <f>IF($I2="","",INDEX(Productos!$A:$A,$I2))</f>
        <v/>
      </c>
      <c r="C109" s="134" t="inlineStr">
        <is>
          <t>RM24407050-M</t>
        </is>
      </c>
      <c r="D109" s="5">
        <f>IF($I2="","",INDEX(Productos!$B:$B,$I2))</f>
        <v/>
      </c>
      <c r="E109" s="5">
        <f>IF($I2="","",INDEX(Productos!$H:$H,$I2))</f>
        <v/>
      </c>
      <c r="F109" s="5">
        <f>IF($I2="","",INDEX(Productos!$I:$I,$I2))</f>
        <v/>
      </c>
      <c r="G109" s="135" t="n">
        <v>-1</v>
      </c>
      <c r="H109" s="5">
        <f>IF($I2="","",INDEX(Productos!$AG:$AG,$I2))</f>
        <v/>
      </c>
      <c r="I109" s="136">
        <f>LET(_xlpm.r,Productos!$E$2:$E$653,_xlpm.m,IFERROR(_xlfn.XMATCH(C109,_xlpm.r),IFERROR(_xlfn.XMATCH(VALUE(C109),_xlpm.r),0)),IF(_xlpm.m=0,"",_xlpm.m+1))</f>
        <v/>
      </c>
      <c r="J109" s="137" t="inlineStr">
        <is>
          <t>NetSuite</t>
        </is>
      </c>
    </row>
    <row r="110">
      <c r="A110" s="5" t="inlineStr">
        <is>
          <t>CONSIGNA REFLO</t>
        </is>
      </c>
      <c r="B110" s="5">
        <f>IF($I2="","",INDEX(Productos!$A:$A,$I2))</f>
        <v/>
      </c>
      <c r="C110" s="134" t="inlineStr">
        <is>
          <t>RM24408051-L</t>
        </is>
      </c>
      <c r="D110" s="5">
        <f>IF($I2="","",INDEX(Productos!$B:$B,$I2))</f>
        <v/>
      </c>
      <c r="E110" s="5">
        <f>IF($I2="","",INDEX(Productos!$H:$H,$I2))</f>
        <v/>
      </c>
      <c r="F110" s="5">
        <f>IF($I2="","",INDEX(Productos!$I:$I,$I2))</f>
        <v/>
      </c>
      <c r="G110" s="135" t="n">
        <v>1</v>
      </c>
      <c r="H110" s="5">
        <f>IF($I2="","",INDEX(Productos!$AG:$AG,$I2))</f>
        <v/>
      </c>
      <c r="I110" s="136">
        <f>LET(_xlpm.r,Productos!$E$2:$E$653,_xlpm.m,IFERROR(_xlfn.XMATCH(C110,_xlpm.r),IFERROR(_xlfn.XMATCH(VALUE(C110),_xlpm.r),0)),IF(_xlpm.m=0,"",_xlpm.m+1))</f>
        <v/>
      </c>
      <c r="J110" s="137" t="inlineStr">
        <is>
          <t>NetSuite</t>
        </is>
      </c>
    </row>
    <row r="111">
      <c r="A111" s="5" t="inlineStr">
        <is>
          <t>CONSIGNA REFLO</t>
        </is>
      </c>
      <c r="B111" s="5">
        <f>IF($I2="","",INDEX(Productos!$A:$A,$I2))</f>
        <v/>
      </c>
      <c r="C111" s="134" t="inlineStr">
        <is>
          <t>RM24408051-S</t>
        </is>
      </c>
      <c r="D111" s="5">
        <f>IF($I2="","",INDEX(Productos!$B:$B,$I2))</f>
        <v/>
      </c>
      <c r="E111" s="5">
        <f>IF($I2="","",INDEX(Productos!$H:$H,$I2))</f>
        <v/>
      </c>
      <c r="F111" s="5">
        <f>IF($I2="","",INDEX(Productos!$I:$I,$I2))</f>
        <v/>
      </c>
      <c r="G111" s="135" t="n">
        <v>1</v>
      </c>
      <c r="H111" s="5">
        <f>IF($I2="","",INDEX(Productos!$AG:$AG,$I2))</f>
        <v/>
      </c>
      <c r="I111" s="136">
        <f>LET(_xlpm.r,Productos!$E$2:$E$653,_xlpm.m,IFERROR(_xlfn.XMATCH(C111,_xlpm.r),IFERROR(_xlfn.XMATCH(VALUE(C111),_xlpm.r),0)),IF(_xlpm.m=0,"",_xlpm.m+1))</f>
        <v/>
      </c>
      <c r="J111" s="137" t="inlineStr">
        <is>
          <t>NetSuite</t>
        </is>
      </c>
    </row>
    <row r="112">
      <c r="A112" s="5" t="inlineStr">
        <is>
          <t>CONSIGNA REFLO</t>
        </is>
      </c>
      <c r="B112" s="5">
        <f>IF($I2="","",INDEX(Productos!$A:$A,$I2))</f>
        <v/>
      </c>
      <c r="C112" s="134" t="inlineStr">
        <is>
          <t>RU20801032-OS</t>
        </is>
      </c>
      <c r="D112" s="5">
        <f>IF($I2="","",INDEX(Productos!$B:$B,$I2))</f>
        <v/>
      </c>
      <c r="E112" s="5">
        <f>IF($I2="","",INDEX(Productos!$H:$H,$I2))</f>
        <v/>
      </c>
      <c r="F112" s="5">
        <f>IF($I2="","",INDEX(Productos!$I:$I,$I2))</f>
        <v/>
      </c>
      <c r="G112" s="135" t="n">
        <v>3</v>
      </c>
      <c r="H112" s="5">
        <f>IF($I2="","",INDEX(Productos!$AG:$AG,$I2))</f>
        <v/>
      </c>
      <c r="I112" s="136">
        <f>LET(_xlpm.r,Productos!$E$2:$E$653,_xlpm.m,IFERROR(_xlfn.XMATCH(C112,_xlpm.r),IFERROR(_xlfn.XMATCH(VALUE(C112),_xlpm.r),0)),IF(_xlpm.m=0,"",_xlpm.m+1))</f>
        <v/>
      </c>
      <c r="J112" s="137" t="inlineStr">
        <is>
          <t>NetSuite</t>
        </is>
      </c>
    </row>
    <row r="113">
      <c r="A113" s="5" t="inlineStr">
        <is>
          <t>CONSIGNA REFLO</t>
        </is>
      </c>
      <c r="B113" s="5">
        <f>IF($I2="","",INDEX(Productos!$A:$A,$I2))</f>
        <v/>
      </c>
      <c r="C113" s="134" t="inlineStr">
        <is>
          <t>RU20802032-OS</t>
        </is>
      </c>
      <c r="D113" s="5">
        <f>IF($I2="","",INDEX(Productos!$B:$B,$I2))</f>
        <v/>
      </c>
      <c r="E113" s="5">
        <f>IF($I2="","",INDEX(Productos!$H:$H,$I2))</f>
        <v/>
      </c>
      <c r="F113" s="5">
        <f>IF($I2="","",INDEX(Productos!$I:$I,$I2))</f>
        <v/>
      </c>
      <c r="G113" s="135" t="n">
        <v>3</v>
      </c>
      <c r="H113" s="5">
        <f>IF($I2="","",INDEX(Productos!$AG:$AG,$I2))</f>
        <v/>
      </c>
      <c r="I113" s="136">
        <f>LET(_xlpm.r,Productos!$E$2:$E$653,_xlpm.m,IFERROR(_xlfn.XMATCH(C113,_xlpm.r),IFERROR(_xlfn.XMATCH(VALUE(C113),_xlpm.r),0)),IF(_xlpm.m=0,"",_xlpm.m+1))</f>
        <v/>
      </c>
      <c r="J113" s="137" t="inlineStr">
        <is>
          <t>NetSuite</t>
        </is>
      </c>
    </row>
    <row r="114">
      <c r="A114" s="5" t="inlineStr">
        <is>
          <t>CONSIGNA REFLO</t>
        </is>
      </c>
      <c r="B114" s="5">
        <f>IF($I2="","",INDEX(Productos!$A:$A,$I2))</f>
        <v/>
      </c>
      <c r="C114" s="134" t="inlineStr">
        <is>
          <t>RU20804010-OS</t>
        </is>
      </c>
      <c r="D114" s="5">
        <f>IF($I2="","",INDEX(Productos!$B:$B,$I2))</f>
        <v/>
      </c>
      <c r="E114" s="5">
        <f>IF($I2="","",INDEX(Productos!$H:$H,$I2))</f>
        <v/>
      </c>
      <c r="F114" s="5">
        <f>IF($I2="","",INDEX(Productos!$I:$I,$I2))</f>
        <v/>
      </c>
      <c r="G114" s="135" t="n">
        <v>3</v>
      </c>
      <c r="H114" s="5">
        <f>IF($I2="","",INDEX(Productos!$AG:$AG,$I2))</f>
        <v/>
      </c>
      <c r="I114" s="136">
        <f>LET(_xlpm.r,Productos!$E$2:$E$653,_xlpm.m,IFERROR(_xlfn.XMATCH(C114,_xlpm.r),IFERROR(_xlfn.XMATCH(VALUE(C114),_xlpm.r),0)),IF(_xlpm.m=0,"",_xlpm.m+1))</f>
        <v/>
      </c>
      <c r="J114" s="137" t="inlineStr">
        <is>
          <t>NetSuite</t>
        </is>
      </c>
    </row>
    <row r="115">
      <c r="A115" s="5" t="inlineStr">
        <is>
          <t>CONSIGNA REFLO</t>
        </is>
      </c>
      <c r="B115" s="5">
        <f>IF($I2="","",INDEX(Productos!$A:$A,$I2))</f>
        <v/>
      </c>
      <c r="C115" s="134" t="inlineStr">
        <is>
          <t>RU20805010-OS</t>
        </is>
      </c>
      <c r="D115" s="5">
        <f>IF($I2="","",INDEX(Productos!$B:$B,$I2))</f>
        <v/>
      </c>
      <c r="E115" s="5">
        <f>IF($I2="","",INDEX(Productos!$H:$H,$I2))</f>
        <v/>
      </c>
      <c r="F115" s="5">
        <f>IF($I2="","",INDEX(Productos!$I:$I,$I2))</f>
        <v/>
      </c>
      <c r="G115" s="135" t="n">
        <v>1</v>
      </c>
      <c r="H115" s="5">
        <f>IF($I2="","",INDEX(Productos!$AG:$AG,$I2))</f>
        <v/>
      </c>
      <c r="I115" s="136">
        <f>LET(_xlpm.r,Productos!$E$2:$E$653,_xlpm.m,IFERROR(_xlfn.XMATCH(C115,_xlpm.r),IFERROR(_xlfn.XMATCH(VALUE(C115),_xlpm.r),0)),IF(_xlpm.m=0,"",_xlpm.m+1))</f>
        <v/>
      </c>
      <c r="J115" s="137" t="inlineStr">
        <is>
          <t>NetSuite</t>
        </is>
      </c>
    </row>
    <row r="116">
      <c r="A116" s="5" t="inlineStr">
        <is>
          <t>CONSIGNA REFLO</t>
        </is>
      </c>
      <c r="B116" s="5">
        <f>IF($I2="","",INDEX(Productos!$A:$A,$I2))</f>
        <v/>
      </c>
      <c r="C116" s="134" t="inlineStr">
        <is>
          <t>RU20808003-OS</t>
        </is>
      </c>
      <c r="D116" s="5">
        <f>IF($I2="","",INDEX(Productos!$B:$B,$I2))</f>
        <v/>
      </c>
      <c r="E116" s="5">
        <f>IF($I2="","",INDEX(Productos!$H:$H,$I2))</f>
        <v/>
      </c>
      <c r="F116" s="5">
        <f>IF($I2="","",INDEX(Productos!$I:$I,$I2))</f>
        <v/>
      </c>
      <c r="G116" s="135" t="n">
        <v>3</v>
      </c>
      <c r="H116" s="5">
        <f>IF($I2="","",INDEX(Productos!$AG:$AG,$I2))</f>
        <v/>
      </c>
      <c r="I116" s="136">
        <f>LET(_xlpm.r,Productos!$E$2:$E$653,_xlpm.m,IFERROR(_xlfn.XMATCH(C116,_xlpm.r),IFERROR(_xlfn.XMATCH(VALUE(C116),_xlpm.r),0)),IF(_xlpm.m=0,"",_xlpm.m+1))</f>
        <v/>
      </c>
      <c r="J116" s="137" t="inlineStr">
        <is>
          <t>NetSuite</t>
        </is>
      </c>
    </row>
    <row r="117">
      <c r="A117" s="5" t="inlineStr">
        <is>
          <t>CONSIGNA REFLO</t>
        </is>
      </c>
      <c r="B117" s="5">
        <f>IF($I2="","",INDEX(Productos!$A:$A,$I2))</f>
        <v/>
      </c>
      <c r="C117" s="134" t="inlineStr">
        <is>
          <t>RU20810032-OS</t>
        </is>
      </c>
      <c r="D117" s="5">
        <f>IF($I2="","",INDEX(Productos!$B:$B,$I2))</f>
        <v/>
      </c>
      <c r="E117" s="5">
        <f>IF($I2="","",INDEX(Productos!$H:$H,$I2))</f>
        <v/>
      </c>
      <c r="F117" s="5">
        <f>IF($I2="","",INDEX(Productos!$I:$I,$I2))</f>
        <v/>
      </c>
      <c r="G117" s="135" t="n">
        <v>2</v>
      </c>
      <c r="H117" s="5">
        <f>IF($I2="","",INDEX(Productos!$AG:$AG,$I2))</f>
        <v/>
      </c>
      <c r="I117" s="136">
        <f>LET(_xlpm.r,Productos!$E$2:$E$653,_xlpm.m,IFERROR(_xlfn.XMATCH(C117,_xlpm.r),IFERROR(_xlfn.XMATCH(VALUE(C117),_xlpm.r),0)),IF(_xlpm.m=0,"",_xlpm.m+1))</f>
        <v/>
      </c>
      <c r="J117" s="137" t="inlineStr">
        <is>
          <t>NetSuite</t>
        </is>
      </c>
    </row>
    <row r="118">
      <c r="A118" s="5" t="inlineStr">
        <is>
          <t>CONSIGNA REFLO</t>
        </is>
      </c>
      <c r="B118" s="5">
        <f>IF($I2="","",INDEX(Productos!$A:$A,$I2))</f>
        <v/>
      </c>
      <c r="C118" s="134" t="inlineStr">
        <is>
          <t>RU20814010-OS</t>
        </is>
      </c>
      <c r="D118" s="5">
        <f>IF($I2="","",INDEX(Productos!$B:$B,$I2))</f>
        <v/>
      </c>
      <c r="E118" s="5">
        <f>IF($I2="","",INDEX(Productos!$H:$H,$I2))</f>
        <v/>
      </c>
      <c r="F118" s="5">
        <f>IF($I2="","",INDEX(Productos!$I:$I,$I2))</f>
        <v/>
      </c>
      <c r="G118" s="135" t="n">
        <v>1</v>
      </c>
      <c r="H118" s="5">
        <f>IF($I2="","",INDEX(Productos!$AG:$AG,$I2))</f>
        <v/>
      </c>
      <c r="I118" s="136">
        <f>LET(_xlpm.r,Productos!$E$2:$E$653,_xlpm.m,IFERROR(_xlfn.XMATCH(C118,_xlpm.r),IFERROR(_xlfn.XMATCH(VALUE(C118),_xlpm.r),0)),IF(_xlpm.m=0,"",_xlpm.m+1))</f>
        <v/>
      </c>
      <c r="J118" s="137" t="inlineStr">
        <is>
          <t>NetSuite</t>
        </is>
      </c>
    </row>
    <row r="119">
      <c r="A119" s="5" t="inlineStr">
        <is>
          <t>CONSIGNA REFLO</t>
        </is>
      </c>
      <c r="B119" s="5">
        <f>IF($I2="","",INDEX(Productos!$A:$A,$I2))</f>
        <v/>
      </c>
      <c r="C119" s="134" t="inlineStr">
        <is>
          <t>RU20817003-OS</t>
        </is>
      </c>
      <c r="D119" s="5">
        <f>IF($I2="","",INDEX(Productos!$B:$B,$I2))</f>
        <v/>
      </c>
      <c r="E119" s="5">
        <f>IF($I2="","",INDEX(Productos!$H:$H,$I2))</f>
        <v/>
      </c>
      <c r="F119" s="5">
        <f>IF($I2="","",INDEX(Productos!$I:$I,$I2))</f>
        <v/>
      </c>
      <c r="G119" s="135" t="n">
        <v>3</v>
      </c>
      <c r="H119" s="5">
        <f>IF($I2="","",INDEX(Productos!$AG:$AG,$I2))</f>
        <v/>
      </c>
      <c r="I119" s="136">
        <f>LET(_xlpm.r,Productos!$E$2:$E$653,_xlpm.m,IFERROR(_xlfn.XMATCH(C119,_xlpm.r),IFERROR(_xlfn.XMATCH(VALUE(C119),_xlpm.r),0)),IF(_xlpm.m=0,"",_xlpm.m+1))</f>
        <v/>
      </c>
      <c r="J119" s="137" t="inlineStr">
        <is>
          <t>NetSuite</t>
        </is>
      </c>
    </row>
    <row r="120">
      <c r="A120" s="5" t="inlineStr">
        <is>
          <t>CONSIGNA REFLO</t>
        </is>
      </c>
      <c r="B120" s="5">
        <f>IF($I2="","",INDEX(Productos!$A:$A,$I2))</f>
        <v/>
      </c>
      <c r="C120" s="134" t="inlineStr">
        <is>
          <t>RU20820030-OS</t>
        </is>
      </c>
      <c r="D120" s="5">
        <f>IF($I2="","",INDEX(Productos!$B:$B,$I2))</f>
        <v/>
      </c>
      <c r="E120" s="5">
        <f>IF($I2="","",INDEX(Productos!$H:$H,$I2))</f>
        <v/>
      </c>
      <c r="F120" s="5">
        <f>IF($I2="","",INDEX(Productos!$I:$I,$I2))</f>
        <v/>
      </c>
      <c r="G120" s="135" t="n">
        <v>3</v>
      </c>
      <c r="H120" s="5">
        <f>IF($I2="","",INDEX(Productos!$AG:$AG,$I2))</f>
        <v/>
      </c>
      <c r="I120" s="136">
        <f>LET(_xlpm.r,Productos!$E$2:$E$653,_xlpm.m,IFERROR(_xlfn.XMATCH(C120,_xlpm.r),IFERROR(_xlfn.XMATCH(VALUE(C120),_xlpm.r),0)),IF(_xlpm.m=0,"",_xlpm.m+1))</f>
        <v/>
      </c>
      <c r="J120" s="137" t="inlineStr">
        <is>
          <t>NetSuite</t>
        </is>
      </c>
    </row>
    <row r="121">
      <c r="A121" s="5" t="inlineStr">
        <is>
          <t>CONSIGNA REFLO</t>
        </is>
      </c>
      <c r="B121" s="5">
        <f>IF($I2="","",INDEX(Productos!$A:$A,$I2))</f>
        <v/>
      </c>
      <c r="C121" s="134" t="inlineStr">
        <is>
          <t>RU20821030-OS</t>
        </is>
      </c>
      <c r="D121" s="5">
        <f>IF($I2="","",INDEX(Productos!$B:$B,$I2))</f>
        <v/>
      </c>
      <c r="E121" s="5">
        <f>IF($I2="","",INDEX(Productos!$H:$H,$I2))</f>
        <v/>
      </c>
      <c r="F121" s="5">
        <f>IF($I2="","",INDEX(Productos!$I:$I,$I2))</f>
        <v/>
      </c>
      <c r="G121" s="135" t="n">
        <v>3</v>
      </c>
      <c r="H121" s="5">
        <f>IF($I2="","",INDEX(Productos!$AG:$AG,$I2))</f>
        <v/>
      </c>
      <c r="I121" s="136">
        <f>LET(_xlpm.r,Productos!$E$2:$E$653,_xlpm.m,IFERROR(_xlfn.XMATCH(C121,_xlpm.r),IFERROR(_xlfn.XMATCH(VALUE(C121),_xlpm.r),0)),IF(_xlpm.m=0,"",_xlpm.m+1))</f>
        <v/>
      </c>
      <c r="J121" s="137" t="inlineStr">
        <is>
          <t>NetSuite</t>
        </is>
      </c>
    </row>
    <row r="122">
      <c r="A122" s="5" t="inlineStr">
        <is>
          <t>CONSIGNA REFLO</t>
        </is>
      </c>
      <c r="B122" s="5">
        <f>IF($I2="","",INDEX(Productos!$A:$A,$I2))</f>
        <v/>
      </c>
      <c r="C122" s="134" t="inlineStr">
        <is>
          <t>SARGBLA-M</t>
        </is>
      </c>
      <c r="D122" s="5">
        <f>IF($I2="","",INDEX(Productos!$B:$B,$I2))</f>
        <v/>
      </c>
      <c r="E122" s="5">
        <f>IF($I2="","",INDEX(Productos!$H:$H,$I2))</f>
        <v/>
      </c>
      <c r="F122" s="5">
        <f>IF($I2="","",INDEX(Productos!$I:$I,$I2))</f>
        <v/>
      </c>
      <c r="G122" s="135" t="n">
        <v>1</v>
      </c>
      <c r="H122" s="5">
        <f>IF($I2="","",INDEX(Productos!$AG:$AG,$I2))</f>
        <v/>
      </c>
      <c r="I122" s="136">
        <f>LET(_xlpm.r,Productos!$E$2:$E$653,_xlpm.m,IFERROR(_xlfn.XMATCH(C122,_xlpm.r),IFERROR(_xlfn.XMATCH(VALUE(C122),_xlpm.r),0)),IF(_xlpm.m=0,"",_xlpm.m+1))</f>
        <v/>
      </c>
      <c r="J122" s="137" t="inlineStr">
        <is>
          <t>NetSuite</t>
        </is>
      </c>
    </row>
    <row r="123">
      <c r="A123" s="5" t="inlineStr">
        <is>
          <t>CONSIGNA REFLO</t>
        </is>
      </c>
      <c r="B123" s="5">
        <f>IF($I2="","",INDEX(Productos!$A:$A,$I2))</f>
        <v/>
      </c>
      <c r="C123" s="134" t="inlineStr">
        <is>
          <t>SARGBLA-S</t>
        </is>
      </c>
      <c r="D123" s="5">
        <f>IF($I2="","",INDEX(Productos!$B:$B,$I2))</f>
        <v/>
      </c>
      <c r="E123" s="5">
        <f>IF($I2="","",INDEX(Productos!$H:$H,$I2))</f>
        <v/>
      </c>
      <c r="F123" s="5">
        <f>IF($I2="","",INDEX(Productos!$I:$I,$I2))</f>
        <v/>
      </c>
      <c r="G123" s="135" t="n">
        <v>1</v>
      </c>
      <c r="H123" s="5">
        <f>IF($I2="","",INDEX(Productos!$AG:$AG,$I2))</f>
        <v/>
      </c>
      <c r="I123" s="136">
        <f>LET(_xlpm.r,Productos!$E$2:$E$653,_xlpm.m,IFERROR(_xlfn.XMATCH(C123,_xlpm.r),IFERROR(_xlfn.XMATCH(VALUE(C123),_xlpm.r),0)),IF(_xlpm.m=0,"",_xlpm.m+1))</f>
        <v/>
      </c>
      <c r="J123" s="137" t="inlineStr">
        <is>
          <t>NetSuite</t>
        </is>
      </c>
    </row>
    <row r="124">
      <c r="A124" s="5" t="inlineStr">
        <is>
          <t>CONSIGNA REFLO</t>
        </is>
      </c>
      <c r="B124" s="5">
        <f>IF($I2="","",INDEX(Productos!$A:$A,$I2))</f>
        <v/>
      </c>
      <c r="C124" s="134" t="inlineStr">
        <is>
          <t>SARGCLO-M</t>
        </is>
      </c>
      <c r="D124" s="5">
        <f>IF($I2="","",INDEX(Productos!$B:$B,$I2))</f>
        <v/>
      </c>
      <c r="E124" s="5">
        <f>IF($I2="","",INDEX(Productos!$H:$H,$I2))</f>
        <v/>
      </c>
      <c r="F124" s="5">
        <f>IF($I2="","",INDEX(Productos!$I:$I,$I2))</f>
        <v/>
      </c>
      <c r="G124" s="135" t="n">
        <v>2</v>
      </c>
      <c r="H124" s="5">
        <f>IF($I2="","",INDEX(Productos!$AG:$AG,$I2))</f>
        <v/>
      </c>
      <c r="I124" s="136">
        <f>LET(_xlpm.r,Productos!$E$2:$E$653,_xlpm.m,IFERROR(_xlfn.XMATCH(C124,_xlpm.r),IFERROR(_xlfn.XMATCH(VALUE(C124),_xlpm.r),0)),IF(_xlpm.m=0,"",_xlpm.m+1))</f>
        <v/>
      </c>
      <c r="J124" s="137" t="inlineStr">
        <is>
          <t>NetSuite</t>
        </is>
      </c>
    </row>
    <row r="125">
      <c r="A125" s="5" t="inlineStr">
        <is>
          <t>CONSIGNA REFLO</t>
        </is>
      </c>
      <c r="B125" s="5">
        <f>IF($I2="","",INDEX(Productos!$A:$A,$I2))</f>
        <v/>
      </c>
      <c r="C125" s="134" t="inlineStr">
        <is>
          <t>SARGCLO-S</t>
        </is>
      </c>
      <c r="D125" s="5">
        <f>IF($I2="","",INDEX(Productos!$B:$B,$I2))</f>
        <v/>
      </c>
      <c r="E125" s="5">
        <f>IF($I2="","",INDEX(Productos!$H:$H,$I2))</f>
        <v/>
      </c>
      <c r="F125" s="5">
        <f>IF($I2="","",INDEX(Productos!$I:$I,$I2))</f>
        <v/>
      </c>
      <c r="G125" s="135" t="n">
        <v>1</v>
      </c>
      <c r="H125" s="5">
        <f>IF($I2="","",INDEX(Productos!$AG:$AG,$I2))</f>
        <v/>
      </c>
      <c r="I125" s="136">
        <f>LET(_xlpm.r,Productos!$E$2:$E$653,_xlpm.m,IFERROR(_xlfn.XMATCH(C125,_xlpm.r),IFERROR(_xlfn.XMATCH(VALUE(C125),_xlpm.r),0)),IF(_xlpm.m=0,"",_xlpm.m+1))</f>
        <v/>
      </c>
      <c r="J125" s="137" t="inlineStr">
        <is>
          <t>NetSuite</t>
        </is>
      </c>
    </row>
    <row r="126">
      <c r="A126" s="5" t="inlineStr">
        <is>
          <t>CONSIGNA REFLO</t>
        </is>
      </c>
      <c r="B126" s="5">
        <f>IF($I2="","",INDEX(Productos!$A:$A,$I2))</f>
        <v/>
      </c>
      <c r="C126" s="134" t="inlineStr">
        <is>
          <t>SARGFRE-L</t>
        </is>
      </c>
      <c r="D126" s="5">
        <f>IF($I2="","",INDEX(Productos!$B:$B,$I2))</f>
        <v/>
      </c>
      <c r="E126" s="5">
        <f>IF($I2="","",INDEX(Productos!$H:$H,$I2))</f>
        <v/>
      </c>
      <c r="F126" s="5">
        <f>IF($I2="","",INDEX(Productos!$I:$I,$I2))</f>
        <v/>
      </c>
      <c r="G126" s="135" t="n">
        <v>-1</v>
      </c>
      <c r="H126" s="5">
        <f>IF($I2="","",INDEX(Productos!$AG:$AG,$I2))</f>
        <v/>
      </c>
      <c r="I126" s="136">
        <f>LET(_xlpm.r,Productos!$E$2:$E$653,_xlpm.m,IFERROR(_xlfn.XMATCH(C126,_xlpm.r),IFERROR(_xlfn.XMATCH(VALUE(C126),_xlpm.r),0)),IF(_xlpm.m=0,"",_xlpm.m+1))</f>
        <v/>
      </c>
      <c r="J126" s="137" t="inlineStr">
        <is>
          <t>NetSuite</t>
        </is>
      </c>
    </row>
    <row r="127">
      <c r="A127" s="5" t="inlineStr">
        <is>
          <t>CONSIGNA REFLO</t>
        </is>
      </c>
      <c r="B127" s="5">
        <f>IF($I2="","",INDEX(Productos!$A:$A,$I2))</f>
        <v/>
      </c>
      <c r="C127" s="134" t="inlineStr">
        <is>
          <t>SARGFRE-M</t>
        </is>
      </c>
      <c r="D127" s="5">
        <f>IF($I2="","",INDEX(Productos!$B:$B,$I2))</f>
        <v/>
      </c>
      <c r="E127" s="5">
        <f>IF($I2="","",INDEX(Productos!$H:$H,$I2))</f>
        <v/>
      </c>
      <c r="F127" s="5">
        <f>IF($I2="","",INDEX(Productos!$I:$I,$I2))</f>
        <v/>
      </c>
      <c r="G127" s="135" t="n">
        <v>-1</v>
      </c>
      <c r="H127" s="5">
        <f>IF($I2="","",INDEX(Productos!$AG:$AG,$I2))</f>
        <v/>
      </c>
      <c r="I127" s="136">
        <f>LET(_xlpm.r,Productos!$E$2:$E$653,_xlpm.m,IFERROR(_xlfn.XMATCH(C127,_xlpm.r),IFERROR(_xlfn.XMATCH(VALUE(C127),_xlpm.r),0)),IF(_xlpm.m=0,"",_xlpm.m+1))</f>
        <v/>
      </c>
      <c r="J127" s="137" t="inlineStr">
        <is>
          <t>NetSuite</t>
        </is>
      </c>
    </row>
    <row r="128">
      <c r="A128" s="5" t="inlineStr">
        <is>
          <t>CONSIGNA REFLO</t>
        </is>
      </c>
      <c r="B128" s="5">
        <f>IF($I2="","",INDEX(Productos!$A:$A,$I2))</f>
        <v/>
      </c>
      <c r="C128" s="134" t="inlineStr">
        <is>
          <t>SARGFRE-XL</t>
        </is>
      </c>
      <c r="D128" s="5">
        <f>IF($I2="","",INDEX(Productos!$B:$B,$I2))</f>
        <v/>
      </c>
      <c r="E128" s="5">
        <f>IF($I2="","",INDEX(Productos!$H:$H,$I2))</f>
        <v/>
      </c>
      <c r="F128" s="5">
        <f>IF($I2="","",INDEX(Productos!$I:$I,$I2))</f>
        <v/>
      </c>
      <c r="G128" s="135" t="n">
        <v>-1</v>
      </c>
      <c r="H128" s="5">
        <f>IF($I2="","",INDEX(Productos!$AG:$AG,$I2))</f>
        <v/>
      </c>
      <c r="I128" s="136">
        <f>LET(_xlpm.r,Productos!$E$2:$E$653,_xlpm.m,IFERROR(_xlfn.XMATCH(C128,_xlpm.r),IFERROR(_xlfn.XMATCH(VALUE(C128),_xlpm.r),0)),IF(_xlpm.m=0,"",_xlpm.m+1))</f>
        <v/>
      </c>
      <c r="J128" s="137" t="inlineStr">
        <is>
          <t>NetSuite</t>
        </is>
      </c>
    </row>
    <row r="129">
      <c r="A129" s="5" t="inlineStr">
        <is>
          <t>CONSIGNA REFLO</t>
        </is>
      </c>
      <c r="B129" s="5">
        <f>IF($I2="","",INDEX(Productos!$A:$A,$I2))</f>
        <v/>
      </c>
      <c r="C129" s="134" t="inlineStr">
        <is>
          <t>SARGFRE-XXL</t>
        </is>
      </c>
      <c r="D129" s="5">
        <f>IF($I2="","",INDEX(Productos!$B:$B,$I2))</f>
        <v/>
      </c>
      <c r="E129" s="5">
        <f>IF($I2="","",INDEX(Productos!$H:$H,$I2))</f>
        <v/>
      </c>
      <c r="F129" s="5">
        <f>IF($I2="","",INDEX(Productos!$I:$I,$I2))</f>
        <v/>
      </c>
      <c r="G129" s="135" t="n">
        <v>-1</v>
      </c>
      <c r="H129" s="5">
        <f>IF($I2="","",INDEX(Productos!$AG:$AG,$I2))</f>
        <v/>
      </c>
      <c r="I129" s="136">
        <f>LET(_xlpm.r,Productos!$E$2:$E$653,_xlpm.m,IFERROR(_xlfn.XMATCH(C129,_xlpm.r),IFERROR(_xlfn.XMATCH(VALUE(C129),_xlpm.r),0)),IF(_xlpm.m=0,"",_xlpm.m+1))</f>
        <v/>
      </c>
      <c r="J129" s="137" t="inlineStr">
        <is>
          <t>NetSuite</t>
        </is>
      </c>
    </row>
    <row r="130">
      <c r="A130" s="5" t="inlineStr">
        <is>
          <t>CONSIGNA REFLO</t>
        </is>
      </c>
      <c r="B130" s="5">
        <f>IF($I2="","",INDEX(Productos!$A:$A,$I2))</f>
        <v/>
      </c>
      <c r="C130" s="134" t="inlineStr">
        <is>
          <t>SULUBLA-M</t>
        </is>
      </c>
      <c r="D130" s="5">
        <f>IF($I2="","",INDEX(Productos!$B:$B,$I2))</f>
        <v/>
      </c>
      <c r="E130" s="5">
        <f>IF($I2="","",INDEX(Productos!$H:$H,$I2))</f>
        <v/>
      </c>
      <c r="F130" s="5">
        <f>IF($I2="","",INDEX(Productos!$I:$I,$I2))</f>
        <v/>
      </c>
      <c r="G130" s="135" t="n">
        <v>-1</v>
      </c>
      <c r="H130" s="5">
        <f>IF($I2="","",INDEX(Productos!$AG:$AG,$I2))</f>
        <v/>
      </c>
      <c r="I130" s="136">
        <f>LET(_xlpm.r,Productos!$E$2:$E$653,_xlpm.m,IFERROR(_xlfn.XMATCH(C130,_xlpm.r),IFERROR(_xlfn.XMATCH(VALUE(C130),_xlpm.r),0)),IF(_xlpm.m=0,"",_xlpm.m+1))</f>
        <v/>
      </c>
      <c r="J130" s="137" t="inlineStr">
        <is>
          <t>NetSuite</t>
        </is>
      </c>
    </row>
    <row r="131">
      <c r="A131" s="5" t="inlineStr">
        <is>
          <t>CONSIGNA REFLO</t>
        </is>
      </c>
      <c r="B131" s="5">
        <f>IF($I2="","",INDEX(Productos!$A:$A,$I2))</f>
        <v/>
      </c>
      <c r="C131" s="134" t="inlineStr">
        <is>
          <t>SULUBLA-XXL</t>
        </is>
      </c>
      <c r="D131" s="5">
        <f>IF($I2="","",INDEX(Productos!$B:$B,$I2))</f>
        <v/>
      </c>
      <c r="E131" s="5">
        <f>IF($I2="","",INDEX(Productos!$H:$H,$I2))</f>
        <v/>
      </c>
      <c r="F131" s="5">
        <f>IF($I2="","",INDEX(Productos!$I:$I,$I2))</f>
        <v/>
      </c>
      <c r="G131" s="135" t="n">
        <v>-1</v>
      </c>
      <c r="H131" s="5">
        <f>IF($I2="","",INDEX(Productos!$AG:$AG,$I2))</f>
        <v/>
      </c>
      <c r="I131" s="136">
        <f>LET(_xlpm.r,Productos!$E$2:$E$653,_xlpm.m,IFERROR(_xlfn.XMATCH(C131,_xlpm.r),IFERROR(_xlfn.XMATCH(VALUE(C131),_xlpm.r),0)),IF(_xlpm.m=0,"",_xlpm.m+1))</f>
        <v/>
      </c>
      <c r="J131" s="137" t="inlineStr">
        <is>
          <t>NetSuite</t>
        </is>
      </c>
    </row>
    <row r="132">
      <c r="A132" s="5" t="inlineStr">
        <is>
          <t>CONSIGNA REFLO</t>
        </is>
      </c>
      <c r="B132" s="5">
        <f>IF($I2="","",INDEX(Productos!$A:$A,$I2))</f>
        <v/>
      </c>
      <c r="C132" s="134" t="inlineStr">
        <is>
          <t>SULUCLO-M</t>
        </is>
      </c>
      <c r="D132" s="5">
        <f>IF($I2="","",INDEX(Productos!$B:$B,$I2))</f>
        <v/>
      </c>
      <c r="E132" s="5">
        <f>IF($I2="","",INDEX(Productos!$H:$H,$I2))</f>
        <v/>
      </c>
      <c r="F132" s="5">
        <f>IF($I2="","",INDEX(Productos!$I:$I,$I2))</f>
        <v/>
      </c>
      <c r="G132" s="135" t="n">
        <v>1</v>
      </c>
      <c r="H132" s="5">
        <f>IF($I2="","",INDEX(Productos!$AG:$AG,$I2))</f>
        <v/>
      </c>
      <c r="I132" s="136">
        <f>LET(_xlpm.r,Productos!$E$2:$E$653,_xlpm.m,IFERROR(_xlfn.XMATCH(C132,_xlpm.r),IFERROR(_xlfn.XMATCH(VALUE(C132),_xlpm.r),0)),IF(_xlpm.m=0,"",_xlpm.m+1))</f>
        <v/>
      </c>
      <c r="J132" s="137" t="inlineStr">
        <is>
          <t>NetSuite</t>
        </is>
      </c>
    </row>
    <row r="133">
      <c r="A133" s="5" t="inlineStr">
        <is>
          <t>CONSIGNA REFLO</t>
        </is>
      </c>
      <c r="B133" s="5">
        <f>IF($I2="","",INDEX(Productos!$A:$A,$I2))</f>
        <v/>
      </c>
      <c r="C133" s="134" t="inlineStr">
        <is>
          <t>SULUGRE-XL</t>
        </is>
      </c>
      <c r="D133" s="5">
        <f>IF($I2="","",INDEX(Productos!$B:$B,$I2))</f>
        <v/>
      </c>
      <c r="E133" s="5">
        <f>IF($I2="","",INDEX(Productos!$H:$H,$I2))</f>
        <v/>
      </c>
      <c r="F133" s="5">
        <f>IF($I2="","",INDEX(Productos!$I:$I,$I2))</f>
        <v/>
      </c>
      <c r="G133" s="135" t="n">
        <v>-1</v>
      </c>
      <c r="H133" s="5">
        <f>IF($I2="","",INDEX(Productos!$AG:$AG,$I2))</f>
        <v/>
      </c>
      <c r="I133" s="136">
        <f>LET(_xlpm.r,Productos!$E$2:$E$653,_xlpm.m,IFERROR(_xlfn.XMATCH(C133,_xlpm.r),IFERROR(_xlfn.XMATCH(VALUE(C133),_xlpm.r),0)),IF(_xlpm.m=0,"",_xlpm.m+1))</f>
        <v/>
      </c>
      <c r="J133" s="137" t="inlineStr">
        <is>
          <t>NetSuite</t>
        </is>
      </c>
    </row>
    <row r="134">
      <c r="A134" s="5" t="inlineStr">
        <is>
          <t>CONSIGNA REFLO</t>
        </is>
      </c>
      <c r="B134" s="5">
        <f>IF($I2="","",INDEX(Productos!$A:$A,$I2))</f>
        <v/>
      </c>
      <c r="C134" s="134" t="inlineStr">
        <is>
          <t>SULUGRE-XXL</t>
        </is>
      </c>
      <c r="D134" s="5">
        <f>IF($I2="","",INDEX(Productos!$B:$B,$I2))</f>
        <v/>
      </c>
      <c r="E134" s="5">
        <f>IF($I2="","",INDEX(Productos!$H:$H,$I2))</f>
        <v/>
      </c>
      <c r="F134" s="5">
        <f>IF($I2="","",INDEX(Productos!$I:$I,$I2))</f>
        <v/>
      </c>
      <c r="G134" s="135" t="n">
        <v>-1</v>
      </c>
      <c r="H134" s="5">
        <f>IF($I2="","",INDEX(Productos!$AG:$AG,$I2))</f>
        <v/>
      </c>
      <c r="I134" s="136">
        <f>LET(_xlpm.r,Productos!$E$2:$E$653,_xlpm.m,IFERROR(_xlfn.XMATCH(C134,_xlpm.r),IFERROR(_xlfn.XMATCH(VALUE(C134),_xlpm.r),0)),IF(_xlpm.m=0,"",_xlpm.m+1))</f>
        <v/>
      </c>
      <c r="J134" s="137" t="inlineStr">
        <is>
          <t>NetSuite</t>
        </is>
      </c>
    </row>
    <row r="135">
      <c r="A135" s="5" t="inlineStr">
        <is>
          <t>CONSIGNA REFLO</t>
        </is>
      </c>
      <c r="B135" s="5">
        <f>IF($I2="","",INDEX(Productos!$A:$A,$I2))</f>
        <v/>
      </c>
      <c r="C135" s="134" t="inlineStr">
        <is>
          <t>SULUYEL-M</t>
        </is>
      </c>
      <c r="D135" s="5">
        <f>IF($I2="","",INDEX(Productos!$B:$B,$I2))</f>
        <v/>
      </c>
      <c r="E135" s="5">
        <f>IF($I2="","",INDEX(Productos!$H:$H,$I2))</f>
        <v/>
      </c>
      <c r="F135" s="5">
        <f>IF($I2="","",INDEX(Productos!$I:$I,$I2))</f>
        <v/>
      </c>
      <c r="G135" s="135" t="n">
        <v>1</v>
      </c>
      <c r="H135" s="5">
        <f>IF($I2="","",INDEX(Productos!$AG:$AG,$I2))</f>
        <v/>
      </c>
      <c r="I135" s="136">
        <f>LET(_xlpm.r,Productos!$E$2:$E$653,_xlpm.m,IFERROR(_xlfn.XMATCH(C135,_xlpm.r),IFERROR(_xlfn.XMATCH(VALUE(C135),_xlpm.r),0)),IF(_xlpm.m=0,"",_xlpm.m+1))</f>
        <v/>
      </c>
      <c r="J135" s="137" t="inlineStr">
        <is>
          <t>NetSuite</t>
        </is>
      </c>
    </row>
    <row r="136">
      <c r="A136" s="5" t="inlineStr">
        <is>
          <t>CONSIGNA REFLO</t>
        </is>
      </c>
      <c r="B136" s="5">
        <f>IF($I2="","",INDEX(Productos!$A:$A,$I2))</f>
        <v/>
      </c>
      <c r="C136" s="134" t="inlineStr">
        <is>
          <t>TAGCAV-M</t>
        </is>
      </c>
      <c r="D136" s="5">
        <f>IF($I2="","",INDEX(Productos!$B:$B,$I2))</f>
        <v/>
      </c>
      <c r="E136" s="5">
        <f>IF($I2="","",INDEX(Productos!$H:$H,$I2))</f>
        <v/>
      </c>
      <c r="F136" s="5">
        <f>IF($I2="","",INDEX(Productos!$I:$I,$I2))</f>
        <v/>
      </c>
      <c r="G136" s="135" t="n">
        <v>2</v>
      </c>
      <c r="H136" s="5">
        <f>IF($I2="","",INDEX(Productos!$AG:$AG,$I2))</f>
        <v/>
      </c>
      <c r="I136" s="136">
        <f>LET(_xlpm.r,Productos!$E$2:$E$653,_xlpm.m,IFERROR(_xlfn.XMATCH(C136,_xlpm.r),IFERROR(_xlfn.XMATCH(VALUE(C136),_xlpm.r),0)),IF(_xlpm.m=0,"",_xlpm.m+1))</f>
        <v/>
      </c>
      <c r="J136" s="137" t="inlineStr">
        <is>
          <t>NetSuite</t>
        </is>
      </c>
    </row>
    <row r="137">
      <c r="A137" s="5" t="inlineStr">
        <is>
          <t>CONSIGNA REFLO</t>
        </is>
      </c>
      <c r="B137" s="5">
        <f>IF($I2="","",INDEX(Productos!$A:$A,$I2))</f>
        <v/>
      </c>
      <c r="C137" s="134" t="inlineStr">
        <is>
          <t>TAGCAV-S</t>
        </is>
      </c>
      <c r="D137" s="5">
        <f>IF($I2="","",INDEX(Productos!$B:$B,$I2))</f>
        <v/>
      </c>
      <c r="E137" s="5">
        <f>IF($I2="","",INDEX(Productos!$H:$H,$I2))</f>
        <v/>
      </c>
      <c r="F137" s="5">
        <f>IF($I2="","",INDEX(Productos!$I:$I,$I2))</f>
        <v/>
      </c>
      <c r="G137" s="135" t="n">
        <v>2</v>
      </c>
      <c r="H137" s="5">
        <f>IF($I2="","",INDEX(Productos!$AG:$AG,$I2))</f>
        <v/>
      </c>
      <c r="I137" s="136">
        <f>LET(_xlpm.r,Productos!$E$2:$E$653,_xlpm.m,IFERROR(_xlfn.XMATCH(C137,_xlpm.r),IFERROR(_xlfn.XMATCH(VALUE(C137),_xlpm.r),0)),IF(_xlpm.m=0,"",_xlpm.m+1))</f>
        <v/>
      </c>
      <c r="J137" s="137" t="inlineStr">
        <is>
          <t>NetSuite</t>
        </is>
      </c>
    </row>
    <row r="138">
      <c r="A138" s="5" t="inlineStr">
        <is>
          <t>CONSIGNA REFLO</t>
        </is>
      </c>
      <c r="B138" s="5">
        <f>IF($I2="","",INDEX(Productos!$A:$A,$I2))</f>
        <v/>
      </c>
      <c r="C138" s="134" t="inlineStr">
        <is>
          <t>TAGCOR-M</t>
        </is>
      </c>
      <c r="D138" s="5">
        <f>IF($I2="","",INDEX(Productos!$B:$B,$I2))</f>
        <v/>
      </c>
      <c r="E138" s="5">
        <f>IF($I2="","",INDEX(Productos!$H:$H,$I2))</f>
        <v/>
      </c>
      <c r="F138" s="5">
        <f>IF($I2="","",INDEX(Productos!$I:$I,$I2))</f>
        <v/>
      </c>
      <c r="G138" s="135" t="n">
        <v>1</v>
      </c>
      <c r="H138" s="5">
        <f>IF($I2="","",INDEX(Productos!$AG:$AG,$I2))</f>
        <v/>
      </c>
      <c r="I138" s="136">
        <f>LET(_xlpm.r,Productos!$E$2:$E$653,_xlpm.m,IFERROR(_xlfn.XMATCH(C138,_xlpm.r),IFERROR(_xlfn.XMATCH(VALUE(C138),_xlpm.r),0)),IF(_xlpm.m=0,"",_xlpm.m+1))</f>
        <v/>
      </c>
      <c r="J138" s="137" t="inlineStr">
        <is>
          <t>NetSuite</t>
        </is>
      </c>
    </row>
    <row r="139">
      <c r="A139" s="5" t="inlineStr">
        <is>
          <t>CONSIGNA REFLO</t>
        </is>
      </c>
      <c r="B139" s="5">
        <f>IF($I2="","",INDEX(Productos!$A:$A,$I2))</f>
        <v/>
      </c>
      <c r="C139" s="134" t="inlineStr">
        <is>
          <t>TAGDAR-M</t>
        </is>
      </c>
      <c r="D139" s="5">
        <f>IF($I2="","",INDEX(Productos!$B:$B,$I2))</f>
        <v/>
      </c>
      <c r="E139" s="5">
        <f>IF($I2="","",INDEX(Productos!$H:$H,$I2))</f>
        <v/>
      </c>
      <c r="F139" s="5">
        <f>IF($I2="","",INDEX(Productos!$I:$I,$I2))</f>
        <v/>
      </c>
      <c r="G139" s="135" t="n">
        <v>1</v>
      </c>
      <c r="H139" s="5">
        <f>IF($I2="","",INDEX(Productos!$AG:$AG,$I2))</f>
        <v/>
      </c>
      <c r="I139" s="136">
        <f>LET(_xlpm.r,Productos!$E$2:$E$653,_xlpm.m,IFERROR(_xlfn.XMATCH(C139,_xlpm.r),IFERROR(_xlfn.XMATCH(VALUE(C139),_xlpm.r),0)),IF(_xlpm.m=0,"",_xlpm.m+1))</f>
        <v/>
      </c>
      <c r="J139" s="137" t="inlineStr">
        <is>
          <t>NetSuite</t>
        </is>
      </c>
    </row>
    <row r="140">
      <c r="A140" s="5" t="inlineStr">
        <is>
          <t>CONSIGNA REFLO</t>
        </is>
      </c>
      <c r="B140" s="5">
        <f>IF($I2="","",INDEX(Productos!$A:$A,$I2))</f>
        <v/>
      </c>
      <c r="C140" s="134" t="inlineStr">
        <is>
          <t>TAGDAR-S</t>
        </is>
      </c>
      <c r="D140" s="5">
        <f>IF($I2="","",INDEX(Productos!$B:$B,$I2))</f>
        <v/>
      </c>
      <c r="E140" s="5">
        <f>IF($I2="","",INDEX(Productos!$H:$H,$I2))</f>
        <v/>
      </c>
      <c r="F140" s="5">
        <f>IF($I2="","",INDEX(Productos!$I:$I,$I2))</f>
        <v/>
      </c>
      <c r="G140" s="135" t="n">
        <v>1</v>
      </c>
      <c r="H140" s="5">
        <f>IF($I2="","",INDEX(Productos!$AG:$AG,$I2))</f>
        <v/>
      </c>
      <c r="I140" s="136">
        <f>LET(_xlpm.r,Productos!$E$2:$E$653,_xlpm.m,IFERROR(_xlfn.XMATCH(C140,_xlpm.r),IFERROR(_xlfn.XMATCH(VALUE(C140),_xlpm.r),0)),IF(_xlpm.m=0,"",_xlpm.m+1))</f>
        <v/>
      </c>
      <c r="J140" s="137" t="inlineStr">
        <is>
          <t>NetSuite</t>
        </is>
      </c>
    </row>
    <row r="141">
      <c r="A141" s="5" t="inlineStr">
        <is>
          <t>CONSIGNA REFLO</t>
        </is>
      </c>
      <c r="B141" s="5">
        <f>IF($I2="","",INDEX(Productos!$A:$A,$I2))</f>
        <v/>
      </c>
      <c r="C141" s="134" t="inlineStr">
        <is>
          <t>TAGDAR-XL</t>
        </is>
      </c>
      <c r="D141" s="5">
        <f>IF($I2="","",INDEX(Productos!$B:$B,$I2))</f>
        <v/>
      </c>
      <c r="E141" s="5">
        <f>IF($I2="","",INDEX(Productos!$H:$H,$I2))</f>
        <v/>
      </c>
      <c r="F141" s="5">
        <f>IF($I2="","",INDEX(Productos!$I:$I,$I2))</f>
        <v/>
      </c>
      <c r="G141" s="135" t="n">
        <v>1</v>
      </c>
      <c r="H141" s="5">
        <f>IF($I2="","",INDEX(Productos!$AG:$AG,$I2))</f>
        <v/>
      </c>
      <c r="I141" s="136">
        <f>LET(_xlpm.r,Productos!$E$2:$E$653,_xlpm.m,IFERROR(_xlfn.XMATCH(C141,_xlpm.r),IFERROR(_xlfn.XMATCH(VALUE(C141),_xlpm.r),0)),IF(_xlpm.m=0,"",_xlpm.m+1))</f>
        <v/>
      </c>
      <c r="J141" s="137" t="inlineStr">
        <is>
          <t>NetSuite</t>
        </is>
      </c>
    </row>
    <row r="142">
      <c r="A142" s="5" t="inlineStr">
        <is>
          <t>CONSIGNA REFLO</t>
        </is>
      </c>
      <c r="B142" s="5">
        <f>IF($I2="","",INDEX(Productos!$A:$A,$I2))</f>
        <v/>
      </c>
      <c r="C142" s="134" t="inlineStr">
        <is>
          <t>TOBCAV-M</t>
        </is>
      </c>
      <c r="D142" s="5">
        <f>IF($I2="","",INDEX(Productos!$B:$B,$I2))</f>
        <v/>
      </c>
      <c r="E142" s="5">
        <f>IF($I2="","",INDEX(Productos!$H:$H,$I2))</f>
        <v/>
      </c>
      <c r="F142" s="5">
        <f>IF($I2="","",INDEX(Productos!$I:$I,$I2))</f>
        <v/>
      </c>
      <c r="G142" s="135" t="n">
        <v>1</v>
      </c>
      <c r="H142" s="5">
        <f>IF($I2="","",INDEX(Productos!$AG:$AG,$I2))</f>
        <v/>
      </c>
      <c r="I142" s="136">
        <f>LET(_xlpm.r,Productos!$E$2:$E$653,_xlpm.m,IFERROR(_xlfn.XMATCH(C142,_xlpm.r),IFERROR(_xlfn.XMATCH(VALUE(C142),_xlpm.r),0)),IF(_xlpm.m=0,"",_xlpm.m+1))</f>
        <v/>
      </c>
      <c r="J142" s="137" t="inlineStr">
        <is>
          <t>NetSuite</t>
        </is>
      </c>
    </row>
    <row r="143">
      <c r="A143" s="5" t="inlineStr">
        <is>
          <t>CONSIGNA REFLO</t>
        </is>
      </c>
      <c r="B143" s="5">
        <f>IF($I2="","",INDEX(Productos!$A:$A,$I2))</f>
        <v/>
      </c>
      <c r="C143" s="134" t="inlineStr">
        <is>
          <t>TOBCAV-S</t>
        </is>
      </c>
      <c r="D143" s="5">
        <f>IF($I2="","",INDEX(Productos!$B:$B,$I2))</f>
        <v/>
      </c>
      <c r="E143" s="5">
        <f>IF($I2="","",INDEX(Productos!$H:$H,$I2))</f>
        <v/>
      </c>
      <c r="F143" s="5">
        <f>IF($I2="","",INDEX(Productos!$I:$I,$I2))</f>
        <v/>
      </c>
      <c r="G143" s="135" t="n">
        <v>1</v>
      </c>
      <c r="H143" s="5">
        <f>IF($I2="","",INDEX(Productos!$AG:$AG,$I2))</f>
        <v/>
      </c>
      <c r="I143" s="136">
        <f>LET(_xlpm.r,Productos!$E$2:$E$653,_xlpm.m,IFERROR(_xlfn.XMATCH(C143,_xlpm.r),IFERROR(_xlfn.XMATCH(VALUE(C143),_xlpm.r),0)),IF(_xlpm.m=0,"",_xlpm.m+1))</f>
        <v/>
      </c>
      <c r="J143" s="137" t="inlineStr">
        <is>
          <t>NetSuite</t>
        </is>
      </c>
    </row>
    <row r="144">
      <c r="A144" s="5" t="inlineStr">
        <is>
          <t>CONSIGNA REFLO</t>
        </is>
      </c>
      <c r="B144" s="5">
        <f>IF($I2="","",INDEX(Productos!$A:$A,$I2))</f>
        <v/>
      </c>
      <c r="C144" s="134" t="inlineStr">
        <is>
          <t>TOBCOR-2XL</t>
        </is>
      </c>
      <c r="D144" s="5">
        <f>IF($I2="","",INDEX(Productos!$B:$B,$I2))</f>
        <v/>
      </c>
      <c r="E144" s="5">
        <f>IF($I2="","",INDEX(Productos!$H:$H,$I2))</f>
        <v/>
      </c>
      <c r="F144" s="5">
        <f>IF($I2="","",INDEX(Productos!$I:$I,$I2))</f>
        <v/>
      </c>
      <c r="G144" s="135" t="n">
        <v>-1</v>
      </c>
      <c r="H144" s="5">
        <f>IF($I2="","",INDEX(Productos!$AG:$AG,$I2))</f>
        <v/>
      </c>
      <c r="I144" s="136">
        <f>LET(_xlpm.r,Productos!$E$2:$E$653,_xlpm.m,IFERROR(_xlfn.XMATCH(C144,_xlpm.r),IFERROR(_xlfn.XMATCH(VALUE(C144),_xlpm.r),0)),IF(_xlpm.m=0,"",_xlpm.m+1))</f>
        <v/>
      </c>
      <c r="J144" s="137" t="inlineStr">
        <is>
          <t>NetSuite</t>
        </is>
      </c>
    </row>
    <row r="145">
      <c r="A145" s="5" t="inlineStr">
        <is>
          <t>CONSIGNA REFLO</t>
        </is>
      </c>
      <c r="B145" s="5">
        <f>IF($I2="","",INDEX(Productos!$A:$A,$I2))</f>
        <v/>
      </c>
      <c r="C145" s="134" t="inlineStr">
        <is>
          <t>TOBCOR-XL</t>
        </is>
      </c>
      <c r="D145" s="5">
        <f>IF($I2="","",INDEX(Productos!$B:$B,$I2))</f>
        <v/>
      </c>
      <c r="E145" s="5">
        <f>IF($I2="","",INDEX(Productos!$H:$H,$I2))</f>
        <v/>
      </c>
      <c r="F145" s="5">
        <f>IF($I2="","",INDEX(Productos!$I:$I,$I2))</f>
        <v/>
      </c>
      <c r="G145" s="135" t="n">
        <v>-1</v>
      </c>
      <c r="H145" s="5">
        <f>IF($I2="","",INDEX(Productos!$AG:$AG,$I2))</f>
        <v/>
      </c>
      <c r="I145" s="136">
        <f>LET(_xlpm.r,Productos!$E$2:$E$653,_xlpm.m,IFERROR(_xlfn.XMATCH(C145,_xlpm.r),IFERROR(_xlfn.XMATCH(VALUE(C145),_xlpm.r),0)),IF(_xlpm.m=0,"",_xlpm.m+1))</f>
        <v/>
      </c>
      <c r="J145" s="137" t="inlineStr">
        <is>
          <t>NetSuite</t>
        </is>
      </c>
    </row>
    <row r="146">
      <c r="A146" s="5" t="inlineStr">
        <is>
          <t>CONSIGNA REFLO</t>
        </is>
      </c>
      <c r="B146" s="5">
        <f>IF($I2="","",INDEX(Productos!$A:$A,$I2))</f>
        <v/>
      </c>
      <c r="C146" s="134" t="inlineStr">
        <is>
          <t>TOBTAN-S</t>
        </is>
      </c>
      <c r="D146" s="5">
        <f>IF($I2="","",INDEX(Productos!$B:$B,$I2))</f>
        <v/>
      </c>
      <c r="E146" s="5">
        <f>IF($I2="","",INDEX(Productos!$H:$H,$I2))</f>
        <v/>
      </c>
      <c r="F146" s="5">
        <f>IF($I2="","",INDEX(Productos!$I:$I,$I2))</f>
        <v/>
      </c>
      <c r="G146" s="135" t="n">
        <v>1</v>
      </c>
      <c r="H146" s="5">
        <f>IF($I2="","",INDEX(Productos!$AG:$AG,$I2))</f>
        <v/>
      </c>
      <c r="I146" s="136">
        <f>LET(_xlpm.r,Productos!$E$2:$E$653,_xlpm.m,IFERROR(_xlfn.XMATCH(C146,_xlpm.r),IFERROR(_xlfn.XMATCH(VALUE(C146),_xlpm.r),0)),IF(_xlpm.m=0,"",_xlpm.m+1))</f>
        <v/>
      </c>
      <c r="J146" s="137" t="inlineStr">
        <is>
          <t>NetSuite</t>
        </is>
      </c>
    </row>
    <row r="147">
      <c r="A147" s="5" t="inlineStr">
        <is>
          <t>CONSIGNA REFLO</t>
        </is>
      </c>
      <c r="B147" s="5">
        <f>IF($I2="","",INDEX(Productos!$A:$A,$I2))</f>
        <v/>
      </c>
      <c r="C147" s="134" t="inlineStr">
        <is>
          <t>XR20806010-OS</t>
        </is>
      </c>
      <c r="D147" s="5">
        <f>IF($I2="","",INDEX(Productos!$B:$B,$I2))</f>
        <v/>
      </c>
      <c r="E147" s="5">
        <f>IF($I2="","",INDEX(Productos!$H:$H,$I2))</f>
        <v/>
      </c>
      <c r="F147" s="5">
        <f>IF($I2="","",INDEX(Productos!$I:$I,$I2))</f>
        <v/>
      </c>
      <c r="G147" s="135" t="n">
        <v>1</v>
      </c>
      <c r="H147" s="5">
        <f>IF($I2="","",INDEX(Productos!$AG:$AG,$I2))</f>
        <v/>
      </c>
      <c r="I147" s="136">
        <f>LET(_xlpm.r,Productos!$E$2:$E$653,_xlpm.m,IFERROR(_xlfn.XMATCH(C147,_xlpm.r),IFERROR(_xlfn.XMATCH(VALUE(C147),_xlpm.r),0)),IF(_xlpm.m=0,"",_xlpm.m+1))</f>
        <v/>
      </c>
      <c r="J147" s="137" t="inlineStr">
        <is>
          <t>NetSuite</t>
        </is>
      </c>
    </row>
    <row r="148">
      <c r="A148" s="5" t="inlineStr">
        <is>
          <t>MUESTRAS REFLO</t>
        </is>
      </c>
      <c r="B148" s="5">
        <f>IF($I2="","",INDEX(Productos!$A:$A,$I2))</f>
        <v/>
      </c>
      <c r="C148" s="134" t="inlineStr">
        <is>
          <t>ADRIAQU-L</t>
        </is>
      </c>
      <c r="D148" s="5">
        <f>IF($I2="","",INDEX(Productos!$B:$B,$I2))</f>
        <v/>
      </c>
      <c r="E148" s="5">
        <f>IF($I2="","",INDEX(Productos!$H:$H,$I2))</f>
        <v/>
      </c>
      <c r="F148" s="5">
        <f>IF($I2="","",INDEX(Productos!$I:$I,$I2))</f>
        <v/>
      </c>
      <c r="G148" s="135" t="n">
        <v>1</v>
      </c>
      <c r="H148" s="5">
        <f>IF($I2="","",INDEX(Productos!$AG:$AG,$I2))</f>
        <v/>
      </c>
      <c r="I148" s="136">
        <f>LET(_xlpm.r,Productos!$E$2:$E$653,_xlpm.m,IFERROR(_xlfn.XMATCH(C148,_xlpm.r),IFERROR(_xlfn.XMATCH(VALUE(C148),_xlpm.r),0)),IF(_xlpm.m=0,"",_xlpm.m+1))</f>
        <v/>
      </c>
      <c r="J148" s="137" t="inlineStr">
        <is>
          <t>NetSuite</t>
        </is>
      </c>
    </row>
    <row r="149">
      <c r="A149" s="5" t="inlineStr">
        <is>
          <t>MUESTRAS REFLO</t>
        </is>
      </c>
      <c r="B149" s="5">
        <f>IF($I2="","",INDEX(Productos!$A:$A,$I2))</f>
        <v/>
      </c>
      <c r="C149" s="134" t="inlineStr">
        <is>
          <t>ADRICLO-L</t>
        </is>
      </c>
      <c r="D149" s="5">
        <f>IF($I2="","",INDEX(Productos!$B:$B,$I2))</f>
        <v/>
      </c>
      <c r="E149" s="5">
        <f>IF($I2="","",INDEX(Productos!$H:$H,$I2))</f>
        <v/>
      </c>
      <c r="F149" s="5">
        <f>IF($I2="","",INDEX(Productos!$I:$I,$I2))</f>
        <v/>
      </c>
      <c r="G149" s="135" t="n">
        <v>1</v>
      </c>
      <c r="H149" s="5">
        <f>IF($I2="","",INDEX(Productos!$AG:$AG,$I2))</f>
        <v/>
      </c>
      <c r="I149" s="136">
        <f>LET(_xlpm.r,Productos!$E$2:$E$653,_xlpm.m,IFERROR(_xlfn.XMATCH(C149,_xlpm.r),IFERROR(_xlfn.XMATCH(VALUE(C149),_xlpm.r),0)),IF(_xlpm.m=0,"",_xlpm.m+1))</f>
        <v/>
      </c>
      <c r="J149" s="137" t="inlineStr">
        <is>
          <t>NetSuite</t>
        </is>
      </c>
    </row>
    <row r="150">
      <c r="A150" s="5" t="inlineStr">
        <is>
          <t>MUESTRAS REFLO</t>
        </is>
      </c>
      <c r="B150" s="5">
        <f>IF($I2="","",INDEX(Productos!$A:$A,$I2))</f>
        <v/>
      </c>
      <c r="C150" s="134" t="inlineStr">
        <is>
          <t>ADRIOXY-L</t>
        </is>
      </c>
      <c r="D150" s="5">
        <f>IF($I2="","",INDEX(Productos!$B:$B,$I2))</f>
        <v/>
      </c>
      <c r="E150" s="5">
        <f>IF($I2="","",INDEX(Productos!$H:$H,$I2))</f>
        <v/>
      </c>
      <c r="F150" s="5">
        <f>IF($I2="","",INDEX(Productos!$I:$I,$I2))</f>
        <v/>
      </c>
      <c r="G150" s="135" t="n">
        <v>1</v>
      </c>
      <c r="H150" s="5">
        <f>IF($I2="","",INDEX(Productos!$AG:$AG,$I2))</f>
        <v/>
      </c>
      <c r="I150" s="136">
        <f>LET(_xlpm.r,Productos!$E$2:$E$653,_xlpm.m,IFERROR(_xlfn.XMATCH(C150,_xlpm.r),IFERROR(_xlfn.XMATCH(VALUE(C150),_xlpm.r),0)),IF(_xlpm.m=0,"",_xlpm.m+1))</f>
        <v/>
      </c>
      <c r="J150" s="137" t="inlineStr">
        <is>
          <t>NetSuite</t>
        </is>
      </c>
    </row>
    <row r="151">
      <c r="A151" s="5" t="inlineStr">
        <is>
          <t>MUESTRAS REFLO</t>
        </is>
      </c>
      <c r="B151" s="5">
        <f>IF($I2="","",INDEX(Productos!$A:$A,$I2))</f>
        <v/>
      </c>
      <c r="C151" s="134" t="inlineStr">
        <is>
          <t>BISCAQU-L</t>
        </is>
      </c>
      <c r="D151" s="5">
        <f>IF($I2="","",INDEX(Productos!$B:$B,$I2))</f>
        <v/>
      </c>
      <c r="E151" s="5">
        <f>IF($I2="","",INDEX(Productos!$H:$H,$I2))</f>
        <v/>
      </c>
      <c r="F151" s="5">
        <f>IF($I2="","",INDEX(Productos!$I:$I,$I2))</f>
        <v/>
      </c>
      <c r="G151" s="135" t="n">
        <v>1</v>
      </c>
      <c r="H151" s="5">
        <f>IF($I2="","",INDEX(Productos!$AG:$AG,$I2))</f>
        <v/>
      </c>
      <c r="I151" s="136">
        <f>LET(_xlpm.r,Productos!$E$2:$E$653,_xlpm.m,IFERROR(_xlfn.XMATCH(C151,_xlpm.r),IFERROR(_xlfn.XMATCH(VALUE(C151),_xlpm.r),0)),IF(_xlpm.m=0,"",_xlpm.m+1))</f>
        <v/>
      </c>
      <c r="J151" s="137" t="inlineStr">
        <is>
          <t>NetSuite</t>
        </is>
      </c>
    </row>
    <row r="152">
      <c r="A152" s="5" t="inlineStr">
        <is>
          <t>MUESTRAS REFLO</t>
        </is>
      </c>
      <c r="B152" s="5">
        <f>IF($I2="","",INDEX(Productos!$A:$A,$I2))</f>
        <v/>
      </c>
      <c r="C152" s="134" t="inlineStr">
        <is>
          <t>BISCBLA-L</t>
        </is>
      </c>
      <c r="D152" s="5">
        <f>IF($I2="","",INDEX(Productos!$B:$B,$I2))</f>
        <v/>
      </c>
      <c r="E152" s="5">
        <f>IF($I2="","",INDEX(Productos!$H:$H,$I2))</f>
        <v/>
      </c>
      <c r="F152" s="5">
        <f>IF($I2="","",INDEX(Productos!$I:$I,$I2))</f>
        <v/>
      </c>
      <c r="G152" s="135" t="n">
        <v>1</v>
      </c>
      <c r="H152" s="5">
        <f>IF($I2="","",INDEX(Productos!$AG:$AG,$I2))</f>
        <v/>
      </c>
      <c r="I152" s="136">
        <f>LET(_xlpm.r,Productos!$E$2:$E$653,_xlpm.m,IFERROR(_xlfn.XMATCH(C152,_xlpm.r),IFERROR(_xlfn.XMATCH(VALUE(C152),_xlpm.r),0)),IF(_xlpm.m=0,"",_xlpm.m+1))</f>
        <v/>
      </c>
      <c r="J152" s="137" t="inlineStr">
        <is>
          <t>NetSuite</t>
        </is>
      </c>
    </row>
    <row r="153">
      <c r="A153" s="5" t="inlineStr">
        <is>
          <t>MUESTRAS REFLO</t>
        </is>
      </c>
      <c r="B153" s="5">
        <f>IF($I2="","",INDEX(Productos!$A:$A,$I2))</f>
        <v/>
      </c>
      <c r="C153" s="134" t="inlineStr">
        <is>
          <t>BISCFRE-L</t>
        </is>
      </c>
      <c r="D153" s="5">
        <f>IF($I2="","",INDEX(Productos!$B:$B,$I2))</f>
        <v/>
      </c>
      <c r="E153" s="5">
        <f>IF($I2="","",INDEX(Productos!$H:$H,$I2))</f>
        <v/>
      </c>
      <c r="F153" s="5">
        <f>IF($I2="","",INDEX(Productos!$I:$I,$I2))</f>
        <v/>
      </c>
      <c r="G153" s="135" t="n">
        <v>1</v>
      </c>
      <c r="H153" s="5">
        <f>IF($I2="","",INDEX(Productos!$AG:$AG,$I2))</f>
        <v/>
      </c>
      <c r="I153" s="136">
        <f>LET(_xlpm.r,Productos!$E$2:$E$653,_xlpm.m,IFERROR(_xlfn.XMATCH(C153,_xlpm.r),IFERROR(_xlfn.XMATCH(VALUE(C153),_xlpm.r),0)),IF(_xlpm.m=0,"",_xlpm.m+1))</f>
        <v/>
      </c>
      <c r="J153" s="137" t="inlineStr">
        <is>
          <t>NetSuite</t>
        </is>
      </c>
    </row>
    <row r="154">
      <c r="A154" s="5" t="inlineStr">
        <is>
          <t>MUESTRAS REFLO</t>
        </is>
      </c>
      <c r="B154" s="5">
        <f>IF($I2="","",INDEX(Productos!$A:$A,$I2))</f>
        <v/>
      </c>
      <c r="C154" s="134" t="inlineStr">
        <is>
          <t>BISCFRE-M</t>
        </is>
      </c>
      <c r="D154" s="5">
        <f>IF($I2="","",INDEX(Productos!$B:$B,$I2))</f>
        <v/>
      </c>
      <c r="E154" s="5">
        <f>IF($I2="","",INDEX(Productos!$H:$H,$I2))</f>
        <v/>
      </c>
      <c r="F154" s="5">
        <f>IF($I2="","",INDEX(Productos!$I:$I,$I2))</f>
        <v/>
      </c>
      <c r="G154" s="135" t="n">
        <v>1</v>
      </c>
      <c r="H154" s="5">
        <f>IF($I2="","",INDEX(Productos!$AG:$AG,$I2))</f>
        <v/>
      </c>
      <c r="I154" s="136">
        <f>LET(_xlpm.r,Productos!$E$2:$E$653,_xlpm.m,IFERROR(_xlfn.XMATCH(C154,_xlpm.r),IFERROR(_xlfn.XMATCH(VALUE(C154),_xlpm.r),0)),IF(_xlpm.m=0,"",_xlpm.m+1))</f>
        <v/>
      </c>
      <c r="J154" s="137" t="inlineStr">
        <is>
          <t>NetSuite</t>
        </is>
      </c>
    </row>
    <row r="155">
      <c r="A155" s="5" t="inlineStr">
        <is>
          <t>MUESTRAS REFLO</t>
        </is>
      </c>
      <c r="B155" s="5">
        <f>IF($I2="","",INDEX(Productos!$A:$A,$I2))</f>
        <v/>
      </c>
      <c r="C155" s="134" t="inlineStr">
        <is>
          <t>BOHABLA-L</t>
        </is>
      </c>
      <c r="D155" s="5">
        <f>IF($I2="","",INDEX(Productos!$B:$B,$I2))</f>
        <v/>
      </c>
      <c r="E155" s="5">
        <f>IF($I2="","",INDEX(Productos!$H:$H,$I2))</f>
        <v/>
      </c>
      <c r="F155" s="5">
        <f>IF($I2="","",INDEX(Productos!$I:$I,$I2))</f>
        <v/>
      </c>
      <c r="G155" s="135" t="n">
        <v>1</v>
      </c>
      <c r="H155" s="5">
        <f>IF($I2="","",INDEX(Productos!$AG:$AG,$I2))</f>
        <v/>
      </c>
      <c r="I155" s="136">
        <f>LET(_xlpm.r,Productos!$E$2:$E$653,_xlpm.m,IFERROR(_xlfn.XMATCH(C155,_xlpm.r),IFERROR(_xlfn.XMATCH(VALUE(C155),_xlpm.r),0)),IF(_xlpm.m=0,"",_xlpm.m+1))</f>
        <v/>
      </c>
      <c r="J155" s="137" t="inlineStr">
        <is>
          <t>NetSuite</t>
        </is>
      </c>
    </row>
    <row r="156">
      <c r="A156" s="5" t="inlineStr">
        <is>
          <t>MUESTRAS REFLO</t>
        </is>
      </c>
      <c r="B156" s="5">
        <f>IF($I2="","",INDEX(Productos!$A:$A,$I2))</f>
        <v/>
      </c>
      <c r="C156" s="134" t="inlineStr">
        <is>
          <t>BOHAGRE-XL</t>
        </is>
      </c>
      <c r="D156" s="5">
        <f>IF($I2="","",INDEX(Productos!$B:$B,$I2))</f>
        <v/>
      </c>
      <c r="E156" s="5">
        <f>IF($I2="","",INDEX(Productos!$H:$H,$I2))</f>
        <v/>
      </c>
      <c r="F156" s="5">
        <f>IF($I2="","",INDEX(Productos!$I:$I,$I2))</f>
        <v/>
      </c>
      <c r="G156" s="135" t="n">
        <v>1</v>
      </c>
      <c r="H156" s="5">
        <f>IF($I2="","",INDEX(Productos!$AG:$AG,$I2))</f>
        <v/>
      </c>
      <c r="I156" s="136">
        <f>LET(_xlpm.r,Productos!$E$2:$E$653,_xlpm.m,IFERROR(_xlfn.XMATCH(C156,_xlpm.r),IFERROR(_xlfn.XMATCH(VALUE(C156),_xlpm.r),0)),IF(_xlpm.m=0,"",_xlpm.m+1))</f>
        <v/>
      </c>
      <c r="J156" s="137" t="inlineStr">
        <is>
          <t>NetSuite</t>
        </is>
      </c>
    </row>
    <row r="157">
      <c r="A157" s="5" t="inlineStr">
        <is>
          <t>MUESTRAS REFLO</t>
        </is>
      </c>
      <c r="B157" s="5">
        <f>IF($I2="","",INDEX(Productos!$A:$A,$I2))</f>
        <v/>
      </c>
      <c r="C157" s="134" t="inlineStr">
        <is>
          <t>BOHAWHI-L</t>
        </is>
      </c>
      <c r="D157" s="5">
        <f>IF($I2="","",INDEX(Productos!$B:$B,$I2))</f>
        <v/>
      </c>
      <c r="E157" s="5">
        <f>IF($I2="","",INDEX(Productos!$H:$H,$I2))</f>
        <v/>
      </c>
      <c r="F157" s="5">
        <f>IF($I2="","",INDEX(Productos!$I:$I,$I2))</f>
        <v/>
      </c>
      <c r="G157" s="135" t="n">
        <v>1</v>
      </c>
      <c r="H157" s="5">
        <f>IF($I2="","",INDEX(Productos!$AG:$AG,$I2))</f>
        <v/>
      </c>
      <c r="I157" s="136">
        <f>LET(_xlpm.r,Productos!$E$2:$E$653,_xlpm.m,IFERROR(_xlfn.XMATCH(C157,_xlpm.r),IFERROR(_xlfn.XMATCH(VALUE(C157),_xlpm.r),0)),IF(_xlpm.m=0,"",_xlpm.m+1))</f>
        <v/>
      </c>
      <c r="J157" s="137" t="inlineStr">
        <is>
          <t>NetSuite</t>
        </is>
      </c>
    </row>
    <row r="158">
      <c r="A158" s="5" t="inlineStr">
        <is>
          <t>MUESTRAS REFLO</t>
        </is>
      </c>
      <c r="B158" s="5">
        <f>IF($I2="","",INDEX(Productos!$A:$A,$I2))</f>
        <v/>
      </c>
      <c r="C158" s="134" t="inlineStr">
        <is>
          <t>BOHAYEL-L</t>
        </is>
      </c>
      <c r="D158" s="5">
        <f>IF($I2="","",INDEX(Productos!$B:$B,$I2))</f>
        <v/>
      </c>
      <c r="E158" s="5">
        <f>IF($I2="","",INDEX(Productos!$H:$H,$I2))</f>
        <v/>
      </c>
      <c r="F158" s="5">
        <f>IF($I2="","",INDEX(Productos!$I:$I,$I2))</f>
        <v/>
      </c>
      <c r="G158" s="135" t="n">
        <v>1</v>
      </c>
      <c r="H158" s="5">
        <f>IF($I2="","",INDEX(Productos!$AG:$AG,$I2))</f>
        <v/>
      </c>
      <c r="I158" s="136">
        <f>LET(_xlpm.r,Productos!$E$2:$E$653,_xlpm.m,IFERROR(_xlfn.XMATCH(C158,_xlpm.r),IFERROR(_xlfn.XMATCH(VALUE(C158),_xlpm.r),0)),IF(_xlpm.m=0,"",_xlpm.m+1))</f>
        <v/>
      </c>
      <c r="J158" s="137" t="inlineStr">
        <is>
          <t>NetSuite</t>
        </is>
      </c>
    </row>
    <row r="159">
      <c r="A159" s="5" t="inlineStr">
        <is>
          <t>MUESTRAS REFLO</t>
        </is>
      </c>
      <c r="B159" s="5">
        <f>IF($I2="","",INDEX(Productos!$A:$A,$I2))</f>
        <v/>
      </c>
      <c r="C159" s="134" t="inlineStr">
        <is>
          <t>BOHCOR-L</t>
        </is>
      </c>
      <c r="D159" s="5">
        <f>IF($I2="","",INDEX(Productos!$B:$B,$I2))</f>
        <v/>
      </c>
      <c r="E159" s="5">
        <f>IF($I2="","",INDEX(Productos!$H:$H,$I2))</f>
        <v/>
      </c>
      <c r="F159" s="5">
        <f>IF($I2="","",INDEX(Productos!$I:$I,$I2))</f>
        <v/>
      </c>
      <c r="G159" s="135" t="n">
        <v>1</v>
      </c>
      <c r="H159" s="5">
        <f>IF($I2="","",INDEX(Productos!$AG:$AG,$I2))</f>
        <v/>
      </c>
      <c r="I159" s="136">
        <f>LET(_xlpm.r,Productos!$E$2:$E$653,_xlpm.m,IFERROR(_xlfn.XMATCH(C159,_xlpm.r),IFERROR(_xlfn.XMATCH(VALUE(C159),_xlpm.r),0)),IF(_xlpm.m=0,"",_xlpm.m+1))</f>
        <v/>
      </c>
      <c r="J159" s="137" t="inlineStr">
        <is>
          <t>NetSuite</t>
        </is>
      </c>
    </row>
    <row r="160">
      <c r="A160" s="5" t="inlineStr">
        <is>
          <t>MUESTRAS REFLO</t>
        </is>
      </c>
      <c r="B160" s="5">
        <f>IF($I2="","",INDEX(Productos!$A:$A,$I2))</f>
        <v/>
      </c>
      <c r="C160" s="134" t="inlineStr">
        <is>
          <t>BOHDAR-L</t>
        </is>
      </c>
      <c r="D160" s="5">
        <f>IF($I2="","",INDEX(Productos!$B:$B,$I2))</f>
        <v/>
      </c>
      <c r="E160" s="5">
        <f>IF($I2="","",INDEX(Productos!$H:$H,$I2))</f>
        <v/>
      </c>
      <c r="F160" s="5">
        <f>IF($I2="","",INDEX(Productos!$I:$I,$I2))</f>
        <v/>
      </c>
      <c r="G160" s="135" t="n">
        <v>1</v>
      </c>
      <c r="H160" s="5">
        <f>IF($I2="","",INDEX(Productos!$AG:$AG,$I2))</f>
        <v/>
      </c>
      <c r="I160" s="136">
        <f>LET(_xlpm.r,Productos!$E$2:$E$653,_xlpm.m,IFERROR(_xlfn.XMATCH(C160,_xlpm.r),IFERROR(_xlfn.XMATCH(VALUE(C160),_xlpm.r),0)),IF(_xlpm.m=0,"",_xlpm.m+1))</f>
        <v/>
      </c>
      <c r="J160" s="137" t="inlineStr">
        <is>
          <t>NetSuite</t>
        </is>
      </c>
    </row>
    <row r="161">
      <c r="A161" s="5" t="inlineStr">
        <is>
          <t>MUESTRAS REFLO</t>
        </is>
      </c>
      <c r="B161" s="5">
        <f>IF($I2="","",INDEX(Productos!$A:$A,$I2))</f>
        <v/>
      </c>
      <c r="C161" s="134" t="inlineStr">
        <is>
          <t>BOHMED-L</t>
        </is>
      </c>
      <c r="D161" s="5">
        <f>IF($I2="","",INDEX(Productos!$B:$B,$I2))</f>
        <v/>
      </c>
      <c r="E161" s="5">
        <f>IF($I2="","",INDEX(Productos!$H:$H,$I2))</f>
        <v/>
      </c>
      <c r="F161" s="5">
        <f>IF($I2="","",INDEX(Productos!$I:$I,$I2))</f>
        <v/>
      </c>
      <c r="G161" s="135" t="n">
        <v>1</v>
      </c>
      <c r="H161" s="5">
        <f>IF($I2="","",INDEX(Productos!$AG:$AG,$I2))</f>
        <v/>
      </c>
      <c r="I161" s="136">
        <f>LET(_xlpm.r,Productos!$E$2:$E$653,_xlpm.m,IFERROR(_xlfn.XMATCH(C161,_xlpm.r),IFERROR(_xlfn.XMATCH(VALUE(C161),_xlpm.r),0)),IF(_xlpm.m=0,"",_xlpm.m+1))</f>
        <v/>
      </c>
      <c r="J161" s="137" t="inlineStr">
        <is>
          <t>NetSuite</t>
        </is>
      </c>
    </row>
    <row r="162">
      <c r="A162" s="5" t="inlineStr">
        <is>
          <t>MUESTRAS REFLO</t>
        </is>
      </c>
      <c r="B162" s="5">
        <f>IF($I2="","",INDEX(Productos!$A:$A,$I2))</f>
        <v/>
      </c>
      <c r="C162" s="134" t="inlineStr">
        <is>
          <t>BOHQUA-L</t>
        </is>
      </c>
      <c r="D162" s="5">
        <f>IF($I2="","",INDEX(Productos!$B:$B,$I2))</f>
        <v/>
      </c>
      <c r="E162" s="5">
        <f>IF($I2="","",INDEX(Productos!$H:$H,$I2))</f>
        <v/>
      </c>
      <c r="F162" s="5">
        <f>IF($I2="","",INDEX(Productos!$I:$I,$I2))</f>
        <v/>
      </c>
      <c r="G162" s="135" t="n">
        <v>1</v>
      </c>
      <c r="H162" s="5">
        <f>IF($I2="","",INDEX(Productos!$AG:$AG,$I2))</f>
        <v/>
      </c>
      <c r="I162" s="136">
        <f>LET(_xlpm.r,Productos!$E$2:$E$653,_xlpm.m,IFERROR(_xlfn.XMATCH(C162,_xlpm.r),IFERROR(_xlfn.XMATCH(VALUE(C162),_xlpm.r),0)),IF(_xlpm.m=0,"",_xlpm.m+1))</f>
        <v/>
      </c>
      <c r="J162" s="137" t="inlineStr">
        <is>
          <t>NetSuite</t>
        </is>
      </c>
    </row>
    <row r="163">
      <c r="A163" s="5" t="inlineStr">
        <is>
          <t>MUESTRAS REFLO</t>
        </is>
      </c>
      <c r="B163" s="5">
        <f>IF($I2="","",INDEX(Productos!$A:$A,$I2))</f>
        <v/>
      </c>
      <c r="C163" s="134" t="inlineStr">
        <is>
          <t>BOHTAN-L</t>
        </is>
      </c>
      <c r="D163" s="5">
        <f>IF($I2="","",INDEX(Productos!$B:$B,$I2))</f>
        <v/>
      </c>
      <c r="E163" s="5">
        <f>IF($I2="","",INDEX(Productos!$H:$H,$I2))</f>
        <v/>
      </c>
      <c r="F163" s="5">
        <f>IF($I2="","",INDEX(Productos!$I:$I,$I2))</f>
        <v/>
      </c>
      <c r="G163" s="135" t="n">
        <v>1</v>
      </c>
      <c r="H163" s="5">
        <f>IF($I2="","",INDEX(Productos!$AG:$AG,$I2))</f>
        <v/>
      </c>
      <c r="I163" s="136">
        <f>LET(_xlpm.r,Productos!$E$2:$E$653,_xlpm.m,IFERROR(_xlfn.XMATCH(C163,_xlpm.r),IFERROR(_xlfn.XMATCH(VALUE(C163),_xlpm.r),0)),IF(_xlpm.m=0,"",_xlpm.m+1))</f>
        <v/>
      </c>
      <c r="J163" s="137" t="inlineStr">
        <is>
          <t>NetSuite</t>
        </is>
      </c>
    </row>
    <row r="164">
      <c r="A164" s="5" t="inlineStr">
        <is>
          <t>MUESTRAS REFLO</t>
        </is>
      </c>
      <c r="B164" s="5">
        <f>IF($I2="","",INDEX(Productos!$A:$A,$I2))</f>
        <v/>
      </c>
      <c r="C164" s="134" t="inlineStr">
        <is>
          <t>CONGQGRE-L</t>
        </is>
      </c>
      <c r="D164" s="5">
        <f>IF($I2="","",INDEX(Productos!$B:$B,$I2))</f>
        <v/>
      </c>
      <c r="E164" s="5">
        <f>IF($I2="","",INDEX(Productos!$H:$H,$I2))</f>
        <v/>
      </c>
      <c r="F164" s="5">
        <f>IF($I2="","",INDEX(Productos!$I:$I,$I2))</f>
        <v/>
      </c>
      <c r="G164" s="135" t="n">
        <v>1</v>
      </c>
      <c r="H164" s="5">
        <f>IF($I2="","",INDEX(Productos!$AG:$AG,$I2))</f>
        <v/>
      </c>
      <c r="I164" s="136">
        <f>LET(_xlpm.r,Productos!$E$2:$E$653,_xlpm.m,IFERROR(_xlfn.XMATCH(C164,_xlpm.r),IFERROR(_xlfn.XMATCH(VALUE(C164),_xlpm.r),0)),IF(_xlpm.m=0,"",_xlpm.m+1))</f>
        <v/>
      </c>
      <c r="J164" s="137" t="inlineStr">
        <is>
          <t>NetSuite</t>
        </is>
      </c>
    </row>
    <row r="165">
      <c r="A165" s="5" t="inlineStr">
        <is>
          <t>MUESTRAS REFLO</t>
        </is>
      </c>
      <c r="B165" s="5">
        <f>IF($I2="","",INDEX(Productos!$A:$A,$I2))</f>
        <v/>
      </c>
      <c r="C165" s="134" t="inlineStr">
        <is>
          <t>DESCAV-L</t>
        </is>
      </c>
      <c r="D165" s="5">
        <f>IF($I2="","",INDEX(Productos!$B:$B,$I2))</f>
        <v/>
      </c>
      <c r="E165" s="5">
        <f>IF($I2="","",INDEX(Productos!$H:$H,$I2))</f>
        <v/>
      </c>
      <c r="F165" s="5">
        <f>IF($I2="","",INDEX(Productos!$I:$I,$I2))</f>
        <v/>
      </c>
      <c r="G165" s="135" t="n">
        <v>1</v>
      </c>
      <c r="H165" s="5">
        <f>IF($I2="","",INDEX(Productos!$AG:$AG,$I2))</f>
        <v/>
      </c>
      <c r="I165" s="136">
        <f>LET(_xlpm.r,Productos!$E$2:$E$653,_xlpm.m,IFERROR(_xlfn.XMATCH(C165,_xlpm.r),IFERROR(_xlfn.XMATCH(VALUE(C165),_xlpm.r),0)),IF(_xlpm.m=0,"",_xlpm.m+1))</f>
        <v/>
      </c>
      <c r="J165" s="137" t="inlineStr">
        <is>
          <t>NetSuite</t>
        </is>
      </c>
    </row>
    <row r="166">
      <c r="A166" s="5" t="inlineStr">
        <is>
          <t>MUESTRAS REFLO</t>
        </is>
      </c>
      <c r="B166" s="5">
        <f>IF($I2="","",INDEX(Productos!$A:$A,$I2))</f>
        <v/>
      </c>
      <c r="C166" s="134" t="inlineStr">
        <is>
          <t>DESDAR-L</t>
        </is>
      </c>
      <c r="D166" s="5">
        <f>IF($I2="","",INDEX(Productos!$B:$B,$I2))</f>
        <v/>
      </c>
      <c r="E166" s="5">
        <f>IF($I2="","",INDEX(Productos!$H:$H,$I2))</f>
        <v/>
      </c>
      <c r="F166" s="5">
        <f>IF($I2="","",INDEX(Productos!$I:$I,$I2))</f>
        <v/>
      </c>
      <c r="G166" s="135" t="n">
        <v>1</v>
      </c>
      <c r="H166" s="5">
        <f>IF($I2="","",INDEX(Productos!$AG:$AG,$I2))</f>
        <v/>
      </c>
      <c r="I166" s="136">
        <f>LET(_xlpm.r,Productos!$E$2:$E$653,_xlpm.m,IFERROR(_xlfn.XMATCH(C166,_xlpm.r),IFERROR(_xlfn.XMATCH(VALUE(C166),_xlpm.r),0)),IF(_xlpm.m=0,"",_xlpm.m+1))</f>
        <v/>
      </c>
      <c r="J166" s="137" t="inlineStr">
        <is>
          <t>NetSuite</t>
        </is>
      </c>
    </row>
    <row r="167">
      <c r="A167" s="5" t="inlineStr">
        <is>
          <t>MUESTRAS REFLO</t>
        </is>
      </c>
      <c r="B167" s="5">
        <f>IF($I2="","",INDEX(Productos!$A:$A,$I2))</f>
        <v/>
      </c>
      <c r="C167" s="134" t="inlineStr">
        <is>
          <t>DESMED-L</t>
        </is>
      </c>
      <c r="D167" s="5">
        <f>IF($I2="","",INDEX(Productos!$B:$B,$I2))</f>
        <v/>
      </c>
      <c r="E167" s="5">
        <f>IF($I2="","",INDEX(Productos!$H:$H,$I2))</f>
        <v/>
      </c>
      <c r="F167" s="5">
        <f>IF($I2="","",INDEX(Productos!$I:$I,$I2))</f>
        <v/>
      </c>
      <c r="G167" s="135" t="n">
        <v>1</v>
      </c>
      <c r="H167" s="5">
        <f>IF($I2="","",INDEX(Productos!$AG:$AG,$I2))</f>
        <v/>
      </c>
      <c r="I167" s="136">
        <f>LET(_xlpm.r,Productos!$E$2:$E$653,_xlpm.m,IFERROR(_xlfn.XMATCH(C167,_xlpm.r),IFERROR(_xlfn.XMATCH(VALUE(C167),_xlpm.r),0)),IF(_xlpm.m=0,"",_xlpm.m+1))</f>
        <v/>
      </c>
      <c r="J167" s="137" t="inlineStr">
        <is>
          <t>NetSuite</t>
        </is>
      </c>
    </row>
    <row r="168">
      <c r="A168" s="5" t="inlineStr">
        <is>
          <t>MUESTRAS REFLO</t>
        </is>
      </c>
      <c r="B168" s="5">
        <f>IF($I2="","",INDEX(Productos!$A:$A,$I2))</f>
        <v/>
      </c>
      <c r="C168" s="134" t="inlineStr">
        <is>
          <t>DESQUA-L</t>
        </is>
      </c>
      <c r="D168" s="5">
        <f>IF($I2="","",INDEX(Productos!$B:$B,$I2))</f>
        <v/>
      </c>
      <c r="E168" s="5">
        <f>IF($I2="","",INDEX(Productos!$H:$H,$I2))</f>
        <v/>
      </c>
      <c r="F168" s="5">
        <f>IF($I2="","",INDEX(Productos!$I:$I,$I2))</f>
        <v/>
      </c>
      <c r="G168" s="135" t="n">
        <v>1</v>
      </c>
      <c r="H168" s="5">
        <f>IF($I2="","",INDEX(Productos!$AG:$AG,$I2))</f>
        <v/>
      </c>
      <c r="I168" s="136">
        <f>LET(_xlpm.r,Productos!$E$2:$E$653,_xlpm.m,IFERROR(_xlfn.XMATCH(C168,_xlpm.r),IFERROR(_xlfn.XMATCH(VALUE(C168),_xlpm.r),0)),IF(_xlpm.m=0,"",_xlpm.m+1))</f>
        <v/>
      </c>
      <c r="J168" s="137" t="inlineStr">
        <is>
          <t>NetSuite</t>
        </is>
      </c>
    </row>
    <row r="169">
      <c r="A169" s="5" t="inlineStr">
        <is>
          <t>MUESTRAS REFLO</t>
        </is>
      </c>
      <c r="B169" s="5">
        <f>IF($I2="","",INDEX(Productos!$A:$A,$I2))</f>
        <v/>
      </c>
      <c r="C169" s="134" t="inlineStr">
        <is>
          <t>HUDBLA-L</t>
        </is>
      </c>
      <c r="D169" s="5">
        <f>IF($I2="","",INDEX(Productos!$B:$B,$I2))</f>
        <v/>
      </c>
      <c r="E169" s="5">
        <f>IF($I2="","",INDEX(Productos!$H:$H,$I2))</f>
        <v/>
      </c>
      <c r="F169" s="5">
        <f>IF($I2="","",INDEX(Productos!$I:$I,$I2))</f>
        <v/>
      </c>
      <c r="G169" s="135" t="n">
        <v>1</v>
      </c>
      <c r="H169" s="5">
        <f>IF($I2="","",INDEX(Productos!$AG:$AG,$I2))</f>
        <v/>
      </c>
      <c r="I169" s="136">
        <f>LET(_xlpm.r,Productos!$E$2:$E$653,_xlpm.m,IFERROR(_xlfn.XMATCH(C169,_xlpm.r),IFERROR(_xlfn.XMATCH(VALUE(C169),_xlpm.r),0)),IF(_xlpm.m=0,"",_xlpm.m+1))</f>
        <v/>
      </c>
      <c r="J169" s="137" t="inlineStr">
        <is>
          <t>NetSuite</t>
        </is>
      </c>
    </row>
    <row r="170">
      <c r="A170" s="5" t="inlineStr">
        <is>
          <t>MUESTRAS REFLO</t>
        </is>
      </c>
      <c r="B170" s="5">
        <f>IF($I2="","",INDEX(Productos!$A:$A,$I2))</f>
        <v/>
      </c>
      <c r="C170" s="134" t="inlineStr">
        <is>
          <t>HUDCLO-L</t>
        </is>
      </c>
      <c r="D170" s="5">
        <f>IF($I2="","",INDEX(Productos!$B:$B,$I2))</f>
        <v/>
      </c>
      <c r="E170" s="5">
        <f>IF($I2="","",INDEX(Productos!$H:$H,$I2))</f>
        <v/>
      </c>
      <c r="F170" s="5">
        <f>IF($I2="","",INDEX(Productos!$I:$I,$I2))</f>
        <v/>
      </c>
      <c r="G170" s="135" t="n">
        <v>1</v>
      </c>
      <c r="H170" s="5">
        <f>IF($I2="","",INDEX(Productos!$AG:$AG,$I2))</f>
        <v/>
      </c>
      <c r="I170" s="136">
        <f>LET(_xlpm.r,Productos!$E$2:$E$653,_xlpm.m,IFERROR(_xlfn.XMATCH(C170,_xlpm.r),IFERROR(_xlfn.XMATCH(VALUE(C170),_xlpm.r),0)),IF(_xlpm.m=0,"",_xlpm.m+1))</f>
        <v/>
      </c>
      <c r="J170" s="137" t="inlineStr">
        <is>
          <t>NetSuite</t>
        </is>
      </c>
    </row>
    <row r="171">
      <c r="A171" s="5" t="inlineStr">
        <is>
          <t>MUESTRAS REFLO</t>
        </is>
      </c>
      <c r="B171" s="5">
        <f>IF($I2="","",INDEX(Productos!$A:$A,$I2))</f>
        <v/>
      </c>
      <c r="C171" s="134" t="inlineStr">
        <is>
          <t>HUDCOR-L</t>
        </is>
      </c>
      <c r="D171" s="5">
        <f>IF($I2="","",INDEX(Productos!$B:$B,$I2))</f>
        <v/>
      </c>
      <c r="E171" s="5">
        <f>IF($I2="","",INDEX(Productos!$H:$H,$I2))</f>
        <v/>
      </c>
      <c r="F171" s="5">
        <f>IF($I2="","",INDEX(Productos!$I:$I,$I2))</f>
        <v/>
      </c>
      <c r="G171" s="135" t="n">
        <v>1</v>
      </c>
      <c r="H171" s="5">
        <f>IF($I2="","",INDEX(Productos!$AG:$AG,$I2))</f>
        <v/>
      </c>
      <c r="I171" s="136">
        <f>LET(_xlpm.r,Productos!$E$2:$E$653,_xlpm.m,IFERROR(_xlfn.XMATCH(C171,_xlpm.r),IFERROR(_xlfn.XMATCH(VALUE(C171),_xlpm.r),0)),IF(_xlpm.m=0,"",_xlpm.m+1))</f>
        <v/>
      </c>
      <c r="J171" s="137" t="inlineStr">
        <is>
          <t>NetSuite</t>
        </is>
      </c>
    </row>
    <row r="172">
      <c r="A172" s="5" t="inlineStr">
        <is>
          <t>MUESTRAS REFLO</t>
        </is>
      </c>
      <c r="B172" s="5">
        <f>IF($I2="","",INDEX(Productos!$A:$A,$I2))</f>
        <v/>
      </c>
      <c r="C172" s="134" t="inlineStr">
        <is>
          <t>HUDDAR-L</t>
        </is>
      </c>
      <c r="D172" s="5">
        <f>IF($I2="","",INDEX(Productos!$B:$B,$I2))</f>
        <v/>
      </c>
      <c r="E172" s="5">
        <f>IF($I2="","",INDEX(Productos!$H:$H,$I2))</f>
        <v/>
      </c>
      <c r="F172" s="5">
        <f>IF($I2="","",INDEX(Productos!$I:$I,$I2))</f>
        <v/>
      </c>
      <c r="G172" s="135" t="n">
        <v>2</v>
      </c>
      <c r="H172" s="5">
        <f>IF($I2="","",INDEX(Productos!$AG:$AG,$I2))</f>
        <v/>
      </c>
      <c r="I172" s="136">
        <f>LET(_xlpm.r,Productos!$E$2:$E$653,_xlpm.m,IFERROR(_xlfn.XMATCH(C172,_xlpm.r),IFERROR(_xlfn.XMATCH(VALUE(C172),_xlpm.r),0)),IF(_xlpm.m=0,"",_xlpm.m+1))</f>
        <v/>
      </c>
      <c r="J172" s="137" t="inlineStr">
        <is>
          <t>NetSuite</t>
        </is>
      </c>
    </row>
    <row r="173">
      <c r="A173" s="5" t="inlineStr">
        <is>
          <t>MUESTRAS REFLO</t>
        </is>
      </c>
      <c r="B173" s="5">
        <f>IF($I2="","",INDEX(Productos!$A:$A,$I2))</f>
        <v/>
      </c>
      <c r="C173" s="134" t="inlineStr">
        <is>
          <t>HUDDAR-M</t>
        </is>
      </c>
      <c r="D173" s="5">
        <f>IF($I2="","",INDEX(Productos!$B:$B,$I2))</f>
        <v/>
      </c>
      <c r="E173" s="5">
        <f>IF($I2="","",INDEX(Productos!$H:$H,$I2))</f>
        <v/>
      </c>
      <c r="F173" s="5">
        <f>IF($I2="","",INDEX(Productos!$I:$I,$I2))</f>
        <v/>
      </c>
      <c r="G173" s="135" t="n">
        <v>1</v>
      </c>
      <c r="H173" s="5">
        <f>IF($I2="","",INDEX(Productos!$AG:$AG,$I2))</f>
        <v/>
      </c>
      <c r="I173" s="136">
        <f>LET(_xlpm.r,Productos!$E$2:$E$653,_xlpm.m,IFERROR(_xlfn.XMATCH(C173,_xlpm.r),IFERROR(_xlfn.XMATCH(VALUE(C173),_xlpm.r),0)),IF(_xlpm.m=0,"",_xlpm.m+1))</f>
        <v/>
      </c>
      <c r="J173" s="137" t="inlineStr">
        <is>
          <t>NetSuite</t>
        </is>
      </c>
    </row>
    <row r="174">
      <c r="A174" s="5" t="inlineStr">
        <is>
          <t>MUESTRAS REFLO</t>
        </is>
      </c>
      <c r="B174" s="5">
        <f>IF($I2="","",INDEX(Productos!$A:$A,$I2))</f>
        <v/>
      </c>
      <c r="C174" s="134" t="inlineStr">
        <is>
          <t>HUDNAV-L</t>
        </is>
      </c>
      <c r="D174" s="5">
        <f>IF($I2="","",INDEX(Productos!$B:$B,$I2))</f>
        <v/>
      </c>
      <c r="E174" s="5">
        <f>IF($I2="","",INDEX(Productos!$H:$H,$I2))</f>
        <v/>
      </c>
      <c r="F174" s="5">
        <f>IF($I2="","",INDEX(Productos!$I:$I,$I2))</f>
        <v/>
      </c>
      <c r="G174" s="135" t="n">
        <v>1</v>
      </c>
      <c r="H174" s="5">
        <f>IF($I2="","",INDEX(Productos!$AG:$AG,$I2))</f>
        <v/>
      </c>
      <c r="I174" s="136">
        <f>LET(_xlpm.r,Productos!$E$2:$E$653,_xlpm.m,IFERROR(_xlfn.XMATCH(C174,_xlpm.r),IFERROR(_xlfn.XMATCH(VALUE(C174),_xlpm.r),0)),IF(_xlpm.m=0,"",_xlpm.m+1))</f>
        <v/>
      </c>
      <c r="J174" s="137" t="inlineStr">
        <is>
          <t>NetSuite</t>
        </is>
      </c>
    </row>
    <row r="175">
      <c r="A175" s="5" t="inlineStr">
        <is>
          <t>MUESTRAS REFLO</t>
        </is>
      </c>
      <c r="B175" s="5">
        <f>IF($I2="","",INDEX(Productos!$A:$A,$I2))</f>
        <v/>
      </c>
      <c r="C175" s="134" t="inlineStr">
        <is>
          <t>HUDSOXY-L</t>
        </is>
      </c>
      <c r="D175" s="5">
        <f>IF($I2="","",INDEX(Productos!$B:$B,$I2))</f>
        <v/>
      </c>
      <c r="E175" s="5">
        <f>IF($I2="","",INDEX(Productos!$H:$H,$I2))</f>
        <v/>
      </c>
      <c r="F175" s="5">
        <f>IF($I2="","",INDEX(Productos!$I:$I,$I2))</f>
        <v/>
      </c>
      <c r="G175" s="135" t="n">
        <v>1</v>
      </c>
      <c r="H175" s="5">
        <f>IF($I2="","",INDEX(Productos!$AG:$AG,$I2))</f>
        <v/>
      </c>
      <c r="I175" s="136">
        <f>LET(_xlpm.r,Productos!$E$2:$E$653,_xlpm.m,IFERROR(_xlfn.XMATCH(C175,_xlpm.r),IFERROR(_xlfn.XMATCH(VALUE(C175),_xlpm.r),0)),IF(_xlpm.m=0,"",_xlpm.m+1))</f>
        <v/>
      </c>
      <c r="J175" s="137" t="inlineStr">
        <is>
          <t>NetSuite</t>
        </is>
      </c>
    </row>
    <row r="176">
      <c r="A176" s="5" t="inlineStr">
        <is>
          <t>MUESTRAS REFLO</t>
        </is>
      </c>
      <c r="B176" s="5">
        <f>IF($I2="","",INDEX(Productos!$A:$A,$I2))</f>
        <v/>
      </c>
      <c r="C176" s="134" t="inlineStr">
        <is>
          <t>KASATOWSB-OS</t>
        </is>
      </c>
      <c r="D176" s="5">
        <f>IF($I2="","",INDEX(Productos!$B:$B,$I2))</f>
        <v/>
      </c>
      <c r="E176" s="5">
        <f>IF($I2="","",INDEX(Productos!$H:$H,$I2))</f>
        <v/>
      </c>
      <c r="F176" s="5">
        <f>IF($I2="","",INDEX(Productos!$I:$I,$I2))</f>
        <v/>
      </c>
      <c r="G176" s="135" t="n">
        <v>2</v>
      </c>
      <c r="H176" s="5">
        <f>IF($I2="","",INDEX(Productos!$AG:$AG,$I2))</f>
        <v/>
      </c>
      <c r="I176" s="136">
        <f>LET(_xlpm.r,Productos!$E$2:$E$653,_xlpm.m,IFERROR(_xlfn.XMATCH(C176,_xlpm.r),IFERROR(_xlfn.XMATCH(VALUE(C176),_xlpm.r),0)),IF(_xlpm.m=0,"",_xlpm.m+1))</f>
        <v/>
      </c>
      <c r="J176" s="137" t="inlineStr">
        <is>
          <t>NetSuite</t>
        </is>
      </c>
    </row>
    <row r="177">
      <c r="A177" s="5" t="inlineStr">
        <is>
          <t>MUESTRAS REFLO</t>
        </is>
      </c>
      <c r="B177" s="5">
        <f>IF($I2="","",INDEX(Productos!$A:$A,$I2))</f>
        <v/>
      </c>
      <c r="C177" s="134" t="inlineStr">
        <is>
          <t>LEVABLAO-OS</t>
        </is>
      </c>
      <c r="D177" s="5">
        <f>IF($I2="","",INDEX(Productos!$B:$B,$I2))</f>
        <v/>
      </c>
      <c r="E177" s="5">
        <f>IF($I2="","",INDEX(Productos!$H:$H,$I2))</f>
        <v/>
      </c>
      <c r="F177" s="5">
        <f>IF($I2="","",INDEX(Productos!$I:$I,$I2))</f>
        <v/>
      </c>
      <c r="G177" s="135" t="n">
        <v>1</v>
      </c>
      <c r="H177" s="5">
        <f>IF($I2="","",INDEX(Productos!$AG:$AG,$I2))</f>
        <v/>
      </c>
      <c r="I177" s="136">
        <f>LET(_xlpm.r,Productos!$E$2:$E$653,_xlpm.m,IFERROR(_xlfn.XMATCH(C177,_xlpm.r),IFERROR(_xlfn.XMATCH(VALUE(C177),_xlpm.r),0)),IF(_xlpm.m=0,"",_xlpm.m+1))</f>
        <v/>
      </c>
      <c r="J177" s="137" t="inlineStr">
        <is>
          <t>NetSuite</t>
        </is>
      </c>
    </row>
    <row r="178">
      <c r="A178" s="5" t="inlineStr">
        <is>
          <t>MUESTRAS REFLO</t>
        </is>
      </c>
      <c r="B178" s="5">
        <f>IF($I2="","",INDEX(Productos!$A:$A,$I2))</f>
        <v/>
      </c>
      <c r="C178" s="134" t="inlineStr">
        <is>
          <t>LEVANAVO-OS</t>
        </is>
      </c>
      <c r="D178" s="5">
        <f>IF($I2="","",INDEX(Productos!$B:$B,$I2))</f>
        <v/>
      </c>
      <c r="E178" s="5">
        <f>IF($I2="","",INDEX(Productos!$H:$H,$I2))</f>
        <v/>
      </c>
      <c r="F178" s="5">
        <f>IF($I2="","",INDEX(Productos!$I:$I,$I2))</f>
        <v/>
      </c>
      <c r="G178" s="135" t="n">
        <v>1</v>
      </c>
      <c r="H178" s="5">
        <f>IF($I2="","",INDEX(Productos!$AG:$AG,$I2))</f>
        <v/>
      </c>
      <c r="I178" s="136">
        <f>LET(_xlpm.r,Productos!$E$2:$E$653,_xlpm.m,IFERROR(_xlfn.XMATCH(C178,_xlpm.r),IFERROR(_xlfn.XMATCH(VALUE(C178),_xlpm.r),0)),IF(_xlpm.m=0,"",_xlpm.m+1))</f>
        <v/>
      </c>
      <c r="J178" s="137" t="inlineStr">
        <is>
          <t>NetSuite</t>
        </is>
      </c>
    </row>
    <row r="179">
      <c r="A179" s="5" t="inlineStr">
        <is>
          <t>MUESTRAS REFLO</t>
        </is>
      </c>
      <c r="B179" s="5">
        <f>IF($I2="","",INDEX(Productos!$A:$A,$I2))</f>
        <v/>
      </c>
      <c r="C179" s="134" t="inlineStr">
        <is>
          <t>LEVAWHIO-OS</t>
        </is>
      </c>
      <c r="D179" s="5">
        <f>IF($I2="","",INDEX(Productos!$B:$B,$I2))</f>
        <v/>
      </c>
      <c r="E179" s="5">
        <f>IF($I2="","",INDEX(Productos!$H:$H,$I2))</f>
        <v/>
      </c>
      <c r="F179" s="5">
        <f>IF($I2="","",INDEX(Productos!$I:$I,$I2))</f>
        <v/>
      </c>
      <c r="G179" s="135" t="n">
        <v>2</v>
      </c>
      <c r="H179" s="5">
        <f>IF($I2="","",INDEX(Productos!$AG:$AG,$I2))</f>
        <v/>
      </c>
      <c r="I179" s="136">
        <f>LET(_xlpm.r,Productos!$E$2:$E$653,_xlpm.m,IFERROR(_xlfn.XMATCH(C179,_xlpm.r),IFERROR(_xlfn.XMATCH(VALUE(C179),_xlpm.r),0)),IF(_xlpm.m=0,"",_xlpm.m+1))</f>
        <v/>
      </c>
      <c r="J179" s="137" t="inlineStr">
        <is>
          <t>NetSuite</t>
        </is>
      </c>
    </row>
    <row r="180">
      <c r="A180" s="5" t="inlineStr">
        <is>
          <t>MUESTRAS REFLO</t>
        </is>
      </c>
      <c r="B180" s="5">
        <f>IF($I2="","",INDEX(Productos!$A:$A,$I2))</f>
        <v/>
      </c>
      <c r="C180" s="134" t="inlineStr">
        <is>
          <t>MAHITOWG-OS</t>
        </is>
      </c>
      <c r="D180" s="5">
        <f>IF($I2="","",INDEX(Productos!$B:$B,$I2))</f>
        <v/>
      </c>
      <c r="E180" s="5">
        <f>IF($I2="","",INDEX(Productos!$H:$H,$I2))</f>
        <v/>
      </c>
      <c r="F180" s="5">
        <f>IF($I2="","",INDEX(Productos!$I:$I,$I2))</f>
        <v/>
      </c>
      <c r="G180" s="135" t="n">
        <v>1</v>
      </c>
      <c r="H180" s="5">
        <f>IF($I2="","",INDEX(Productos!$AG:$AG,$I2))</f>
        <v/>
      </c>
      <c r="I180" s="136">
        <f>LET(_xlpm.r,Productos!$E$2:$E$653,_xlpm.m,IFERROR(_xlfn.XMATCH(C180,_xlpm.r),IFERROR(_xlfn.XMATCH(VALUE(C180),_xlpm.r),0)),IF(_xlpm.m=0,"",_xlpm.m+1))</f>
        <v/>
      </c>
      <c r="J180" s="137" t="inlineStr">
        <is>
          <t>NetSuite</t>
        </is>
      </c>
    </row>
    <row r="181">
      <c r="A181" s="5" t="inlineStr">
        <is>
          <t>MUESTRAS REFLO</t>
        </is>
      </c>
      <c r="B181" s="5">
        <f>IF($I2="","",INDEX(Productos!$A:$A,$I2))</f>
        <v/>
      </c>
      <c r="C181" s="134" t="inlineStr">
        <is>
          <t>MEKOSBLU-L</t>
        </is>
      </c>
      <c r="D181" s="5">
        <f>IF($I2="","",INDEX(Productos!$B:$B,$I2))</f>
        <v/>
      </c>
      <c r="E181" s="5">
        <f>IF($I2="","",INDEX(Productos!$H:$H,$I2))</f>
        <v/>
      </c>
      <c r="F181" s="5">
        <f>IF($I2="","",INDEX(Productos!$I:$I,$I2))</f>
        <v/>
      </c>
      <c r="G181" s="135" t="n">
        <v>1</v>
      </c>
      <c r="H181" s="5">
        <f>IF($I2="","",INDEX(Productos!$AG:$AG,$I2))</f>
        <v/>
      </c>
      <c r="I181" s="136">
        <f>LET(_xlpm.r,Productos!$E$2:$E$653,_xlpm.m,IFERROR(_xlfn.XMATCH(C181,_xlpm.r),IFERROR(_xlfn.XMATCH(VALUE(C181),_xlpm.r),0)),IF(_xlpm.m=0,"",_xlpm.m+1))</f>
        <v/>
      </c>
      <c r="J181" s="137" t="inlineStr">
        <is>
          <t>NetSuite</t>
        </is>
      </c>
    </row>
    <row r="182">
      <c r="A182" s="5" t="inlineStr">
        <is>
          <t>MUESTRAS REFLO</t>
        </is>
      </c>
      <c r="B182" s="5">
        <f>IF($I2="","",INDEX(Productos!$A:$A,$I2))</f>
        <v/>
      </c>
      <c r="C182" s="134" t="inlineStr">
        <is>
          <t>OTIGRE-L</t>
        </is>
      </c>
      <c r="D182" s="5">
        <f>IF($I2="","",INDEX(Productos!$B:$B,$I2))</f>
        <v/>
      </c>
      <c r="E182" s="5">
        <f>IF($I2="","",INDEX(Productos!$H:$H,$I2))</f>
        <v/>
      </c>
      <c r="F182" s="5">
        <f>IF($I2="","",INDEX(Productos!$I:$I,$I2))</f>
        <v/>
      </c>
      <c r="G182" s="135" t="n">
        <v>1</v>
      </c>
      <c r="H182" s="5">
        <f>IF($I2="","",INDEX(Productos!$AG:$AG,$I2))</f>
        <v/>
      </c>
      <c r="I182" s="136">
        <f>LET(_xlpm.r,Productos!$E$2:$E$653,_xlpm.m,IFERROR(_xlfn.XMATCH(C182,_xlpm.r),IFERROR(_xlfn.XMATCH(VALUE(C182),_xlpm.r),0)),IF(_xlpm.m=0,"",_xlpm.m+1))</f>
        <v/>
      </c>
      <c r="J182" s="137" t="inlineStr">
        <is>
          <t>NetSuite</t>
        </is>
      </c>
    </row>
    <row r="183">
      <c r="A183" s="5" t="inlineStr">
        <is>
          <t>MUESTRAS REFLO</t>
        </is>
      </c>
      <c r="B183" s="5">
        <f>IF($I2="","",INDEX(Productos!$A:$A,$I2))</f>
        <v/>
      </c>
      <c r="C183" s="134" t="inlineStr">
        <is>
          <t>RM02101009-34</t>
        </is>
      </c>
      <c r="D183" s="5">
        <f>IF($I2="","",INDEX(Productos!$B:$B,$I2))</f>
        <v/>
      </c>
      <c r="E183" s="5">
        <f>IF($I2="","",INDEX(Productos!$H:$H,$I2))</f>
        <v/>
      </c>
      <c r="F183" s="5">
        <f>IF($I2="","",INDEX(Productos!$I:$I,$I2))</f>
        <v/>
      </c>
      <c r="G183" s="135" t="n">
        <v>1</v>
      </c>
      <c r="H183" s="5">
        <f>IF($I2="","",INDEX(Productos!$AG:$AG,$I2))</f>
        <v/>
      </c>
      <c r="I183" s="136">
        <f>LET(_xlpm.r,Productos!$E$2:$E$653,_xlpm.m,IFERROR(_xlfn.XMATCH(C183,_xlpm.r),IFERROR(_xlfn.XMATCH(VALUE(C183),_xlpm.r),0)),IF(_xlpm.m=0,"",_xlpm.m+1))</f>
        <v/>
      </c>
      <c r="J183" s="137" t="inlineStr">
        <is>
          <t>NetSuite</t>
        </is>
      </c>
    </row>
    <row r="184">
      <c r="A184" s="5" t="inlineStr">
        <is>
          <t>MUESTRAS REFLO</t>
        </is>
      </c>
      <c r="B184" s="5">
        <f>IF($I2="","",INDEX(Productos!$A:$A,$I2))</f>
        <v/>
      </c>
      <c r="C184" s="134" t="inlineStr">
        <is>
          <t>RM02101035-30</t>
        </is>
      </c>
      <c r="D184" s="5">
        <f>IF($I2="","",INDEX(Productos!$B:$B,$I2))</f>
        <v/>
      </c>
      <c r="E184" s="5">
        <f>IF($I2="","",INDEX(Productos!$H:$H,$I2))</f>
        <v/>
      </c>
      <c r="F184" s="5">
        <f>IF($I2="","",INDEX(Productos!$I:$I,$I2))</f>
        <v/>
      </c>
      <c r="G184" s="135" t="n">
        <v>1</v>
      </c>
      <c r="H184" s="5">
        <f>IF($I2="","",INDEX(Productos!$AG:$AG,$I2))</f>
        <v/>
      </c>
      <c r="I184" s="136">
        <f>LET(_xlpm.r,Productos!$E$2:$E$653,_xlpm.m,IFERROR(_xlfn.XMATCH(C184,_xlpm.r),IFERROR(_xlfn.XMATCH(VALUE(C184),_xlpm.r),0)),IF(_xlpm.m=0,"",_xlpm.m+1))</f>
        <v/>
      </c>
      <c r="J184" s="137" t="inlineStr">
        <is>
          <t>NetSuite</t>
        </is>
      </c>
    </row>
    <row r="185">
      <c r="A185" s="5" t="inlineStr">
        <is>
          <t>MUESTRAS REFLO</t>
        </is>
      </c>
      <c r="B185" s="5">
        <f>IF($I2="","",INDEX(Productos!$A:$A,$I2))</f>
        <v/>
      </c>
      <c r="C185" s="134" t="inlineStr">
        <is>
          <t>RM02101035-32</t>
        </is>
      </c>
      <c r="D185" s="5">
        <f>IF($I2="","",INDEX(Productos!$B:$B,$I2))</f>
        <v/>
      </c>
      <c r="E185" s="5">
        <f>IF($I2="","",INDEX(Productos!$H:$H,$I2))</f>
        <v/>
      </c>
      <c r="F185" s="5">
        <f>IF($I2="","",INDEX(Productos!$I:$I,$I2))</f>
        <v/>
      </c>
      <c r="G185" s="135" t="n">
        <v>1</v>
      </c>
      <c r="H185" s="5">
        <f>IF($I2="","",INDEX(Productos!$AG:$AG,$I2))</f>
        <v/>
      </c>
      <c r="I185" s="136">
        <f>LET(_xlpm.r,Productos!$E$2:$E$653,_xlpm.m,IFERROR(_xlfn.XMATCH(C185,_xlpm.r),IFERROR(_xlfn.XMATCH(VALUE(C185),_xlpm.r),0)),IF(_xlpm.m=0,"",_xlpm.m+1))</f>
        <v/>
      </c>
      <c r="J185" s="137" t="inlineStr">
        <is>
          <t>NetSuite</t>
        </is>
      </c>
    </row>
    <row r="186">
      <c r="A186" s="5" t="inlineStr">
        <is>
          <t>MUESTRAS REFLO</t>
        </is>
      </c>
      <c r="B186" s="5">
        <f>IF($I2="","",INDEX(Productos!$A:$A,$I2))</f>
        <v/>
      </c>
      <c r="C186" s="134" t="inlineStr">
        <is>
          <t>RM02101054-32</t>
        </is>
      </c>
      <c r="D186" s="5">
        <f>IF($I2="","",INDEX(Productos!$B:$B,$I2))</f>
        <v/>
      </c>
      <c r="E186" s="5">
        <f>IF($I2="","",INDEX(Productos!$H:$H,$I2))</f>
        <v/>
      </c>
      <c r="F186" s="5">
        <f>IF($I2="","",INDEX(Productos!$I:$I,$I2))</f>
        <v/>
      </c>
      <c r="G186" s="135" t="n">
        <v>1</v>
      </c>
      <c r="H186" s="5">
        <f>IF($I2="","",INDEX(Productos!$AG:$AG,$I2))</f>
        <v/>
      </c>
      <c r="I186" s="136">
        <f>LET(_xlpm.r,Productos!$E$2:$E$653,_xlpm.m,IFERROR(_xlfn.XMATCH(C186,_xlpm.r),IFERROR(_xlfn.XMATCH(VALUE(C186),_xlpm.r),0)),IF(_xlpm.m=0,"",_xlpm.m+1))</f>
        <v/>
      </c>
      <c r="J186" s="137" t="inlineStr">
        <is>
          <t>NetSuite</t>
        </is>
      </c>
    </row>
    <row r="187">
      <c r="A187" s="5" t="inlineStr">
        <is>
          <t>MUESTRAS REFLO</t>
        </is>
      </c>
      <c r="B187" s="5">
        <f>IF($I2="","",INDEX(Productos!$A:$A,$I2))</f>
        <v/>
      </c>
      <c r="C187" s="134" t="inlineStr">
        <is>
          <t>RM02101068-34</t>
        </is>
      </c>
      <c r="D187" s="5">
        <f>IF($I2="","",INDEX(Productos!$B:$B,$I2))</f>
        <v/>
      </c>
      <c r="E187" s="5">
        <f>IF($I2="","",INDEX(Productos!$H:$H,$I2))</f>
        <v/>
      </c>
      <c r="F187" s="5">
        <f>IF($I2="","",INDEX(Productos!$I:$I,$I2))</f>
        <v/>
      </c>
      <c r="G187" s="135" t="n">
        <v>1</v>
      </c>
      <c r="H187" s="5">
        <f>IF($I2="","",INDEX(Productos!$AG:$AG,$I2))</f>
        <v/>
      </c>
      <c r="I187" s="136">
        <f>LET(_xlpm.r,Productos!$E$2:$E$653,_xlpm.m,IFERROR(_xlfn.XMATCH(C187,_xlpm.r),IFERROR(_xlfn.XMATCH(VALUE(C187),_xlpm.r),0)),IF(_xlpm.m=0,"",_xlpm.m+1))</f>
        <v/>
      </c>
      <c r="J187" s="137" t="inlineStr">
        <is>
          <t>NetSuite</t>
        </is>
      </c>
    </row>
    <row r="188">
      <c r="A188" s="5" t="inlineStr">
        <is>
          <t>MUESTRAS REFLO</t>
        </is>
      </c>
      <c r="B188" s="5">
        <f>IF($I2="","",INDEX(Productos!$A:$A,$I2))</f>
        <v/>
      </c>
      <c r="C188" s="134" t="inlineStr">
        <is>
          <t>RM02202009-34</t>
        </is>
      </c>
      <c r="D188" s="5">
        <f>IF($I2="","",INDEX(Productos!$B:$B,$I2))</f>
        <v/>
      </c>
      <c r="E188" s="5">
        <f>IF($I2="","",INDEX(Productos!$H:$H,$I2))</f>
        <v/>
      </c>
      <c r="F188" s="5">
        <f>IF($I2="","",INDEX(Productos!$I:$I,$I2))</f>
        <v/>
      </c>
      <c r="G188" s="135" t="n">
        <v>1</v>
      </c>
      <c r="H188" s="5">
        <f>IF($I2="","",INDEX(Productos!$AG:$AG,$I2))</f>
        <v/>
      </c>
      <c r="I188" s="136">
        <f>LET(_xlpm.r,Productos!$E$2:$E$653,_xlpm.m,IFERROR(_xlfn.XMATCH(C188,_xlpm.r),IFERROR(_xlfn.XMATCH(VALUE(C188),_xlpm.r),0)),IF(_xlpm.m=0,"",_xlpm.m+1))</f>
        <v/>
      </c>
      <c r="J188" s="137" t="inlineStr">
        <is>
          <t>NetSuite</t>
        </is>
      </c>
    </row>
    <row r="189">
      <c r="A189" s="5" t="inlineStr">
        <is>
          <t>MUESTRAS REFLO</t>
        </is>
      </c>
      <c r="B189" s="5">
        <f>IF($I2="","",INDEX(Productos!$A:$A,$I2))</f>
        <v/>
      </c>
      <c r="C189" s="134" t="inlineStr">
        <is>
          <t>RM02202035-34</t>
        </is>
      </c>
      <c r="D189" s="5">
        <f>IF($I2="","",INDEX(Productos!$B:$B,$I2))</f>
        <v/>
      </c>
      <c r="E189" s="5">
        <f>IF($I2="","",INDEX(Productos!$H:$H,$I2))</f>
        <v/>
      </c>
      <c r="F189" s="5">
        <f>IF($I2="","",INDEX(Productos!$I:$I,$I2))</f>
        <v/>
      </c>
      <c r="G189" s="135" t="n">
        <v>1</v>
      </c>
      <c r="H189" s="5">
        <f>IF($I2="","",INDEX(Productos!$AG:$AG,$I2))</f>
        <v/>
      </c>
      <c r="I189" s="136">
        <f>LET(_xlpm.r,Productos!$E$2:$E$653,_xlpm.m,IFERROR(_xlfn.XMATCH(C189,_xlpm.r),IFERROR(_xlfn.XMATCH(VALUE(C189),_xlpm.r),0)),IF(_xlpm.m=0,"",_xlpm.m+1))</f>
        <v/>
      </c>
      <c r="J189" s="137" t="inlineStr">
        <is>
          <t>NetSuite</t>
        </is>
      </c>
    </row>
    <row r="190">
      <c r="A190" s="5" t="inlineStr">
        <is>
          <t>MUESTRAS REFLO</t>
        </is>
      </c>
      <c r="B190" s="5">
        <f>IF($I2="","",INDEX(Productos!$A:$A,$I2))</f>
        <v/>
      </c>
      <c r="C190" s="134" t="inlineStr">
        <is>
          <t>RM02202054-34</t>
        </is>
      </c>
      <c r="D190" s="5">
        <f>IF($I2="","",INDEX(Productos!$B:$B,$I2))</f>
        <v/>
      </c>
      <c r="E190" s="5">
        <f>IF($I2="","",INDEX(Productos!$H:$H,$I2))</f>
        <v/>
      </c>
      <c r="F190" s="5">
        <f>IF($I2="","",INDEX(Productos!$I:$I,$I2))</f>
        <v/>
      </c>
      <c r="G190" s="135" t="n">
        <v>1</v>
      </c>
      <c r="H190" s="5">
        <f>IF($I2="","",INDEX(Productos!$AG:$AG,$I2))</f>
        <v/>
      </c>
      <c r="I190" s="136">
        <f>LET(_xlpm.r,Productos!$E$2:$E$653,_xlpm.m,IFERROR(_xlfn.XMATCH(C190,_xlpm.r),IFERROR(_xlfn.XMATCH(VALUE(C190),_xlpm.r),0)),IF(_xlpm.m=0,"",_xlpm.m+1))</f>
        <v/>
      </c>
      <c r="J190" s="137" t="inlineStr">
        <is>
          <t>NetSuite</t>
        </is>
      </c>
    </row>
    <row r="191">
      <c r="A191" s="5" t="inlineStr">
        <is>
          <t>MUESTRAS REFLO</t>
        </is>
      </c>
      <c r="B191" s="5">
        <f>IF($I2="","",INDEX(Productos!$A:$A,$I2))</f>
        <v/>
      </c>
      <c r="C191" s="134" t="inlineStr">
        <is>
          <t>RM02202068-34</t>
        </is>
      </c>
      <c r="D191" s="5">
        <f>IF($I2="","",INDEX(Productos!$B:$B,$I2))</f>
        <v/>
      </c>
      <c r="E191" s="5">
        <f>IF($I2="","",INDEX(Productos!$H:$H,$I2))</f>
        <v/>
      </c>
      <c r="F191" s="5">
        <f>IF($I2="","",INDEX(Productos!$I:$I,$I2))</f>
        <v/>
      </c>
      <c r="G191" s="135" t="n">
        <v>1</v>
      </c>
      <c r="H191" s="5">
        <f>IF($I2="","",INDEX(Productos!$AG:$AG,$I2))</f>
        <v/>
      </c>
      <c r="I191" s="136">
        <f>LET(_xlpm.r,Productos!$E$2:$E$653,_xlpm.m,IFERROR(_xlfn.XMATCH(C191,_xlpm.r),IFERROR(_xlfn.XMATCH(VALUE(C191),_xlpm.r),0)),IF(_xlpm.m=0,"",_xlpm.m+1))</f>
        <v/>
      </c>
      <c r="J191" s="137" t="inlineStr">
        <is>
          <t>NetSuite</t>
        </is>
      </c>
    </row>
    <row r="192">
      <c r="A192" s="5" t="inlineStr">
        <is>
          <t>MUESTRAS REFLO</t>
        </is>
      </c>
      <c r="B192" s="5">
        <f>IF($I2="","",INDEX(Productos!$A:$A,$I2))</f>
        <v/>
      </c>
      <c r="C192" s="134" t="inlineStr">
        <is>
          <t>RM24407050-L</t>
        </is>
      </c>
      <c r="D192" s="5">
        <f>IF($I2="","",INDEX(Productos!$B:$B,$I2))</f>
        <v/>
      </c>
      <c r="E192" s="5">
        <f>IF($I2="","",INDEX(Productos!$H:$H,$I2))</f>
        <v/>
      </c>
      <c r="F192" s="5">
        <f>IF($I2="","",INDEX(Productos!$I:$I,$I2))</f>
        <v/>
      </c>
      <c r="G192" s="135" t="n">
        <v>1</v>
      </c>
      <c r="H192" s="5">
        <f>IF($I2="","",INDEX(Productos!$AG:$AG,$I2))</f>
        <v/>
      </c>
      <c r="I192" s="136">
        <f>LET(_xlpm.r,Productos!$E$2:$E$653,_xlpm.m,IFERROR(_xlfn.XMATCH(C192,_xlpm.r),IFERROR(_xlfn.XMATCH(VALUE(C192),_xlpm.r),0)),IF(_xlpm.m=0,"",_xlpm.m+1))</f>
        <v/>
      </c>
      <c r="J192" s="137" t="inlineStr">
        <is>
          <t>NetSuite</t>
        </is>
      </c>
    </row>
    <row r="193">
      <c r="A193" s="5" t="inlineStr">
        <is>
          <t>MUESTRAS REFLO</t>
        </is>
      </c>
      <c r="B193" s="5">
        <f>IF($I2="","",INDEX(Productos!$A:$A,$I2))</f>
        <v/>
      </c>
      <c r="C193" s="134" t="inlineStr">
        <is>
          <t>RM24407050-M</t>
        </is>
      </c>
      <c r="D193" s="5">
        <f>IF($I2="","",INDEX(Productos!$B:$B,$I2))</f>
        <v/>
      </c>
      <c r="E193" s="5">
        <f>IF($I2="","",INDEX(Productos!$H:$H,$I2))</f>
        <v/>
      </c>
      <c r="F193" s="5">
        <f>IF($I2="","",INDEX(Productos!$I:$I,$I2))</f>
        <v/>
      </c>
      <c r="G193" s="135" t="n">
        <v>1</v>
      </c>
      <c r="H193" s="5">
        <f>IF($I2="","",INDEX(Productos!$AG:$AG,$I2))</f>
        <v/>
      </c>
      <c r="I193" s="136">
        <f>LET(_xlpm.r,Productos!$E$2:$E$653,_xlpm.m,IFERROR(_xlfn.XMATCH(C193,_xlpm.r),IFERROR(_xlfn.XMATCH(VALUE(C193),_xlpm.r),0)),IF(_xlpm.m=0,"",_xlpm.m+1))</f>
        <v/>
      </c>
      <c r="J193" s="137" t="inlineStr">
        <is>
          <t>NetSuite</t>
        </is>
      </c>
    </row>
    <row r="194">
      <c r="A194" s="5" t="inlineStr">
        <is>
          <t>MUESTRAS REFLO</t>
        </is>
      </c>
      <c r="B194" s="5">
        <f>IF($I2="","",INDEX(Productos!$A:$A,$I2))</f>
        <v/>
      </c>
      <c r="C194" s="134" t="inlineStr">
        <is>
          <t>RM24408051-L</t>
        </is>
      </c>
      <c r="D194" s="5">
        <f>IF($I2="","",INDEX(Productos!$B:$B,$I2))</f>
        <v/>
      </c>
      <c r="E194" s="5">
        <f>IF($I2="","",INDEX(Productos!$H:$H,$I2))</f>
        <v/>
      </c>
      <c r="F194" s="5">
        <f>IF($I2="","",INDEX(Productos!$I:$I,$I2))</f>
        <v/>
      </c>
      <c r="G194" s="135" t="n">
        <v>1</v>
      </c>
      <c r="H194" s="5">
        <f>IF($I2="","",INDEX(Productos!$AG:$AG,$I2))</f>
        <v/>
      </c>
      <c r="I194" s="136">
        <f>LET(_xlpm.r,Productos!$E$2:$E$653,_xlpm.m,IFERROR(_xlfn.XMATCH(C194,_xlpm.r),IFERROR(_xlfn.XMATCH(VALUE(C194),_xlpm.r),0)),IF(_xlpm.m=0,"",_xlpm.m+1))</f>
        <v/>
      </c>
      <c r="J194" s="137" t="inlineStr">
        <is>
          <t>NetSuite</t>
        </is>
      </c>
    </row>
    <row r="195">
      <c r="A195" s="5" t="inlineStr">
        <is>
          <t>MUESTRAS REFLO</t>
        </is>
      </c>
      <c r="B195" s="5">
        <f>IF($I2="","",INDEX(Productos!$A:$A,$I2))</f>
        <v/>
      </c>
      <c r="C195" s="134" t="inlineStr">
        <is>
          <t>RM24408051-M</t>
        </is>
      </c>
      <c r="D195" s="5">
        <f>IF($I2="","",INDEX(Productos!$B:$B,$I2))</f>
        <v/>
      </c>
      <c r="E195" s="5">
        <f>IF($I2="","",INDEX(Productos!$H:$H,$I2))</f>
        <v/>
      </c>
      <c r="F195" s="5">
        <f>IF($I2="","",INDEX(Productos!$I:$I,$I2))</f>
        <v/>
      </c>
      <c r="G195" s="135" t="n">
        <v>1</v>
      </c>
      <c r="H195" s="5">
        <f>IF($I2="","",INDEX(Productos!$AG:$AG,$I2))</f>
        <v/>
      </c>
      <c r="I195" s="136">
        <f>LET(_xlpm.r,Productos!$E$2:$E$653,_xlpm.m,IFERROR(_xlfn.XMATCH(C195,_xlpm.r),IFERROR(_xlfn.XMATCH(VALUE(C195),_xlpm.r),0)),IF(_xlpm.m=0,"",_xlpm.m+1))</f>
        <v/>
      </c>
      <c r="J195" s="137" t="inlineStr">
        <is>
          <t>NetSuite</t>
        </is>
      </c>
    </row>
    <row r="196">
      <c r="A196" s="5" t="inlineStr">
        <is>
          <t>MUESTRAS REFLO</t>
        </is>
      </c>
      <c r="B196" s="5">
        <f>IF($I2="","",INDEX(Productos!$A:$A,$I2))</f>
        <v/>
      </c>
      <c r="C196" s="134" t="inlineStr">
        <is>
          <t>RU20805010-OS</t>
        </is>
      </c>
      <c r="D196" s="5">
        <f>IF($I2="","",INDEX(Productos!$B:$B,$I2))</f>
        <v/>
      </c>
      <c r="E196" s="5">
        <f>IF($I2="","",INDEX(Productos!$H:$H,$I2))</f>
        <v/>
      </c>
      <c r="F196" s="5">
        <f>IF($I2="","",INDEX(Productos!$I:$I,$I2))</f>
        <v/>
      </c>
      <c r="G196" s="135" t="n">
        <v>2</v>
      </c>
      <c r="H196" s="5">
        <f>IF($I2="","",INDEX(Productos!$AG:$AG,$I2))</f>
        <v/>
      </c>
      <c r="I196" s="136">
        <f>LET(_xlpm.r,Productos!$E$2:$E$653,_xlpm.m,IFERROR(_xlfn.XMATCH(C196,_xlpm.r),IFERROR(_xlfn.XMATCH(VALUE(C196),_xlpm.r),0)),IF(_xlpm.m=0,"",_xlpm.m+1))</f>
        <v/>
      </c>
      <c r="J196" s="137" t="inlineStr">
        <is>
          <t>NetSuite</t>
        </is>
      </c>
    </row>
    <row r="197">
      <c r="A197" s="5" t="inlineStr">
        <is>
          <t>MUESTRAS REFLO</t>
        </is>
      </c>
      <c r="B197" s="5">
        <f>IF($I2="","",INDEX(Productos!$A:$A,$I2))</f>
        <v/>
      </c>
      <c r="C197" s="134" t="inlineStr">
        <is>
          <t>RU20807003-OS</t>
        </is>
      </c>
      <c r="D197" s="5">
        <f>IF($I2="","",INDEX(Productos!$B:$B,$I2))</f>
        <v/>
      </c>
      <c r="E197" s="5">
        <f>IF($I2="","",INDEX(Productos!$H:$H,$I2))</f>
        <v/>
      </c>
      <c r="F197" s="5">
        <f>IF($I2="","",INDEX(Productos!$I:$I,$I2))</f>
        <v/>
      </c>
      <c r="G197" s="135" t="n">
        <v>1</v>
      </c>
      <c r="H197" s="5">
        <f>IF($I2="","",INDEX(Productos!$AG:$AG,$I2))</f>
        <v/>
      </c>
      <c r="I197" s="136">
        <f>LET(_xlpm.r,Productos!$E$2:$E$653,_xlpm.m,IFERROR(_xlfn.XMATCH(C197,_xlpm.r),IFERROR(_xlfn.XMATCH(VALUE(C197),_xlpm.r),0)),IF(_xlpm.m=0,"",_xlpm.m+1))</f>
        <v/>
      </c>
      <c r="J197" s="137" t="inlineStr">
        <is>
          <t>NetSuite</t>
        </is>
      </c>
    </row>
    <row r="198">
      <c r="A198" s="5" t="inlineStr">
        <is>
          <t>MUESTRAS REFLO</t>
        </is>
      </c>
      <c r="B198" s="5">
        <f>IF($I2="","",INDEX(Productos!$A:$A,$I2))</f>
        <v/>
      </c>
      <c r="C198" s="134" t="inlineStr">
        <is>
          <t>RU20811032-OS</t>
        </is>
      </c>
      <c r="D198" s="5">
        <f>IF($I2="","",INDEX(Productos!$B:$B,$I2))</f>
        <v/>
      </c>
      <c r="E198" s="5">
        <f>IF($I2="","",INDEX(Productos!$H:$H,$I2))</f>
        <v/>
      </c>
      <c r="F198" s="5">
        <f>IF($I2="","",INDEX(Productos!$I:$I,$I2))</f>
        <v/>
      </c>
      <c r="G198" s="135" t="n">
        <v>2</v>
      </c>
      <c r="H198" s="5">
        <f>IF($I2="","",INDEX(Productos!$AG:$AG,$I2))</f>
        <v/>
      </c>
      <c r="I198" s="136">
        <f>LET(_xlpm.r,Productos!$E$2:$E$653,_xlpm.m,IFERROR(_xlfn.XMATCH(C198,_xlpm.r),IFERROR(_xlfn.XMATCH(VALUE(C198),_xlpm.r),0)),IF(_xlpm.m=0,"",_xlpm.m+1))</f>
        <v/>
      </c>
      <c r="J198" s="137" t="inlineStr">
        <is>
          <t>NetSuite</t>
        </is>
      </c>
    </row>
    <row r="199">
      <c r="A199" s="5" t="inlineStr">
        <is>
          <t>MUESTRAS REFLO</t>
        </is>
      </c>
      <c r="B199" s="5">
        <f>IF($I2="","",INDEX(Productos!$A:$A,$I2))</f>
        <v/>
      </c>
      <c r="C199" s="134" t="inlineStr">
        <is>
          <t>RU20813010-OS</t>
        </is>
      </c>
      <c r="D199" s="5">
        <f>IF($I2="","",INDEX(Productos!$B:$B,$I2))</f>
        <v/>
      </c>
      <c r="E199" s="5">
        <f>IF($I2="","",INDEX(Productos!$H:$H,$I2))</f>
        <v/>
      </c>
      <c r="F199" s="5">
        <f>IF($I2="","",INDEX(Productos!$I:$I,$I2))</f>
        <v/>
      </c>
      <c r="G199" s="135" t="n">
        <v>1</v>
      </c>
      <c r="H199" s="5">
        <f>IF($I2="","",INDEX(Productos!$AG:$AG,$I2))</f>
        <v/>
      </c>
      <c r="I199" s="136">
        <f>LET(_xlpm.r,Productos!$E$2:$E$653,_xlpm.m,IFERROR(_xlfn.XMATCH(C199,_xlpm.r),IFERROR(_xlfn.XMATCH(VALUE(C199),_xlpm.r),0)),IF(_xlpm.m=0,"",_xlpm.m+1))</f>
        <v/>
      </c>
      <c r="J199" s="137" t="inlineStr">
        <is>
          <t>NetSuite</t>
        </is>
      </c>
    </row>
    <row r="200">
      <c r="A200" s="5" t="inlineStr">
        <is>
          <t>MUESTRAS REFLO</t>
        </is>
      </c>
      <c r="B200" s="5">
        <f>IF($I2="","",INDEX(Productos!$A:$A,$I2))</f>
        <v/>
      </c>
      <c r="C200" s="134" t="inlineStr">
        <is>
          <t>RU20816003-OS</t>
        </is>
      </c>
      <c r="D200" s="5">
        <f>IF($I2="","",INDEX(Productos!$B:$B,$I2))</f>
        <v/>
      </c>
      <c r="E200" s="5">
        <f>IF($I2="","",INDEX(Productos!$H:$H,$I2))</f>
        <v/>
      </c>
      <c r="F200" s="5">
        <f>IF($I2="","",INDEX(Productos!$I:$I,$I2))</f>
        <v/>
      </c>
      <c r="G200" s="135" t="n">
        <v>1</v>
      </c>
      <c r="H200" s="5">
        <f>IF($I2="","",INDEX(Productos!$AG:$AG,$I2))</f>
        <v/>
      </c>
      <c r="I200" s="136">
        <f>LET(_xlpm.r,Productos!$E$2:$E$653,_xlpm.m,IFERROR(_xlfn.XMATCH(C200,_xlpm.r),IFERROR(_xlfn.XMATCH(VALUE(C200),_xlpm.r),0)),IF(_xlpm.m=0,"",_xlpm.m+1))</f>
        <v/>
      </c>
      <c r="J200" s="137" t="inlineStr">
        <is>
          <t>NetSuite</t>
        </is>
      </c>
    </row>
    <row r="201">
      <c r="A201" s="5" t="inlineStr">
        <is>
          <t>MUESTRAS REFLO</t>
        </is>
      </c>
      <c r="B201" s="5">
        <f>IF($I2="","",INDEX(Productos!$A:$A,$I2))</f>
        <v/>
      </c>
      <c r="C201" s="134" t="inlineStr">
        <is>
          <t>RU20819030-OS</t>
        </is>
      </c>
      <c r="D201" s="5">
        <f>IF($I2="","",INDEX(Productos!$B:$B,$I2))</f>
        <v/>
      </c>
      <c r="E201" s="5">
        <f>IF($I2="","",INDEX(Productos!$H:$H,$I2))</f>
        <v/>
      </c>
      <c r="F201" s="5">
        <f>IF($I2="","",INDEX(Productos!$I:$I,$I2))</f>
        <v/>
      </c>
      <c r="G201" s="135" t="n">
        <v>2</v>
      </c>
      <c r="H201" s="5">
        <f>IF($I2="","",INDEX(Productos!$AG:$AG,$I2))</f>
        <v/>
      </c>
      <c r="I201" s="136">
        <f>LET(_xlpm.r,Productos!$E$2:$E$653,_xlpm.m,IFERROR(_xlfn.XMATCH(C201,_xlpm.r),IFERROR(_xlfn.XMATCH(VALUE(C201),_xlpm.r),0)),IF(_xlpm.m=0,"",_xlpm.m+1))</f>
        <v/>
      </c>
      <c r="J201" s="137" t="inlineStr">
        <is>
          <t>NetSuite</t>
        </is>
      </c>
    </row>
    <row r="202">
      <c r="A202" s="5" t="inlineStr">
        <is>
          <t>MUESTRAS REFLO</t>
        </is>
      </c>
      <c r="B202" s="5">
        <f>IF($I2="","",INDEX(Productos!$A:$A,$I2))</f>
        <v/>
      </c>
      <c r="C202" s="134" t="inlineStr">
        <is>
          <t>RU20822030-OS</t>
        </is>
      </c>
      <c r="D202" s="5">
        <f>IF($I2="","",INDEX(Productos!$B:$B,$I2))</f>
        <v/>
      </c>
      <c r="E202" s="5">
        <f>IF($I2="","",INDEX(Productos!$H:$H,$I2))</f>
        <v/>
      </c>
      <c r="F202" s="5">
        <f>IF($I2="","",INDEX(Productos!$I:$I,$I2))</f>
        <v/>
      </c>
      <c r="G202" s="135" t="n">
        <v>1</v>
      </c>
      <c r="H202" s="5">
        <f>IF($I2="","",INDEX(Productos!$AG:$AG,$I2))</f>
        <v/>
      </c>
      <c r="I202" s="136">
        <f>LET(_xlpm.r,Productos!$E$2:$E$653,_xlpm.m,IFERROR(_xlfn.XMATCH(C202,_xlpm.r),IFERROR(_xlfn.XMATCH(VALUE(C202),_xlpm.r),0)),IF(_xlpm.m=0,"",_xlpm.m+1))</f>
        <v/>
      </c>
      <c r="J202" s="137" t="inlineStr">
        <is>
          <t>NetSuite</t>
        </is>
      </c>
    </row>
    <row r="203">
      <c r="A203" s="5" t="inlineStr">
        <is>
          <t>MUESTRAS REFLO</t>
        </is>
      </c>
      <c r="B203" s="5">
        <f>IF($I2="","",INDEX(Productos!$A:$A,$I2))</f>
        <v/>
      </c>
      <c r="C203" s="134" t="inlineStr">
        <is>
          <t>SARGBLA-L</t>
        </is>
      </c>
      <c r="D203" s="5">
        <f>IF($I2="","",INDEX(Productos!$B:$B,$I2))</f>
        <v/>
      </c>
      <c r="E203" s="5">
        <f>IF($I2="","",INDEX(Productos!$H:$H,$I2))</f>
        <v/>
      </c>
      <c r="F203" s="5">
        <f>IF($I2="","",INDEX(Productos!$I:$I,$I2))</f>
        <v/>
      </c>
      <c r="G203" s="135" t="n">
        <v>1</v>
      </c>
      <c r="H203" s="5">
        <f>IF($I2="","",INDEX(Productos!$AG:$AG,$I2))</f>
        <v/>
      </c>
      <c r="I203" s="136">
        <f>LET(_xlpm.r,Productos!$E$2:$E$653,_xlpm.m,IFERROR(_xlfn.XMATCH(C203,_xlpm.r),IFERROR(_xlfn.XMATCH(VALUE(C203),_xlpm.r),0)),IF(_xlpm.m=0,"",_xlpm.m+1))</f>
        <v/>
      </c>
      <c r="J203" s="137" t="inlineStr">
        <is>
          <t>NetSuite</t>
        </is>
      </c>
    </row>
    <row r="204">
      <c r="A204" s="5" t="inlineStr">
        <is>
          <t>MUESTRAS REFLO</t>
        </is>
      </c>
      <c r="B204" s="5">
        <f>IF($I2="","",INDEX(Productos!$A:$A,$I2))</f>
        <v/>
      </c>
      <c r="C204" s="134" t="inlineStr">
        <is>
          <t>SARGCLO-L</t>
        </is>
      </c>
      <c r="D204" s="5">
        <f>IF($I2="","",INDEX(Productos!$B:$B,$I2))</f>
        <v/>
      </c>
      <c r="E204" s="5">
        <f>IF($I2="","",INDEX(Productos!$H:$H,$I2))</f>
        <v/>
      </c>
      <c r="F204" s="5">
        <f>IF($I2="","",INDEX(Productos!$I:$I,$I2))</f>
        <v/>
      </c>
      <c r="G204" s="135" t="n">
        <v>1</v>
      </c>
      <c r="H204" s="5">
        <f>IF($I2="","",INDEX(Productos!$AG:$AG,$I2))</f>
        <v/>
      </c>
      <c r="I204" s="136">
        <f>LET(_xlpm.r,Productos!$E$2:$E$653,_xlpm.m,IFERROR(_xlfn.XMATCH(C204,_xlpm.r),IFERROR(_xlfn.XMATCH(VALUE(C204),_xlpm.r),0)),IF(_xlpm.m=0,"",_xlpm.m+1))</f>
        <v/>
      </c>
      <c r="J204" s="137" t="inlineStr">
        <is>
          <t>NetSuite</t>
        </is>
      </c>
    </row>
    <row r="205">
      <c r="A205" s="5" t="inlineStr">
        <is>
          <t>MUESTRAS REFLO</t>
        </is>
      </c>
      <c r="B205" s="5">
        <f>IF($I2="","",INDEX(Productos!$A:$A,$I2))</f>
        <v/>
      </c>
      <c r="C205" s="134" t="inlineStr">
        <is>
          <t>SARGFRE-L</t>
        </is>
      </c>
      <c r="D205" s="5">
        <f>IF($I2="","",INDEX(Productos!$B:$B,$I2))</f>
        <v/>
      </c>
      <c r="E205" s="5">
        <f>IF($I2="","",INDEX(Productos!$H:$H,$I2))</f>
        <v/>
      </c>
      <c r="F205" s="5">
        <f>IF($I2="","",INDEX(Productos!$I:$I,$I2))</f>
        <v/>
      </c>
      <c r="G205" s="135" t="n">
        <v>1</v>
      </c>
      <c r="H205" s="5">
        <f>IF($I2="","",INDEX(Productos!$AG:$AG,$I2))</f>
        <v/>
      </c>
      <c r="I205" s="136">
        <f>LET(_xlpm.r,Productos!$E$2:$E$653,_xlpm.m,IFERROR(_xlfn.XMATCH(C205,_xlpm.r),IFERROR(_xlfn.XMATCH(VALUE(C205),_xlpm.r),0)),IF(_xlpm.m=0,"",_xlpm.m+1))</f>
        <v/>
      </c>
      <c r="J205" s="137" t="inlineStr">
        <is>
          <t>NetSuite</t>
        </is>
      </c>
    </row>
    <row r="206">
      <c r="A206" s="5" t="inlineStr">
        <is>
          <t>MUESTRAS REFLO</t>
        </is>
      </c>
      <c r="B206" s="5">
        <f>IF($I2="","",INDEX(Productos!$A:$A,$I2))</f>
        <v/>
      </c>
      <c r="C206" s="134" t="inlineStr">
        <is>
          <t>SULUBLA-M</t>
        </is>
      </c>
      <c r="D206" s="5">
        <f>IF($I2="","",INDEX(Productos!$B:$B,$I2))</f>
        <v/>
      </c>
      <c r="E206" s="5">
        <f>IF($I2="","",INDEX(Productos!$H:$H,$I2))</f>
        <v/>
      </c>
      <c r="F206" s="5">
        <f>IF($I2="","",INDEX(Productos!$I:$I,$I2))</f>
        <v/>
      </c>
      <c r="G206" s="135" t="n">
        <v>1</v>
      </c>
      <c r="H206" s="5">
        <f>IF($I2="","",INDEX(Productos!$AG:$AG,$I2))</f>
        <v/>
      </c>
      <c r="I206" s="136">
        <f>LET(_xlpm.r,Productos!$E$2:$E$653,_xlpm.m,IFERROR(_xlfn.XMATCH(C206,_xlpm.r),IFERROR(_xlfn.XMATCH(VALUE(C206),_xlpm.r),0)),IF(_xlpm.m=0,"",_xlpm.m+1))</f>
        <v/>
      </c>
      <c r="J206" s="137" t="inlineStr">
        <is>
          <t>NetSuite</t>
        </is>
      </c>
    </row>
    <row r="207">
      <c r="A207" s="5" t="inlineStr">
        <is>
          <t>MUESTRAS REFLO</t>
        </is>
      </c>
      <c r="B207" s="5">
        <f>IF($I2="","",INDEX(Productos!$A:$A,$I2))</f>
        <v/>
      </c>
      <c r="C207" s="134" t="inlineStr">
        <is>
          <t>SULUCLO-M</t>
        </is>
      </c>
      <c r="D207" s="5">
        <f>IF($I2="","",INDEX(Productos!$B:$B,$I2))</f>
        <v/>
      </c>
      <c r="E207" s="5">
        <f>IF($I2="","",INDEX(Productos!$H:$H,$I2))</f>
        <v/>
      </c>
      <c r="F207" s="5">
        <f>IF($I2="","",INDEX(Productos!$I:$I,$I2))</f>
        <v/>
      </c>
      <c r="G207" s="135" t="n">
        <v>1</v>
      </c>
      <c r="H207" s="5">
        <f>IF($I2="","",INDEX(Productos!$AG:$AG,$I2))</f>
        <v/>
      </c>
      <c r="I207" s="136">
        <f>LET(_xlpm.r,Productos!$E$2:$E$653,_xlpm.m,IFERROR(_xlfn.XMATCH(C207,_xlpm.r),IFERROR(_xlfn.XMATCH(VALUE(C207),_xlpm.r),0)),IF(_xlpm.m=0,"",_xlpm.m+1))</f>
        <v/>
      </c>
      <c r="J207" s="137" t="inlineStr">
        <is>
          <t>NetSuite</t>
        </is>
      </c>
    </row>
    <row r="208">
      <c r="A208" s="5" t="inlineStr">
        <is>
          <t>MUESTRAS REFLO</t>
        </is>
      </c>
      <c r="B208" s="5">
        <f>IF($I2="","",INDEX(Productos!$A:$A,$I2))</f>
        <v/>
      </c>
      <c r="C208" s="134" t="inlineStr">
        <is>
          <t>SULUGRE-M</t>
        </is>
      </c>
      <c r="D208" s="5">
        <f>IF($I2="","",INDEX(Productos!$B:$B,$I2))</f>
        <v/>
      </c>
      <c r="E208" s="5">
        <f>IF($I2="","",INDEX(Productos!$H:$H,$I2))</f>
        <v/>
      </c>
      <c r="F208" s="5">
        <f>IF($I2="","",INDEX(Productos!$I:$I,$I2))</f>
        <v/>
      </c>
      <c r="G208" s="135" t="n">
        <v>1</v>
      </c>
      <c r="H208" s="5">
        <f>IF($I2="","",INDEX(Productos!$AG:$AG,$I2))</f>
        <v/>
      </c>
      <c r="I208" s="136">
        <f>LET(_xlpm.r,Productos!$E$2:$E$653,_xlpm.m,IFERROR(_xlfn.XMATCH(C208,_xlpm.r),IFERROR(_xlfn.XMATCH(VALUE(C208),_xlpm.r),0)),IF(_xlpm.m=0,"",_xlpm.m+1))</f>
        <v/>
      </c>
      <c r="J208" s="137" t="inlineStr">
        <is>
          <t>NetSuite</t>
        </is>
      </c>
    </row>
    <row r="209">
      <c r="A209" s="5" t="inlineStr">
        <is>
          <t>MUESTRAS REFLO</t>
        </is>
      </c>
      <c r="B209" s="5">
        <f>IF($I2="","",INDEX(Productos!$A:$A,$I2))</f>
        <v/>
      </c>
      <c r="C209" s="134" t="inlineStr">
        <is>
          <t>SULUYEL-M</t>
        </is>
      </c>
      <c r="D209" s="5">
        <f>IF($I2="","",INDEX(Productos!$B:$B,$I2))</f>
        <v/>
      </c>
      <c r="E209" s="5">
        <f>IF($I2="","",INDEX(Productos!$H:$H,$I2))</f>
        <v/>
      </c>
      <c r="F209" s="5">
        <f>IF($I2="","",INDEX(Productos!$I:$I,$I2))</f>
        <v/>
      </c>
      <c r="G209" s="135" t="n">
        <v>1</v>
      </c>
      <c r="H209" s="5">
        <f>IF($I2="","",INDEX(Productos!$AG:$AG,$I2))</f>
        <v/>
      </c>
      <c r="I209" s="136">
        <f>LET(_xlpm.r,Productos!$E$2:$E$653,_xlpm.m,IFERROR(_xlfn.XMATCH(C209,_xlpm.r),IFERROR(_xlfn.XMATCH(VALUE(C209),_xlpm.r),0)),IF(_xlpm.m=0,"",_xlpm.m+1))</f>
        <v/>
      </c>
      <c r="J209" s="137" t="inlineStr">
        <is>
          <t>NetSuite</t>
        </is>
      </c>
    </row>
    <row r="210">
      <c r="A210" s="5" t="inlineStr">
        <is>
          <t>MUESTRAS REFLO</t>
        </is>
      </c>
      <c r="B210" s="5">
        <f>IF($I2="","",INDEX(Productos!$A:$A,$I2))</f>
        <v/>
      </c>
      <c r="C210" s="134" t="inlineStr">
        <is>
          <t>TAGCAV-L</t>
        </is>
      </c>
      <c r="D210" s="5">
        <f>IF($I2="","",INDEX(Productos!$B:$B,$I2))</f>
        <v/>
      </c>
      <c r="E210" s="5">
        <f>IF($I2="","",INDEX(Productos!$H:$H,$I2))</f>
        <v/>
      </c>
      <c r="F210" s="5">
        <f>IF($I2="","",INDEX(Productos!$I:$I,$I2))</f>
        <v/>
      </c>
      <c r="G210" s="135" t="n">
        <v>1</v>
      </c>
      <c r="H210" s="5">
        <f>IF($I2="","",INDEX(Productos!$AG:$AG,$I2))</f>
        <v/>
      </c>
      <c r="I210" s="136">
        <f>LET(_xlpm.r,Productos!$E$2:$E$653,_xlpm.m,IFERROR(_xlfn.XMATCH(C210,_xlpm.r),IFERROR(_xlfn.XMATCH(VALUE(C210),_xlpm.r),0)),IF(_xlpm.m=0,"",_xlpm.m+1))</f>
        <v/>
      </c>
      <c r="J210" s="137" t="inlineStr">
        <is>
          <t>NetSuite</t>
        </is>
      </c>
    </row>
    <row r="211">
      <c r="A211" s="5" t="inlineStr">
        <is>
          <t>MUESTRAS REFLO</t>
        </is>
      </c>
      <c r="B211" s="5">
        <f>IF($I2="","",INDEX(Productos!$A:$A,$I2))</f>
        <v/>
      </c>
      <c r="C211" s="134" t="inlineStr">
        <is>
          <t>TAGCOR-L</t>
        </is>
      </c>
      <c r="D211" s="5">
        <f>IF($I2="","",INDEX(Productos!$B:$B,$I2))</f>
        <v/>
      </c>
      <c r="E211" s="5">
        <f>IF($I2="","",INDEX(Productos!$H:$H,$I2))</f>
        <v/>
      </c>
      <c r="F211" s="5">
        <f>IF($I2="","",INDEX(Productos!$I:$I,$I2))</f>
        <v/>
      </c>
      <c r="G211" s="135" t="n">
        <v>1</v>
      </c>
      <c r="H211" s="5">
        <f>IF($I2="","",INDEX(Productos!$AG:$AG,$I2))</f>
        <v/>
      </c>
      <c r="I211" s="136">
        <f>LET(_xlpm.r,Productos!$E$2:$E$653,_xlpm.m,IFERROR(_xlfn.XMATCH(C211,_xlpm.r),IFERROR(_xlfn.XMATCH(VALUE(C211),_xlpm.r),0)),IF(_xlpm.m=0,"",_xlpm.m+1))</f>
        <v/>
      </c>
      <c r="J211" s="137" t="inlineStr">
        <is>
          <t>NetSuite</t>
        </is>
      </c>
    </row>
    <row r="212">
      <c r="A212" s="5" t="inlineStr">
        <is>
          <t>MUESTRAS REFLO</t>
        </is>
      </c>
      <c r="B212" s="5">
        <f>IF($I2="","",INDEX(Productos!$A:$A,$I2))</f>
        <v/>
      </c>
      <c r="C212" s="134" t="inlineStr">
        <is>
          <t>TAGDAR-L</t>
        </is>
      </c>
      <c r="D212" s="5">
        <f>IF($I2="","",INDEX(Productos!$B:$B,$I2))</f>
        <v/>
      </c>
      <c r="E212" s="5">
        <f>IF($I2="","",INDEX(Productos!$H:$H,$I2))</f>
        <v/>
      </c>
      <c r="F212" s="5">
        <f>IF($I2="","",INDEX(Productos!$I:$I,$I2))</f>
        <v/>
      </c>
      <c r="G212" s="135" t="n">
        <v>1</v>
      </c>
      <c r="H212" s="5">
        <f>IF($I2="","",INDEX(Productos!$AG:$AG,$I2))</f>
        <v/>
      </c>
      <c r="I212" s="136">
        <f>LET(_xlpm.r,Productos!$E$2:$E$653,_xlpm.m,IFERROR(_xlfn.XMATCH(C212,_xlpm.r),IFERROR(_xlfn.XMATCH(VALUE(C212),_xlpm.r),0)),IF(_xlpm.m=0,"",_xlpm.m+1))</f>
        <v/>
      </c>
      <c r="J212" s="137" t="inlineStr">
        <is>
          <t>NetSuite</t>
        </is>
      </c>
    </row>
    <row r="213">
      <c r="A213" s="5" t="inlineStr">
        <is>
          <t>MUESTRAS REFLO</t>
        </is>
      </c>
      <c r="B213" s="5">
        <f>IF($I2="","",INDEX(Productos!$A:$A,$I2))</f>
        <v/>
      </c>
      <c r="C213" s="134" t="inlineStr">
        <is>
          <t>TOBCAV-L</t>
        </is>
      </c>
      <c r="D213" s="5">
        <f>IF($I2="","",INDEX(Productos!$B:$B,$I2))</f>
        <v/>
      </c>
      <c r="E213" s="5">
        <f>IF($I2="","",INDEX(Productos!$H:$H,$I2))</f>
        <v/>
      </c>
      <c r="F213" s="5">
        <f>IF($I2="","",INDEX(Productos!$I:$I,$I2))</f>
        <v/>
      </c>
      <c r="G213" s="135" t="n">
        <v>1</v>
      </c>
      <c r="H213" s="5">
        <f>IF($I2="","",INDEX(Productos!$AG:$AG,$I2))</f>
        <v/>
      </c>
      <c r="I213" s="136">
        <f>LET(_xlpm.r,Productos!$E$2:$E$653,_xlpm.m,IFERROR(_xlfn.XMATCH(C213,_xlpm.r),IFERROR(_xlfn.XMATCH(VALUE(C213),_xlpm.r),0)),IF(_xlpm.m=0,"",_xlpm.m+1))</f>
        <v/>
      </c>
      <c r="J213" s="137" t="inlineStr">
        <is>
          <t>NetSuite</t>
        </is>
      </c>
    </row>
    <row r="214">
      <c r="A214" s="5" t="inlineStr">
        <is>
          <t>MUESTRAS REFLO</t>
        </is>
      </c>
      <c r="B214" s="5">
        <f>IF($I2="","",INDEX(Productos!$A:$A,$I2))</f>
        <v/>
      </c>
      <c r="C214" s="134" t="inlineStr">
        <is>
          <t>TOBCOR-L</t>
        </is>
      </c>
      <c r="D214" s="5">
        <f>IF($I2="","",INDEX(Productos!$B:$B,$I2))</f>
        <v/>
      </c>
      <c r="E214" s="5">
        <f>IF($I2="","",INDEX(Productos!$H:$H,$I2))</f>
        <v/>
      </c>
      <c r="F214" s="5">
        <f>IF($I2="","",INDEX(Productos!$I:$I,$I2))</f>
        <v/>
      </c>
      <c r="G214" s="135" t="n">
        <v>1</v>
      </c>
      <c r="H214" s="5">
        <f>IF($I2="","",INDEX(Productos!$AG:$AG,$I2))</f>
        <v/>
      </c>
      <c r="I214" s="136">
        <f>LET(_xlpm.r,Productos!$E$2:$E$653,_xlpm.m,IFERROR(_xlfn.XMATCH(C214,_xlpm.r),IFERROR(_xlfn.XMATCH(VALUE(C214),_xlpm.r),0)),IF(_xlpm.m=0,"",_xlpm.m+1))</f>
        <v/>
      </c>
      <c r="J214" s="137" t="inlineStr">
        <is>
          <t>NetSuite</t>
        </is>
      </c>
    </row>
    <row r="215">
      <c r="A215" s="5" t="inlineStr">
        <is>
          <t>MUESTRAS REFLO</t>
        </is>
      </c>
      <c r="B215" s="5">
        <f>IF($I2="","",INDEX(Productos!$A:$A,$I2))</f>
        <v/>
      </c>
      <c r="C215" s="134" t="inlineStr">
        <is>
          <t>TOBCOR-M</t>
        </is>
      </c>
      <c r="D215" s="5">
        <f>IF($I2="","",INDEX(Productos!$B:$B,$I2))</f>
        <v/>
      </c>
      <c r="E215" s="5">
        <f>IF($I2="","",INDEX(Productos!$H:$H,$I2))</f>
        <v/>
      </c>
      <c r="F215" s="5">
        <f>IF($I2="","",INDEX(Productos!$I:$I,$I2))</f>
        <v/>
      </c>
      <c r="G215" s="135" t="n">
        <v>1</v>
      </c>
      <c r="H215" s="5">
        <f>IF($I2="","",INDEX(Productos!$AG:$AG,$I2))</f>
        <v/>
      </c>
      <c r="I215" s="136">
        <f>LET(_xlpm.r,Productos!$E$2:$E$653,_xlpm.m,IFERROR(_xlfn.XMATCH(C215,_xlpm.r),IFERROR(_xlfn.XMATCH(VALUE(C215),_xlpm.r),0)),IF(_xlpm.m=0,"",_xlpm.m+1))</f>
        <v/>
      </c>
      <c r="J215" s="137" t="inlineStr">
        <is>
          <t>NetSuite</t>
        </is>
      </c>
    </row>
    <row r="216">
      <c r="A216" s="5" t="inlineStr">
        <is>
          <t>MUESTRAS REFLO</t>
        </is>
      </c>
      <c r="B216" s="5">
        <f>IF($I2="","",INDEX(Productos!$A:$A,$I2))</f>
        <v/>
      </c>
      <c r="C216" s="134" t="inlineStr">
        <is>
          <t>TOBTAN-L</t>
        </is>
      </c>
      <c r="D216" s="5">
        <f>IF($I2="","",INDEX(Productos!$B:$B,$I2))</f>
        <v/>
      </c>
      <c r="E216" s="5">
        <f>IF($I2="","",INDEX(Productos!$H:$H,$I2))</f>
        <v/>
      </c>
      <c r="F216" s="5">
        <f>IF($I2="","",INDEX(Productos!$I:$I,$I2))</f>
        <v/>
      </c>
      <c r="G216" s="135" t="n">
        <v>1</v>
      </c>
      <c r="H216" s="5">
        <f>IF($I2="","",INDEX(Productos!$AG:$AG,$I2))</f>
        <v/>
      </c>
      <c r="I216" s="136">
        <f>LET(_xlpm.r,Productos!$E$2:$E$653,_xlpm.m,IFERROR(_xlfn.XMATCH(C216,_xlpm.r),IFERROR(_xlfn.XMATCH(VALUE(C216),_xlpm.r),0)),IF(_xlpm.m=0,"",_xlpm.m+1))</f>
        <v/>
      </c>
      <c r="J216" s="137" t="inlineStr">
        <is>
          <t>NetSuite</t>
        </is>
      </c>
    </row>
    <row r="217">
      <c r="A217" s="5" t="inlineStr">
        <is>
          <t>MUESTRAS REFLO</t>
        </is>
      </c>
      <c r="B217" s="5">
        <f>IF($I2="","",INDEX(Productos!$A:$A,$I2))</f>
        <v/>
      </c>
      <c r="C217" s="134" t="inlineStr">
        <is>
          <t>XR20803032-OS</t>
        </is>
      </c>
      <c r="D217" s="5">
        <f>IF($I2="","",INDEX(Productos!$B:$B,$I2))</f>
        <v/>
      </c>
      <c r="E217" s="5">
        <f>IF($I2="","",INDEX(Productos!$H:$H,$I2))</f>
        <v/>
      </c>
      <c r="F217" s="5">
        <f>IF($I2="","",INDEX(Productos!$I:$I,$I2))</f>
        <v/>
      </c>
      <c r="G217" s="135" t="n">
        <v>1</v>
      </c>
      <c r="H217" s="5">
        <f>IF($I2="","",INDEX(Productos!$AG:$AG,$I2))</f>
        <v/>
      </c>
      <c r="I217" s="136">
        <f>LET(_xlpm.r,Productos!$E$2:$E$653,_xlpm.m,IFERROR(_xlfn.XMATCH(C217,_xlpm.r),IFERROR(_xlfn.XMATCH(VALUE(C217),_xlpm.r),0)),IF(_xlpm.m=0,"",_xlpm.m+1))</f>
        <v/>
      </c>
      <c r="J217" s="137" t="inlineStr">
        <is>
          <t>NetSuite</t>
        </is>
      </c>
    </row>
    <row r="218">
      <c r="A218" s="5" t="inlineStr">
        <is>
          <t>MUESTRAS REFLO</t>
        </is>
      </c>
      <c r="B218" s="5">
        <f>IF($I2="","",INDEX(Productos!$A:$A,$I2))</f>
        <v/>
      </c>
      <c r="C218" s="134" t="inlineStr">
        <is>
          <t>XR20806010-OS</t>
        </is>
      </c>
      <c r="D218" s="5">
        <f>IF($I2="","",INDEX(Productos!$B:$B,$I2))</f>
        <v/>
      </c>
      <c r="E218" s="5">
        <f>IF($I2="","",INDEX(Productos!$H:$H,$I2))</f>
        <v/>
      </c>
      <c r="F218" s="5">
        <f>IF($I2="","",INDEX(Productos!$I:$I,$I2))</f>
        <v/>
      </c>
      <c r="G218" s="135" t="n">
        <v>1</v>
      </c>
      <c r="H218" s="5">
        <f>IF($I2="","",INDEX(Productos!$AG:$AG,$I2))</f>
        <v/>
      </c>
      <c r="I218" s="136">
        <f>LET(_xlpm.r,Productos!$E$2:$E$653,_xlpm.m,IFERROR(_xlfn.XMATCH(C218,_xlpm.r),IFERROR(_xlfn.XMATCH(VALUE(C218),_xlpm.r),0)),IF(_xlpm.m=0,"",_xlpm.m+1))</f>
        <v/>
      </c>
      <c r="J218" s="137" t="inlineStr">
        <is>
          <t>NetSuite</t>
        </is>
      </c>
    </row>
    <row r="219">
      <c r="A219" s="5" t="inlineStr">
        <is>
          <t>MUESTRAS REFLO</t>
        </is>
      </c>
      <c r="B219" s="5">
        <f>IF($I2="","",INDEX(Productos!$A:$A,$I2))</f>
        <v/>
      </c>
      <c r="C219" s="134" t="inlineStr">
        <is>
          <t>XR20809003-OS</t>
        </is>
      </c>
      <c r="D219" s="5">
        <f>IF($I2="","",INDEX(Productos!$B:$B,$I2))</f>
        <v/>
      </c>
      <c r="E219" s="5">
        <f>IF($I2="","",INDEX(Productos!$H:$H,$I2))</f>
        <v/>
      </c>
      <c r="F219" s="5">
        <f>IF($I2="","",INDEX(Productos!$I:$I,$I2))</f>
        <v/>
      </c>
      <c r="G219" s="135" t="n">
        <v>1</v>
      </c>
      <c r="H219" s="5">
        <f>IF($I2="","",INDEX(Productos!$AG:$AG,$I2))</f>
        <v/>
      </c>
      <c r="I219" s="136">
        <f>LET(_xlpm.r,Productos!$E$2:$E$653,_xlpm.m,IFERROR(_xlfn.XMATCH(C219,_xlpm.r),IFERROR(_xlfn.XMATCH(VALUE(C219),_xlpm.r),0)),IF(_xlpm.m=0,"",_xlpm.m+1))</f>
        <v/>
      </c>
      <c r="J219" s="137" t="inlineStr">
        <is>
          <t>NetSuite</t>
        </is>
      </c>
    </row>
    <row r="220">
      <c r="A220" s="5" t="inlineStr">
        <is>
          <t>MUESTRAS REFLO</t>
        </is>
      </c>
      <c r="B220" s="5">
        <f>IF($I2="","",INDEX(Productos!$A:$A,$I2))</f>
        <v/>
      </c>
      <c r="C220" s="134" t="inlineStr">
        <is>
          <t>XR20812032-OS</t>
        </is>
      </c>
      <c r="D220" s="5">
        <f>IF($I2="","",INDEX(Productos!$B:$B,$I2))</f>
        <v/>
      </c>
      <c r="E220" s="5">
        <f>IF($I2="","",INDEX(Productos!$H:$H,$I2))</f>
        <v/>
      </c>
      <c r="F220" s="5">
        <f>IF($I2="","",INDEX(Productos!$I:$I,$I2))</f>
        <v/>
      </c>
      <c r="G220" s="135" t="n">
        <v>1</v>
      </c>
      <c r="H220" s="5">
        <f>IF($I2="","",INDEX(Productos!$AG:$AG,$I2))</f>
        <v/>
      </c>
      <c r="I220" s="136">
        <f>LET(_xlpm.r,Productos!$E$2:$E$653,_xlpm.m,IFERROR(_xlfn.XMATCH(C220,_xlpm.r),IFERROR(_xlfn.XMATCH(VALUE(C220),_xlpm.r),0)),IF(_xlpm.m=0,"",_xlpm.m+1))</f>
        <v/>
      </c>
      <c r="J220" s="137" t="inlineStr">
        <is>
          <t>NetSuite</t>
        </is>
      </c>
    </row>
    <row r="221">
      <c r="A221" s="5" t="inlineStr">
        <is>
          <t>MUESTRAS REFLO</t>
        </is>
      </c>
      <c r="B221" s="5">
        <f>IF($I2="","",INDEX(Productos!$A:$A,$I2))</f>
        <v/>
      </c>
      <c r="C221" s="134" t="inlineStr">
        <is>
          <t>XR20815010-OS</t>
        </is>
      </c>
      <c r="D221" s="5">
        <f>IF($I2="","",INDEX(Productos!$B:$B,$I2))</f>
        <v/>
      </c>
      <c r="E221" s="5">
        <f>IF($I2="","",INDEX(Productos!$H:$H,$I2))</f>
        <v/>
      </c>
      <c r="F221" s="5">
        <f>IF($I2="","",INDEX(Productos!$I:$I,$I2))</f>
        <v/>
      </c>
      <c r="G221" s="135" t="n">
        <v>1</v>
      </c>
      <c r="H221" s="5">
        <f>IF($I2="","",INDEX(Productos!$AG:$AG,$I2))</f>
        <v/>
      </c>
      <c r="I221" s="136">
        <f>LET(_xlpm.r,Productos!$E$2:$E$653,_xlpm.m,IFERROR(_xlfn.XMATCH(C221,_xlpm.r),IFERROR(_xlfn.XMATCH(VALUE(C221),_xlpm.r),0)),IF(_xlpm.m=0,"",_xlpm.m+1))</f>
        <v/>
      </c>
      <c r="J221" s="137" t="inlineStr">
        <is>
          <t>NetSuite</t>
        </is>
      </c>
    </row>
    <row r="222">
      <c r="A222" s="5" t="inlineStr">
        <is>
          <t>MUESTRAS REFLO</t>
        </is>
      </c>
      <c r="B222" s="5">
        <f>IF($I2="","",INDEX(Productos!$A:$A,$I2))</f>
        <v/>
      </c>
      <c r="C222" s="134" t="inlineStr">
        <is>
          <t>XR20818003-OS</t>
        </is>
      </c>
      <c r="D222" s="5">
        <f>IF($I2="","",INDEX(Productos!$B:$B,$I2))</f>
        <v/>
      </c>
      <c r="E222" s="5">
        <f>IF($I2="","",INDEX(Productos!$H:$H,$I2))</f>
        <v/>
      </c>
      <c r="F222" s="5">
        <f>IF($I2="","",INDEX(Productos!$I:$I,$I2))</f>
        <v/>
      </c>
      <c r="G222" s="135" t="n">
        <v>1</v>
      </c>
      <c r="H222" s="5">
        <f>IF($I2="","",INDEX(Productos!$AG:$AG,$I2))</f>
        <v/>
      </c>
      <c r="I222" s="136">
        <f>LET(_xlpm.r,Productos!$E$2:$E$653,_xlpm.m,IFERROR(_xlfn.XMATCH(C222,_xlpm.r),IFERROR(_xlfn.XMATCH(VALUE(C222),_xlpm.r),0)),IF(_xlpm.m=0,"",_xlpm.m+1))</f>
        <v/>
      </c>
      <c r="J222" s="137" t="inlineStr">
        <is>
          <t>NetSuite</t>
        </is>
      </c>
    </row>
    <row r="223">
      <c r="A223" s="5" t="inlineStr">
        <is>
          <t>MUESTRAS REFLO</t>
        </is>
      </c>
      <c r="B223" s="5">
        <f>IF($I2="","",INDEX(Productos!$A:$A,$I2))</f>
        <v/>
      </c>
      <c r="C223" s="134" t="inlineStr">
        <is>
          <t>XR20823030-OS</t>
        </is>
      </c>
      <c r="D223" s="5">
        <f>IF($I2="","",INDEX(Productos!$B:$B,$I2))</f>
        <v/>
      </c>
      <c r="E223" s="5">
        <f>IF($I2="","",INDEX(Productos!$H:$H,$I2))</f>
        <v/>
      </c>
      <c r="F223" s="5">
        <f>IF($I2="","",INDEX(Productos!$I:$I,$I2))</f>
        <v/>
      </c>
      <c r="G223" s="135" t="n">
        <v>1</v>
      </c>
      <c r="H223" s="5">
        <f>IF($I2="","",INDEX(Productos!$AG:$AG,$I2))</f>
        <v/>
      </c>
      <c r="I223" s="136">
        <f>LET(_xlpm.r,Productos!$E$2:$E$653,_xlpm.m,IFERROR(_xlfn.XMATCH(C223,_xlpm.r),IFERROR(_xlfn.XMATCH(VALUE(C223),_xlpm.r),0)),IF(_xlpm.m=0,"",_xlpm.m+1))</f>
        <v/>
      </c>
      <c r="J223" s="137" t="inlineStr">
        <is>
          <t>NetSuite</t>
        </is>
      </c>
    </row>
    <row r="224">
      <c r="A224" s="5" t="inlineStr">
        <is>
          <t>MUESTRAS REFLO</t>
        </is>
      </c>
      <c r="B224" s="5">
        <f>IF($I2="","",INDEX(Productos!$A:$A,$I2))</f>
        <v/>
      </c>
      <c r="C224" s="134" t="inlineStr">
        <is>
          <t>XR20824030-OS</t>
        </is>
      </c>
      <c r="D224" s="5">
        <f>IF($I2="","",INDEX(Productos!$B:$B,$I2))</f>
        <v/>
      </c>
      <c r="E224" s="5">
        <f>IF($I2="","",INDEX(Productos!$H:$H,$I2))</f>
        <v/>
      </c>
      <c r="F224" s="5">
        <f>IF($I2="","",INDEX(Productos!$I:$I,$I2))</f>
        <v/>
      </c>
      <c r="G224" s="135" t="n">
        <v>1</v>
      </c>
      <c r="H224" s="5">
        <f>IF($I2="","",INDEX(Productos!$AG:$AG,$I2))</f>
        <v/>
      </c>
      <c r="I224" s="136">
        <f>LET(_xlpm.r,Productos!$E$2:$E$653,_xlpm.m,IFERROR(_xlfn.XMATCH(C224,_xlpm.r),IFERROR(_xlfn.XMATCH(VALUE(C224),_xlpm.r),0)),IF(_xlpm.m=0,"",_xlpm.m+1))</f>
        <v/>
      </c>
      <c r="J224" s="137" t="inlineStr">
        <is>
          <t>NetSuite</t>
        </is>
      </c>
    </row>
    <row r="225">
      <c r="A225" s="5" t="inlineStr">
        <is>
          <t>REFLO ALMACEN</t>
        </is>
      </c>
      <c r="B225" s="5">
        <f>IF($I2="","",INDEX(Productos!$A:$A,$I2))</f>
        <v/>
      </c>
      <c r="C225" s="134" t="inlineStr">
        <is>
          <t>ADRIAQU-L</t>
        </is>
      </c>
      <c r="D225" s="5">
        <f>IF($I2="","",INDEX(Productos!$B:$B,$I2))</f>
        <v/>
      </c>
      <c r="E225" s="5">
        <f>IF($I2="","",INDEX(Productos!$H:$H,$I2))</f>
        <v/>
      </c>
      <c r="F225" s="5">
        <f>IF($I2="","",INDEX(Productos!$I:$I,$I2))</f>
        <v/>
      </c>
      <c r="G225" s="135" t="n">
        <v>5</v>
      </c>
      <c r="H225" s="5">
        <f>IF($I2="","",INDEX(Productos!$AG:$AG,$I2))</f>
        <v/>
      </c>
      <c r="I225" s="136">
        <f>LET(_xlpm.r,Productos!$E$2:$E$653,_xlpm.m,IFERROR(_xlfn.XMATCH(C225,_xlpm.r),IFERROR(_xlfn.XMATCH(VALUE(C225),_xlpm.r),0)),IF(_xlpm.m=0,"",_xlpm.m+1))</f>
        <v/>
      </c>
      <c r="J225" s="137" t="inlineStr">
        <is>
          <t>NetSuite</t>
        </is>
      </c>
    </row>
    <row r="226">
      <c r="A226" s="5" t="inlineStr">
        <is>
          <t>REFLO ALMACEN</t>
        </is>
      </c>
      <c r="B226" s="5">
        <f>IF($I2="","",INDEX(Productos!$A:$A,$I2))</f>
        <v/>
      </c>
      <c r="C226" s="134" t="inlineStr">
        <is>
          <t>ADRIAQU-M</t>
        </is>
      </c>
      <c r="D226" s="5">
        <f>IF($I2="","",INDEX(Productos!$B:$B,$I2))</f>
        <v/>
      </c>
      <c r="E226" s="5">
        <f>IF($I2="","",INDEX(Productos!$H:$H,$I2))</f>
        <v/>
      </c>
      <c r="F226" s="5">
        <f>IF($I2="","",INDEX(Productos!$I:$I,$I2))</f>
        <v/>
      </c>
      <c r="G226" s="135" t="n">
        <v>4</v>
      </c>
      <c r="H226" s="5">
        <f>IF($I2="","",INDEX(Productos!$AG:$AG,$I2))</f>
        <v/>
      </c>
      <c r="I226" s="136">
        <f>LET(_xlpm.r,Productos!$E$2:$E$653,_xlpm.m,IFERROR(_xlfn.XMATCH(C226,_xlpm.r),IFERROR(_xlfn.XMATCH(VALUE(C226),_xlpm.r),0)),IF(_xlpm.m=0,"",_xlpm.m+1))</f>
        <v/>
      </c>
      <c r="J226" s="137" t="inlineStr">
        <is>
          <t>NetSuite</t>
        </is>
      </c>
    </row>
    <row r="227">
      <c r="A227" s="5" t="inlineStr">
        <is>
          <t>REFLO ALMACEN</t>
        </is>
      </c>
      <c r="B227" s="5">
        <f>IF($I2="","",INDEX(Productos!$A:$A,$I2))</f>
        <v/>
      </c>
      <c r="C227" s="134" t="inlineStr">
        <is>
          <t>ADRIAQU-S</t>
        </is>
      </c>
      <c r="D227" s="5">
        <f>IF($I2="","",INDEX(Productos!$B:$B,$I2))</f>
        <v/>
      </c>
      <c r="E227" s="5">
        <f>IF($I2="","",INDEX(Productos!$H:$H,$I2))</f>
        <v/>
      </c>
      <c r="F227" s="5">
        <f>IF($I2="","",INDEX(Productos!$I:$I,$I2))</f>
        <v/>
      </c>
      <c r="G227" s="135" t="n">
        <v>2</v>
      </c>
      <c r="H227" s="5">
        <f>IF($I2="","",INDEX(Productos!$AG:$AG,$I2))</f>
        <v/>
      </c>
      <c r="I227" s="136">
        <f>LET(_xlpm.r,Productos!$E$2:$E$653,_xlpm.m,IFERROR(_xlfn.XMATCH(C227,_xlpm.r),IFERROR(_xlfn.XMATCH(VALUE(C227),_xlpm.r),0)),IF(_xlpm.m=0,"",_xlpm.m+1))</f>
        <v/>
      </c>
      <c r="J227" s="137" t="inlineStr">
        <is>
          <t>NetSuite</t>
        </is>
      </c>
    </row>
    <row r="228">
      <c r="A228" s="5" t="inlineStr">
        <is>
          <t>REFLO ALMACEN</t>
        </is>
      </c>
      <c r="B228" s="5">
        <f>IF($I2="","",INDEX(Productos!$A:$A,$I2))</f>
        <v/>
      </c>
      <c r="C228" s="134" t="inlineStr">
        <is>
          <t>ADRIAQU-XXL</t>
        </is>
      </c>
      <c r="D228" s="5">
        <f>IF($I2="","",INDEX(Productos!$B:$B,$I2))</f>
        <v/>
      </c>
      <c r="E228" s="5">
        <f>IF($I2="","",INDEX(Productos!$H:$H,$I2))</f>
        <v/>
      </c>
      <c r="F228" s="5">
        <f>IF($I2="","",INDEX(Productos!$I:$I,$I2))</f>
        <v/>
      </c>
      <c r="G228" s="135" t="n">
        <v>1</v>
      </c>
      <c r="H228" s="5">
        <f>IF($I2="","",INDEX(Productos!$AG:$AG,$I2))</f>
        <v/>
      </c>
      <c r="I228" s="136">
        <f>LET(_xlpm.r,Productos!$E$2:$E$653,_xlpm.m,IFERROR(_xlfn.XMATCH(C228,_xlpm.r),IFERROR(_xlfn.XMATCH(VALUE(C228),_xlpm.r),0)),IF(_xlpm.m=0,"",_xlpm.m+1))</f>
        <v/>
      </c>
      <c r="J228" s="137" t="inlineStr">
        <is>
          <t>NetSuite</t>
        </is>
      </c>
    </row>
    <row r="229">
      <c r="A229" s="5" t="inlineStr">
        <is>
          <t>REFLO ALMACEN</t>
        </is>
      </c>
      <c r="B229" s="5">
        <f>IF($I2="","",INDEX(Productos!$A:$A,$I2))</f>
        <v/>
      </c>
      <c r="C229" s="134" t="inlineStr">
        <is>
          <t>ADRICLO-L</t>
        </is>
      </c>
      <c r="D229" s="5">
        <f>IF($I2="","",INDEX(Productos!$B:$B,$I2))</f>
        <v/>
      </c>
      <c r="E229" s="5">
        <f>IF($I2="","",INDEX(Productos!$H:$H,$I2))</f>
        <v/>
      </c>
      <c r="F229" s="5">
        <f>IF($I2="","",INDEX(Productos!$I:$I,$I2))</f>
        <v/>
      </c>
      <c r="G229" s="135" t="n">
        <v>7</v>
      </c>
      <c r="H229" s="5">
        <f>IF($I2="","",INDEX(Productos!$AG:$AG,$I2))</f>
        <v/>
      </c>
      <c r="I229" s="136">
        <f>LET(_xlpm.r,Productos!$E$2:$E$653,_xlpm.m,IFERROR(_xlfn.XMATCH(C229,_xlpm.r),IFERROR(_xlfn.XMATCH(VALUE(C229),_xlpm.r),0)),IF(_xlpm.m=0,"",_xlpm.m+1))</f>
        <v/>
      </c>
      <c r="J229" s="137" t="inlineStr">
        <is>
          <t>NetSuite</t>
        </is>
      </c>
    </row>
    <row r="230">
      <c r="A230" s="5" t="inlineStr">
        <is>
          <t>REFLO ALMACEN</t>
        </is>
      </c>
      <c r="B230" s="5">
        <f>IF($I2="","",INDEX(Productos!$A:$A,$I2))</f>
        <v/>
      </c>
      <c r="C230" s="134" t="inlineStr">
        <is>
          <t>ADRICLO-M</t>
        </is>
      </c>
      <c r="D230" s="5">
        <f>IF($I2="","",INDEX(Productos!$B:$B,$I2))</f>
        <v/>
      </c>
      <c r="E230" s="5">
        <f>IF($I2="","",INDEX(Productos!$H:$H,$I2))</f>
        <v/>
      </c>
      <c r="F230" s="5">
        <f>IF($I2="","",INDEX(Productos!$I:$I,$I2))</f>
        <v/>
      </c>
      <c r="G230" s="135" t="n">
        <v>6</v>
      </c>
      <c r="H230" s="5">
        <f>IF($I2="","",INDEX(Productos!$AG:$AG,$I2))</f>
        <v/>
      </c>
      <c r="I230" s="136">
        <f>LET(_xlpm.r,Productos!$E$2:$E$653,_xlpm.m,IFERROR(_xlfn.XMATCH(C230,_xlpm.r),IFERROR(_xlfn.XMATCH(VALUE(C230),_xlpm.r),0)),IF(_xlpm.m=0,"",_xlpm.m+1))</f>
        <v/>
      </c>
      <c r="J230" s="137" t="inlineStr">
        <is>
          <t>NetSuite</t>
        </is>
      </c>
    </row>
    <row r="231">
      <c r="A231" s="5" t="inlineStr">
        <is>
          <t>REFLO ALMACEN</t>
        </is>
      </c>
      <c r="B231" s="5">
        <f>IF($I2="","",INDEX(Productos!$A:$A,$I2))</f>
        <v/>
      </c>
      <c r="C231" s="134" t="inlineStr">
        <is>
          <t>ADRICLO-S</t>
        </is>
      </c>
      <c r="D231" s="5">
        <f>IF($I2="","",INDEX(Productos!$B:$B,$I2))</f>
        <v/>
      </c>
      <c r="E231" s="5">
        <f>IF($I2="","",INDEX(Productos!$H:$H,$I2))</f>
        <v/>
      </c>
      <c r="F231" s="5">
        <f>IF($I2="","",INDEX(Productos!$I:$I,$I2))</f>
        <v/>
      </c>
      <c r="G231" s="135" t="n">
        <v>4</v>
      </c>
      <c r="H231" s="5">
        <f>IF($I2="","",INDEX(Productos!$AG:$AG,$I2))</f>
        <v/>
      </c>
      <c r="I231" s="136">
        <f>LET(_xlpm.r,Productos!$E$2:$E$653,_xlpm.m,IFERROR(_xlfn.XMATCH(C231,_xlpm.r),IFERROR(_xlfn.XMATCH(VALUE(C231),_xlpm.r),0)),IF(_xlpm.m=0,"",_xlpm.m+1))</f>
        <v/>
      </c>
      <c r="J231" s="137" t="inlineStr">
        <is>
          <t>NetSuite</t>
        </is>
      </c>
    </row>
    <row r="232">
      <c r="A232" s="5" t="inlineStr">
        <is>
          <t>REFLO ALMACEN</t>
        </is>
      </c>
      <c r="B232" s="5">
        <f>IF($I2="","",INDEX(Productos!$A:$A,$I2))</f>
        <v/>
      </c>
      <c r="C232" s="134" t="inlineStr">
        <is>
          <t>ADRICLO-XL</t>
        </is>
      </c>
      <c r="D232" s="5">
        <f>IF($I2="","",INDEX(Productos!$B:$B,$I2))</f>
        <v/>
      </c>
      <c r="E232" s="5">
        <f>IF($I2="","",INDEX(Productos!$H:$H,$I2))</f>
        <v/>
      </c>
      <c r="F232" s="5">
        <f>IF($I2="","",INDEX(Productos!$I:$I,$I2))</f>
        <v/>
      </c>
      <c r="G232" s="135" t="n">
        <v>8</v>
      </c>
      <c r="H232" s="5">
        <f>IF($I2="","",INDEX(Productos!$AG:$AG,$I2))</f>
        <v/>
      </c>
      <c r="I232" s="136">
        <f>LET(_xlpm.r,Productos!$E$2:$E$653,_xlpm.m,IFERROR(_xlfn.XMATCH(C232,_xlpm.r),IFERROR(_xlfn.XMATCH(VALUE(C232),_xlpm.r),0)),IF(_xlpm.m=0,"",_xlpm.m+1))</f>
        <v/>
      </c>
      <c r="J232" s="137" t="inlineStr">
        <is>
          <t>NetSuite</t>
        </is>
      </c>
    </row>
    <row r="233">
      <c r="A233" s="5" t="inlineStr">
        <is>
          <t>REFLO ALMACEN</t>
        </is>
      </c>
      <c r="B233" s="5">
        <f>IF($I2="","",INDEX(Productos!$A:$A,$I2))</f>
        <v/>
      </c>
      <c r="C233" s="134" t="inlineStr">
        <is>
          <t>ADRICLO-XXL</t>
        </is>
      </c>
      <c r="D233" s="5">
        <f>IF($I2="","",INDEX(Productos!$B:$B,$I2))</f>
        <v/>
      </c>
      <c r="E233" s="5">
        <f>IF($I2="","",INDEX(Productos!$H:$H,$I2))</f>
        <v/>
      </c>
      <c r="F233" s="5">
        <f>IF($I2="","",INDEX(Productos!$I:$I,$I2))</f>
        <v/>
      </c>
      <c r="G233" s="135" t="n">
        <v>5</v>
      </c>
      <c r="H233" s="5">
        <f>IF($I2="","",INDEX(Productos!$AG:$AG,$I2))</f>
        <v/>
      </c>
      <c r="I233" s="136">
        <f>LET(_xlpm.r,Productos!$E$2:$E$653,_xlpm.m,IFERROR(_xlfn.XMATCH(C233,_xlpm.r),IFERROR(_xlfn.XMATCH(VALUE(C233),_xlpm.r),0)),IF(_xlpm.m=0,"",_xlpm.m+1))</f>
        <v/>
      </c>
      <c r="J233" s="137" t="inlineStr">
        <is>
          <t>NetSuite</t>
        </is>
      </c>
    </row>
    <row r="234">
      <c r="A234" s="5" t="inlineStr">
        <is>
          <t>REFLO ALMACEN</t>
        </is>
      </c>
      <c r="B234" s="5">
        <f>IF($I2="","",INDEX(Productos!$A:$A,$I2))</f>
        <v/>
      </c>
      <c r="C234" s="134" t="inlineStr">
        <is>
          <t>ADRIOXY-L</t>
        </is>
      </c>
      <c r="D234" s="5">
        <f>IF($I2="","",INDEX(Productos!$B:$B,$I2))</f>
        <v/>
      </c>
      <c r="E234" s="5">
        <f>IF($I2="","",INDEX(Productos!$H:$H,$I2))</f>
        <v/>
      </c>
      <c r="F234" s="5">
        <f>IF($I2="","",INDEX(Productos!$I:$I,$I2))</f>
        <v/>
      </c>
      <c r="G234" s="135" t="n">
        <v>3</v>
      </c>
      <c r="H234" s="5">
        <f>IF($I2="","",INDEX(Productos!$AG:$AG,$I2))</f>
        <v/>
      </c>
      <c r="I234" s="136">
        <f>LET(_xlpm.r,Productos!$E$2:$E$653,_xlpm.m,IFERROR(_xlfn.XMATCH(C234,_xlpm.r),IFERROR(_xlfn.XMATCH(VALUE(C234),_xlpm.r),0)),IF(_xlpm.m=0,"",_xlpm.m+1))</f>
        <v/>
      </c>
      <c r="J234" s="137" t="inlineStr">
        <is>
          <t>NetSuite</t>
        </is>
      </c>
    </row>
    <row r="235">
      <c r="A235" s="5" t="inlineStr">
        <is>
          <t>REFLO ALMACEN</t>
        </is>
      </c>
      <c r="B235" s="5">
        <f>IF($I2="","",INDEX(Productos!$A:$A,$I2))</f>
        <v/>
      </c>
      <c r="C235" s="134" t="inlineStr">
        <is>
          <t>ADRIOXY-M</t>
        </is>
      </c>
      <c r="D235" s="5">
        <f>IF($I2="","",INDEX(Productos!$B:$B,$I2))</f>
        <v/>
      </c>
      <c r="E235" s="5">
        <f>IF($I2="","",INDEX(Productos!$H:$H,$I2))</f>
        <v/>
      </c>
      <c r="F235" s="5">
        <f>IF($I2="","",INDEX(Productos!$I:$I,$I2))</f>
        <v/>
      </c>
      <c r="G235" s="135" t="n">
        <v>1</v>
      </c>
      <c r="H235" s="5">
        <f>IF($I2="","",INDEX(Productos!$AG:$AG,$I2))</f>
        <v/>
      </c>
      <c r="I235" s="136">
        <f>LET(_xlpm.r,Productos!$E$2:$E$653,_xlpm.m,IFERROR(_xlfn.XMATCH(C235,_xlpm.r),IFERROR(_xlfn.XMATCH(VALUE(C235),_xlpm.r),0)),IF(_xlpm.m=0,"",_xlpm.m+1))</f>
        <v/>
      </c>
      <c r="J235" s="137" t="inlineStr">
        <is>
          <t>NetSuite</t>
        </is>
      </c>
    </row>
    <row r="236">
      <c r="A236" s="5" t="inlineStr">
        <is>
          <t>REFLO ALMACEN</t>
        </is>
      </c>
      <c r="B236" s="5">
        <f>IF($I2="","",INDEX(Productos!$A:$A,$I2))</f>
        <v/>
      </c>
      <c r="C236" s="134" t="inlineStr">
        <is>
          <t>ADRIOXY-S</t>
        </is>
      </c>
      <c r="D236" s="5">
        <f>IF($I2="","",INDEX(Productos!$B:$B,$I2))</f>
        <v/>
      </c>
      <c r="E236" s="5">
        <f>IF($I2="","",INDEX(Productos!$H:$H,$I2))</f>
        <v/>
      </c>
      <c r="F236" s="5">
        <f>IF($I2="","",INDEX(Productos!$I:$I,$I2))</f>
        <v/>
      </c>
      <c r="G236" s="135" t="n">
        <v>2</v>
      </c>
      <c r="H236" s="5">
        <f>IF($I2="","",INDEX(Productos!$AG:$AG,$I2))</f>
        <v/>
      </c>
      <c r="I236" s="136">
        <f>LET(_xlpm.r,Productos!$E$2:$E$653,_xlpm.m,IFERROR(_xlfn.XMATCH(C236,_xlpm.r),IFERROR(_xlfn.XMATCH(VALUE(C236),_xlpm.r),0)),IF(_xlpm.m=0,"",_xlpm.m+1))</f>
        <v/>
      </c>
      <c r="J236" s="137" t="inlineStr">
        <is>
          <t>NetSuite</t>
        </is>
      </c>
    </row>
    <row r="237">
      <c r="A237" s="5" t="inlineStr">
        <is>
          <t>REFLO ALMACEN</t>
        </is>
      </c>
      <c r="B237" s="5">
        <f>IF($I2="","",INDEX(Productos!$A:$A,$I2))</f>
        <v/>
      </c>
      <c r="C237" s="134" t="inlineStr">
        <is>
          <t>ADRIOXY-XL</t>
        </is>
      </c>
      <c r="D237" s="5">
        <f>IF($I2="","",INDEX(Productos!$B:$B,$I2))</f>
        <v/>
      </c>
      <c r="E237" s="5">
        <f>IF($I2="","",INDEX(Productos!$H:$H,$I2))</f>
        <v/>
      </c>
      <c r="F237" s="5">
        <f>IF($I2="","",INDEX(Productos!$I:$I,$I2))</f>
        <v/>
      </c>
      <c r="G237" s="135" t="n">
        <v>5</v>
      </c>
      <c r="H237" s="5">
        <f>IF($I2="","",INDEX(Productos!$AG:$AG,$I2))</f>
        <v/>
      </c>
      <c r="I237" s="136">
        <f>LET(_xlpm.r,Productos!$E$2:$E$653,_xlpm.m,IFERROR(_xlfn.XMATCH(C237,_xlpm.r),IFERROR(_xlfn.XMATCH(VALUE(C237),_xlpm.r),0)),IF(_xlpm.m=0,"",_xlpm.m+1))</f>
        <v/>
      </c>
      <c r="J237" s="137" t="inlineStr">
        <is>
          <t>NetSuite</t>
        </is>
      </c>
    </row>
    <row r="238">
      <c r="A238" s="5" t="inlineStr">
        <is>
          <t>REFLO ALMACEN</t>
        </is>
      </c>
      <c r="B238" s="5">
        <f>IF($I2="","",INDEX(Productos!$A:$A,$I2))</f>
        <v/>
      </c>
      <c r="C238" s="134" t="inlineStr">
        <is>
          <t>ADRIOXY-XXL</t>
        </is>
      </c>
      <c r="D238" s="5">
        <f>IF($I2="","",INDEX(Productos!$B:$B,$I2))</f>
        <v/>
      </c>
      <c r="E238" s="5">
        <f>IF($I2="","",INDEX(Productos!$H:$H,$I2))</f>
        <v/>
      </c>
      <c r="F238" s="5">
        <f>IF($I2="","",INDEX(Productos!$I:$I,$I2))</f>
        <v/>
      </c>
      <c r="G238" s="135" t="n">
        <v>3</v>
      </c>
      <c r="H238" s="5">
        <f>IF($I2="","",INDEX(Productos!$AG:$AG,$I2))</f>
        <v/>
      </c>
      <c r="I238" s="136">
        <f>LET(_xlpm.r,Productos!$E$2:$E$653,_xlpm.m,IFERROR(_xlfn.XMATCH(C238,_xlpm.r),IFERROR(_xlfn.XMATCH(VALUE(C238),_xlpm.r),0)),IF(_xlpm.m=0,"",_xlpm.m+1))</f>
        <v/>
      </c>
      <c r="J238" s="137" t="inlineStr">
        <is>
          <t>NetSuite</t>
        </is>
      </c>
    </row>
    <row r="239">
      <c r="A239" s="5" t="inlineStr">
        <is>
          <t>REFLO ALMACEN</t>
        </is>
      </c>
      <c r="B239" s="5">
        <f>IF($I2="","",INDEX(Productos!$A:$A,$I2))</f>
        <v/>
      </c>
      <c r="C239" s="134" t="inlineStr">
        <is>
          <t>BISCAQU-L</t>
        </is>
      </c>
      <c r="D239" s="5">
        <f>IF($I2="","",INDEX(Productos!$B:$B,$I2))</f>
        <v/>
      </c>
      <c r="E239" s="5">
        <f>IF($I2="","",INDEX(Productos!$H:$H,$I2))</f>
        <v/>
      </c>
      <c r="F239" s="5">
        <f>IF($I2="","",INDEX(Productos!$I:$I,$I2))</f>
        <v/>
      </c>
      <c r="G239" s="135" t="n">
        <v>1</v>
      </c>
      <c r="H239" s="5">
        <f>IF($I2="","",INDEX(Productos!$AG:$AG,$I2))</f>
        <v/>
      </c>
      <c r="I239" s="136">
        <f>LET(_xlpm.r,Productos!$E$2:$E$653,_xlpm.m,IFERROR(_xlfn.XMATCH(C239,_xlpm.r),IFERROR(_xlfn.XMATCH(VALUE(C239),_xlpm.r),0)),IF(_xlpm.m=0,"",_xlpm.m+1))</f>
        <v/>
      </c>
      <c r="J239" s="137" t="inlineStr">
        <is>
          <t>NetSuite</t>
        </is>
      </c>
    </row>
    <row r="240">
      <c r="A240" s="5" t="inlineStr">
        <is>
          <t>REFLO ALMACEN</t>
        </is>
      </c>
      <c r="B240" s="5">
        <f>IF($I2="","",INDEX(Productos!$A:$A,$I2))</f>
        <v/>
      </c>
      <c r="C240" s="134" t="inlineStr">
        <is>
          <t>BISCAQU-M</t>
        </is>
      </c>
      <c r="D240" s="5">
        <f>IF($I2="","",INDEX(Productos!$B:$B,$I2))</f>
        <v/>
      </c>
      <c r="E240" s="5">
        <f>IF($I2="","",INDEX(Productos!$H:$H,$I2))</f>
        <v/>
      </c>
      <c r="F240" s="5">
        <f>IF($I2="","",INDEX(Productos!$I:$I,$I2))</f>
        <v/>
      </c>
      <c r="G240" s="135" t="n">
        <v>3</v>
      </c>
      <c r="H240" s="5">
        <f>IF($I2="","",INDEX(Productos!$AG:$AG,$I2))</f>
        <v/>
      </c>
      <c r="I240" s="136">
        <f>LET(_xlpm.r,Productos!$E$2:$E$653,_xlpm.m,IFERROR(_xlfn.XMATCH(C240,_xlpm.r),IFERROR(_xlfn.XMATCH(VALUE(C240),_xlpm.r),0)),IF(_xlpm.m=0,"",_xlpm.m+1))</f>
        <v/>
      </c>
      <c r="J240" s="137" t="inlineStr">
        <is>
          <t>NetSuite</t>
        </is>
      </c>
    </row>
    <row r="241">
      <c r="A241" s="5" t="inlineStr">
        <is>
          <t>REFLO ALMACEN</t>
        </is>
      </c>
      <c r="B241" s="5">
        <f>IF($I2="","",INDEX(Productos!$A:$A,$I2))</f>
        <v/>
      </c>
      <c r="C241" s="134" t="inlineStr">
        <is>
          <t>BISCAQU-S</t>
        </is>
      </c>
      <c r="D241" s="5">
        <f>IF($I2="","",INDEX(Productos!$B:$B,$I2))</f>
        <v/>
      </c>
      <c r="E241" s="5">
        <f>IF($I2="","",INDEX(Productos!$H:$H,$I2))</f>
        <v/>
      </c>
      <c r="F241" s="5">
        <f>IF($I2="","",INDEX(Productos!$I:$I,$I2))</f>
        <v/>
      </c>
      <c r="G241" s="135" t="n">
        <v>2</v>
      </c>
      <c r="H241" s="5">
        <f>IF($I2="","",INDEX(Productos!$AG:$AG,$I2))</f>
        <v/>
      </c>
      <c r="I241" s="136">
        <f>LET(_xlpm.r,Productos!$E$2:$E$653,_xlpm.m,IFERROR(_xlfn.XMATCH(C241,_xlpm.r),IFERROR(_xlfn.XMATCH(VALUE(C241),_xlpm.r),0)),IF(_xlpm.m=0,"",_xlpm.m+1))</f>
        <v/>
      </c>
      <c r="J241" s="137" t="inlineStr">
        <is>
          <t>NetSuite</t>
        </is>
      </c>
    </row>
    <row r="242">
      <c r="A242" s="5" t="inlineStr">
        <is>
          <t>REFLO ALMACEN</t>
        </is>
      </c>
      <c r="B242" s="5">
        <f>IF($I2="","",INDEX(Productos!$A:$A,$I2))</f>
        <v/>
      </c>
      <c r="C242" s="134" t="inlineStr">
        <is>
          <t>BISCAQU-XL</t>
        </is>
      </c>
      <c r="D242" s="5">
        <f>IF($I2="","",INDEX(Productos!$B:$B,$I2))</f>
        <v/>
      </c>
      <c r="E242" s="5">
        <f>IF($I2="","",INDEX(Productos!$H:$H,$I2))</f>
        <v/>
      </c>
      <c r="F242" s="5">
        <f>IF($I2="","",INDEX(Productos!$I:$I,$I2))</f>
        <v/>
      </c>
      <c r="G242" s="135" t="n">
        <v>1</v>
      </c>
      <c r="H242" s="5">
        <f>IF($I2="","",INDEX(Productos!$AG:$AG,$I2))</f>
        <v/>
      </c>
      <c r="I242" s="136">
        <f>LET(_xlpm.r,Productos!$E$2:$E$653,_xlpm.m,IFERROR(_xlfn.XMATCH(C242,_xlpm.r),IFERROR(_xlfn.XMATCH(VALUE(C242),_xlpm.r),0)),IF(_xlpm.m=0,"",_xlpm.m+1))</f>
        <v/>
      </c>
      <c r="J242" s="137" t="inlineStr">
        <is>
          <t>NetSuite</t>
        </is>
      </c>
    </row>
    <row r="243">
      <c r="A243" s="5" t="inlineStr">
        <is>
          <t>REFLO ALMACEN</t>
        </is>
      </c>
      <c r="B243" s="5">
        <f>IF($I2="","",INDEX(Productos!$A:$A,$I2))</f>
        <v/>
      </c>
      <c r="C243" s="134" t="inlineStr">
        <is>
          <t>BISCBLA-L</t>
        </is>
      </c>
      <c r="D243" s="5">
        <f>IF($I2="","",INDEX(Productos!$B:$B,$I2))</f>
        <v/>
      </c>
      <c r="E243" s="5">
        <f>IF($I2="","",INDEX(Productos!$H:$H,$I2))</f>
        <v/>
      </c>
      <c r="F243" s="5">
        <f>IF($I2="","",INDEX(Productos!$I:$I,$I2))</f>
        <v/>
      </c>
      <c r="G243" s="135" t="n">
        <v>3</v>
      </c>
      <c r="H243" s="5">
        <f>IF($I2="","",INDEX(Productos!$AG:$AG,$I2))</f>
        <v/>
      </c>
      <c r="I243" s="136">
        <f>LET(_xlpm.r,Productos!$E$2:$E$653,_xlpm.m,IFERROR(_xlfn.XMATCH(C243,_xlpm.r),IFERROR(_xlfn.XMATCH(VALUE(C243),_xlpm.r),0)),IF(_xlpm.m=0,"",_xlpm.m+1))</f>
        <v/>
      </c>
      <c r="J243" s="137" t="inlineStr">
        <is>
          <t>NetSuite</t>
        </is>
      </c>
    </row>
    <row r="244">
      <c r="A244" s="5" t="inlineStr">
        <is>
          <t>REFLO ALMACEN</t>
        </is>
      </c>
      <c r="B244" s="5">
        <f>IF($I2="","",INDEX(Productos!$A:$A,$I2))</f>
        <v/>
      </c>
      <c r="C244" s="134" t="inlineStr">
        <is>
          <t>BISCBLA-XL</t>
        </is>
      </c>
      <c r="D244" s="5">
        <f>IF($I2="","",INDEX(Productos!$B:$B,$I2))</f>
        <v/>
      </c>
      <c r="E244" s="5">
        <f>IF($I2="","",INDEX(Productos!$H:$H,$I2))</f>
        <v/>
      </c>
      <c r="F244" s="5">
        <f>IF($I2="","",INDEX(Productos!$I:$I,$I2))</f>
        <v/>
      </c>
      <c r="G244" s="135" t="n">
        <v>3</v>
      </c>
      <c r="H244" s="5">
        <f>IF($I2="","",INDEX(Productos!$AG:$AG,$I2))</f>
        <v/>
      </c>
      <c r="I244" s="136">
        <f>LET(_xlpm.r,Productos!$E$2:$E$653,_xlpm.m,IFERROR(_xlfn.XMATCH(C244,_xlpm.r),IFERROR(_xlfn.XMATCH(VALUE(C244),_xlpm.r),0)),IF(_xlpm.m=0,"",_xlpm.m+1))</f>
        <v/>
      </c>
      <c r="J244" s="137" t="inlineStr">
        <is>
          <t>NetSuite</t>
        </is>
      </c>
    </row>
    <row r="245">
      <c r="A245" s="5" t="inlineStr">
        <is>
          <t>REFLO ALMACEN</t>
        </is>
      </c>
      <c r="B245" s="5">
        <f>IF($I2="","",INDEX(Productos!$A:$A,$I2))</f>
        <v/>
      </c>
      <c r="C245" s="134" t="inlineStr">
        <is>
          <t>BISCFRE-L</t>
        </is>
      </c>
      <c r="D245" s="5">
        <f>IF($I2="","",INDEX(Productos!$B:$B,$I2))</f>
        <v/>
      </c>
      <c r="E245" s="5">
        <f>IF($I2="","",INDEX(Productos!$H:$H,$I2))</f>
        <v/>
      </c>
      <c r="F245" s="5">
        <f>IF($I2="","",INDEX(Productos!$I:$I,$I2))</f>
        <v/>
      </c>
      <c r="G245" s="135" t="n">
        <v>3</v>
      </c>
      <c r="H245" s="5">
        <f>IF($I2="","",INDEX(Productos!$AG:$AG,$I2))</f>
        <v/>
      </c>
      <c r="I245" s="136">
        <f>LET(_xlpm.r,Productos!$E$2:$E$653,_xlpm.m,IFERROR(_xlfn.XMATCH(C245,_xlpm.r),IFERROR(_xlfn.XMATCH(VALUE(C245),_xlpm.r),0)),IF(_xlpm.m=0,"",_xlpm.m+1))</f>
        <v/>
      </c>
      <c r="J245" s="137" t="inlineStr">
        <is>
          <t>NetSuite</t>
        </is>
      </c>
    </row>
    <row r="246">
      <c r="A246" s="5" t="inlineStr">
        <is>
          <t>REFLO ALMACEN</t>
        </is>
      </c>
      <c r="B246" s="5">
        <f>IF($I2="","",INDEX(Productos!$A:$A,$I2))</f>
        <v/>
      </c>
      <c r="C246" s="134" t="inlineStr">
        <is>
          <t>BISCFRE-M</t>
        </is>
      </c>
      <c r="D246" s="5">
        <f>IF($I2="","",INDEX(Productos!$B:$B,$I2))</f>
        <v/>
      </c>
      <c r="E246" s="5">
        <f>IF($I2="","",INDEX(Productos!$H:$H,$I2))</f>
        <v/>
      </c>
      <c r="F246" s="5">
        <f>IF($I2="","",INDEX(Productos!$I:$I,$I2))</f>
        <v/>
      </c>
      <c r="G246" s="135" t="n">
        <v>3</v>
      </c>
      <c r="H246" s="5">
        <f>IF($I2="","",INDEX(Productos!$AG:$AG,$I2))</f>
        <v/>
      </c>
      <c r="I246" s="136">
        <f>LET(_xlpm.r,Productos!$E$2:$E$653,_xlpm.m,IFERROR(_xlfn.XMATCH(C246,_xlpm.r),IFERROR(_xlfn.XMATCH(VALUE(C246),_xlpm.r),0)),IF(_xlpm.m=0,"",_xlpm.m+1))</f>
        <v/>
      </c>
      <c r="J246" s="137" t="inlineStr">
        <is>
          <t>NetSuite</t>
        </is>
      </c>
    </row>
    <row r="247">
      <c r="A247" s="5" t="inlineStr">
        <is>
          <t>REFLO ALMACEN</t>
        </is>
      </c>
      <c r="B247" s="5">
        <f>IF($I2="","",INDEX(Productos!$A:$A,$I2))</f>
        <v/>
      </c>
      <c r="C247" s="134" t="inlineStr">
        <is>
          <t>BISCFRE-XL</t>
        </is>
      </c>
      <c r="D247" s="5">
        <f>IF($I2="","",INDEX(Productos!$B:$B,$I2))</f>
        <v/>
      </c>
      <c r="E247" s="5">
        <f>IF($I2="","",INDEX(Productos!$H:$H,$I2))</f>
        <v/>
      </c>
      <c r="F247" s="5">
        <f>IF($I2="","",INDEX(Productos!$I:$I,$I2))</f>
        <v/>
      </c>
      <c r="G247" s="135" t="n">
        <v>2</v>
      </c>
      <c r="H247" s="5">
        <f>IF($I2="","",INDEX(Productos!$AG:$AG,$I2))</f>
        <v/>
      </c>
      <c r="I247" s="136">
        <f>LET(_xlpm.r,Productos!$E$2:$E$653,_xlpm.m,IFERROR(_xlfn.XMATCH(C247,_xlpm.r),IFERROR(_xlfn.XMATCH(VALUE(C247),_xlpm.r),0)),IF(_xlpm.m=0,"",_xlpm.m+1))</f>
        <v/>
      </c>
      <c r="J247" s="137" t="inlineStr">
        <is>
          <t>NetSuite</t>
        </is>
      </c>
    </row>
    <row r="248">
      <c r="A248" s="5" t="inlineStr">
        <is>
          <t>REFLO ALMACEN</t>
        </is>
      </c>
      <c r="B248" s="5">
        <f>IF($I2="","",INDEX(Productos!$A:$A,$I2))</f>
        <v/>
      </c>
      <c r="C248" s="134" t="inlineStr">
        <is>
          <t>BISCFRE-XXL</t>
        </is>
      </c>
      <c r="D248" s="5">
        <f>IF($I2="","",INDEX(Productos!$B:$B,$I2))</f>
        <v/>
      </c>
      <c r="E248" s="5">
        <f>IF($I2="","",INDEX(Productos!$H:$H,$I2))</f>
        <v/>
      </c>
      <c r="F248" s="5">
        <f>IF($I2="","",INDEX(Productos!$I:$I,$I2))</f>
        <v/>
      </c>
      <c r="G248" s="135" t="n">
        <v>1</v>
      </c>
      <c r="H248" s="5">
        <f>IF($I2="","",INDEX(Productos!$AG:$AG,$I2))</f>
        <v/>
      </c>
      <c r="I248" s="136">
        <f>LET(_xlpm.r,Productos!$E$2:$E$653,_xlpm.m,IFERROR(_xlfn.XMATCH(C248,_xlpm.r),IFERROR(_xlfn.XMATCH(VALUE(C248),_xlpm.r),0)),IF(_xlpm.m=0,"",_xlpm.m+1))</f>
        <v/>
      </c>
      <c r="J248" s="137" t="inlineStr">
        <is>
          <t>NetSuite</t>
        </is>
      </c>
    </row>
    <row r="249">
      <c r="A249" s="5" t="inlineStr">
        <is>
          <t>REFLO ALMACEN</t>
        </is>
      </c>
      <c r="B249" s="5">
        <f>IF($I2="","",INDEX(Productos!$A:$A,$I2))</f>
        <v/>
      </c>
      <c r="C249" s="134" t="inlineStr">
        <is>
          <t>BOHABLA-L</t>
        </is>
      </c>
      <c r="D249" s="5">
        <f>IF($I2="","",INDEX(Productos!$B:$B,$I2))</f>
        <v/>
      </c>
      <c r="E249" s="5">
        <f>IF($I2="","",INDEX(Productos!$H:$H,$I2))</f>
        <v/>
      </c>
      <c r="F249" s="5">
        <f>IF($I2="","",INDEX(Productos!$I:$I,$I2))</f>
        <v/>
      </c>
      <c r="G249" s="135" t="n">
        <v>2</v>
      </c>
      <c r="H249" s="5">
        <f>IF($I2="","",INDEX(Productos!$AG:$AG,$I2))</f>
        <v/>
      </c>
      <c r="I249" s="136">
        <f>LET(_xlpm.r,Productos!$E$2:$E$653,_xlpm.m,IFERROR(_xlfn.XMATCH(C249,_xlpm.r),IFERROR(_xlfn.XMATCH(VALUE(C249),_xlpm.r),0)),IF(_xlpm.m=0,"",_xlpm.m+1))</f>
        <v/>
      </c>
      <c r="J249" s="137" t="inlineStr">
        <is>
          <t>NetSuite</t>
        </is>
      </c>
    </row>
    <row r="250">
      <c r="A250" s="5" t="inlineStr">
        <is>
          <t>REFLO ALMACEN</t>
        </is>
      </c>
      <c r="B250" s="5">
        <f>IF($I2="","",INDEX(Productos!$A:$A,$I2))</f>
        <v/>
      </c>
      <c r="C250" s="134" t="inlineStr">
        <is>
          <t>BOHABLA-XL</t>
        </is>
      </c>
      <c r="D250" s="5">
        <f>IF($I2="","",INDEX(Productos!$B:$B,$I2))</f>
        <v/>
      </c>
      <c r="E250" s="5">
        <f>IF($I2="","",INDEX(Productos!$H:$H,$I2))</f>
        <v/>
      </c>
      <c r="F250" s="5">
        <f>IF($I2="","",INDEX(Productos!$I:$I,$I2))</f>
        <v/>
      </c>
      <c r="G250" s="135" t="n">
        <v>5</v>
      </c>
      <c r="H250" s="5">
        <f>IF($I2="","",INDEX(Productos!$AG:$AG,$I2))</f>
        <v/>
      </c>
      <c r="I250" s="136">
        <f>LET(_xlpm.r,Productos!$E$2:$E$653,_xlpm.m,IFERROR(_xlfn.XMATCH(C250,_xlpm.r),IFERROR(_xlfn.XMATCH(VALUE(C250),_xlpm.r),0)),IF(_xlpm.m=0,"",_xlpm.m+1))</f>
        <v/>
      </c>
      <c r="J250" s="137" t="inlineStr">
        <is>
          <t>NetSuite</t>
        </is>
      </c>
    </row>
    <row r="251">
      <c r="A251" s="5" t="inlineStr">
        <is>
          <t>REFLO ALMACEN</t>
        </is>
      </c>
      <c r="B251" s="5">
        <f>IF($I2="","",INDEX(Productos!$A:$A,$I2))</f>
        <v/>
      </c>
      <c r="C251" s="134" t="inlineStr">
        <is>
          <t>BOHABLA-XXL</t>
        </is>
      </c>
      <c r="D251" s="5">
        <f>IF($I2="","",INDEX(Productos!$B:$B,$I2))</f>
        <v/>
      </c>
      <c r="E251" s="5">
        <f>IF($I2="","",INDEX(Productos!$H:$H,$I2))</f>
        <v/>
      </c>
      <c r="F251" s="5">
        <f>IF($I2="","",INDEX(Productos!$I:$I,$I2))</f>
        <v/>
      </c>
      <c r="G251" s="135" t="n">
        <v>2</v>
      </c>
      <c r="H251" s="5">
        <f>IF($I2="","",INDEX(Productos!$AG:$AG,$I2))</f>
        <v/>
      </c>
      <c r="I251" s="136">
        <f>LET(_xlpm.r,Productos!$E$2:$E$653,_xlpm.m,IFERROR(_xlfn.XMATCH(C251,_xlpm.r),IFERROR(_xlfn.XMATCH(VALUE(C251),_xlpm.r),0)),IF(_xlpm.m=0,"",_xlpm.m+1))</f>
        <v/>
      </c>
      <c r="J251" s="137" t="inlineStr">
        <is>
          <t>NetSuite</t>
        </is>
      </c>
    </row>
    <row r="252">
      <c r="A252" s="5" t="inlineStr">
        <is>
          <t>REFLO ALMACEN</t>
        </is>
      </c>
      <c r="B252" s="5">
        <f>IF($I2="","",INDEX(Productos!$A:$A,$I2))</f>
        <v/>
      </c>
      <c r="C252" s="134" t="inlineStr">
        <is>
          <t>BOHAGRE-L</t>
        </is>
      </c>
      <c r="D252" s="5">
        <f>IF($I2="","",INDEX(Productos!$B:$B,$I2))</f>
        <v/>
      </c>
      <c r="E252" s="5">
        <f>IF($I2="","",INDEX(Productos!$H:$H,$I2))</f>
        <v/>
      </c>
      <c r="F252" s="5">
        <f>IF($I2="","",INDEX(Productos!$I:$I,$I2))</f>
        <v/>
      </c>
      <c r="G252" s="135" t="n">
        <v>1</v>
      </c>
      <c r="H252" s="5">
        <f>IF($I2="","",INDEX(Productos!$AG:$AG,$I2))</f>
        <v/>
      </c>
      <c r="I252" s="136">
        <f>LET(_xlpm.r,Productos!$E$2:$E$653,_xlpm.m,IFERROR(_xlfn.XMATCH(C252,_xlpm.r),IFERROR(_xlfn.XMATCH(VALUE(C252),_xlpm.r),0)),IF(_xlpm.m=0,"",_xlpm.m+1))</f>
        <v/>
      </c>
      <c r="J252" s="137" t="inlineStr">
        <is>
          <t>NetSuite</t>
        </is>
      </c>
    </row>
    <row r="253">
      <c r="A253" s="5" t="inlineStr">
        <is>
          <t>REFLO ALMACEN</t>
        </is>
      </c>
      <c r="B253" s="5">
        <f>IF($I2="","",INDEX(Productos!$A:$A,$I2))</f>
        <v/>
      </c>
      <c r="C253" s="134" t="inlineStr">
        <is>
          <t>BOHAGRE-XL</t>
        </is>
      </c>
      <c r="D253" s="5">
        <f>IF($I2="","",INDEX(Productos!$B:$B,$I2))</f>
        <v/>
      </c>
      <c r="E253" s="5">
        <f>IF($I2="","",INDEX(Productos!$H:$H,$I2))</f>
        <v/>
      </c>
      <c r="F253" s="5">
        <f>IF($I2="","",INDEX(Productos!$I:$I,$I2))</f>
        <v/>
      </c>
      <c r="G253" s="135" t="n">
        <v>6</v>
      </c>
      <c r="H253" s="5">
        <f>IF($I2="","",INDEX(Productos!$AG:$AG,$I2))</f>
        <v/>
      </c>
      <c r="I253" s="136">
        <f>LET(_xlpm.r,Productos!$E$2:$E$653,_xlpm.m,IFERROR(_xlfn.XMATCH(C253,_xlpm.r),IFERROR(_xlfn.XMATCH(VALUE(C253),_xlpm.r),0)),IF(_xlpm.m=0,"",_xlpm.m+1))</f>
        <v/>
      </c>
      <c r="J253" s="137" t="inlineStr">
        <is>
          <t>NetSuite</t>
        </is>
      </c>
    </row>
    <row r="254">
      <c r="A254" s="5" t="inlineStr">
        <is>
          <t>REFLO ALMACEN</t>
        </is>
      </c>
      <c r="B254" s="5">
        <f>IF($I2="","",INDEX(Productos!$A:$A,$I2))</f>
        <v/>
      </c>
      <c r="C254" s="134" t="inlineStr">
        <is>
          <t>BOHAGRE-XXL</t>
        </is>
      </c>
      <c r="D254" s="5">
        <f>IF($I2="","",INDEX(Productos!$B:$B,$I2))</f>
        <v/>
      </c>
      <c r="E254" s="5">
        <f>IF($I2="","",INDEX(Productos!$H:$H,$I2))</f>
        <v/>
      </c>
      <c r="F254" s="5">
        <f>IF($I2="","",INDEX(Productos!$I:$I,$I2))</f>
        <v/>
      </c>
      <c r="G254" s="135" t="n">
        <v>4</v>
      </c>
      <c r="H254" s="5">
        <f>IF($I2="","",INDEX(Productos!$AG:$AG,$I2))</f>
        <v/>
      </c>
      <c r="I254" s="136">
        <f>LET(_xlpm.r,Productos!$E$2:$E$653,_xlpm.m,IFERROR(_xlfn.XMATCH(C254,_xlpm.r),IFERROR(_xlfn.XMATCH(VALUE(C254),_xlpm.r),0)),IF(_xlpm.m=0,"",_xlpm.m+1))</f>
        <v/>
      </c>
      <c r="J254" s="137" t="inlineStr">
        <is>
          <t>NetSuite</t>
        </is>
      </c>
    </row>
    <row r="255">
      <c r="A255" s="5" t="inlineStr">
        <is>
          <t>REFLO ALMACEN</t>
        </is>
      </c>
      <c r="B255" s="5">
        <f>IF($I2="","",INDEX(Productos!$A:$A,$I2))</f>
        <v/>
      </c>
      <c r="C255" s="134" t="inlineStr">
        <is>
          <t>BOHAWHI-L</t>
        </is>
      </c>
      <c r="D255" s="5">
        <f>IF($I2="","",INDEX(Productos!$B:$B,$I2))</f>
        <v/>
      </c>
      <c r="E255" s="5">
        <f>IF($I2="","",INDEX(Productos!$H:$H,$I2))</f>
        <v/>
      </c>
      <c r="F255" s="5">
        <f>IF($I2="","",INDEX(Productos!$I:$I,$I2))</f>
        <v/>
      </c>
      <c r="G255" s="135" t="n">
        <v>1</v>
      </c>
      <c r="H255" s="5">
        <f>IF($I2="","",INDEX(Productos!$AG:$AG,$I2))</f>
        <v/>
      </c>
      <c r="I255" s="136">
        <f>LET(_xlpm.r,Productos!$E$2:$E$653,_xlpm.m,IFERROR(_xlfn.XMATCH(C255,_xlpm.r),IFERROR(_xlfn.XMATCH(VALUE(C255),_xlpm.r),0)),IF(_xlpm.m=0,"",_xlpm.m+1))</f>
        <v/>
      </c>
      <c r="J255" s="137" t="inlineStr">
        <is>
          <t>NetSuite</t>
        </is>
      </c>
    </row>
    <row r="256">
      <c r="A256" s="5" t="inlineStr">
        <is>
          <t>REFLO ALMACEN</t>
        </is>
      </c>
      <c r="B256" s="5">
        <f>IF($I2="","",INDEX(Productos!$A:$A,$I2))</f>
        <v/>
      </c>
      <c r="C256" s="134" t="inlineStr">
        <is>
          <t>BOHAWHI-XL</t>
        </is>
      </c>
      <c r="D256" s="5">
        <f>IF($I2="","",INDEX(Productos!$B:$B,$I2))</f>
        <v/>
      </c>
      <c r="E256" s="5">
        <f>IF($I2="","",INDEX(Productos!$H:$H,$I2))</f>
        <v/>
      </c>
      <c r="F256" s="5">
        <f>IF($I2="","",INDEX(Productos!$I:$I,$I2))</f>
        <v/>
      </c>
      <c r="G256" s="135" t="n">
        <v>3</v>
      </c>
      <c r="H256" s="5">
        <f>IF($I2="","",INDEX(Productos!$AG:$AG,$I2))</f>
        <v/>
      </c>
      <c r="I256" s="136">
        <f>LET(_xlpm.r,Productos!$E$2:$E$653,_xlpm.m,IFERROR(_xlfn.XMATCH(C256,_xlpm.r),IFERROR(_xlfn.XMATCH(VALUE(C256),_xlpm.r),0)),IF(_xlpm.m=0,"",_xlpm.m+1))</f>
        <v/>
      </c>
      <c r="J256" s="137" t="inlineStr">
        <is>
          <t>NetSuite</t>
        </is>
      </c>
    </row>
    <row r="257">
      <c r="A257" s="5" t="inlineStr">
        <is>
          <t>REFLO ALMACEN</t>
        </is>
      </c>
      <c r="B257" s="5">
        <f>IF($I2="","",INDEX(Productos!$A:$A,$I2))</f>
        <v/>
      </c>
      <c r="C257" s="134" t="inlineStr">
        <is>
          <t>BOHAYEL-L</t>
        </is>
      </c>
      <c r="D257" s="5">
        <f>IF($I2="","",INDEX(Productos!$B:$B,$I2))</f>
        <v/>
      </c>
      <c r="E257" s="5">
        <f>IF($I2="","",INDEX(Productos!$H:$H,$I2))</f>
        <v/>
      </c>
      <c r="F257" s="5">
        <f>IF($I2="","",INDEX(Productos!$I:$I,$I2))</f>
        <v/>
      </c>
      <c r="G257" s="135" t="n">
        <v>4</v>
      </c>
      <c r="H257" s="5">
        <f>IF($I2="","",INDEX(Productos!$AG:$AG,$I2))</f>
        <v/>
      </c>
      <c r="I257" s="136">
        <f>LET(_xlpm.r,Productos!$E$2:$E$653,_xlpm.m,IFERROR(_xlfn.XMATCH(C257,_xlpm.r),IFERROR(_xlfn.XMATCH(VALUE(C257),_xlpm.r),0)),IF(_xlpm.m=0,"",_xlpm.m+1))</f>
        <v/>
      </c>
      <c r="J257" s="137" t="inlineStr">
        <is>
          <t>NetSuite</t>
        </is>
      </c>
    </row>
    <row r="258">
      <c r="A258" s="5" t="inlineStr">
        <is>
          <t>REFLO ALMACEN</t>
        </is>
      </c>
      <c r="B258" s="5">
        <f>IF($I2="","",INDEX(Productos!$A:$A,$I2))</f>
        <v/>
      </c>
      <c r="C258" s="134" t="inlineStr">
        <is>
          <t>BOHAYEL-M</t>
        </is>
      </c>
      <c r="D258" s="5">
        <f>IF($I2="","",INDEX(Productos!$B:$B,$I2))</f>
        <v/>
      </c>
      <c r="E258" s="5">
        <f>IF($I2="","",INDEX(Productos!$H:$H,$I2))</f>
        <v/>
      </c>
      <c r="F258" s="5">
        <f>IF($I2="","",INDEX(Productos!$I:$I,$I2))</f>
        <v/>
      </c>
      <c r="G258" s="135" t="n">
        <v>3</v>
      </c>
      <c r="H258" s="5">
        <f>IF($I2="","",INDEX(Productos!$AG:$AG,$I2))</f>
        <v/>
      </c>
      <c r="I258" s="136">
        <f>LET(_xlpm.r,Productos!$E$2:$E$653,_xlpm.m,IFERROR(_xlfn.XMATCH(C258,_xlpm.r),IFERROR(_xlfn.XMATCH(VALUE(C258),_xlpm.r),0)),IF(_xlpm.m=0,"",_xlpm.m+1))</f>
        <v/>
      </c>
      <c r="J258" s="137" t="inlineStr">
        <is>
          <t>NetSuite</t>
        </is>
      </c>
    </row>
    <row r="259">
      <c r="A259" s="5" t="inlineStr">
        <is>
          <t>REFLO ALMACEN</t>
        </is>
      </c>
      <c r="B259" s="5">
        <f>IF($I2="","",INDEX(Productos!$A:$A,$I2))</f>
        <v/>
      </c>
      <c r="C259" s="134" t="inlineStr">
        <is>
          <t>BOHAYEL-XL</t>
        </is>
      </c>
      <c r="D259" s="5">
        <f>IF($I2="","",INDEX(Productos!$B:$B,$I2))</f>
        <v/>
      </c>
      <c r="E259" s="5">
        <f>IF($I2="","",INDEX(Productos!$H:$H,$I2))</f>
        <v/>
      </c>
      <c r="F259" s="5">
        <f>IF($I2="","",INDEX(Productos!$I:$I,$I2))</f>
        <v/>
      </c>
      <c r="G259" s="135" t="n">
        <v>6</v>
      </c>
      <c r="H259" s="5">
        <f>IF($I2="","",INDEX(Productos!$AG:$AG,$I2))</f>
        <v/>
      </c>
      <c r="I259" s="136">
        <f>LET(_xlpm.r,Productos!$E$2:$E$653,_xlpm.m,IFERROR(_xlfn.XMATCH(C259,_xlpm.r),IFERROR(_xlfn.XMATCH(VALUE(C259),_xlpm.r),0)),IF(_xlpm.m=0,"",_xlpm.m+1))</f>
        <v/>
      </c>
      <c r="J259" s="137" t="inlineStr">
        <is>
          <t>NetSuite</t>
        </is>
      </c>
    </row>
    <row r="260">
      <c r="A260" s="5" t="inlineStr">
        <is>
          <t>REFLO ALMACEN</t>
        </is>
      </c>
      <c r="B260" s="5">
        <f>IF($I2="","",INDEX(Productos!$A:$A,$I2))</f>
        <v/>
      </c>
      <c r="C260" s="134" t="inlineStr">
        <is>
          <t>BOHAYEL-XXL</t>
        </is>
      </c>
      <c r="D260" s="5">
        <f>IF($I2="","",INDEX(Productos!$B:$B,$I2))</f>
        <v/>
      </c>
      <c r="E260" s="5">
        <f>IF($I2="","",INDEX(Productos!$H:$H,$I2))</f>
        <v/>
      </c>
      <c r="F260" s="5">
        <f>IF($I2="","",INDEX(Productos!$I:$I,$I2))</f>
        <v/>
      </c>
      <c r="G260" s="135" t="n">
        <v>3</v>
      </c>
      <c r="H260" s="5">
        <f>IF($I2="","",INDEX(Productos!$AG:$AG,$I2))</f>
        <v/>
      </c>
      <c r="I260" s="136">
        <f>LET(_xlpm.r,Productos!$E$2:$E$653,_xlpm.m,IFERROR(_xlfn.XMATCH(C260,_xlpm.r),IFERROR(_xlfn.XMATCH(VALUE(C260),_xlpm.r),0)),IF(_xlpm.m=0,"",_xlpm.m+1))</f>
        <v/>
      </c>
      <c r="J260" s="137" t="inlineStr">
        <is>
          <t>NetSuite</t>
        </is>
      </c>
    </row>
    <row r="261">
      <c r="A261" s="5" t="inlineStr">
        <is>
          <t>REFLO ALMACEN</t>
        </is>
      </c>
      <c r="B261" s="5">
        <f>IF($I2="","",INDEX(Productos!$A:$A,$I2))</f>
        <v/>
      </c>
      <c r="C261" s="134" t="inlineStr">
        <is>
          <t>BOHCOR-2XL</t>
        </is>
      </c>
      <c r="D261" s="5">
        <f>IF($I2="","",INDEX(Productos!$B:$B,$I2))</f>
        <v/>
      </c>
      <c r="E261" s="5">
        <f>IF($I2="","",INDEX(Productos!$H:$H,$I2))</f>
        <v/>
      </c>
      <c r="F261" s="5">
        <f>IF($I2="","",INDEX(Productos!$I:$I,$I2))</f>
        <v/>
      </c>
      <c r="G261" s="135" t="n">
        <v>1</v>
      </c>
      <c r="H261" s="5">
        <f>IF($I2="","",INDEX(Productos!$AG:$AG,$I2))</f>
        <v/>
      </c>
      <c r="I261" s="136">
        <f>LET(_xlpm.r,Productos!$E$2:$E$653,_xlpm.m,IFERROR(_xlfn.XMATCH(C261,_xlpm.r),IFERROR(_xlfn.XMATCH(VALUE(C261),_xlpm.r),0)),IF(_xlpm.m=0,"",_xlpm.m+1))</f>
        <v/>
      </c>
      <c r="J261" s="137" t="inlineStr">
        <is>
          <t>NetSuite</t>
        </is>
      </c>
    </row>
    <row r="262">
      <c r="A262" s="5" t="inlineStr">
        <is>
          <t>REFLO ALMACEN</t>
        </is>
      </c>
      <c r="B262" s="5">
        <f>IF($I2="","",INDEX(Productos!$A:$A,$I2))</f>
        <v/>
      </c>
      <c r="C262" s="134" t="inlineStr">
        <is>
          <t>BOHCOR-L</t>
        </is>
      </c>
      <c r="D262" s="5">
        <f>IF($I2="","",INDEX(Productos!$B:$B,$I2))</f>
        <v/>
      </c>
      <c r="E262" s="5">
        <f>IF($I2="","",INDEX(Productos!$H:$H,$I2))</f>
        <v/>
      </c>
      <c r="F262" s="5">
        <f>IF($I2="","",INDEX(Productos!$I:$I,$I2))</f>
        <v/>
      </c>
      <c r="G262" s="135" t="n">
        <v>2</v>
      </c>
      <c r="H262" s="5">
        <f>IF($I2="","",INDEX(Productos!$AG:$AG,$I2))</f>
        <v/>
      </c>
      <c r="I262" s="136">
        <f>LET(_xlpm.r,Productos!$E$2:$E$653,_xlpm.m,IFERROR(_xlfn.XMATCH(C262,_xlpm.r),IFERROR(_xlfn.XMATCH(VALUE(C262),_xlpm.r),0)),IF(_xlpm.m=0,"",_xlpm.m+1))</f>
        <v/>
      </c>
      <c r="J262" s="137" t="inlineStr">
        <is>
          <t>NetSuite</t>
        </is>
      </c>
    </row>
    <row r="263">
      <c r="A263" s="5" t="inlineStr">
        <is>
          <t>REFLO ALMACEN</t>
        </is>
      </c>
      <c r="B263" s="5">
        <f>IF($I2="","",INDEX(Productos!$A:$A,$I2))</f>
        <v/>
      </c>
      <c r="C263" s="134" t="inlineStr">
        <is>
          <t>BOHCOR-M</t>
        </is>
      </c>
      <c r="D263" s="5">
        <f>IF($I2="","",INDEX(Productos!$B:$B,$I2))</f>
        <v/>
      </c>
      <c r="E263" s="5">
        <f>IF($I2="","",INDEX(Productos!$H:$H,$I2))</f>
        <v/>
      </c>
      <c r="F263" s="5">
        <f>IF($I2="","",INDEX(Productos!$I:$I,$I2))</f>
        <v/>
      </c>
      <c r="G263" s="135" t="n">
        <v>3</v>
      </c>
      <c r="H263" s="5">
        <f>IF($I2="","",INDEX(Productos!$AG:$AG,$I2))</f>
        <v/>
      </c>
      <c r="I263" s="136">
        <f>LET(_xlpm.r,Productos!$E$2:$E$653,_xlpm.m,IFERROR(_xlfn.XMATCH(C263,_xlpm.r),IFERROR(_xlfn.XMATCH(VALUE(C263),_xlpm.r),0)),IF(_xlpm.m=0,"",_xlpm.m+1))</f>
        <v/>
      </c>
      <c r="J263" s="137" t="inlineStr">
        <is>
          <t>NetSuite</t>
        </is>
      </c>
    </row>
    <row r="264">
      <c r="A264" s="5" t="inlineStr">
        <is>
          <t>REFLO ALMACEN</t>
        </is>
      </c>
      <c r="B264" s="5">
        <f>IF($I2="","",INDEX(Productos!$A:$A,$I2))</f>
        <v/>
      </c>
      <c r="C264" s="134" t="inlineStr">
        <is>
          <t>BOHCOR-XL</t>
        </is>
      </c>
      <c r="D264" s="5">
        <f>IF($I2="","",INDEX(Productos!$B:$B,$I2))</f>
        <v/>
      </c>
      <c r="E264" s="5">
        <f>IF($I2="","",INDEX(Productos!$H:$H,$I2))</f>
        <v/>
      </c>
      <c r="F264" s="5">
        <f>IF($I2="","",INDEX(Productos!$I:$I,$I2))</f>
        <v/>
      </c>
      <c r="G264" s="135" t="n">
        <v>5</v>
      </c>
      <c r="H264" s="5">
        <f>IF($I2="","",INDEX(Productos!$AG:$AG,$I2))</f>
        <v/>
      </c>
      <c r="I264" s="136">
        <f>LET(_xlpm.r,Productos!$E$2:$E$653,_xlpm.m,IFERROR(_xlfn.XMATCH(C264,_xlpm.r),IFERROR(_xlfn.XMATCH(VALUE(C264),_xlpm.r),0)),IF(_xlpm.m=0,"",_xlpm.m+1))</f>
        <v/>
      </c>
      <c r="J264" s="137" t="inlineStr">
        <is>
          <t>NetSuite</t>
        </is>
      </c>
    </row>
    <row r="265">
      <c r="A265" s="5" t="inlineStr">
        <is>
          <t>REFLO ALMACEN</t>
        </is>
      </c>
      <c r="B265" s="5">
        <f>IF($I2="","",INDEX(Productos!$A:$A,$I2))</f>
        <v/>
      </c>
      <c r="C265" s="134" t="inlineStr">
        <is>
          <t>BOHDAR-2XL</t>
        </is>
      </c>
      <c r="D265" s="5">
        <f>IF($I2="","",INDEX(Productos!$B:$B,$I2))</f>
        <v/>
      </c>
      <c r="E265" s="5">
        <f>IF($I2="","",INDEX(Productos!$H:$H,$I2))</f>
        <v/>
      </c>
      <c r="F265" s="5">
        <f>IF($I2="","",INDEX(Productos!$I:$I,$I2))</f>
        <v/>
      </c>
      <c r="G265" s="135" t="n">
        <v>2</v>
      </c>
      <c r="H265" s="5">
        <f>IF($I2="","",INDEX(Productos!$AG:$AG,$I2))</f>
        <v/>
      </c>
      <c r="I265" s="136">
        <f>LET(_xlpm.r,Productos!$E$2:$E$653,_xlpm.m,IFERROR(_xlfn.XMATCH(C265,_xlpm.r),IFERROR(_xlfn.XMATCH(VALUE(C265),_xlpm.r),0)),IF(_xlpm.m=0,"",_xlpm.m+1))</f>
        <v/>
      </c>
      <c r="J265" s="137" t="inlineStr">
        <is>
          <t>NetSuite</t>
        </is>
      </c>
    </row>
    <row r="266">
      <c r="A266" s="5" t="inlineStr">
        <is>
          <t>REFLO ALMACEN</t>
        </is>
      </c>
      <c r="B266" s="5">
        <f>IF($I2="","",INDEX(Productos!$A:$A,$I2))</f>
        <v/>
      </c>
      <c r="C266" s="134" t="inlineStr">
        <is>
          <t>BOHDAR-L</t>
        </is>
      </c>
      <c r="D266" s="5">
        <f>IF($I2="","",INDEX(Productos!$B:$B,$I2))</f>
        <v/>
      </c>
      <c r="E266" s="5">
        <f>IF($I2="","",INDEX(Productos!$H:$H,$I2))</f>
        <v/>
      </c>
      <c r="F266" s="5">
        <f>IF($I2="","",INDEX(Productos!$I:$I,$I2))</f>
        <v/>
      </c>
      <c r="G266" s="135" t="n">
        <v>1</v>
      </c>
      <c r="H266" s="5">
        <f>IF($I2="","",INDEX(Productos!$AG:$AG,$I2))</f>
        <v/>
      </c>
      <c r="I266" s="136">
        <f>LET(_xlpm.r,Productos!$E$2:$E$653,_xlpm.m,IFERROR(_xlfn.XMATCH(C266,_xlpm.r),IFERROR(_xlfn.XMATCH(VALUE(C266),_xlpm.r),0)),IF(_xlpm.m=0,"",_xlpm.m+1))</f>
        <v/>
      </c>
      <c r="J266" s="137" t="inlineStr">
        <is>
          <t>NetSuite</t>
        </is>
      </c>
    </row>
    <row r="267">
      <c r="A267" s="5" t="inlineStr">
        <is>
          <t>REFLO ALMACEN</t>
        </is>
      </c>
      <c r="B267" s="5">
        <f>IF($I2="","",INDEX(Productos!$A:$A,$I2))</f>
        <v/>
      </c>
      <c r="C267" s="134" t="inlineStr">
        <is>
          <t>BOHDAR-M</t>
        </is>
      </c>
      <c r="D267" s="5">
        <f>IF($I2="","",INDEX(Productos!$B:$B,$I2))</f>
        <v/>
      </c>
      <c r="E267" s="5">
        <f>IF($I2="","",INDEX(Productos!$H:$H,$I2))</f>
        <v/>
      </c>
      <c r="F267" s="5">
        <f>IF($I2="","",INDEX(Productos!$I:$I,$I2))</f>
        <v/>
      </c>
      <c r="G267" s="135" t="n">
        <v>3</v>
      </c>
      <c r="H267" s="5">
        <f>IF($I2="","",INDEX(Productos!$AG:$AG,$I2))</f>
        <v/>
      </c>
      <c r="I267" s="136">
        <f>LET(_xlpm.r,Productos!$E$2:$E$653,_xlpm.m,IFERROR(_xlfn.XMATCH(C267,_xlpm.r),IFERROR(_xlfn.XMATCH(VALUE(C267),_xlpm.r),0)),IF(_xlpm.m=0,"",_xlpm.m+1))</f>
        <v/>
      </c>
      <c r="J267" s="137" t="inlineStr">
        <is>
          <t>NetSuite</t>
        </is>
      </c>
    </row>
    <row r="268">
      <c r="A268" s="5" t="inlineStr">
        <is>
          <t>REFLO ALMACEN</t>
        </is>
      </c>
      <c r="B268" s="5">
        <f>IF($I2="","",INDEX(Productos!$A:$A,$I2))</f>
        <v/>
      </c>
      <c r="C268" s="134" t="inlineStr">
        <is>
          <t>BOHDAR-XL</t>
        </is>
      </c>
      <c r="D268" s="5">
        <f>IF($I2="","",INDEX(Productos!$B:$B,$I2))</f>
        <v/>
      </c>
      <c r="E268" s="5">
        <f>IF($I2="","",INDEX(Productos!$H:$H,$I2))</f>
        <v/>
      </c>
      <c r="F268" s="5">
        <f>IF($I2="","",INDEX(Productos!$I:$I,$I2))</f>
        <v/>
      </c>
      <c r="G268" s="135" t="n">
        <v>5</v>
      </c>
      <c r="H268" s="5">
        <f>IF($I2="","",INDEX(Productos!$AG:$AG,$I2))</f>
        <v/>
      </c>
      <c r="I268" s="136">
        <f>LET(_xlpm.r,Productos!$E$2:$E$653,_xlpm.m,IFERROR(_xlfn.XMATCH(C268,_xlpm.r),IFERROR(_xlfn.XMATCH(VALUE(C268),_xlpm.r),0)),IF(_xlpm.m=0,"",_xlpm.m+1))</f>
        <v/>
      </c>
      <c r="J268" s="137" t="inlineStr">
        <is>
          <t>NetSuite</t>
        </is>
      </c>
    </row>
    <row r="269">
      <c r="A269" s="5" t="inlineStr">
        <is>
          <t>REFLO ALMACEN</t>
        </is>
      </c>
      <c r="B269" s="5">
        <f>IF($I2="","",INDEX(Productos!$A:$A,$I2))</f>
        <v/>
      </c>
      <c r="C269" s="134" t="inlineStr">
        <is>
          <t>BOHMED-2XL</t>
        </is>
      </c>
      <c r="D269" s="5">
        <f>IF($I2="","",INDEX(Productos!$B:$B,$I2))</f>
        <v/>
      </c>
      <c r="E269" s="5">
        <f>IF($I2="","",INDEX(Productos!$H:$H,$I2))</f>
        <v/>
      </c>
      <c r="F269" s="5">
        <f>IF($I2="","",INDEX(Productos!$I:$I,$I2))</f>
        <v/>
      </c>
      <c r="G269" s="135" t="n">
        <v>2</v>
      </c>
      <c r="H269" s="5">
        <f>IF($I2="","",INDEX(Productos!$AG:$AG,$I2))</f>
        <v/>
      </c>
      <c r="I269" s="136">
        <f>LET(_xlpm.r,Productos!$E$2:$E$653,_xlpm.m,IFERROR(_xlfn.XMATCH(C269,_xlpm.r),IFERROR(_xlfn.XMATCH(VALUE(C269),_xlpm.r),0)),IF(_xlpm.m=0,"",_xlpm.m+1))</f>
        <v/>
      </c>
      <c r="J269" s="137" t="inlineStr">
        <is>
          <t>NetSuite</t>
        </is>
      </c>
    </row>
    <row r="270">
      <c r="A270" s="5" t="inlineStr">
        <is>
          <t>REFLO ALMACEN</t>
        </is>
      </c>
      <c r="B270" s="5">
        <f>IF($I2="","",INDEX(Productos!$A:$A,$I2))</f>
        <v/>
      </c>
      <c r="C270" s="134" t="inlineStr">
        <is>
          <t>BOHMED-L</t>
        </is>
      </c>
      <c r="D270" s="5">
        <f>IF($I2="","",INDEX(Productos!$B:$B,$I2))</f>
        <v/>
      </c>
      <c r="E270" s="5">
        <f>IF($I2="","",INDEX(Productos!$H:$H,$I2))</f>
        <v/>
      </c>
      <c r="F270" s="5">
        <f>IF($I2="","",INDEX(Productos!$I:$I,$I2))</f>
        <v/>
      </c>
      <c r="G270" s="135" t="n">
        <v>3</v>
      </c>
      <c r="H270" s="5">
        <f>IF($I2="","",INDEX(Productos!$AG:$AG,$I2))</f>
        <v/>
      </c>
      <c r="I270" s="136">
        <f>LET(_xlpm.r,Productos!$E$2:$E$653,_xlpm.m,IFERROR(_xlfn.XMATCH(C270,_xlpm.r),IFERROR(_xlfn.XMATCH(VALUE(C270),_xlpm.r),0)),IF(_xlpm.m=0,"",_xlpm.m+1))</f>
        <v/>
      </c>
      <c r="J270" s="137" t="inlineStr">
        <is>
          <t>NetSuite</t>
        </is>
      </c>
    </row>
    <row r="271">
      <c r="A271" s="5" t="inlineStr">
        <is>
          <t>REFLO ALMACEN</t>
        </is>
      </c>
      <c r="B271" s="5">
        <f>IF($I2="","",INDEX(Productos!$A:$A,$I2))</f>
        <v/>
      </c>
      <c r="C271" s="134" t="inlineStr">
        <is>
          <t>BOHMED-M</t>
        </is>
      </c>
      <c r="D271" s="5">
        <f>IF($I2="","",INDEX(Productos!$B:$B,$I2))</f>
        <v/>
      </c>
      <c r="E271" s="5">
        <f>IF($I2="","",INDEX(Productos!$H:$H,$I2))</f>
        <v/>
      </c>
      <c r="F271" s="5">
        <f>IF($I2="","",INDEX(Productos!$I:$I,$I2))</f>
        <v/>
      </c>
      <c r="G271" s="135" t="n">
        <v>3</v>
      </c>
      <c r="H271" s="5">
        <f>IF($I2="","",INDEX(Productos!$AG:$AG,$I2))</f>
        <v/>
      </c>
      <c r="I271" s="136">
        <f>LET(_xlpm.r,Productos!$E$2:$E$653,_xlpm.m,IFERROR(_xlfn.XMATCH(C271,_xlpm.r),IFERROR(_xlfn.XMATCH(VALUE(C271),_xlpm.r),0)),IF(_xlpm.m=0,"",_xlpm.m+1))</f>
        <v/>
      </c>
      <c r="J271" s="137" t="inlineStr">
        <is>
          <t>NetSuite</t>
        </is>
      </c>
    </row>
    <row r="272">
      <c r="A272" s="5" t="inlineStr">
        <is>
          <t>REFLO ALMACEN</t>
        </is>
      </c>
      <c r="B272" s="5">
        <f>IF($I2="","",INDEX(Productos!$A:$A,$I2))</f>
        <v/>
      </c>
      <c r="C272" s="134" t="inlineStr">
        <is>
          <t>BOHMED-XL</t>
        </is>
      </c>
      <c r="D272" s="5">
        <f>IF($I2="","",INDEX(Productos!$B:$B,$I2))</f>
        <v/>
      </c>
      <c r="E272" s="5">
        <f>IF($I2="","",INDEX(Productos!$H:$H,$I2))</f>
        <v/>
      </c>
      <c r="F272" s="5">
        <f>IF($I2="","",INDEX(Productos!$I:$I,$I2))</f>
        <v/>
      </c>
      <c r="G272" s="135" t="n">
        <v>6</v>
      </c>
      <c r="H272" s="5">
        <f>IF($I2="","",INDEX(Productos!$AG:$AG,$I2))</f>
        <v/>
      </c>
      <c r="I272" s="136">
        <f>LET(_xlpm.r,Productos!$E$2:$E$653,_xlpm.m,IFERROR(_xlfn.XMATCH(C272,_xlpm.r),IFERROR(_xlfn.XMATCH(VALUE(C272),_xlpm.r),0)),IF(_xlpm.m=0,"",_xlpm.m+1))</f>
        <v/>
      </c>
      <c r="J272" s="137" t="inlineStr">
        <is>
          <t>NetSuite</t>
        </is>
      </c>
    </row>
    <row r="273">
      <c r="A273" s="5" t="inlineStr">
        <is>
          <t>REFLO ALMACEN</t>
        </is>
      </c>
      <c r="B273" s="5">
        <f>IF($I2="","",INDEX(Productos!$A:$A,$I2))</f>
        <v/>
      </c>
      <c r="C273" s="134" t="inlineStr">
        <is>
          <t>BOHQUA-2XL</t>
        </is>
      </c>
      <c r="D273" s="5">
        <f>IF($I2="","",INDEX(Productos!$B:$B,$I2))</f>
        <v/>
      </c>
      <c r="E273" s="5">
        <f>IF($I2="","",INDEX(Productos!$H:$H,$I2))</f>
        <v/>
      </c>
      <c r="F273" s="5">
        <f>IF($I2="","",INDEX(Productos!$I:$I,$I2))</f>
        <v/>
      </c>
      <c r="G273" s="135" t="n">
        <v>4</v>
      </c>
      <c r="H273" s="5">
        <f>IF($I2="","",INDEX(Productos!$AG:$AG,$I2))</f>
        <v/>
      </c>
      <c r="I273" s="136">
        <f>LET(_xlpm.r,Productos!$E$2:$E$653,_xlpm.m,IFERROR(_xlfn.XMATCH(C273,_xlpm.r),IFERROR(_xlfn.XMATCH(VALUE(C273),_xlpm.r),0)),IF(_xlpm.m=0,"",_xlpm.m+1))</f>
        <v/>
      </c>
      <c r="J273" s="137" t="inlineStr">
        <is>
          <t>NetSuite</t>
        </is>
      </c>
    </row>
    <row r="274">
      <c r="A274" s="5" t="inlineStr">
        <is>
          <t>REFLO ALMACEN</t>
        </is>
      </c>
      <c r="B274" s="5">
        <f>IF($I2="","",INDEX(Productos!$A:$A,$I2))</f>
        <v/>
      </c>
      <c r="C274" s="134" t="inlineStr">
        <is>
          <t>BOHQUA-L</t>
        </is>
      </c>
      <c r="D274" s="5">
        <f>IF($I2="","",INDEX(Productos!$B:$B,$I2))</f>
        <v/>
      </c>
      <c r="E274" s="5">
        <f>IF($I2="","",INDEX(Productos!$H:$H,$I2))</f>
        <v/>
      </c>
      <c r="F274" s="5">
        <f>IF($I2="","",INDEX(Productos!$I:$I,$I2))</f>
        <v/>
      </c>
      <c r="G274" s="135" t="n">
        <v>4</v>
      </c>
      <c r="H274" s="5">
        <f>IF($I2="","",INDEX(Productos!$AG:$AG,$I2))</f>
        <v/>
      </c>
      <c r="I274" s="136">
        <f>LET(_xlpm.r,Productos!$E$2:$E$653,_xlpm.m,IFERROR(_xlfn.XMATCH(C274,_xlpm.r),IFERROR(_xlfn.XMATCH(VALUE(C274),_xlpm.r),0)),IF(_xlpm.m=0,"",_xlpm.m+1))</f>
        <v/>
      </c>
      <c r="J274" s="137" t="inlineStr">
        <is>
          <t>NetSuite</t>
        </is>
      </c>
    </row>
    <row r="275">
      <c r="A275" s="5" t="inlineStr">
        <is>
          <t>REFLO ALMACEN</t>
        </is>
      </c>
      <c r="B275" s="5">
        <f>IF($I2="","",INDEX(Productos!$A:$A,$I2))</f>
        <v/>
      </c>
      <c r="C275" s="134" t="inlineStr">
        <is>
          <t>BOHQUA-M</t>
        </is>
      </c>
      <c r="D275" s="5">
        <f>IF($I2="","",INDEX(Productos!$B:$B,$I2))</f>
        <v/>
      </c>
      <c r="E275" s="5">
        <f>IF($I2="","",INDEX(Productos!$H:$H,$I2))</f>
        <v/>
      </c>
      <c r="F275" s="5">
        <f>IF($I2="","",INDEX(Productos!$I:$I,$I2))</f>
        <v/>
      </c>
      <c r="G275" s="135" t="n">
        <v>4</v>
      </c>
      <c r="H275" s="5">
        <f>IF($I2="","",INDEX(Productos!$AG:$AG,$I2))</f>
        <v/>
      </c>
      <c r="I275" s="136">
        <f>LET(_xlpm.r,Productos!$E$2:$E$653,_xlpm.m,IFERROR(_xlfn.XMATCH(C275,_xlpm.r),IFERROR(_xlfn.XMATCH(VALUE(C275),_xlpm.r),0)),IF(_xlpm.m=0,"",_xlpm.m+1))</f>
        <v/>
      </c>
      <c r="J275" s="137" t="inlineStr">
        <is>
          <t>NetSuite</t>
        </is>
      </c>
    </row>
    <row r="276">
      <c r="A276" s="5" t="inlineStr">
        <is>
          <t>REFLO ALMACEN</t>
        </is>
      </c>
      <c r="B276" s="5">
        <f>IF($I2="","",INDEX(Productos!$A:$A,$I2))</f>
        <v/>
      </c>
      <c r="C276" s="134" t="inlineStr">
        <is>
          <t>BOHQUA-S</t>
        </is>
      </c>
      <c r="D276" s="5">
        <f>IF($I2="","",INDEX(Productos!$B:$B,$I2))</f>
        <v/>
      </c>
      <c r="E276" s="5">
        <f>IF($I2="","",INDEX(Productos!$H:$H,$I2))</f>
        <v/>
      </c>
      <c r="F276" s="5">
        <f>IF($I2="","",INDEX(Productos!$I:$I,$I2))</f>
        <v/>
      </c>
      <c r="G276" s="135" t="n">
        <v>3</v>
      </c>
      <c r="H276" s="5">
        <f>IF($I2="","",INDEX(Productos!$AG:$AG,$I2))</f>
        <v/>
      </c>
      <c r="I276" s="136">
        <f>LET(_xlpm.r,Productos!$E$2:$E$653,_xlpm.m,IFERROR(_xlfn.XMATCH(C276,_xlpm.r),IFERROR(_xlfn.XMATCH(VALUE(C276),_xlpm.r),0)),IF(_xlpm.m=0,"",_xlpm.m+1))</f>
        <v/>
      </c>
      <c r="J276" s="137" t="inlineStr">
        <is>
          <t>NetSuite</t>
        </is>
      </c>
    </row>
    <row r="277">
      <c r="A277" s="5" t="inlineStr">
        <is>
          <t>REFLO ALMACEN</t>
        </is>
      </c>
      <c r="B277" s="5">
        <f>IF($I2="","",INDEX(Productos!$A:$A,$I2))</f>
        <v/>
      </c>
      <c r="C277" s="134" t="inlineStr">
        <is>
          <t>BOHQUA-XL</t>
        </is>
      </c>
      <c r="D277" s="5">
        <f>IF($I2="","",INDEX(Productos!$B:$B,$I2))</f>
        <v/>
      </c>
      <c r="E277" s="5">
        <f>IF($I2="","",INDEX(Productos!$H:$H,$I2))</f>
        <v/>
      </c>
      <c r="F277" s="5">
        <f>IF($I2="","",INDEX(Productos!$I:$I,$I2))</f>
        <v/>
      </c>
      <c r="G277" s="135" t="n">
        <v>7</v>
      </c>
      <c r="H277" s="5">
        <f>IF($I2="","",INDEX(Productos!$AG:$AG,$I2))</f>
        <v/>
      </c>
      <c r="I277" s="136">
        <f>LET(_xlpm.r,Productos!$E$2:$E$653,_xlpm.m,IFERROR(_xlfn.XMATCH(C277,_xlpm.r),IFERROR(_xlfn.XMATCH(VALUE(C277),_xlpm.r),0)),IF(_xlpm.m=0,"",_xlpm.m+1))</f>
        <v/>
      </c>
      <c r="J277" s="137" t="inlineStr">
        <is>
          <t>NetSuite</t>
        </is>
      </c>
    </row>
    <row r="278">
      <c r="A278" s="5" t="inlineStr">
        <is>
          <t>REFLO ALMACEN</t>
        </is>
      </c>
      <c r="B278" s="5">
        <f>IF($I2="","",INDEX(Productos!$A:$A,$I2))</f>
        <v/>
      </c>
      <c r="C278" s="134" t="inlineStr">
        <is>
          <t>BOHTAN-2XL</t>
        </is>
      </c>
      <c r="D278" s="5">
        <f>IF($I2="","",INDEX(Productos!$B:$B,$I2))</f>
        <v/>
      </c>
      <c r="E278" s="5">
        <f>IF($I2="","",INDEX(Productos!$H:$H,$I2))</f>
        <v/>
      </c>
      <c r="F278" s="5">
        <f>IF($I2="","",INDEX(Productos!$I:$I,$I2))</f>
        <v/>
      </c>
      <c r="G278" s="135" t="n">
        <v>2</v>
      </c>
      <c r="H278" s="5">
        <f>IF($I2="","",INDEX(Productos!$AG:$AG,$I2))</f>
        <v/>
      </c>
      <c r="I278" s="136">
        <f>LET(_xlpm.r,Productos!$E$2:$E$653,_xlpm.m,IFERROR(_xlfn.XMATCH(C278,_xlpm.r),IFERROR(_xlfn.XMATCH(VALUE(C278),_xlpm.r),0)),IF(_xlpm.m=0,"",_xlpm.m+1))</f>
        <v/>
      </c>
      <c r="J278" s="137" t="inlineStr">
        <is>
          <t>NetSuite</t>
        </is>
      </c>
    </row>
    <row r="279">
      <c r="A279" s="5" t="inlineStr">
        <is>
          <t>REFLO ALMACEN</t>
        </is>
      </c>
      <c r="B279" s="5">
        <f>IF($I2="","",INDEX(Productos!$A:$A,$I2))</f>
        <v/>
      </c>
      <c r="C279" s="134" t="inlineStr">
        <is>
          <t>BOHTAN-L</t>
        </is>
      </c>
      <c r="D279" s="5">
        <f>IF($I2="","",INDEX(Productos!$B:$B,$I2))</f>
        <v/>
      </c>
      <c r="E279" s="5">
        <f>IF($I2="","",INDEX(Productos!$H:$H,$I2))</f>
        <v/>
      </c>
      <c r="F279" s="5">
        <f>IF($I2="","",INDEX(Productos!$I:$I,$I2))</f>
        <v/>
      </c>
      <c r="G279" s="135" t="n">
        <v>4</v>
      </c>
      <c r="H279" s="5">
        <f>IF($I2="","",INDEX(Productos!$AG:$AG,$I2))</f>
        <v/>
      </c>
      <c r="I279" s="136">
        <f>LET(_xlpm.r,Productos!$E$2:$E$653,_xlpm.m,IFERROR(_xlfn.XMATCH(C279,_xlpm.r),IFERROR(_xlfn.XMATCH(VALUE(C279),_xlpm.r),0)),IF(_xlpm.m=0,"",_xlpm.m+1))</f>
        <v/>
      </c>
      <c r="J279" s="137" t="inlineStr">
        <is>
          <t>NetSuite</t>
        </is>
      </c>
    </row>
    <row r="280">
      <c r="A280" s="5" t="inlineStr">
        <is>
          <t>REFLO ALMACEN</t>
        </is>
      </c>
      <c r="B280" s="5">
        <f>IF($I2="","",INDEX(Productos!$A:$A,$I2))</f>
        <v/>
      </c>
      <c r="C280" s="134" t="inlineStr">
        <is>
          <t>BOHTAN-M</t>
        </is>
      </c>
      <c r="D280" s="5">
        <f>IF($I2="","",INDEX(Productos!$B:$B,$I2))</f>
        <v/>
      </c>
      <c r="E280" s="5">
        <f>IF($I2="","",INDEX(Productos!$H:$H,$I2))</f>
        <v/>
      </c>
      <c r="F280" s="5">
        <f>IF($I2="","",INDEX(Productos!$I:$I,$I2))</f>
        <v/>
      </c>
      <c r="G280" s="135" t="n">
        <v>3</v>
      </c>
      <c r="H280" s="5">
        <f>IF($I2="","",INDEX(Productos!$AG:$AG,$I2))</f>
        <v/>
      </c>
      <c r="I280" s="136">
        <f>LET(_xlpm.r,Productos!$E$2:$E$653,_xlpm.m,IFERROR(_xlfn.XMATCH(C280,_xlpm.r),IFERROR(_xlfn.XMATCH(VALUE(C280),_xlpm.r),0)),IF(_xlpm.m=0,"",_xlpm.m+1))</f>
        <v/>
      </c>
      <c r="J280" s="137" t="inlineStr">
        <is>
          <t>NetSuite</t>
        </is>
      </c>
    </row>
    <row r="281">
      <c r="A281" s="5" t="inlineStr">
        <is>
          <t>REFLO ALMACEN</t>
        </is>
      </c>
      <c r="B281" s="5">
        <f>IF($I2="","",INDEX(Productos!$A:$A,$I2))</f>
        <v/>
      </c>
      <c r="C281" s="134" t="inlineStr">
        <is>
          <t>BOHTAN-S</t>
        </is>
      </c>
      <c r="D281" s="5">
        <f>IF($I2="","",INDEX(Productos!$B:$B,$I2))</f>
        <v/>
      </c>
      <c r="E281" s="5">
        <f>IF($I2="","",INDEX(Productos!$H:$H,$I2))</f>
        <v/>
      </c>
      <c r="F281" s="5">
        <f>IF($I2="","",INDEX(Productos!$I:$I,$I2))</f>
        <v/>
      </c>
      <c r="G281" s="135" t="n">
        <v>2</v>
      </c>
      <c r="H281" s="5">
        <f>IF($I2="","",INDEX(Productos!$AG:$AG,$I2))</f>
        <v/>
      </c>
      <c r="I281" s="136">
        <f>LET(_xlpm.r,Productos!$E$2:$E$653,_xlpm.m,IFERROR(_xlfn.XMATCH(C281,_xlpm.r),IFERROR(_xlfn.XMATCH(VALUE(C281),_xlpm.r),0)),IF(_xlpm.m=0,"",_xlpm.m+1))</f>
        <v/>
      </c>
      <c r="J281" s="137" t="inlineStr">
        <is>
          <t>NetSuite</t>
        </is>
      </c>
    </row>
    <row r="282">
      <c r="A282" s="5" t="inlineStr">
        <is>
          <t>REFLO ALMACEN</t>
        </is>
      </c>
      <c r="B282" s="5">
        <f>IF($I2="","",INDEX(Productos!$A:$A,$I2))</f>
        <v/>
      </c>
      <c r="C282" s="134" t="inlineStr">
        <is>
          <t>BOHTAN-XL</t>
        </is>
      </c>
      <c r="D282" s="5">
        <f>IF($I2="","",INDEX(Productos!$B:$B,$I2))</f>
        <v/>
      </c>
      <c r="E282" s="5">
        <f>IF($I2="","",INDEX(Productos!$H:$H,$I2))</f>
        <v/>
      </c>
      <c r="F282" s="5">
        <f>IF($I2="","",INDEX(Productos!$I:$I,$I2))</f>
        <v/>
      </c>
      <c r="G282" s="135" t="n">
        <v>6</v>
      </c>
      <c r="H282" s="5">
        <f>IF($I2="","",INDEX(Productos!$AG:$AG,$I2))</f>
        <v/>
      </c>
      <c r="I282" s="136">
        <f>LET(_xlpm.r,Productos!$E$2:$E$653,_xlpm.m,IFERROR(_xlfn.XMATCH(C282,_xlpm.r),IFERROR(_xlfn.XMATCH(VALUE(C282),_xlpm.r),0)),IF(_xlpm.m=0,"",_xlpm.m+1))</f>
        <v/>
      </c>
      <c r="J282" s="137" t="inlineStr">
        <is>
          <t>NetSuite</t>
        </is>
      </c>
    </row>
    <row r="283">
      <c r="A283" s="5" t="inlineStr">
        <is>
          <t>REFLO ALMACEN</t>
        </is>
      </c>
      <c r="B283" s="5">
        <f>IF($I2="","",INDEX(Productos!$A:$A,$I2))</f>
        <v/>
      </c>
      <c r="C283" s="134" t="inlineStr">
        <is>
          <t>CONGQGRE-2XL</t>
        </is>
      </c>
      <c r="D283" s="5">
        <f>IF($I2="","",INDEX(Productos!$B:$B,$I2))</f>
        <v/>
      </c>
      <c r="E283" s="5">
        <f>IF($I2="","",INDEX(Productos!$H:$H,$I2))</f>
        <v/>
      </c>
      <c r="F283" s="5">
        <f>IF($I2="","",INDEX(Productos!$I:$I,$I2))</f>
        <v/>
      </c>
      <c r="G283" s="135" t="n">
        <v>2</v>
      </c>
      <c r="H283" s="5">
        <f>IF($I2="","",INDEX(Productos!$AG:$AG,$I2))</f>
        <v/>
      </c>
      <c r="I283" s="136">
        <f>LET(_xlpm.r,Productos!$E$2:$E$653,_xlpm.m,IFERROR(_xlfn.XMATCH(C283,_xlpm.r),IFERROR(_xlfn.XMATCH(VALUE(C283),_xlpm.r),0)),IF(_xlpm.m=0,"",_xlpm.m+1))</f>
        <v/>
      </c>
      <c r="J283" s="137" t="inlineStr">
        <is>
          <t>NetSuite</t>
        </is>
      </c>
    </row>
    <row r="284">
      <c r="A284" s="5" t="inlineStr">
        <is>
          <t>REFLO ALMACEN</t>
        </is>
      </c>
      <c r="B284" s="5">
        <f>IF($I2="","",INDEX(Productos!$A:$A,$I2))</f>
        <v/>
      </c>
      <c r="C284" s="134" t="inlineStr">
        <is>
          <t>CONGQGRE-L</t>
        </is>
      </c>
      <c r="D284" s="5">
        <f>IF($I2="","",INDEX(Productos!$B:$B,$I2))</f>
        <v/>
      </c>
      <c r="E284" s="5">
        <f>IF($I2="","",INDEX(Productos!$H:$H,$I2))</f>
        <v/>
      </c>
      <c r="F284" s="5">
        <f>IF($I2="","",INDEX(Productos!$I:$I,$I2))</f>
        <v/>
      </c>
      <c r="G284" s="135" t="n">
        <v>2</v>
      </c>
      <c r="H284" s="5">
        <f>IF($I2="","",INDEX(Productos!$AG:$AG,$I2))</f>
        <v/>
      </c>
      <c r="I284" s="136">
        <f>LET(_xlpm.r,Productos!$E$2:$E$653,_xlpm.m,IFERROR(_xlfn.XMATCH(C284,_xlpm.r),IFERROR(_xlfn.XMATCH(VALUE(C284),_xlpm.r),0)),IF(_xlpm.m=0,"",_xlpm.m+1))</f>
        <v/>
      </c>
      <c r="J284" s="137" t="inlineStr">
        <is>
          <t>NetSuite</t>
        </is>
      </c>
    </row>
    <row r="285">
      <c r="A285" s="5" t="inlineStr">
        <is>
          <t>REFLO ALMACEN</t>
        </is>
      </c>
      <c r="B285" s="5">
        <f>IF($I2="","",INDEX(Productos!$A:$A,$I2))</f>
        <v/>
      </c>
      <c r="C285" s="134" t="inlineStr">
        <is>
          <t>CONGQGRE-M</t>
        </is>
      </c>
      <c r="D285" s="5">
        <f>IF($I2="","",INDEX(Productos!$B:$B,$I2))</f>
        <v/>
      </c>
      <c r="E285" s="5">
        <f>IF($I2="","",INDEX(Productos!$H:$H,$I2))</f>
        <v/>
      </c>
      <c r="F285" s="5">
        <f>IF($I2="","",INDEX(Productos!$I:$I,$I2))</f>
        <v/>
      </c>
      <c r="G285" s="135" t="n">
        <v>2</v>
      </c>
      <c r="H285" s="5">
        <f>IF($I2="","",INDEX(Productos!$AG:$AG,$I2))</f>
        <v/>
      </c>
      <c r="I285" s="136">
        <f>LET(_xlpm.r,Productos!$E$2:$E$653,_xlpm.m,IFERROR(_xlfn.XMATCH(C285,_xlpm.r),IFERROR(_xlfn.XMATCH(VALUE(C285),_xlpm.r),0)),IF(_xlpm.m=0,"",_xlpm.m+1))</f>
        <v/>
      </c>
      <c r="J285" s="137" t="inlineStr">
        <is>
          <t>NetSuite</t>
        </is>
      </c>
    </row>
    <row r="286">
      <c r="A286" s="5" t="inlineStr">
        <is>
          <t>REFLO ALMACEN</t>
        </is>
      </c>
      <c r="B286" s="5">
        <f>IF($I2="","",INDEX(Productos!$A:$A,$I2))</f>
        <v/>
      </c>
      <c r="C286" s="134" t="inlineStr">
        <is>
          <t>CONGQGRE-S</t>
        </is>
      </c>
      <c r="D286" s="5">
        <f>IF($I2="","",INDEX(Productos!$B:$B,$I2))</f>
        <v/>
      </c>
      <c r="E286" s="5">
        <f>IF($I2="","",INDEX(Productos!$H:$H,$I2))</f>
        <v/>
      </c>
      <c r="F286" s="5">
        <f>IF($I2="","",INDEX(Productos!$I:$I,$I2))</f>
        <v/>
      </c>
      <c r="G286" s="135" t="n">
        <v>2</v>
      </c>
      <c r="H286" s="5">
        <f>IF($I2="","",INDEX(Productos!$AG:$AG,$I2))</f>
        <v/>
      </c>
      <c r="I286" s="136">
        <f>LET(_xlpm.r,Productos!$E$2:$E$653,_xlpm.m,IFERROR(_xlfn.XMATCH(C286,_xlpm.r),IFERROR(_xlfn.XMATCH(VALUE(C286),_xlpm.r),0)),IF(_xlpm.m=0,"",_xlpm.m+1))</f>
        <v/>
      </c>
      <c r="J286" s="137" t="inlineStr">
        <is>
          <t>NetSuite</t>
        </is>
      </c>
    </row>
    <row r="287">
      <c r="A287" s="5" t="inlineStr">
        <is>
          <t>REFLO ALMACEN</t>
        </is>
      </c>
      <c r="B287" s="5">
        <f>IF($I2="","",INDEX(Productos!$A:$A,$I2))</f>
        <v/>
      </c>
      <c r="C287" s="134" t="inlineStr">
        <is>
          <t>CONGQGRE-XL</t>
        </is>
      </c>
      <c r="D287" s="5">
        <f>IF($I2="","",INDEX(Productos!$B:$B,$I2))</f>
        <v/>
      </c>
      <c r="E287" s="5">
        <f>IF($I2="","",INDEX(Productos!$H:$H,$I2))</f>
        <v/>
      </c>
      <c r="F287" s="5">
        <f>IF($I2="","",INDEX(Productos!$I:$I,$I2))</f>
        <v/>
      </c>
      <c r="G287" s="135" t="n">
        <v>6</v>
      </c>
      <c r="H287" s="5">
        <f>IF($I2="","",INDEX(Productos!$AG:$AG,$I2))</f>
        <v/>
      </c>
      <c r="I287" s="136">
        <f>LET(_xlpm.r,Productos!$E$2:$E$653,_xlpm.m,IFERROR(_xlfn.XMATCH(C287,_xlpm.r),IFERROR(_xlfn.XMATCH(VALUE(C287),_xlpm.r),0)),IF(_xlpm.m=0,"",_xlpm.m+1))</f>
        <v/>
      </c>
      <c r="J287" s="137" t="inlineStr">
        <is>
          <t>NetSuite</t>
        </is>
      </c>
    </row>
    <row r="288">
      <c r="A288" s="5" t="inlineStr">
        <is>
          <t>REFLO ALMACEN</t>
        </is>
      </c>
      <c r="B288" s="5">
        <f>IF($I2="","",INDEX(Productos!$A:$A,$I2))</f>
        <v/>
      </c>
      <c r="C288" s="134" t="inlineStr">
        <is>
          <t>DESCAV-2XL</t>
        </is>
      </c>
      <c r="D288" s="5">
        <f>IF($I2="","",INDEX(Productos!$B:$B,$I2))</f>
        <v/>
      </c>
      <c r="E288" s="5">
        <f>IF($I2="","",INDEX(Productos!$H:$H,$I2))</f>
        <v/>
      </c>
      <c r="F288" s="5">
        <f>IF($I2="","",INDEX(Productos!$I:$I,$I2))</f>
        <v/>
      </c>
      <c r="G288" s="135" t="n">
        <v>3</v>
      </c>
      <c r="H288" s="5">
        <f>IF($I2="","",INDEX(Productos!$AG:$AG,$I2))</f>
        <v/>
      </c>
      <c r="I288" s="136">
        <f>LET(_xlpm.r,Productos!$E$2:$E$653,_xlpm.m,IFERROR(_xlfn.XMATCH(C288,_xlpm.r),IFERROR(_xlfn.XMATCH(VALUE(C288),_xlpm.r),0)),IF(_xlpm.m=0,"",_xlpm.m+1))</f>
        <v/>
      </c>
      <c r="J288" s="137" t="inlineStr">
        <is>
          <t>NetSuite</t>
        </is>
      </c>
    </row>
    <row r="289">
      <c r="A289" s="5" t="inlineStr">
        <is>
          <t>REFLO ALMACEN</t>
        </is>
      </c>
      <c r="B289" s="5">
        <f>IF($I2="","",INDEX(Productos!$A:$A,$I2))</f>
        <v/>
      </c>
      <c r="C289" s="134" t="inlineStr">
        <is>
          <t>DESCAV-L</t>
        </is>
      </c>
      <c r="D289" s="5">
        <f>IF($I2="","",INDEX(Productos!$B:$B,$I2))</f>
        <v/>
      </c>
      <c r="E289" s="5">
        <f>IF($I2="","",INDEX(Productos!$H:$H,$I2))</f>
        <v/>
      </c>
      <c r="F289" s="5">
        <f>IF($I2="","",INDEX(Productos!$I:$I,$I2))</f>
        <v/>
      </c>
      <c r="G289" s="135" t="n">
        <v>4</v>
      </c>
      <c r="H289" s="5">
        <f>IF($I2="","",INDEX(Productos!$AG:$AG,$I2))</f>
        <v/>
      </c>
      <c r="I289" s="136">
        <f>LET(_xlpm.r,Productos!$E$2:$E$653,_xlpm.m,IFERROR(_xlfn.XMATCH(C289,_xlpm.r),IFERROR(_xlfn.XMATCH(VALUE(C289),_xlpm.r),0)),IF(_xlpm.m=0,"",_xlpm.m+1))</f>
        <v/>
      </c>
      <c r="J289" s="137" t="inlineStr">
        <is>
          <t>NetSuite</t>
        </is>
      </c>
    </row>
    <row r="290">
      <c r="A290" s="5" t="inlineStr">
        <is>
          <t>REFLO ALMACEN</t>
        </is>
      </c>
      <c r="B290" s="5">
        <f>IF($I2="","",INDEX(Productos!$A:$A,$I2))</f>
        <v/>
      </c>
      <c r="C290" s="134" t="inlineStr">
        <is>
          <t>DESCAV-M</t>
        </is>
      </c>
      <c r="D290" s="5">
        <f>IF($I2="","",INDEX(Productos!$B:$B,$I2))</f>
        <v/>
      </c>
      <c r="E290" s="5">
        <f>IF($I2="","",INDEX(Productos!$H:$H,$I2))</f>
        <v/>
      </c>
      <c r="F290" s="5">
        <f>IF($I2="","",INDEX(Productos!$I:$I,$I2))</f>
        <v/>
      </c>
      <c r="G290" s="135" t="n">
        <v>3</v>
      </c>
      <c r="H290" s="5">
        <f>IF($I2="","",INDEX(Productos!$AG:$AG,$I2))</f>
        <v/>
      </c>
      <c r="I290" s="136">
        <f>LET(_xlpm.r,Productos!$E$2:$E$653,_xlpm.m,IFERROR(_xlfn.XMATCH(C290,_xlpm.r),IFERROR(_xlfn.XMATCH(VALUE(C290),_xlpm.r),0)),IF(_xlpm.m=0,"",_xlpm.m+1))</f>
        <v/>
      </c>
      <c r="J290" s="137" t="inlineStr">
        <is>
          <t>NetSuite</t>
        </is>
      </c>
    </row>
    <row r="291">
      <c r="A291" s="5" t="inlineStr">
        <is>
          <t>REFLO ALMACEN</t>
        </is>
      </c>
      <c r="B291" s="5">
        <f>IF($I2="","",INDEX(Productos!$A:$A,$I2))</f>
        <v/>
      </c>
      <c r="C291" s="134" t="inlineStr">
        <is>
          <t>DESCAV-XL</t>
        </is>
      </c>
      <c r="D291" s="5">
        <f>IF($I2="","",INDEX(Productos!$B:$B,$I2))</f>
        <v/>
      </c>
      <c r="E291" s="5">
        <f>IF($I2="","",INDEX(Productos!$H:$H,$I2))</f>
        <v/>
      </c>
      <c r="F291" s="5">
        <f>IF($I2="","",INDEX(Productos!$I:$I,$I2))</f>
        <v/>
      </c>
      <c r="G291" s="135" t="n">
        <v>5</v>
      </c>
      <c r="H291" s="5">
        <f>IF($I2="","",INDEX(Productos!$AG:$AG,$I2))</f>
        <v/>
      </c>
      <c r="I291" s="136">
        <f>LET(_xlpm.r,Productos!$E$2:$E$653,_xlpm.m,IFERROR(_xlfn.XMATCH(C291,_xlpm.r),IFERROR(_xlfn.XMATCH(VALUE(C291),_xlpm.r),0)),IF(_xlpm.m=0,"",_xlpm.m+1))</f>
        <v/>
      </c>
      <c r="J291" s="137" t="inlineStr">
        <is>
          <t>NetSuite</t>
        </is>
      </c>
    </row>
    <row r="292">
      <c r="A292" s="5" t="inlineStr">
        <is>
          <t>REFLO ALMACEN</t>
        </is>
      </c>
      <c r="B292" s="5">
        <f>IF($I2="","",INDEX(Productos!$A:$A,$I2))</f>
        <v/>
      </c>
      <c r="C292" s="134" t="inlineStr">
        <is>
          <t>DESDAR-2XL</t>
        </is>
      </c>
      <c r="D292" s="5">
        <f>IF($I2="","",INDEX(Productos!$B:$B,$I2))</f>
        <v/>
      </c>
      <c r="E292" s="5">
        <f>IF($I2="","",INDEX(Productos!$H:$H,$I2))</f>
        <v/>
      </c>
      <c r="F292" s="5">
        <f>IF($I2="","",INDEX(Productos!$I:$I,$I2))</f>
        <v/>
      </c>
      <c r="G292" s="135" t="n">
        <v>2</v>
      </c>
      <c r="H292" s="5">
        <f>IF($I2="","",INDEX(Productos!$AG:$AG,$I2))</f>
        <v/>
      </c>
      <c r="I292" s="136">
        <f>LET(_xlpm.r,Productos!$E$2:$E$653,_xlpm.m,IFERROR(_xlfn.XMATCH(C292,_xlpm.r),IFERROR(_xlfn.XMATCH(VALUE(C292),_xlpm.r),0)),IF(_xlpm.m=0,"",_xlpm.m+1))</f>
        <v/>
      </c>
      <c r="J292" s="137" t="inlineStr">
        <is>
          <t>NetSuite</t>
        </is>
      </c>
    </row>
    <row r="293">
      <c r="A293" s="5" t="inlineStr">
        <is>
          <t>REFLO ALMACEN</t>
        </is>
      </c>
      <c r="B293" s="5">
        <f>IF($I2="","",INDEX(Productos!$A:$A,$I2))</f>
        <v/>
      </c>
      <c r="C293" s="134" t="inlineStr">
        <is>
          <t>DESDAR-L</t>
        </is>
      </c>
      <c r="D293" s="5">
        <f>IF($I2="","",INDEX(Productos!$B:$B,$I2))</f>
        <v/>
      </c>
      <c r="E293" s="5">
        <f>IF($I2="","",INDEX(Productos!$H:$H,$I2))</f>
        <v/>
      </c>
      <c r="F293" s="5">
        <f>IF($I2="","",INDEX(Productos!$I:$I,$I2))</f>
        <v/>
      </c>
      <c r="G293" s="135" t="n">
        <v>3</v>
      </c>
      <c r="H293" s="5">
        <f>IF($I2="","",INDEX(Productos!$AG:$AG,$I2))</f>
        <v/>
      </c>
      <c r="I293" s="136">
        <f>LET(_xlpm.r,Productos!$E$2:$E$653,_xlpm.m,IFERROR(_xlfn.XMATCH(C293,_xlpm.r),IFERROR(_xlfn.XMATCH(VALUE(C293),_xlpm.r),0)),IF(_xlpm.m=0,"",_xlpm.m+1))</f>
        <v/>
      </c>
      <c r="J293" s="137" t="inlineStr">
        <is>
          <t>NetSuite</t>
        </is>
      </c>
    </row>
    <row r="294">
      <c r="A294" s="5" t="inlineStr">
        <is>
          <t>REFLO ALMACEN</t>
        </is>
      </c>
      <c r="B294" s="5">
        <f>IF($I2="","",INDEX(Productos!$A:$A,$I2))</f>
        <v/>
      </c>
      <c r="C294" s="134" t="inlineStr">
        <is>
          <t>DESDAR-M</t>
        </is>
      </c>
      <c r="D294" s="5">
        <f>IF($I2="","",INDEX(Productos!$B:$B,$I2))</f>
        <v/>
      </c>
      <c r="E294" s="5">
        <f>IF($I2="","",INDEX(Productos!$H:$H,$I2))</f>
        <v/>
      </c>
      <c r="F294" s="5">
        <f>IF($I2="","",INDEX(Productos!$I:$I,$I2))</f>
        <v/>
      </c>
      <c r="G294" s="135" t="n">
        <v>1</v>
      </c>
      <c r="H294" s="5">
        <f>IF($I2="","",INDEX(Productos!$AG:$AG,$I2))</f>
        <v/>
      </c>
      <c r="I294" s="136">
        <f>LET(_xlpm.r,Productos!$E$2:$E$653,_xlpm.m,IFERROR(_xlfn.XMATCH(C294,_xlpm.r),IFERROR(_xlfn.XMATCH(VALUE(C294),_xlpm.r),0)),IF(_xlpm.m=0,"",_xlpm.m+1))</f>
        <v/>
      </c>
      <c r="J294" s="137" t="inlineStr">
        <is>
          <t>NetSuite</t>
        </is>
      </c>
    </row>
    <row r="295">
      <c r="A295" s="5" t="inlineStr">
        <is>
          <t>REFLO ALMACEN</t>
        </is>
      </c>
      <c r="B295" s="5">
        <f>IF($I2="","",INDEX(Productos!$A:$A,$I2))</f>
        <v/>
      </c>
      <c r="C295" s="134" t="inlineStr">
        <is>
          <t>DESDAR-XL</t>
        </is>
      </c>
      <c r="D295" s="5">
        <f>IF($I2="","",INDEX(Productos!$B:$B,$I2))</f>
        <v/>
      </c>
      <c r="E295" s="5">
        <f>IF($I2="","",INDEX(Productos!$H:$H,$I2))</f>
        <v/>
      </c>
      <c r="F295" s="5">
        <f>IF($I2="","",INDEX(Productos!$I:$I,$I2))</f>
        <v/>
      </c>
      <c r="G295" s="135" t="n">
        <v>3</v>
      </c>
      <c r="H295" s="5">
        <f>IF($I2="","",INDEX(Productos!$AG:$AG,$I2))</f>
        <v/>
      </c>
      <c r="I295" s="136">
        <f>LET(_xlpm.r,Productos!$E$2:$E$653,_xlpm.m,IFERROR(_xlfn.XMATCH(C295,_xlpm.r),IFERROR(_xlfn.XMATCH(VALUE(C295),_xlpm.r),0)),IF(_xlpm.m=0,"",_xlpm.m+1))</f>
        <v/>
      </c>
      <c r="J295" s="137" t="inlineStr">
        <is>
          <t>NetSuite</t>
        </is>
      </c>
    </row>
    <row r="296">
      <c r="A296" s="5" t="inlineStr">
        <is>
          <t>REFLO ALMACEN</t>
        </is>
      </c>
      <c r="B296" s="5">
        <f>IF($I2="","",INDEX(Productos!$A:$A,$I2))</f>
        <v/>
      </c>
      <c r="C296" s="134" t="inlineStr">
        <is>
          <t>DESMED-2XL</t>
        </is>
      </c>
      <c r="D296" s="5">
        <f>IF($I2="","",INDEX(Productos!$B:$B,$I2))</f>
        <v/>
      </c>
      <c r="E296" s="5">
        <f>IF($I2="","",INDEX(Productos!$H:$H,$I2))</f>
        <v/>
      </c>
      <c r="F296" s="5">
        <f>IF($I2="","",INDEX(Productos!$I:$I,$I2))</f>
        <v/>
      </c>
      <c r="G296" s="135" t="n">
        <v>3</v>
      </c>
      <c r="H296" s="5">
        <f>IF($I2="","",INDEX(Productos!$AG:$AG,$I2))</f>
        <v/>
      </c>
      <c r="I296" s="136">
        <f>LET(_xlpm.r,Productos!$E$2:$E$653,_xlpm.m,IFERROR(_xlfn.XMATCH(C296,_xlpm.r),IFERROR(_xlfn.XMATCH(VALUE(C296),_xlpm.r),0)),IF(_xlpm.m=0,"",_xlpm.m+1))</f>
        <v/>
      </c>
      <c r="J296" s="137" t="inlineStr">
        <is>
          <t>NetSuite</t>
        </is>
      </c>
    </row>
    <row r="297">
      <c r="A297" s="5" t="inlineStr">
        <is>
          <t>REFLO ALMACEN</t>
        </is>
      </c>
      <c r="B297" s="5">
        <f>IF($I2="","",INDEX(Productos!$A:$A,$I2))</f>
        <v/>
      </c>
      <c r="C297" s="134" t="inlineStr">
        <is>
          <t>DESMED-L</t>
        </is>
      </c>
      <c r="D297" s="5">
        <f>IF($I2="","",INDEX(Productos!$B:$B,$I2))</f>
        <v/>
      </c>
      <c r="E297" s="5">
        <f>IF($I2="","",INDEX(Productos!$H:$H,$I2))</f>
        <v/>
      </c>
      <c r="F297" s="5">
        <f>IF($I2="","",INDEX(Productos!$I:$I,$I2))</f>
        <v/>
      </c>
      <c r="G297" s="135" t="n">
        <v>4</v>
      </c>
      <c r="H297" s="5">
        <f>IF($I2="","",INDEX(Productos!$AG:$AG,$I2))</f>
        <v/>
      </c>
      <c r="I297" s="136">
        <f>LET(_xlpm.r,Productos!$E$2:$E$653,_xlpm.m,IFERROR(_xlfn.XMATCH(C297,_xlpm.r),IFERROR(_xlfn.XMATCH(VALUE(C297),_xlpm.r),0)),IF(_xlpm.m=0,"",_xlpm.m+1))</f>
        <v/>
      </c>
      <c r="J297" s="137" t="inlineStr">
        <is>
          <t>NetSuite</t>
        </is>
      </c>
    </row>
    <row r="298">
      <c r="A298" s="5" t="inlineStr">
        <is>
          <t>REFLO ALMACEN</t>
        </is>
      </c>
      <c r="B298" s="5">
        <f>IF($I2="","",INDEX(Productos!$A:$A,$I2))</f>
        <v/>
      </c>
      <c r="C298" s="134" t="inlineStr">
        <is>
          <t>DESMED-M</t>
        </is>
      </c>
      <c r="D298" s="5">
        <f>IF($I2="","",INDEX(Productos!$B:$B,$I2))</f>
        <v/>
      </c>
      <c r="E298" s="5">
        <f>IF($I2="","",INDEX(Productos!$H:$H,$I2))</f>
        <v/>
      </c>
      <c r="F298" s="5">
        <f>IF($I2="","",INDEX(Productos!$I:$I,$I2))</f>
        <v/>
      </c>
      <c r="G298" s="135" t="n">
        <v>3</v>
      </c>
      <c r="H298" s="5">
        <f>IF($I2="","",INDEX(Productos!$AG:$AG,$I2))</f>
        <v/>
      </c>
      <c r="I298" s="136">
        <f>LET(_xlpm.r,Productos!$E$2:$E$653,_xlpm.m,IFERROR(_xlfn.XMATCH(C298,_xlpm.r),IFERROR(_xlfn.XMATCH(VALUE(C298),_xlpm.r),0)),IF(_xlpm.m=0,"",_xlpm.m+1))</f>
        <v/>
      </c>
      <c r="J298" s="137" t="inlineStr">
        <is>
          <t>NetSuite</t>
        </is>
      </c>
    </row>
    <row r="299">
      <c r="A299" s="5" t="inlineStr">
        <is>
          <t>REFLO ALMACEN</t>
        </is>
      </c>
      <c r="B299" s="5">
        <f>IF($I2="","",INDEX(Productos!$A:$A,$I2))</f>
        <v/>
      </c>
      <c r="C299" s="134" t="inlineStr">
        <is>
          <t>DESMED-XL</t>
        </is>
      </c>
      <c r="D299" s="5">
        <f>IF($I2="","",INDEX(Productos!$B:$B,$I2))</f>
        <v/>
      </c>
      <c r="E299" s="5">
        <f>IF($I2="","",INDEX(Productos!$H:$H,$I2))</f>
        <v/>
      </c>
      <c r="F299" s="5">
        <f>IF($I2="","",INDEX(Productos!$I:$I,$I2))</f>
        <v/>
      </c>
      <c r="G299" s="135" t="n">
        <v>5</v>
      </c>
      <c r="H299" s="5">
        <f>IF($I2="","",INDEX(Productos!$AG:$AG,$I2))</f>
        <v/>
      </c>
      <c r="I299" s="136">
        <f>LET(_xlpm.r,Productos!$E$2:$E$653,_xlpm.m,IFERROR(_xlfn.XMATCH(C299,_xlpm.r),IFERROR(_xlfn.XMATCH(VALUE(C299),_xlpm.r),0)),IF(_xlpm.m=0,"",_xlpm.m+1))</f>
        <v/>
      </c>
      <c r="J299" s="137" t="inlineStr">
        <is>
          <t>NetSuite</t>
        </is>
      </c>
    </row>
    <row r="300">
      <c r="A300" s="5" t="inlineStr">
        <is>
          <t>REFLO ALMACEN</t>
        </is>
      </c>
      <c r="B300" s="5">
        <f>IF($I2="","",INDEX(Productos!$A:$A,$I2))</f>
        <v/>
      </c>
      <c r="C300" s="134" t="inlineStr">
        <is>
          <t>DESQUA-2XL</t>
        </is>
      </c>
      <c r="D300" s="5">
        <f>IF($I2="","",INDEX(Productos!$B:$B,$I2))</f>
        <v/>
      </c>
      <c r="E300" s="5">
        <f>IF($I2="","",INDEX(Productos!$H:$H,$I2))</f>
        <v/>
      </c>
      <c r="F300" s="5">
        <f>IF($I2="","",INDEX(Productos!$I:$I,$I2))</f>
        <v/>
      </c>
      <c r="G300" s="135" t="n">
        <v>2</v>
      </c>
      <c r="H300" s="5">
        <f>IF($I2="","",INDEX(Productos!$AG:$AG,$I2))</f>
        <v/>
      </c>
      <c r="I300" s="136">
        <f>LET(_xlpm.r,Productos!$E$2:$E$653,_xlpm.m,IFERROR(_xlfn.XMATCH(C300,_xlpm.r),IFERROR(_xlfn.XMATCH(VALUE(C300),_xlpm.r),0)),IF(_xlpm.m=0,"",_xlpm.m+1))</f>
        <v/>
      </c>
      <c r="J300" s="137" t="inlineStr">
        <is>
          <t>NetSuite</t>
        </is>
      </c>
    </row>
    <row r="301">
      <c r="A301" s="5" t="inlineStr">
        <is>
          <t>REFLO ALMACEN</t>
        </is>
      </c>
      <c r="B301" s="5">
        <f>IF($I2="","",INDEX(Productos!$A:$A,$I2))</f>
        <v/>
      </c>
      <c r="C301" s="134" t="inlineStr">
        <is>
          <t>DESQUA-L</t>
        </is>
      </c>
      <c r="D301" s="5">
        <f>IF($I2="","",INDEX(Productos!$B:$B,$I2))</f>
        <v/>
      </c>
      <c r="E301" s="5">
        <f>IF($I2="","",INDEX(Productos!$H:$H,$I2))</f>
        <v/>
      </c>
      <c r="F301" s="5">
        <f>IF($I2="","",INDEX(Productos!$I:$I,$I2))</f>
        <v/>
      </c>
      <c r="G301" s="135" t="n">
        <v>3</v>
      </c>
      <c r="H301" s="5">
        <f>IF($I2="","",INDEX(Productos!$AG:$AG,$I2))</f>
        <v/>
      </c>
      <c r="I301" s="136">
        <f>LET(_xlpm.r,Productos!$E$2:$E$653,_xlpm.m,IFERROR(_xlfn.XMATCH(C301,_xlpm.r),IFERROR(_xlfn.XMATCH(VALUE(C301),_xlpm.r),0)),IF(_xlpm.m=0,"",_xlpm.m+1))</f>
        <v/>
      </c>
      <c r="J301" s="137" t="inlineStr">
        <is>
          <t>NetSuite</t>
        </is>
      </c>
    </row>
    <row r="302">
      <c r="A302" s="5" t="inlineStr">
        <is>
          <t>REFLO ALMACEN</t>
        </is>
      </c>
      <c r="B302" s="5">
        <f>IF($I2="","",INDEX(Productos!$A:$A,$I2))</f>
        <v/>
      </c>
      <c r="C302" s="134" t="inlineStr">
        <is>
          <t>DESQUA-M</t>
        </is>
      </c>
      <c r="D302" s="5">
        <f>IF($I2="","",INDEX(Productos!$B:$B,$I2))</f>
        <v/>
      </c>
      <c r="E302" s="5">
        <f>IF($I2="","",INDEX(Productos!$H:$H,$I2))</f>
        <v/>
      </c>
      <c r="F302" s="5">
        <f>IF($I2="","",INDEX(Productos!$I:$I,$I2))</f>
        <v/>
      </c>
      <c r="G302" s="135" t="n">
        <v>3</v>
      </c>
      <c r="H302" s="5">
        <f>IF($I2="","",INDEX(Productos!$AG:$AG,$I2))</f>
        <v/>
      </c>
      <c r="I302" s="136">
        <f>LET(_xlpm.r,Productos!$E$2:$E$653,_xlpm.m,IFERROR(_xlfn.XMATCH(C302,_xlpm.r),IFERROR(_xlfn.XMATCH(VALUE(C302),_xlpm.r),0)),IF(_xlpm.m=0,"",_xlpm.m+1))</f>
        <v/>
      </c>
      <c r="J302" s="137" t="inlineStr">
        <is>
          <t>NetSuite</t>
        </is>
      </c>
    </row>
    <row r="303">
      <c r="A303" s="5" t="inlineStr">
        <is>
          <t>REFLO ALMACEN</t>
        </is>
      </c>
      <c r="B303" s="5">
        <f>IF($I2="","",INDEX(Productos!$A:$A,$I2))</f>
        <v/>
      </c>
      <c r="C303" s="134" t="inlineStr">
        <is>
          <t>DESQUA-XL</t>
        </is>
      </c>
      <c r="D303" s="5">
        <f>IF($I2="","",INDEX(Productos!$B:$B,$I2))</f>
        <v/>
      </c>
      <c r="E303" s="5">
        <f>IF($I2="","",INDEX(Productos!$H:$H,$I2))</f>
        <v/>
      </c>
      <c r="F303" s="5">
        <f>IF($I2="","",INDEX(Productos!$I:$I,$I2))</f>
        <v/>
      </c>
      <c r="G303" s="135" t="n">
        <v>3</v>
      </c>
      <c r="H303" s="5">
        <f>IF($I2="","",INDEX(Productos!$AG:$AG,$I2))</f>
        <v/>
      </c>
      <c r="I303" s="136">
        <f>LET(_xlpm.r,Productos!$E$2:$E$653,_xlpm.m,IFERROR(_xlfn.XMATCH(C303,_xlpm.r),IFERROR(_xlfn.XMATCH(VALUE(C303),_xlpm.r),0)),IF(_xlpm.m=0,"",_xlpm.m+1))</f>
        <v/>
      </c>
      <c r="J303" s="137" t="inlineStr">
        <is>
          <t>NetSuite</t>
        </is>
      </c>
    </row>
    <row r="304">
      <c r="A304" s="5" t="inlineStr">
        <is>
          <t>REFLO ALMACEN</t>
        </is>
      </c>
      <c r="B304" s="5">
        <f>IF($I2="","",INDEX(Productos!$A:$A,$I2))</f>
        <v/>
      </c>
      <c r="C304" s="134" t="inlineStr">
        <is>
          <t>HUDBLA-2XL</t>
        </is>
      </c>
      <c r="D304" s="5">
        <f>IF($I2="","",INDEX(Productos!$B:$B,$I2))</f>
        <v/>
      </c>
      <c r="E304" s="5">
        <f>IF($I2="","",INDEX(Productos!$H:$H,$I2))</f>
        <v/>
      </c>
      <c r="F304" s="5">
        <f>IF($I2="","",INDEX(Productos!$I:$I,$I2))</f>
        <v/>
      </c>
      <c r="G304" s="135" t="n">
        <v>1</v>
      </c>
      <c r="H304" s="5">
        <f>IF($I2="","",INDEX(Productos!$AG:$AG,$I2))</f>
        <v/>
      </c>
      <c r="I304" s="136">
        <f>LET(_xlpm.r,Productos!$E$2:$E$653,_xlpm.m,IFERROR(_xlfn.XMATCH(C304,_xlpm.r),IFERROR(_xlfn.XMATCH(VALUE(C304),_xlpm.r),0)),IF(_xlpm.m=0,"",_xlpm.m+1))</f>
        <v/>
      </c>
      <c r="J304" s="137" t="inlineStr">
        <is>
          <t>NetSuite</t>
        </is>
      </c>
    </row>
    <row r="305">
      <c r="A305" s="5" t="inlineStr">
        <is>
          <t>REFLO ALMACEN</t>
        </is>
      </c>
      <c r="B305" s="5">
        <f>IF($I2="","",INDEX(Productos!$A:$A,$I2))</f>
        <v/>
      </c>
      <c r="C305" s="134" t="inlineStr">
        <is>
          <t>HUDBLA-M</t>
        </is>
      </c>
      <c r="D305" s="5">
        <f>IF($I2="","",INDEX(Productos!$B:$B,$I2))</f>
        <v/>
      </c>
      <c r="E305" s="5">
        <f>IF($I2="","",INDEX(Productos!$H:$H,$I2))</f>
        <v/>
      </c>
      <c r="F305" s="5">
        <f>IF($I2="","",INDEX(Productos!$I:$I,$I2))</f>
        <v/>
      </c>
      <c r="G305" s="135" t="n">
        <v>1</v>
      </c>
      <c r="H305" s="5">
        <f>IF($I2="","",INDEX(Productos!$AG:$AG,$I2))</f>
        <v/>
      </c>
      <c r="I305" s="136">
        <f>LET(_xlpm.r,Productos!$E$2:$E$653,_xlpm.m,IFERROR(_xlfn.XMATCH(C305,_xlpm.r),IFERROR(_xlfn.XMATCH(VALUE(C305),_xlpm.r),0)),IF(_xlpm.m=0,"",_xlpm.m+1))</f>
        <v/>
      </c>
      <c r="J305" s="137" t="inlineStr">
        <is>
          <t>NetSuite</t>
        </is>
      </c>
    </row>
    <row r="306">
      <c r="A306" s="5" t="inlineStr">
        <is>
          <t>REFLO ALMACEN</t>
        </is>
      </c>
      <c r="B306" s="5">
        <f>IF($I2="","",INDEX(Productos!$A:$A,$I2))</f>
        <v/>
      </c>
      <c r="C306" s="134" t="inlineStr">
        <is>
          <t>HUDBLA-S</t>
        </is>
      </c>
      <c r="D306" s="5">
        <f>IF($I2="","",INDEX(Productos!$B:$B,$I2))</f>
        <v/>
      </c>
      <c r="E306" s="5">
        <f>IF($I2="","",INDEX(Productos!$H:$H,$I2))</f>
        <v/>
      </c>
      <c r="F306" s="5">
        <f>IF($I2="","",INDEX(Productos!$I:$I,$I2))</f>
        <v/>
      </c>
      <c r="G306" s="135" t="n">
        <v>1</v>
      </c>
      <c r="H306" s="5">
        <f>IF($I2="","",INDEX(Productos!$AG:$AG,$I2))</f>
        <v/>
      </c>
      <c r="I306" s="136">
        <f>LET(_xlpm.r,Productos!$E$2:$E$653,_xlpm.m,IFERROR(_xlfn.XMATCH(C306,_xlpm.r),IFERROR(_xlfn.XMATCH(VALUE(C306),_xlpm.r),0)),IF(_xlpm.m=0,"",_xlpm.m+1))</f>
        <v/>
      </c>
      <c r="J306" s="137" t="inlineStr">
        <is>
          <t>NetSuite</t>
        </is>
      </c>
    </row>
    <row r="307">
      <c r="A307" s="5" t="inlineStr">
        <is>
          <t>REFLO ALMACEN</t>
        </is>
      </c>
      <c r="B307" s="5">
        <f>IF($I2="","",INDEX(Productos!$A:$A,$I2))</f>
        <v/>
      </c>
      <c r="C307" s="134" t="inlineStr">
        <is>
          <t>HUDBLA-XL</t>
        </is>
      </c>
      <c r="D307" s="5">
        <f>IF($I2="","",INDEX(Productos!$B:$B,$I2))</f>
        <v/>
      </c>
      <c r="E307" s="5">
        <f>IF($I2="","",INDEX(Productos!$H:$H,$I2))</f>
        <v/>
      </c>
      <c r="F307" s="5">
        <f>IF($I2="","",INDEX(Productos!$I:$I,$I2))</f>
        <v/>
      </c>
      <c r="G307" s="135" t="n">
        <v>3</v>
      </c>
      <c r="H307" s="5">
        <f>IF($I2="","",INDEX(Productos!$AG:$AG,$I2))</f>
        <v/>
      </c>
      <c r="I307" s="136">
        <f>LET(_xlpm.r,Productos!$E$2:$E$653,_xlpm.m,IFERROR(_xlfn.XMATCH(C307,_xlpm.r),IFERROR(_xlfn.XMATCH(VALUE(C307),_xlpm.r),0)),IF(_xlpm.m=0,"",_xlpm.m+1))</f>
        <v/>
      </c>
      <c r="J307" s="137" t="inlineStr">
        <is>
          <t>NetSuite</t>
        </is>
      </c>
    </row>
    <row r="308">
      <c r="A308" s="5" t="inlineStr">
        <is>
          <t>REFLO ALMACEN</t>
        </is>
      </c>
      <c r="B308" s="5">
        <f>IF($I2="","",INDEX(Productos!$A:$A,$I2))</f>
        <v/>
      </c>
      <c r="C308" s="134" t="inlineStr">
        <is>
          <t>HUDCLO-2XL</t>
        </is>
      </c>
      <c r="D308" s="5">
        <f>IF($I2="","",INDEX(Productos!$B:$B,$I2))</f>
        <v/>
      </c>
      <c r="E308" s="5">
        <f>IF($I2="","",INDEX(Productos!$H:$H,$I2))</f>
        <v/>
      </c>
      <c r="F308" s="5">
        <f>IF($I2="","",INDEX(Productos!$I:$I,$I2))</f>
        <v/>
      </c>
      <c r="G308" s="135" t="n">
        <v>2</v>
      </c>
      <c r="H308" s="5">
        <f>IF($I2="","",INDEX(Productos!$AG:$AG,$I2))</f>
        <v/>
      </c>
      <c r="I308" s="136">
        <f>LET(_xlpm.r,Productos!$E$2:$E$653,_xlpm.m,IFERROR(_xlfn.XMATCH(C308,_xlpm.r),IFERROR(_xlfn.XMATCH(VALUE(C308),_xlpm.r),0)),IF(_xlpm.m=0,"",_xlpm.m+1))</f>
        <v/>
      </c>
      <c r="J308" s="137" t="inlineStr">
        <is>
          <t>NetSuite</t>
        </is>
      </c>
    </row>
    <row r="309">
      <c r="A309" s="5" t="inlineStr">
        <is>
          <t>REFLO ALMACEN</t>
        </is>
      </c>
      <c r="B309" s="5">
        <f>IF($I2="","",INDEX(Productos!$A:$A,$I2))</f>
        <v/>
      </c>
      <c r="C309" s="134" t="inlineStr">
        <is>
          <t>HUDCLO-L</t>
        </is>
      </c>
      <c r="D309" s="5">
        <f>IF($I2="","",INDEX(Productos!$B:$B,$I2))</f>
        <v/>
      </c>
      <c r="E309" s="5">
        <f>IF($I2="","",INDEX(Productos!$H:$H,$I2))</f>
        <v/>
      </c>
      <c r="F309" s="5">
        <f>IF($I2="","",INDEX(Productos!$I:$I,$I2))</f>
        <v/>
      </c>
      <c r="G309" s="135" t="n">
        <v>3</v>
      </c>
      <c r="H309" s="5">
        <f>IF($I2="","",INDEX(Productos!$AG:$AG,$I2))</f>
        <v/>
      </c>
      <c r="I309" s="136">
        <f>LET(_xlpm.r,Productos!$E$2:$E$653,_xlpm.m,IFERROR(_xlfn.XMATCH(C309,_xlpm.r),IFERROR(_xlfn.XMATCH(VALUE(C309),_xlpm.r),0)),IF(_xlpm.m=0,"",_xlpm.m+1))</f>
        <v/>
      </c>
      <c r="J309" s="137" t="inlineStr">
        <is>
          <t>NetSuite</t>
        </is>
      </c>
    </row>
    <row r="310">
      <c r="A310" s="5" t="inlineStr">
        <is>
          <t>REFLO ALMACEN</t>
        </is>
      </c>
      <c r="B310" s="5">
        <f>IF($I2="","",INDEX(Productos!$A:$A,$I2))</f>
        <v/>
      </c>
      <c r="C310" s="134" t="inlineStr">
        <is>
          <t>HUDCLO-M</t>
        </is>
      </c>
      <c r="D310" s="5">
        <f>IF($I2="","",INDEX(Productos!$B:$B,$I2))</f>
        <v/>
      </c>
      <c r="E310" s="5">
        <f>IF($I2="","",INDEX(Productos!$H:$H,$I2))</f>
        <v/>
      </c>
      <c r="F310" s="5">
        <f>IF($I2="","",INDEX(Productos!$I:$I,$I2))</f>
        <v/>
      </c>
      <c r="G310" s="135" t="n">
        <v>3</v>
      </c>
      <c r="H310" s="5">
        <f>IF($I2="","",INDEX(Productos!$AG:$AG,$I2))</f>
        <v/>
      </c>
      <c r="I310" s="136">
        <f>LET(_xlpm.r,Productos!$E$2:$E$653,_xlpm.m,IFERROR(_xlfn.XMATCH(C310,_xlpm.r),IFERROR(_xlfn.XMATCH(VALUE(C310),_xlpm.r),0)),IF(_xlpm.m=0,"",_xlpm.m+1))</f>
        <v/>
      </c>
      <c r="J310" s="137" t="inlineStr">
        <is>
          <t>NetSuite</t>
        </is>
      </c>
    </row>
    <row r="311">
      <c r="A311" s="5" t="inlineStr">
        <is>
          <t>REFLO ALMACEN</t>
        </is>
      </c>
      <c r="B311" s="5">
        <f>IF($I2="","",INDEX(Productos!$A:$A,$I2))</f>
        <v/>
      </c>
      <c r="C311" s="134" t="inlineStr">
        <is>
          <t>HUDCLO-S</t>
        </is>
      </c>
      <c r="D311" s="5">
        <f>IF($I2="","",INDEX(Productos!$B:$B,$I2))</f>
        <v/>
      </c>
      <c r="E311" s="5">
        <f>IF($I2="","",INDEX(Productos!$H:$H,$I2))</f>
        <v/>
      </c>
      <c r="F311" s="5">
        <f>IF($I2="","",INDEX(Productos!$I:$I,$I2))</f>
        <v/>
      </c>
      <c r="G311" s="135" t="n">
        <v>1</v>
      </c>
      <c r="H311" s="5">
        <f>IF($I2="","",INDEX(Productos!$AG:$AG,$I2))</f>
        <v/>
      </c>
      <c r="I311" s="136">
        <f>LET(_xlpm.r,Productos!$E$2:$E$653,_xlpm.m,IFERROR(_xlfn.XMATCH(C311,_xlpm.r),IFERROR(_xlfn.XMATCH(VALUE(C311),_xlpm.r),0)),IF(_xlpm.m=0,"",_xlpm.m+1))</f>
        <v/>
      </c>
      <c r="J311" s="137" t="inlineStr">
        <is>
          <t>NetSuite</t>
        </is>
      </c>
    </row>
    <row r="312">
      <c r="A312" s="5" t="inlineStr">
        <is>
          <t>REFLO ALMACEN</t>
        </is>
      </c>
      <c r="B312" s="5">
        <f>IF($I2="","",INDEX(Productos!$A:$A,$I2))</f>
        <v/>
      </c>
      <c r="C312" s="134" t="inlineStr">
        <is>
          <t>HUDCLO-XL</t>
        </is>
      </c>
      <c r="D312" s="5">
        <f>IF($I2="","",INDEX(Productos!$B:$B,$I2))</f>
        <v/>
      </c>
      <c r="E312" s="5">
        <f>IF($I2="","",INDEX(Productos!$H:$H,$I2))</f>
        <v/>
      </c>
      <c r="F312" s="5">
        <f>IF($I2="","",INDEX(Productos!$I:$I,$I2))</f>
        <v/>
      </c>
      <c r="G312" s="135" t="n">
        <v>3</v>
      </c>
      <c r="H312" s="5">
        <f>IF($I2="","",INDEX(Productos!$AG:$AG,$I2))</f>
        <v/>
      </c>
      <c r="I312" s="136">
        <f>LET(_xlpm.r,Productos!$E$2:$E$653,_xlpm.m,IFERROR(_xlfn.XMATCH(C312,_xlpm.r),IFERROR(_xlfn.XMATCH(VALUE(C312),_xlpm.r),0)),IF(_xlpm.m=0,"",_xlpm.m+1))</f>
        <v/>
      </c>
      <c r="J312" s="137" t="inlineStr">
        <is>
          <t>NetSuite</t>
        </is>
      </c>
    </row>
    <row r="313">
      <c r="A313" s="5" t="inlineStr">
        <is>
          <t>REFLO ALMACEN</t>
        </is>
      </c>
      <c r="B313" s="5">
        <f>IF($I2="","",INDEX(Productos!$A:$A,$I2))</f>
        <v/>
      </c>
      <c r="C313" s="134" t="inlineStr">
        <is>
          <t>HUDCOR-2XL</t>
        </is>
      </c>
      <c r="D313" s="5">
        <f>IF($I2="","",INDEX(Productos!$B:$B,$I2))</f>
        <v/>
      </c>
      <c r="E313" s="5">
        <f>IF($I2="","",INDEX(Productos!$H:$H,$I2))</f>
        <v/>
      </c>
      <c r="F313" s="5">
        <f>IF($I2="","",INDEX(Productos!$I:$I,$I2))</f>
        <v/>
      </c>
      <c r="G313" s="135" t="n">
        <v>3</v>
      </c>
      <c r="H313" s="5">
        <f>IF($I2="","",INDEX(Productos!$AG:$AG,$I2))</f>
        <v/>
      </c>
      <c r="I313" s="136">
        <f>LET(_xlpm.r,Productos!$E$2:$E$653,_xlpm.m,IFERROR(_xlfn.XMATCH(C313,_xlpm.r),IFERROR(_xlfn.XMATCH(VALUE(C313),_xlpm.r),0)),IF(_xlpm.m=0,"",_xlpm.m+1))</f>
        <v/>
      </c>
      <c r="J313" s="137" t="inlineStr">
        <is>
          <t>NetSuite</t>
        </is>
      </c>
    </row>
    <row r="314">
      <c r="A314" s="5" t="inlineStr">
        <is>
          <t>REFLO ALMACEN</t>
        </is>
      </c>
      <c r="B314" s="5">
        <f>IF($I2="","",INDEX(Productos!$A:$A,$I2))</f>
        <v/>
      </c>
      <c r="C314" s="134" t="inlineStr">
        <is>
          <t>HUDCOR-L</t>
        </is>
      </c>
      <c r="D314" s="5">
        <f>IF($I2="","",INDEX(Productos!$B:$B,$I2))</f>
        <v/>
      </c>
      <c r="E314" s="5">
        <f>IF($I2="","",INDEX(Productos!$H:$H,$I2))</f>
        <v/>
      </c>
      <c r="F314" s="5">
        <f>IF($I2="","",INDEX(Productos!$I:$I,$I2))</f>
        <v/>
      </c>
      <c r="G314" s="135" t="n">
        <v>3</v>
      </c>
      <c r="H314" s="5">
        <f>IF($I2="","",INDEX(Productos!$AG:$AG,$I2))</f>
        <v/>
      </c>
      <c r="I314" s="136">
        <f>LET(_xlpm.r,Productos!$E$2:$E$653,_xlpm.m,IFERROR(_xlfn.XMATCH(C314,_xlpm.r),IFERROR(_xlfn.XMATCH(VALUE(C314),_xlpm.r),0)),IF(_xlpm.m=0,"",_xlpm.m+1))</f>
        <v/>
      </c>
      <c r="J314" s="137" t="inlineStr">
        <is>
          <t>NetSuite</t>
        </is>
      </c>
    </row>
    <row r="315">
      <c r="A315" s="5" t="inlineStr">
        <is>
          <t>REFLO ALMACEN</t>
        </is>
      </c>
      <c r="B315" s="5">
        <f>IF($I2="","",INDEX(Productos!$A:$A,$I2))</f>
        <v/>
      </c>
      <c r="C315" s="134" t="inlineStr">
        <is>
          <t>HUDCOR-M</t>
        </is>
      </c>
      <c r="D315" s="5">
        <f>IF($I2="","",INDEX(Productos!$B:$B,$I2))</f>
        <v/>
      </c>
      <c r="E315" s="5">
        <f>IF($I2="","",INDEX(Productos!$H:$H,$I2))</f>
        <v/>
      </c>
      <c r="F315" s="5">
        <f>IF($I2="","",INDEX(Productos!$I:$I,$I2))</f>
        <v/>
      </c>
      <c r="G315" s="135" t="n">
        <v>3</v>
      </c>
      <c r="H315" s="5">
        <f>IF($I2="","",INDEX(Productos!$AG:$AG,$I2))</f>
        <v/>
      </c>
      <c r="I315" s="136">
        <f>LET(_xlpm.r,Productos!$E$2:$E$653,_xlpm.m,IFERROR(_xlfn.XMATCH(C315,_xlpm.r),IFERROR(_xlfn.XMATCH(VALUE(C315),_xlpm.r),0)),IF(_xlpm.m=0,"",_xlpm.m+1))</f>
        <v/>
      </c>
      <c r="J315" s="137" t="inlineStr">
        <is>
          <t>NetSuite</t>
        </is>
      </c>
    </row>
    <row r="316">
      <c r="A316" s="5" t="inlineStr">
        <is>
          <t>REFLO ALMACEN</t>
        </is>
      </c>
      <c r="B316" s="5">
        <f>IF($I2="","",INDEX(Productos!$A:$A,$I2))</f>
        <v/>
      </c>
      <c r="C316" s="134" t="inlineStr">
        <is>
          <t>HUDCOR-XL</t>
        </is>
      </c>
      <c r="D316" s="5">
        <f>IF($I2="","",INDEX(Productos!$B:$B,$I2))</f>
        <v/>
      </c>
      <c r="E316" s="5">
        <f>IF($I2="","",INDEX(Productos!$H:$H,$I2))</f>
        <v/>
      </c>
      <c r="F316" s="5">
        <f>IF($I2="","",INDEX(Productos!$I:$I,$I2))</f>
        <v/>
      </c>
      <c r="G316" s="135" t="n">
        <v>3</v>
      </c>
      <c r="H316" s="5">
        <f>IF($I2="","",INDEX(Productos!$AG:$AG,$I2))</f>
        <v/>
      </c>
      <c r="I316" s="136">
        <f>LET(_xlpm.r,Productos!$E$2:$E$653,_xlpm.m,IFERROR(_xlfn.XMATCH(C316,_xlpm.r),IFERROR(_xlfn.XMATCH(VALUE(C316),_xlpm.r),0)),IF(_xlpm.m=0,"",_xlpm.m+1))</f>
        <v/>
      </c>
      <c r="J316" s="137" t="inlineStr">
        <is>
          <t>NetSuite</t>
        </is>
      </c>
    </row>
    <row r="317">
      <c r="A317" s="5" t="inlineStr">
        <is>
          <t>REFLO ALMACEN</t>
        </is>
      </c>
      <c r="B317" s="5">
        <f>IF($I2="","",INDEX(Productos!$A:$A,$I2))</f>
        <v/>
      </c>
      <c r="C317" s="134" t="inlineStr">
        <is>
          <t>HUDDAR-2XL</t>
        </is>
      </c>
      <c r="D317" s="5">
        <f>IF($I2="","",INDEX(Productos!$B:$B,$I2))</f>
        <v/>
      </c>
      <c r="E317" s="5">
        <f>IF($I2="","",INDEX(Productos!$H:$H,$I2))</f>
        <v/>
      </c>
      <c r="F317" s="5">
        <f>IF($I2="","",INDEX(Productos!$I:$I,$I2))</f>
        <v/>
      </c>
      <c r="G317" s="135" t="n">
        <v>2</v>
      </c>
      <c r="H317" s="5">
        <f>IF($I2="","",INDEX(Productos!$AG:$AG,$I2))</f>
        <v/>
      </c>
      <c r="I317" s="136">
        <f>LET(_xlpm.r,Productos!$E$2:$E$653,_xlpm.m,IFERROR(_xlfn.XMATCH(C317,_xlpm.r),IFERROR(_xlfn.XMATCH(VALUE(C317),_xlpm.r),0)),IF(_xlpm.m=0,"",_xlpm.m+1))</f>
        <v/>
      </c>
      <c r="J317" s="137" t="inlineStr">
        <is>
          <t>NetSuite</t>
        </is>
      </c>
    </row>
    <row r="318">
      <c r="A318" s="5" t="inlineStr">
        <is>
          <t>REFLO ALMACEN</t>
        </is>
      </c>
      <c r="B318" s="5">
        <f>IF($I2="","",INDEX(Productos!$A:$A,$I2))</f>
        <v/>
      </c>
      <c r="C318" s="134" t="inlineStr">
        <is>
          <t>HUDDAR-L</t>
        </is>
      </c>
      <c r="D318" s="5">
        <f>IF($I2="","",INDEX(Productos!$B:$B,$I2))</f>
        <v/>
      </c>
      <c r="E318" s="5">
        <f>IF($I2="","",INDEX(Productos!$H:$H,$I2))</f>
        <v/>
      </c>
      <c r="F318" s="5">
        <f>IF($I2="","",INDEX(Productos!$I:$I,$I2))</f>
        <v/>
      </c>
      <c r="G318" s="135" t="n">
        <v>1</v>
      </c>
      <c r="H318" s="5">
        <f>IF($I2="","",INDEX(Productos!$AG:$AG,$I2))</f>
        <v/>
      </c>
      <c r="I318" s="136">
        <f>LET(_xlpm.r,Productos!$E$2:$E$653,_xlpm.m,IFERROR(_xlfn.XMATCH(C318,_xlpm.r),IFERROR(_xlfn.XMATCH(VALUE(C318),_xlpm.r),0)),IF(_xlpm.m=0,"",_xlpm.m+1))</f>
        <v/>
      </c>
      <c r="J318" s="137" t="inlineStr">
        <is>
          <t>NetSuite</t>
        </is>
      </c>
    </row>
    <row r="319">
      <c r="A319" s="5" t="inlineStr">
        <is>
          <t>REFLO ALMACEN</t>
        </is>
      </c>
      <c r="B319" s="5">
        <f>IF($I2="","",INDEX(Productos!$A:$A,$I2))</f>
        <v/>
      </c>
      <c r="C319" s="134" t="inlineStr">
        <is>
          <t>HUDDAR-M</t>
        </is>
      </c>
      <c r="D319" s="5">
        <f>IF($I2="","",INDEX(Productos!$B:$B,$I2))</f>
        <v/>
      </c>
      <c r="E319" s="5">
        <f>IF($I2="","",INDEX(Productos!$H:$H,$I2))</f>
        <v/>
      </c>
      <c r="F319" s="5">
        <f>IF($I2="","",INDEX(Productos!$I:$I,$I2))</f>
        <v/>
      </c>
      <c r="G319" s="135" t="n">
        <v>2</v>
      </c>
      <c r="H319" s="5">
        <f>IF($I2="","",INDEX(Productos!$AG:$AG,$I2))</f>
        <v/>
      </c>
      <c r="I319" s="136">
        <f>LET(_xlpm.r,Productos!$E$2:$E$653,_xlpm.m,IFERROR(_xlfn.XMATCH(C319,_xlpm.r),IFERROR(_xlfn.XMATCH(VALUE(C319),_xlpm.r),0)),IF(_xlpm.m=0,"",_xlpm.m+1))</f>
        <v/>
      </c>
      <c r="J319" s="137" t="inlineStr">
        <is>
          <t>NetSuite</t>
        </is>
      </c>
    </row>
    <row r="320">
      <c r="A320" s="5" t="inlineStr">
        <is>
          <t>REFLO ALMACEN</t>
        </is>
      </c>
      <c r="B320" s="5">
        <f>IF($I2="","",INDEX(Productos!$A:$A,$I2))</f>
        <v/>
      </c>
      <c r="C320" s="134" t="inlineStr">
        <is>
          <t>HUDDAR-S</t>
        </is>
      </c>
      <c r="D320" s="5">
        <f>IF($I2="","",INDEX(Productos!$B:$B,$I2))</f>
        <v/>
      </c>
      <c r="E320" s="5">
        <f>IF($I2="","",INDEX(Productos!$H:$H,$I2))</f>
        <v/>
      </c>
      <c r="F320" s="5">
        <f>IF($I2="","",INDEX(Productos!$I:$I,$I2))</f>
        <v/>
      </c>
      <c r="G320" s="135" t="n">
        <v>2</v>
      </c>
      <c r="H320" s="5">
        <f>IF($I2="","",INDEX(Productos!$AG:$AG,$I2))</f>
        <v/>
      </c>
      <c r="I320" s="136">
        <f>LET(_xlpm.r,Productos!$E$2:$E$653,_xlpm.m,IFERROR(_xlfn.XMATCH(C320,_xlpm.r),IFERROR(_xlfn.XMATCH(VALUE(C320),_xlpm.r),0)),IF(_xlpm.m=0,"",_xlpm.m+1))</f>
        <v/>
      </c>
      <c r="J320" s="137" t="inlineStr">
        <is>
          <t>NetSuite</t>
        </is>
      </c>
    </row>
    <row r="321">
      <c r="A321" s="5" t="inlineStr">
        <is>
          <t>REFLO ALMACEN</t>
        </is>
      </c>
      <c r="B321" s="5">
        <f>IF($I2="","",INDEX(Productos!$A:$A,$I2))</f>
        <v/>
      </c>
      <c r="C321" s="134" t="inlineStr">
        <is>
          <t>HUDDAR-XL</t>
        </is>
      </c>
      <c r="D321" s="5">
        <f>IF($I2="","",INDEX(Productos!$B:$B,$I2))</f>
        <v/>
      </c>
      <c r="E321" s="5">
        <f>IF($I2="","",INDEX(Productos!$H:$H,$I2))</f>
        <v/>
      </c>
      <c r="F321" s="5">
        <f>IF($I2="","",INDEX(Productos!$I:$I,$I2))</f>
        <v/>
      </c>
      <c r="G321" s="135" t="n">
        <v>3</v>
      </c>
      <c r="H321" s="5">
        <f>IF($I2="","",INDEX(Productos!$AG:$AG,$I2))</f>
        <v/>
      </c>
      <c r="I321" s="136">
        <f>LET(_xlpm.r,Productos!$E$2:$E$653,_xlpm.m,IFERROR(_xlfn.XMATCH(C321,_xlpm.r),IFERROR(_xlfn.XMATCH(VALUE(C321),_xlpm.r),0)),IF(_xlpm.m=0,"",_xlpm.m+1))</f>
        <v/>
      </c>
      <c r="J321" s="137" t="inlineStr">
        <is>
          <t>NetSuite</t>
        </is>
      </c>
    </row>
    <row r="322">
      <c r="A322" s="5" t="inlineStr">
        <is>
          <t>REFLO ALMACEN</t>
        </is>
      </c>
      <c r="B322" s="5">
        <f>IF($I2="","",INDEX(Productos!$A:$A,$I2))</f>
        <v/>
      </c>
      <c r="C322" s="134" t="inlineStr">
        <is>
          <t>HUDNAV-2XL</t>
        </is>
      </c>
      <c r="D322" s="5">
        <f>IF($I2="","",INDEX(Productos!$B:$B,$I2))</f>
        <v/>
      </c>
      <c r="E322" s="5">
        <f>IF($I2="","",INDEX(Productos!$H:$H,$I2))</f>
        <v/>
      </c>
      <c r="F322" s="5">
        <f>IF($I2="","",INDEX(Productos!$I:$I,$I2))</f>
        <v/>
      </c>
      <c r="G322" s="135" t="n">
        <v>2</v>
      </c>
      <c r="H322" s="5">
        <f>IF($I2="","",INDEX(Productos!$AG:$AG,$I2))</f>
        <v/>
      </c>
      <c r="I322" s="136">
        <f>LET(_xlpm.r,Productos!$E$2:$E$653,_xlpm.m,IFERROR(_xlfn.XMATCH(C322,_xlpm.r),IFERROR(_xlfn.XMATCH(VALUE(C322),_xlpm.r),0)),IF(_xlpm.m=0,"",_xlpm.m+1))</f>
        <v/>
      </c>
      <c r="J322" s="137" t="inlineStr">
        <is>
          <t>NetSuite</t>
        </is>
      </c>
    </row>
    <row r="323">
      <c r="A323" s="5" t="inlineStr">
        <is>
          <t>REFLO ALMACEN</t>
        </is>
      </c>
      <c r="B323" s="5">
        <f>IF($I2="","",INDEX(Productos!$A:$A,$I2))</f>
        <v/>
      </c>
      <c r="C323" s="134" t="inlineStr">
        <is>
          <t>HUDNAV-L</t>
        </is>
      </c>
      <c r="D323" s="5">
        <f>IF($I2="","",INDEX(Productos!$B:$B,$I2))</f>
        <v/>
      </c>
      <c r="E323" s="5">
        <f>IF($I2="","",INDEX(Productos!$H:$H,$I2))</f>
        <v/>
      </c>
      <c r="F323" s="5">
        <f>IF($I2="","",INDEX(Productos!$I:$I,$I2))</f>
        <v/>
      </c>
      <c r="G323" s="135" t="n">
        <v>2</v>
      </c>
      <c r="H323" s="5">
        <f>IF($I2="","",INDEX(Productos!$AG:$AG,$I2))</f>
        <v/>
      </c>
      <c r="I323" s="136">
        <f>LET(_xlpm.r,Productos!$E$2:$E$653,_xlpm.m,IFERROR(_xlfn.XMATCH(C323,_xlpm.r),IFERROR(_xlfn.XMATCH(VALUE(C323),_xlpm.r),0)),IF(_xlpm.m=0,"",_xlpm.m+1))</f>
        <v/>
      </c>
      <c r="J323" s="137" t="inlineStr">
        <is>
          <t>NetSuite</t>
        </is>
      </c>
    </row>
    <row r="324">
      <c r="A324" s="5" t="inlineStr">
        <is>
          <t>REFLO ALMACEN</t>
        </is>
      </c>
      <c r="B324" s="5">
        <f>IF($I2="","",INDEX(Productos!$A:$A,$I2))</f>
        <v/>
      </c>
      <c r="C324" s="134" t="inlineStr">
        <is>
          <t>HUDNAV-M</t>
        </is>
      </c>
      <c r="D324" s="5">
        <f>IF($I2="","",INDEX(Productos!$B:$B,$I2))</f>
        <v/>
      </c>
      <c r="E324" s="5">
        <f>IF($I2="","",INDEX(Productos!$H:$H,$I2))</f>
        <v/>
      </c>
      <c r="F324" s="5">
        <f>IF($I2="","",INDEX(Productos!$I:$I,$I2))</f>
        <v/>
      </c>
      <c r="G324" s="135" t="n">
        <v>3</v>
      </c>
      <c r="H324" s="5">
        <f>IF($I2="","",INDEX(Productos!$AG:$AG,$I2))</f>
        <v/>
      </c>
      <c r="I324" s="136">
        <f>LET(_xlpm.r,Productos!$E$2:$E$653,_xlpm.m,IFERROR(_xlfn.XMATCH(C324,_xlpm.r),IFERROR(_xlfn.XMATCH(VALUE(C324),_xlpm.r),0)),IF(_xlpm.m=0,"",_xlpm.m+1))</f>
        <v/>
      </c>
      <c r="J324" s="137" t="inlineStr">
        <is>
          <t>NetSuite</t>
        </is>
      </c>
    </row>
    <row r="325">
      <c r="A325" s="5" t="inlineStr">
        <is>
          <t>REFLO ALMACEN</t>
        </is>
      </c>
      <c r="B325" s="5">
        <f>IF($I2="","",INDEX(Productos!$A:$A,$I2))</f>
        <v/>
      </c>
      <c r="C325" s="134" t="inlineStr">
        <is>
          <t>HUDNAV-S</t>
        </is>
      </c>
      <c r="D325" s="5">
        <f>IF($I2="","",INDEX(Productos!$B:$B,$I2))</f>
        <v/>
      </c>
      <c r="E325" s="5">
        <f>IF($I2="","",INDEX(Productos!$H:$H,$I2))</f>
        <v/>
      </c>
      <c r="F325" s="5">
        <f>IF($I2="","",INDEX(Productos!$I:$I,$I2))</f>
        <v/>
      </c>
      <c r="G325" s="135" t="n">
        <v>1</v>
      </c>
      <c r="H325" s="5">
        <f>IF($I2="","",INDEX(Productos!$AG:$AG,$I2))</f>
        <v/>
      </c>
      <c r="I325" s="136">
        <f>LET(_xlpm.r,Productos!$E$2:$E$653,_xlpm.m,IFERROR(_xlfn.XMATCH(C325,_xlpm.r),IFERROR(_xlfn.XMATCH(VALUE(C325),_xlpm.r),0)),IF(_xlpm.m=0,"",_xlpm.m+1))</f>
        <v/>
      </c>
      <c r="J325" s="137" t="inlineStr">
        <is>
          <t>NetSuite</t>
        </is>
      </c>
    </row>
    <row r="326">
      <c r="A326" s="5" t="inlineStr">
        <is>
          <t>REFLO ALMACEN</t>
        </is>
      </c>
      <c r="B326" s="5">
        <f>IF($I2="","",INDEX(Productos!$A:$A,$I2))</f>
        <v/>
      </c>
      <c r="C326" s="134" t="inlineStr">
        <is>
          <t>HUDNAV-XL</t>
        </is>
      </c>
      <c r="D326" s="5">
        <f>IF($I2="","",INDEX(Productos!$B:$B,$I2))</f>
        <v/>
      </c>
      <c r="E326" s="5">
        <f>IF($I2="","",INDEX(Productos!$H:$H,$I2))</f>
        <v/>
      </c>
      <c r="F326" s="5">
        <f>IF($I2="","",INDEX(Productos!$I:$I,$I2))</f>
        <v/>
      </c>
      <c r="G326" s="135" t="n">
        <v>3</v>
      </c>
      <c r="H326" s="5">
        <f>IF($I2="","",INDEX(Productos!$AG:$AG,$I2))</f>
        <v/>
      </c>
      <c r="I326" s="136">
        <f>LET(_xlpm.r,Productos!$E$2:$E$653,_xlpm.m,IFERROR(_xlfn.XMATCH(C326,_xlpm.r),IFERROR(_xlfn.XMATCH(VALUE(C326),_xlpm.r),0)),IF(_xlpm.m=0,"",_xlpm.m+1))</f>
        <v/>
      </c>
      <c r="J326" s="137" t="inlineStr">
        <is>
          <t>NetSuite</t>
        </is>
      </c>
    </row>
    <row r="327">
      <c r="A327" s="5" t="inlineStr">
        <is>
          <t>REFLO ALMACEN</t>
        </is>
      </c>
      <c r="B327" s="5">
        <f>IF($I2="","",INDEX(Productos!$A:$A,$I2))</f>
        <v/>
      </c>
      <c r="C327" s="134" t="inlineStr">
        <is>
          <t>HUDSOXY-L</t>
        </is>
      </c>
      <c r="D327" s="5">
        <f>IF($I2="","",INDEX(Productos!$B:$B,$I2))</f>
        <v/>
      </c>
      <c r="E327" s="5">
        <f>IF($I2="","",INDEX(Productos!$H:$H,$I2))</f>
        <v/>
      </c>
      <c r="F327" s="5">
        <f>IF($I2="","",INDEX(Productos!$I:$I,$I2))</f>
        <v/>
      </c>
      <c r="G327" s="135" t="n">
        <v>1</v>
      </c>
      <c r="H327" s="5">
        <f>IF($I2="","",INDEX(Productos!$AG:$AG,$I2))</f>
        <v/>
      </c>
      <c r="I327" s="136">
        <f>LET(_xlpm.r,Productos!$E$2:$E$653,_xlpm.m,IFERROR(_xlfn.XMATCH(C327,_xlpm.r),IFERROR(_xlfn.XMATCH(VALUE(C327),_xlpm.r),0)),IF(_xlpm.m=0,"",_xlpm.m+1))</f>
        <v/>
      </c>
      <c r="J327" s="137" t="inlineStr">
        <is>
          <t>NetSuite</t>
        </is>
      </c>
    </row>
    <row r="328">
      <c r="A328" s="5" t="inlineStr">
        <is>
          <t>REFLO ALMACEN</t>
        </is>
      </c>
      <c r="B328" s="5">
        <f>IF($I2="","",INDEX(Productos!$A:$A,$I2))</f>
        <v/>
      </c>
      <c r="C328" s="134" t="inlineStr">
        <is>
          <t>HUDSOXY-M</t>
        </is>
      </c>
      <c r="D328" s="5">
        <f>IF($I2="","",INDEX(Productos!$B:$B,$I2))</f>
        <v/>
      </c>
      <c r="E328" s="5">
        <f>IF($I2="","",INDEX(Productos!$H:$H,$I2))</f>
        <v/>
      </c>
      <c r="F328" s="5">
        <f>IF($I2="","",INDEX(Productos!$I:$I,$I2))</f>
        <v/>
      </c>
      <c r="G328" s="135" t="n">
        <v>3</v>
      </c>
      <c r="H328" s="5">
        <f>IF($I2="","",INDEX(Productos!$AG:$AG,$I2))</f>
        <v/>
      </c>
      <c r="I328" s="136">
        <f>LET(_xlpm.r,Productos!$E$2:$E$653,_xlpm.m,IFERROR(_xlfn.XMATCH(C328,_xlpm.r),IFERROR(_xlfn.XMATCH(VALUE(C328),_xlpm.r),0)),IF(_xlpm.m=0,"",_xlpm.m+1))</f>
        <v/>
      </c>
      <c r="J328" s="137" t="inlineStr">
        <is>
          <t>NetSuite</t>
        </is>
      </c>
    </row>
    <row r="329">
      <c r="A329" s="5" t="inlineStr">
        <is>
          <t>REFLO ALMACEN</t>
        </is>
      </c>
      <c r="B329" s="5">
        <f>IF($I2="","",INDEX(Productos!$A:$A,$I2))</f>
        <v/>
      </c>
      <c r="C329" s="134" t="inlineStr">
        <is>
          <t>HUDSOXY-XL</t>
        </is>
      </c>
      <c r="D329" s="5">
        <f>IF($I2="","",INDEX(Productos!$B:$B,$I2))</f>
        <v/>
      </c>
      <c r="E329" s="5">
        <f>IF($I2="","",INDEX(Productos!$H:$H,$I2))</f>
        <v/>
      </c>
      <c r="F329" s="5">
        <f>IF($I2="","",INDEX(Productos!$I:$I,$I2))</f>
        <v/>
      </c>
      <c r="G329" s="135" t="n">
        <v>3</v>
      </c>
      <c r="H329" s="5">
        <f>IF($I2="","",INDEX(Productos!$AG:$AG,$I2))</f>
        <v/>
      </c>
      <c r="I329" s="136">
        <f>LET(_xlpm.r,Productos!$E$2:$E$653,_xlpm.m,IFERROR(_xlfn.XMATCH(C329,_xlpm.r),IFERROR(_xlfn.XMATCH(VALUE(C329),_xlpm.r),0)),IF(_xlpm.m=0,"",_xlpm.m+1))</f>
        <v/>
      </c>
      <c r="J329" s="137" t="inlineStr">
        <is>
          <t>NetSuite</t>
        </is>
      </c>
    </row>
    <row r="330">
      <c r="A330" s="5" t="inlineStr">
        <is>
          <t>REFLO ALMACEN</t>
        </is>
      </c>
      <c r="B330" s="5">
        <f>IF($I2="","",INDEX(Productos!$A:$A,$I2))</f>
        <v/>
      </c>
      <c r="C330" s="134" t="inlineStr">
        <is>
          <t>KASATOWSB-OS</t>
        </is>
      </c>
      <c r="D330" s="5">
        <f>IF($I2="","",INDEX(Productos!$B:$B,$I2))</f>
        <v/>
      </c>
      <c r="E330" s="5">
        <f>IF($I2="","",INDEX(Productos!$H:$H,$I2))</f>
        <v/>
      </c>
      <c r="F330" s="5">
        <f>IF($I2="","",INDEX(Productos!$I:$I,$I2))</f>
        <v/>
      </c>
      <c r="G330" s="135" t="n">
        <v>4</v>
      </c>
      <c r="H330" s="5">
        <f>IF($I2="","",INDEX(Productos!$AG:$AG,$I2))</f>
        <v/>
      </c>
      <c r="I330" s="136">
        <f>LET(_xlpm.r,Productos!$E$2:$E$653,_xlpm.m,IFERROR(_xlfn.XMATCH(C330,_xlpm.r),IFERROR(_xlfn.XMATCH(VALUE(C330),_xlpm.r),0)),IF(_xlpm.m=0,"",_xlpm.m+1))</f>
        <v/>
      </c>
      <c r="J330" s="137" t="inlineStr">
        <is>
          <t>NetSuite</t>
        </is>
      </c>
    </row>
    <row r="331">
      <c r="A331" s="5" t="inlineStr">
        <is>
          <t>REFLO ALMACEN</t>
        </is>
      </c>
      <c r="B331" s="5">
        <f>IF($I2="","",INDEX(Productos!$A:$A,$I2))</f>
        <v/>
      </c>
      <c r="C331" s="134" t="inlineStr">
        <is>
          <t>LEVABLAO-OS</t>
        </is>
      </c>
      <c r="D331" s="5">
        <f>IF($I2="","",INDEX(Productos!$B:$B,$I2))</f>
        <v/>
      </c>
      <c r="E331" s="5">
        <f>IF($I2="","",INDEX(Productos!$H:$H,$I2))</f>
        <v/>
      </c>
      <c r="F331" s="5">
        <f>IF($I2="","",INDEX(Productos!$I:$I,$I2))</f>
        <v/>
      </c>
      <c r="G331" s="135" t="n">
        <v>44</v>
      </c>
      <c r="H331" s="5">
        <f>IF($I2="","",INDEX(Productos!$AG:$AG,$I2))</f>
        <v/>
      </c>
      <c r="I331" s="136">
        <f>LET(_xlpm.r,Productos!$E$2:$E$653,_xlpm.m,IFERROR(_xlfn.XMATCH(C331,_xlpm.r),IFERROR(_xlfn.XMATCH(VALUE(C331),_xlpm.r),0)),IF(_xlpm.m=0,"",_xlpm.m+1))</f>
        <v/>
      </c>
      <c r="J331" s="137" t="inlineStr">
        <is>
          <t>NetSuite</t>
        </is>
      </c>
    </row>
    <row r="332">
      <c r="A332" s="5" t="inlineStr">
        <is>
          <t>REFLO ALMACEN</t>
        </is>
      </c>
      <c r="B332" s="5">
        <f>IF($I2="","",INDEX(Productos!$A:$A,$I2))</f>
        <v/>
      </c>
      <c r="C332" s="134" t="inlineStr">
        <is>
          <t>LEVANAVO-OS</t>
        </is>
      </c>
      <c r="D332" s="5">
        <f>IF($I2="","",INDEX(Productos!$B:$B,$I2))</f>
        <v/>
      </c>
      <c r="E332" s="5">
        <f>IF($I2="","",INDEX(Productos!$H:$H,$I2))</f>
        <v/>
      </c>
      <c r="F332" s="5">
        <f>IF($I2="","",INDEX(Productos!$I:$I,$I2))</f>
        <v/>
      </c>
      <c r="G332" s="135" t="n">
        <v>101</v>
      </c>
      <c r="H332" s="5">
        <f>IF($I2="","",INDEX(Productos!$AG:$AG,$I2))</f>
        <v/>
      </c>
      <c r="I332" s="136">
        <f>LET(_xlpm.r,Productos!$E$2:$E$653,_xlpm.m,IFERROR(_xlfn.XMATCH(C332,_xlpm.r),IFERROR(_xlfn.XMATCH(VALUE(C332),_xlpm.r),0)),IF(_xlpm.m=0,"",_xlpm.m+1))</f>
        <v/>
      </c>
      <c r="J332" s="137" t="inlineStr">
        <is>
          <t>NetSuite</t>
        </is>
      </c>
    </row>
    <row r="333">
      <c r="A333" s="5" t="inlineStr">
        <is>
          <t>REFLO ALMACEN</t>
        </is>
      </c>
      <c r="B333" s="5">
        <f>IF($I2="","",INDEX(Productos!$A:$A,$I2))</f>
        <v/>
      </c>
      <c r="C333" s="134" t="inlineStr">
        <is>
          <t>LEVAWHIO-OS</t>
        </is>
      </c>
      <c r="D333" s="5">
        <f>IF($I2="","",INDEX(Productos!$B:$B,$I2))</f>
        <v/>
      </c>
      <c r="E333" s="5">
        <f>IF($I2="","",INDEX(Productos!$H:$H,$I2))</f>
        <v/>
      </c>
      <c r="F333" s="5">
        <f>IF($I2="","",INDEX(Productos!$I:$I,$I2))</f>
        <v/>
      </c>
      <c r="G333" s="135" t="n">
        <v>98</v>
      </c>
      <c r="H333" s="5">
        <f>IF($I2="","",INDEX(Productos!$AG:$AG,$I2))</f>
        <v/>
      </c>
      <c r="I333" s="136">
        <f>LET(_xlpm.r,Productos!$E$2:$E$653,_xlpm.m,IFERROR(_xlfn.XMATCH(C333,_xlpm.r),IFERROR(_xlfn.XMATCH(VALUE(C333),_xlpm.r),0)),IF(_xlpm.m=0,"",_xlpm.m+1))</f>
        <v/>
      </c>
      <c r="J333" s="137" t="inlineStr">
        <is>
          <t>NetSuite</t>
        </is>
      </c>
    </row>
    <row r="334">
      <c r="A334" s="5" t="inlineStr">
        <is>
          <t>REFLO ALMACEN</t>
        </is>
      </c>
      <c r="B334" s="5">
        <f>IF($I2="","",INDEX(Productos!$A:$A,$I2))</f>
        <v/>
      </c>
      <c r="C334" s="134" t="inlineStr">
        <is>
          <t>MAHITOWG-OS</t>
        </is>
      </c>
      <c r="D334" s="5">
        <f>IF($I2="","",INDEX(Productos!$B:$B,$I2))</f>
        <v/>
      </c>
      <c r="E334" s="5">
        <f>IF($I2="","",INDEX(Productos!$H:$H,$I2))</f>
        <v/>
      </c>
      <c r="F334" s="5">
        <f>IF($I2="","",INDEX(Productos!$I:$I,$I2))</f>
        <v/>
      </c>
      <c r="G334" s="135" t="n">
        <v>41</v>
      </c>
      <c r="H334" s="5">
        <f>IF($I2="","",INDEX(Productos!$AG:$AG,$I2))</f>
        <v/>
      </c>
      <c r="I334" s="136">
        <f>LET(_xlpm.r,Productos!$E$2:$E$653,_xlpm.m,IFERROR(_xlfn.XMATCH(C334,_xlpm.r),IFERROR(_xlfn.XMATCH(VALUE(C334),_xlpm.r),0)),IF(_xlpm.m=0,"",_xlpm.m+1))</f>
        <v/>
      </c>
      <c r="J334" s="137" t="inlineStr">
        <is>
          <t>NetSuite</t>
        </is>
      </c>
    </row>
    <row r="335">
      <c r="A335" s="5" t="inlineStr">
        <is>
          <t>REFLO ALMACEN</t>
        </is>
      </c>
      <c r="B335" s="5">
        <f>IF($I2="","",INDEX(Productos!$A:$A,$I2))</f>
        <v/>
      </c>
      <c r="C335" s="134" t="inlineStr">
        <is>
          <t>MEKOSBLU-2XL</t>
        </is>
      </c>
      <c r="D335" s="5">
        <f>IF($I2="","",INDEX(Productos!$B:$B,$I2))</f>
        <v/>
      </c>
      <c r="E335" s="5">
        <f>IF($I2="","",INDEX(Productos!$H:$H,$I2))</f>
        <v/>
      </c>
      <c r="F335" s="5">
        <f>IF($I2="","",INDEX(Productos!$I:$I,$I2))</f>
        <v/>
      </c>
      <c r="G335" s="135" t="n">
        <v>1</v>
      </c>
      <c r="H335" s="5">
        <f>IF($I2="","",INDEX(Productos!$AG:$AG,$I2))</f>
        <v/>
      </c>
      <c r="I335" s="136">
        <f>LET(_xlpm.r,Productos!$E$2:$E$653,_xlpm.m,IFERROR(_xlfn.XMATCH(C335,_xlpm.r),IFERROR(_xlfn.XMATCH(VALUE(C335),_xlpm.r),0)),IF(_xlpm.m=0,"",_xlpm.m+1))</f>
        <v/>
      </c>
      <c r="J335" s="137" t="inlineStr">
        <is>
          <t>NetSuite</t>
        </is>
      </c>
    </row>
    <row r="336">
      <c r="A336" s="5" t="inlineStr">
        <is>
          <t>REFLO ALMACEN</t>
        </is>
      </c>
      <c r="B336" s="5">
        <f>IF($I2="","",INDEX(Productos!$A:$A,$I2))</f>
        <v/>
      </c>
      <c r="C336" s="134" t="inlineStr">
        <is>
          <t>MEKOSBLU-L</t>
        </is>
      </c>
      <c r="D336" s="5">
        <f>IF($I2="","",INDEX(Productos!$B:$B,$I2))</f>
        <v/>
      </c>
      <c r="E336" s="5">
        <f>IF($I2="","",INDEX(Productos!$H:$H,$I2))</f>
        <v/>
      </c>
      <c r="F336" s="5">
        <f>IF($I2="","",INDEX(Productos!$I:$I,$I2))</f>
        <v/>
      </c>
      <c r="G336" s="135" t="n">
        <v>4</v>
      </c>
      <c r="H336" s="5">
        <f>IF($I2="","",INDEX(Productos!$AG:$AG,$I2))</f>
        <v/>
      </c>
      <c r="I336" s="136">
        <f>LET(_xlpm.r,Productos!$E$2:$E$653,_xlpm.m,IFERROR(_xlfn.XMATCH(C336,_xlpm.r),IFERROR(_xlfn.XMATCH(VALUE(C336),_xlpm.r),0)),IF(_xlpm.m=0,"",_xlpm.m+1))</f>
        <v/>
      </c>
      <c r="J336" s="137" t="inlineStr">
        <is>
          <t>NetSuite</t>
        </is>
      </c>
    </row>
    <row r="337">
      <c r="A337" s="5" t="inlineStr">
        <is>
          <t>REFLO ALMACEN</t>
        </is>
      </c>
      <c r="B337" s="5">
        <f>IF($I2="","",INDEX(Productos!$A:$A,$I2))</f>
        <v/>
      </c>
      <c r="C337" s="134" t="inlineStr">
        <is>
          <t>MEKOSBLU-M</t>
        </is>
      </c>
      <c r="D337" s="5">
        <f>IF($I2="","",INDEX(Productos!$B:$B,$I2))</f>
        <v/>
      </c>
      <c r="E337" s="5">
        <f>IF($I2="","",INDEX(Productos!$H:$H,$I2))</f>
        <v/>
      </c>
      <c r="F337" s="5">
        <f>IF($I2="","",INDEX(Productos!$I:$I,$I2))</f>
        <v/>
      </c>
      <c r="G337" s="135" t="n">
        <v>2</v>
      </c>
      <c r="H337" s="5">
        <f>IF($I2="","",INDEX(Productos!$AG:$AG,$I2))</f>
        <v/>
      </c>
      <c r="I337" s="136">
        <f>LET(_xlpm.r,Productos!$E$2:$E$653,_xlpm.m,IFERROR(_xlfn.XMATCH(C337,_xlpm.r),IFERROR(_xlfn.XMATCH(VALUE(C337),_xlpm.r),0)),IF(_xlpm.m=0,"",_xlpm.m+1))</f>
        <v/>
      </c>
      <c r="J337" s="137" t="inlineStr">
        <is>
          <t>NetSuite</t>
        </is>
      </c>
    </row>
    <row r="338">
      <c r="A338" s="5" t="inlineStr">
        <is>
          <t>REFLO ALMACEN</t>
        </is>
      </c>
      <c r="B338" s="5">
        <f>IF($I2="","",INDEX(Productos!$A:$A,$I2))</f>
        <v/>
      </c>
      <c r="C338" s="134" t="inlineStr">
        <is>
          <t>MEKOSBLU-XL</t>
        </is>
      </c>
      <c r="D338" s="5">
        <f>IF($I2="","",INDEX(Productos!$B:$B,$I2))</f>
        <v/>
      </c>
      <c r="E338" s="5">
        <f>IF($I2="","",INDEX(Productos!$H:$H,$I2))</f>
        <v/>
      </c>
      <c r="F338" s="5">
        <f>IF($I2="","",INDEX(Productos!$I:$I,$I2))</f>
        <v/>
      </c>
      <c r="G338" s="135" t="n">
        <v>5</v>
      </c>
      <c r="H338" s="5">
        <f>IF($I2="","",INDEX(Productos!$AG:$AG,$I2))</f>
        <v/>
      </c>
      <c r="I338" s="136">
        <f>LET(_xlpm.r,Productos!$E$2:$E$653,_xlpm.m,IFERROR(_xlfn.XMATCH(C338,_xlpm.r),IFERROR(_xlfn.XMATCH(VALUE(C338),_xlpm.r),0)),IF(_xlpm.m=0,"",_xlpm.m+1))</f>
        <v/>
      </c>
      <c r="J338" s="137" t="inlineStr">
        <is>
          <t>NetSuite</t>
        </is>
      </c>
    </row>
    <row r="339">
      <c r="A339" s="5" t="inlineStr">
        <is>
          <t>REFLO ALMACEN</t>
        </is>
      </c>
      <c r="B339" s="5">
        <f>IF($I2="","",INDEX(Productos!$A:$A,$I2))</f>
        <v/>
      </c>
      <c r="C339" s="134" t="inlineStr">
        <is>
          <t>MOACOR-2XL</t>
        </is>
      </c>
      <c r="D339" s="5">
        <f>IF($I2="","",INDEX(Productos!$B:$B,$I2))</f>
        <v/>
      </c>
      <c r="E339" s="5">
        <f>IF($I2="","",INDEX(Productos!$H:$H,$I2))</f>
        <v/>
      </c>
      <c r="F339" s="5">
        <f>IF($I2="","",INDEX(Productos!$I:$I,$I2))</f>
        <v/>
      </c>
      <c r="G339" s="135" t="n">
        <v>7</v>
      </c>
      <c r="H339" s="5">
        <f>IF($I2="","",INDEX(Productos!$AG:$AG,$I2))</f>
        <v/>
      </c>
      <c r="I339" s="136">
        <f>LET(_xlpm.r,Productos!$E$2:$E$653,_xlpm.m,IFERROR(_xlfn.XMATCH(C339,_xlpm.r),IFERROR(_xlfn.XMATCH(VALUE(C339),_xlpm.r),0)),IF(_xlpm.m=0,"",_xlpm.m+1))</f>
        <v/>
      </c>
      <c r="J339" s="137" t="inlineStr">
        <is>
          <t>NetSuite</t>
        </is>
      </c>
    </row>
    <row r="340">
      <c r="A340" s="5" t="inlineStr">
        <is>
          <t>REFLO ALMACEN</t>
        </is>
      </c>
      <c r="B340" s="5">
        <f>IF($I2="","",INDEX(Productos!$A:$A,$I2))</f>
        <v/>
      </c>
      <c r="C340" s="134" t="inlineStr">
        <is>
          <t>MOACOR-L</t>
        </is>
      </c>
      <c r="D340" s="5">
        <f>IF($I2="","",INDEX(Productos!$B:$B,$I2))</f>
        <v/>
      </c>
      <c r="E340" s="5">
        <f>IF($I2="","",INDEX(Productos!$H:$H,$I2))</f>
        <v/>
      </c>
      <c r="F340" s="5">
        <f>IF($I2="","",INDEX(Productos!$I:$I,$I2))</f>
        <v/>
      </c>
      <c r="G340" s="135" t="n">
        <v>14</v>
      </c>
      <c r="H340" s="5">
        <f>IF($I2="","",INDEX(Productos!$AG:$AG,$I2))</f>
        <v/>
      </c>
      <c r="I340" s="136">
        <f>LET(_xlpm.r,Productos!$E$2:$E$653,_xlpm.m,IFERROR(_xlfn.XMATCH(C340,_xlpm.r),IFERROR(_xlfn.XMATCH(VALUE(C340),_xlpm.r),0)),IF(_xlpm.m=0,"",_xlpm.m+1))</f>
        <v/>
      </c>
      <c r="J340" s="137" t="inlineStr">
        <is>
          <t>NetSuite</t>
        </is>
      </c>
    </row>
    <row r="341">
      <c r="A341" s="5" t="inlineStr">
        <is>
          <t>REFLO ALMACEN</t>
        </is>
      </c>
      <c r="B341" s="5">
        <f>IF($I2="","",INDEX(Productos!$A:$A,$I2))</f>
        <v/>
      </c>
      <c r="C341" s="134" t="inlineStr">
        <is>
          <t>MOACOR-M</t>
        </is>
      </c>
      <c r="D341" s="5">
        <f>IF($I2="","",INDEX(Productos!$B:$B,$I2))</f>
        <v/>
      </c>
      <c r="E341" s="5">
        <f>IF($I2="","",INDEX(Productos!$H:$H,$I2))</f>
        <v/>
      </c>
      <c r="F341" s="5">
        <f>IF($I2="","",INDEX(Productos!$I:$I,$I2))</f>
        <v/>
      </c>
      <c r="G341" s="135" t="n">
        <v>6</v>
      </c>
      <c r="H341" s="5">
        <f>IF($I2="","",INDEX(Productos!$AG:$AG,$I2))</f>
        <v/>
      </c>
      <c r="I341" s="136">
        <f>LET(_xlpm.r,Productos!$E$2:$E$653,_xlpm.m,IFERROR(_xlfn.XMATCH(C341,_xlpm.r),IFERROR(_xlfn.XMATCH(VALUE(C341),_xlpm.r),0)),IF(_xlpm.m=0,"",_xlpm.m+1))</f>
        <v/>
      </c>
      <c r="J341" s="137" t="inlineStr">
        <is>
          <t>NetSuite</t>
        </is>
      </c>
    </row>
    <row r="342">
      <c r="A342" s="5" t="inlineStr">
        <is>
          <t>REFLO ALMACEN</t>
        </is>
      </c>
      <c r="B342" s="5">
        <f>IF($I2="","",INDEX(Productos!$A:$A,$I2))</f>
        <v/>
      </c>
      <c r="C342" s="134" t="inlineStr">
        <is>
          <t>MOACOR-S</t>
        </is>
      </c>
      <c r="D342" s="5">
        <f>IF($I2="","",INDEX(Productos!$B:$B,$I2))</f>
        <v/>
      </c>
      <c r="E342" s="5">
        <f>IF($I2="","",INDEX(Productos!$H:$H,$I2))</f>
        <v/>
      </c>
      <c r="F342" s="5">
        <f>IF($I2="","",INDEX(Productos!$I:$I,$I2))</f>
        <v/>
      </c>
      <c r="G342" s="135" t="n">
        <v>2</v>
      </c>
      <c r="H342" s="5">
        <f>IF($I2="","",INDEX(Productos!$AG:$AG,$I2))</f>
        <v/>
      </c>
      <c r="I342" s="136">
        <f>LET(_xlpm.r,Productos!$E$2:$E$653,_xlpm.m,IFERROR(_xlfn.XMATCH(C342,_xlpm.r),IFERROR(_xlfn.XMATCH(VALUE(C342),_xlpm.r),0)),IF(_xlpm.m=0,"",_xlpm.m+1))</f>
        <v/>
      </c>
      <c r="J342" s="137" t="inlineStr">
        <is>
          <t>NetSuite</t>
        </is>
      </c>
    </row>
    <row r="343">
      <c r="A343" s="5" t="inlineStr">
        <is>
          <t>REFLO ALMACEN</t>
        </is>
      </c>
      <c r="B343" s="5">
        <f>IF($I2="","",INDEX(Productos!$A:$A,$I2))</f>
        <v/>
      </c>
      <c r="C343" s="134" t="inlineStr">
        <is>
          <t>MOACOR-XL</t>
        </is>
      </c>
      <c r="D343" s="5">
        <f>IF($I2="","",INDEX(Productos!$B:$B,$I2))</f>
        <v/>
      </c>
      <c r="E343" s="5">
        <f>IF($I2="","",INDEX(Productos!$H:$H,$I2))</f>
        <v/>
      </c>
      <c r="F343" s="5">
        <f>IF($I2="","",INDEX(Productos!$I:$I,$I2))</f>
        <v/>
      </c>
      <c r="G343" s="135" t="n">
        <v>15</v>
      </c>
      <c r="H343" s="5">
        <f>IF($I2="","",INDEX(Productos!$AG:$AG,$I2))</f>
        <v/>
      </c>
      <c r="I343" s="136">
        <f>LET(_xlpm.r,Productos!$E$2:$E$653,_xlpm.m,IFERROR(_xlfn.XMATCH(C343,_xlpm.r),IFERROR(_xlfn.XMATCH(VALUE(C343),_xlpm.r),0)),IF(_xlpm.m=0,"",_xlpm.m+1))</f>
        <v/>
      </c>
      <c r="J343" s="137" t="inlineStr">
        <is>
          <t>NetSuite</t>
        </is>
      </c>
    </row>
    <row r="344">
      <c r="A344" s="5" t="inlineStr">
        <is>
          <t>REFLO ALMACEN</t>
        </is>
      </c>
      <c r="B344" s="5">
        <f>IF($I2="","",INDEX(Productos!$A:$A,$I2))</f>
        <v/>
      </c>
      <c r="C344" s="134" t="inlineStr">
        <is>
          <t>OTIGRE-2XL</t>
        </is>
      </c>
      <c r="D344" s="5">
        <f>IF($I2="","",INDEX(Productos!$B:$B,$I2))</f>
        <v/>
      </c>
      <c r="E344" s="5">
        <f>IF($I2="","",INDEX(Productos!$H:$H,$I2))</f>
        <v/>
      </c>
      <c r="F344" s="5">
        <f>IF($I2="","",INDEX(Productos!$I:$I,$I2))</f>
        <v/>
      </c>
      <c r="G344" s="135" t="n">
        <v>2</v>
      </c>
      <c r="H344" s="5">
        <f>IF($I2="","",INDEX(Productos!$AG:$AG,$I2))</f>
        <v/>
      </c>
      <c r="I344" s="136">
        <f>LET(_xlpm.r,Productos!$E$2:$E$653,_xlpm.m,IFERROR(_xlfn.XMATCH(C344,_xlpm.r),IFERROR(_xlfn.XMATCH(VALUE(C344),_xlpm.r),0)),IF(_xlpm.m=0,"",_xlpm.m+1))</f>
        <v/>
      </c>
      <c r="J344" s="137" t="inlineStr">
        <is>
          <t>NetSuite</t>
        </is>
      </c>
    </row>
    <row r="345">
      <c r="A345" s="5" t="inlineStr">
        <is>
          <t>REFLO ALMACEN</t>
        </is>
      </c>
      <c r="B345" s="5">
        <f>IF($I2="","",INDEX(Productos!$A:$A,$I2))</f>
        <v/>
      </c>
      <c r="C345" s="134" t="inlineStr">
        <is>
          <t>OTIGRE-L</t>
        </is>
      </c>
      <c r="D345" s="5">
        <f>IF($I2="","",INDEX(Productos!$B:$B,$I2))</f>
        <v/>
      </c>
      <c r="E345" s="5">
        <f>IF($I2="","",INDEX(Productos!$H:$H,$I2))</f>
        <v/>
      </c>
      <c r="F345" s="5">
        <f>IF($I2="","",INDEX(Productos!$I:$I,$I2))</f>
        <v/>
      </c>
      <c r="G345" s="135" t="n">
        <v>2</v>
      </c>
      <c r="H345" s="5">
        <f>IF($I2="","",INDEX(Productos!$AG:$AG,$I2))</f>
        <v/>
      </c>
      <c r="I345" s="136">
        <f>LET(_xlpm.r,Productos!$E$2:$E$653,_xlpm.m,IFERROR(_xlfn.XMATCH(C345,_xlpm.r),IFERROR(_xlfn.XMATCH(VALUE(C345),_xlpm.r),0)),IF(_xlpm.m=0,"",_xlpm.m+1))</f>
        <v/>
      </c>
      <c r="J345" s="137" t="inlineStr">
        <is>
          <t>NetSuite</t>
        </is>
      </c>
    </row>
    <row r="346">
      <c r="A346" s="5" t="inlineStr">
        <is>
          <t>REFLO ALMACEN</t>
        </is>
      </c>
      <c r="B346" s="5">
        <f>IF($I2="","",INDEX(Productos!$A:$A,$I2))</f>
        <v/>
      </c>
      <c r="C346" s="134" t="inlineStr">
        <is>
          <t>OTIGRE-M</t>
        </is>
      </c>
      <c r="D346" s="5">
        <f>IF($I2="","",INDEX(Productos!$B:$B,$I2))</f>
        <v/>
      </c>
      <c r="E346" s="5">
        <f>IF($I2="","",INDEX(Productos!$H:$H,$I2))</f>
        <v/>
      </c>
      <c r="F346" s="5">
        <f>IF($I2="","",INDEX(Productos!$I:$I,$I2))</f>
        <v/>
      </c>
      <c r="G346" s="135" t="n">
        <v>1</v>
      </c>
      <c r="H346" s="5">
        <f>IF($I2="","",INDEX(Productos!$AG:$AG,$I2))</f>
        <v/>
      </c>
      <c r="I346" s="136">
        <f>LET(_xlpm.r,Productos!$E$2:$E$653,_xlpm.m,IFERROR(_xlfn.XMATCH(C346,_xlpm.r),IFERROR(_xlfn.XMATCH(VALUE(C346),_xlpm.r),0)),IF(_xlpm.m=0,"",_xlpm.m+1))</f>
        <v/>
      </c>
      <c r="J346" s="137" t="inlineStr">
        <is>
          <t>NetSuite</t>
        </is>
      </c>
    </row>
    <row r="347">
      <c r="A347" s="5" t="inlineStr">
        <is>
          <t>REFLO ALMACEN</t>
        </is>
      </c>
      <c r="B347" s="5">
        <f>IF($I2="","",INDEX(Productos!$A:$A,$I2))</f>
        <v/>
      </c>
      <c r="C347" s="134" t="inlineStr">
        <is>
          <t>OTIGRE-XL</t>
        </is>
      </c>
      <c r="D347" s="5">
        <f>IF($I2="","",INDEX(Productos!$B:$B,$I2))</f>
        <v/>
      </c>
      <c r="E347" s="5">
        <f>IF($I2="","",INDEX(Productos!$H:$H,$I2))</f>
        <v/>
      </c>
      <c r="F347" s="5">
        <f>IF($I2="","",INDEX(Productos!$I:$I,$I2))</f>
        <v/>
      </c>
      <c r="G347" s="135" t="n">
        <v>5</v>
      </c>
      <c r="H347" s="5">
        <f>IF($I2="","",INDEX(Productos!$AG:$AG,$I2))</f>
        <v/>
      </c>
      <c r="I347" s="136">
        <f>LET(_xlpm.r,Productos!$E$2:$E$653,_xlpm.m,IFERROR(_xlfn.XMATCH(C347,_xlpm.r),IFERROR(_xlfn.XMATCH(VALUE(C347),_xlpm.r),0)),IF(_xlpm.m=0,"",_xlpm.m+1))</f>
        <v/>
      </c>
      <c r="J347" s="137" t="inlineStr">
        <is>
          <t>NetSuite</t>
        </is>
      </c>
    </row>
    <row r="348">
      <c r="A348" s="5" t="inlineStr">
        <is>
          <t>REFLO ALMACEN</t>
        </is>
      </c>
      <c r="B348" s="5">
        <f>IF($I2="","",INDEX(Productos!$A:$A,$I2))</f>
        <v/>
      </c>
      <c r="C348" s="134" t="inlineStr">
        <is>
          <t>RM02101009-30</t>
        </is>
      </c>
      <c r="D348" s="5">
        <f>IF($I2="","",INDEX(Productos!$B:$B,$I2))</f>
        <v/>
      </c>
      <c r="E348" s="5">
        <f>IF($I2="","",INDEX(Productos!$H:$H,$I2))</f>
        <v/>
      </c>
      <c r="F348" s="5">
        <f>IF($I2="","",INDEX(Productos!$I:$I,$I2))</f>
        <v/>
      </c>
      <c r="G348" s="135" t="n">
        <v>10</v>
      </c>
      <c r="H348" s="5">
        <f>IF($I2="","",INDEX(Productos!$AG:$AG,$I2))</f>
        <v/>
      </c>
      <c r="I348" s="136">
        <f>LET(_xlpm.r,Productos!$E$2:$E$653,_xlpm.m,IFERROR(_xlfn.XMATCH(C348,_xlpm.r),IFERROR(_xlfn.XMATCH(VALUE(C348),_xlpm.r),0)),IF(_xlpm.m=0,"",_xlpm.m+1))</f>
        <v/>
      </c>
      <c r="J348" s="137" t="inlineStr">
        <is>
          <t>NetSuite</t>
        </is>
      </c>
    </row>
    <row r="349">
      <c r="A349" s="5" t="inlineStr">
        <is>
          <t>REFLO ALMACEN</t>
        </is>
      </c>
      <c r="B349" s="5">
        <f>IF($I2="","",INDEX(Productos!$A:$A,$I2))</f>
        <v/>
      </c>
      <c r="C349" s="134" t="inlineStr">
        <is>
          <t>RM02101009-32</t>
        </is>
      </c>
      <c r="D349" s="5">
        <f>IF($I2="","",INDEX(Productos!$B:$B,$I2))</f>
        <v/>
      </c>
      <c r="E349" s="5">
        <f>IF($I2="","",INDEX(Productos!$H:$H,$I2))</f>
        <v/>
      </c>
      <c r="F349" s="5">
        <f>IF($I2="","",INDEX(Productos!$I:$I,$I2))</f>
        <v/>
      </c>
      <c r="G349" s="135" t="n">
        <v>14</v>
      </c>
      <c r="H349" s="5">
        <f>IF($I2="","",INDEX(Productos!$AG:$AG,$I2))</f>
        <v/>
      </c>
      <c r="I349" s="136">
        <f>LET(_xlpm.r,Productos!$E$2:$E$653,_xlpm.m,IFERROR(_xlfn.XMATCH(C349,_xlpm.r),IFERROR(_xlfn.XMATCH(VALUE(C349),_xlpm.r),0)),IF(_xlpm.m=0,"",_xlpm.m+1))</f>
        <v/>
      </c>
      <c r="J349" s="137" t="inlineStr">
        <is>
          <t>NetSuite</t>
        </is>
      </c>
    </row>
    <row r="350">
      <c r="A350" s="5" t="inlineStr">
        <is>
          <t>REFLO ALMACEN</t>
        </is>
      </c>
      <c r="B350" s="5">
        <f>IF($I2="","",INDEX(Productos!$A:$A,$I2))</f>
        <v/>
      </c>
      <c r="C350" s="134" t="inlineStr">
        <is>
          <t>RM02101009-34</t>
        </is>
      </c>
      <c r="D350" s="5">
        <f>IF($I2="","",INDEX(Productos!$B:$B,$I2))</f>
        <v/>
      </c>
      <c r="E350" s="5">
        <f>IF($I2="","",INDEX(Productos!$H:$H,$I2))</f>
        <v/>
      </c>
      <c r="F350" s="5">
        <f>IF($I2="","",INDEX(Productos!$I:$I,$I2))</f>
        <v/>
      </c>
      <c r="G350" s="135" t="n">
        <v>30</v>
      </c>
      <c r="H350" s="5">
        <f>IF($I2="","",INDEX(Productos!$AG:$AG,$I2))</f>
        <v/>
      </c>
      <c r="I350" s="136">
        <f>LET(_xlpm.r,Productos!$E$2:$E$653,_xlpm.m,IFERROR(_xlfn.XMATCH(C350,_xlpm.r),IFERROR(_xlfn.XMATCH(VALUE(C350),_xlpm.r),0)),IF(_xlpm.m=0,"",_xlpm.m+1))</f>
        <v/>
      </c>
      <c r="J350" s="137" t="inlineStr">
        <is>
          <t>NetSuite</t>
        </is>
      </c>
    </row>
    <row r="351">
      <c r="A351" s="5" t="inlineStr">
        <is>
          <t>REFLO ALMACEN</t>
        </is>
      </c>
      <c r="B351" s="5">
        <f>IF($I2="","",INDEX(Productos!$A:$A,$I2))</f>
        <v/>
      </c>
      <c r="C351" s="134" t="inlineStr">
        <is>
          <t>RM02101009-36</t>
        </is>
      </c>
      <c r="D351" s="5">
        <f>IF($I2="","",INDEX(Productos!$B:$B,$I2))</f>
        <v/>
      </c>
      <c r="E351" s="5">
        <f>IF($I2="","",INDEX(Productos!$H:$H,$I2))</f>
        <v/>
      </c>
      <c r="F351" s="5">
        <f>IF($I2="","",INDEX(Productos!$I:$I,$I2))</f>
        <v/>
      </c>
      <c r="G351" s="135" t="n">
        <v>30</v>
      </c>
      <c r="H351" s="5">
        <f>IF($I2="","",INDEX(Productos!$AG:$AG,$I2))</f>
        <v/>
      </c>
      <c r="I351" s="136">
        <f>LET(_xlpm.r,Productos!$E$2:$E$653,_xlpm.m,IFERROR(_xlfn.XMATCH(C351,_xlpm.r),IFERROR(_xlfn.XMATCH(VALUE(C351),_xlpm.r),0)),IF(_xlpm.m=0,"",_xlpm.m+1))</f>
        <v/>
      </c>
      <c r="J351" s="137" t="inlineStr">
        <is>
          <t>NetSuite</t>
        </is>
      </c>
    </row>
    <row r="352">
      <c r="A352" s="5" t="inlineStr">
        <is>
          <t>REFLO ALMACEN</t>
        </is>
      </c>
      <c r="B352" s="5">
        <f>IF($I2="","",INDEX(Productos!$A:$A,$I2))</f>
        <v/>
      </c>
      <c r="C352" s="134" t="inlineStr">
        <is>
          <t>RM02101009-38</t>
        </is>
      </c>
      <c r="D352" s="5">
        <f>IF($I2="","",INDEX(Productos!$B:$B,$I2))</f>
        <v/>
      </c>
      <c r="E352" s="5">
        <f>IF($I2="","",INDEX(Productos!$H:$H,$I2))</f>
        <v/>
      </c>
      <c r="F352" s="5">
        <f>IF($I2="","",INDEX(Productos!$I:$I,$I2))</f>
        <v/>
      </c>
      <c r="G352" s="135" t="n">
        <v>7</v>
      </c>
      <c r="H352" s="5">
        <f>IF($I2="","",INDEX(Productos!$AG:$AG,$I2))</f>
        <v/>
      </c>
      <c r="I352" s="136">
        <f>LET(_xlpm.r,Productos!$E$2:$E$653,_xlpm.m,IFERROR(_xlfn.XMATCH(C352,_xlpm.r),IFERROR(_xlfn.XMATCH(VALUE(C352),_xlpm.r),0)),IF(_xlpm.m=0,"",_xlpm.m+1))</f>
        <v/>
      </c>
      <c r="J352" s="137" t="inlineStr">
        <is>
          <t>NetSuite</t>
        </is>
      </c>
    </row>
    <row r="353">
      <c r="A353" s="5" t="inlineStr">
        <is>
          <t>REFLO ALMACEN</t>
        </is>
      </c>
      <c r="B353" s="5">
        <f>IF($I2="","",INDEX(Productos!$A:$A,$I2))</f>
        <v/>
      </c>
      <c r="C353" s="134" t="inlineStr">
        <is>
          <t>RM02101009-40</t>
        </is>
      </c>
      <c r="D353" s="5">
        <f>IF($I2="","",INDEX(Productos!$B:$B,$I2))</f>
        <v/>
      </c>
      <c r="E353" s="5">
        <f>IF($I2="","",INDEX(Productos!$H:$H,$I2))</f>
        <v/>
      </c>
      <c r="F353" s="5">
        <f>IF($I2="","",INDEX(Productos!$I:$I,$I2))</f>
        <v/>
      </c>
      <c r="G353" s="135" t="n">
        <v>4</v>
      </c>
      <c r="H353" s="5">
        <f>IF($I2="","",INDEX(Productos!$AG:$AG,$I2))</f>
        <v/>
      </c>
      <c r="I353" s="136">
        <f>LET(_xlpm.r,Productos!$E$2:$E$653,_xlpm.m,IFERROR(_xlfn.XMATCH(C353,_xlpm.r),IFERROR(_xlfn.XMATCH(VALUE(C353),_xlpm.r),0)),IF(_xlpm.m=0,"",_xlpm.m+1))</f>
        <v/>
      </c>
      <c r="J353" s="137" t="inlineStr">
        <is>
          <t>NetSuite</t>
        </is>
      </c>
    </row>
    <row r="354">
      <c r="A354" s="5" t="inlineStr">
        <is>
          <t>REFLO ALMACEN</t>
        </is>
      </c>
      <c r="B354" s="5">
        <f>IF($I2="","",INDEX(Productos!$A:$A,$I2))</f>
        <v/>
      </c>
      <c r="C354" s="134" t="inlineStr">
        <is>
          <t>RM02101023-30</t>
        </is>
      </c>
      <c r="D354" s="5">
        <f>IF($I2="","",INDEX(Productos!$B:$B,$I2))</f>
        <v/>
      </c>
      <c r="E354" s="5">
        <f>IF($I2="","",INDEX(Productos!$H:$H,$I2))</f>
        <v/>
      </c>
      <c r="F354" s="5">
        <f>IF($I2="","",INDEX(Productos!$I:$I,$I2))</f>
        <v/>
      </c>
      <c r="G354" s="135" t="n">
        <v>4</v>
      </c>
      <c r="H354" s="5">
        <f>IF($I2="","",INDEX(Productos!$AG:$AG,$I2))</f>
        <v/>
      </c>
      <c r="I354" s="136">
        <f>LET(_xlpm.r,Productos!$E$2:$E$653,_xlpm.m,IFERROR(_xlfn.XMATCH(C354,_xlpm.r),IFERROR(_xlfn.XMATCH(VALUE(C354),_xlpm.r),0)),IF(_xlpm.m=0,"",_xlpm.m+1))</f>
        <v/>
      </c>
      <c r="J354" s="137" t="inlineStr">
        <is>
          <t>NetSuite</t>
        </is>
      </c>
    </row>
    <row r="355">
      <c r="A355" s="5" t="inlineStr">
        <is>
          <t>REFLO ALMACEN</t>
        </is>
      </c>
      <c r="B355" s="5">
        <f>IF($I2="","",INDEX(Productos!$A:$A,$I2))</f>
        <v/>
      </c>
      <c r="C355" s="134" t="inlineStr">
        <is>
          <t>RM02101023-32</t>
        </is>
      </c>
      <c r="D355" s="5">
        <f>IF($I2="","",INDEX(Productos!$B:$B,$I2))</f>
        <v/>
      </c>
      <c r="E355" s="5">
        <f>IF($I2="","",INDEX(Productos!$H:$H,$I2))</f>
        <v/>
      </c>
      <c r="F355" s="5">
        <f>IF($I2="","",INDEX(Productos!$I:$I,$I2))</f>
        <v/>
      </c>
      <c r="G355" s="135" t="n">
        <v>8</v>
      </c>
      <c r="H355" s="5">
        <f>IF($I2="","",INDEX(Productos!$AG:$AG,$I2))</f>
        <v/>
      </c>
      <c r="I355" s="136">
        <f>LET(_xlpm.r,Productos!$E$2:$E$653,_xlpm.m,IFERROR(_xlfn.XMATCH(C355,_xlpm.r),IFERROR(_xlfn.XMATCH(VALUE(C355),_xlpm.r),0)),IF(_xlpm.m=0,"",_xlpm.m+1))</f>
        <v/>
      </c>
      <c r="J355" s="137" t="inlineStr">
        <is>
          <t>NetSuite</t>
        </is>
      </c>
    </row>
    <row r="356">
      <c r="A356" s="5" t="inlineStr">
        <is>
          <t>REFLO ALMACEN</t>
        </is>
      </c>
      <c r="B356" s="5">
        <f>IF($I2="","",INDEX(Productos!$A:$A,$I2))</f>
        <v/>
      </c>
      <c r="C356" s="134" t="inlineStr">
        <is>
          <t>RM02101023-34</t>
        </is>
      </c>
      <c r="D356" s="5">
        <f>IF($I2="","",INDEX(Productos!$B:$B,$I2))</f>
        <v/>
      </c>
      <c r="E356" s="5">
        <f>IF($I2="","",INDEX(Productos!$H:$H,$I2))</f>
        <v/>
      </c>
      <c r="F356" s="5">
        <f>IF($I2="","",INDEX(Productos!$I:$I,$I2))</f>
        <v/>
      </c>
      <c r="G356" s="135" t="n">
        <v>16</v>
      </c>
      <c r="H356" s="5">
        <f>IF($I2="","",INDEX(Productos!$AG:$AG,$I2))</f>
        <v/>
      </c>
      <c r="I356" s="136">
        <f>LET(_xlpm.r,Productos!$E$2:$E$653,_xlpm.m,IFERROR(_xlfn.XMATCH(C356,_xlpm.r),IFERROR(_xlfn.XMATCH(VALUE(C356),_xlpm.r),0)),IF(_xlpm.m=0,"",_xlpm.m+1))</f>
        <v/>
      </c>
      <c r="J356" s="137" t="inlineStr">
        <is>
          <t>NetSuite</t>
        </is>
      </c>
    </row>
    <row r="357">
      <c r="A357" s="5" t="inlineStr">
        <is>
          <t>REFLO ALMACEN</t>
        </is>
      </c>
      <c r="B357" s="5">
        <f>IF($I2="","",INDEX(Productos!$A:$A,$I2))</f>
        <v/>
      </c>
      <c r="C357" s="134" t="inlineStr">
        <is>
          <t>RM02101023-36</t>
        </is>
      </c>
      <c r="D357" s="5">
        <f>IF($I2="","",INDEX(Productos!$B:$B,$I2))</f>
        <v/>
      </c>
      <c r="E357" s="5">
        <f>IF($I2="","",INDEX(Productos!$H:$H,$I2))</f>
        <v/>
      </c>
      <c r="F357" s="5">
        <f>IF($I2="","",INDEX(Productos!$I:$I,$I2))</f>
        <v/>
      </c>
      <c r="G357" s="135" t="n">
        <v>16</v>
      </c>
      <c r="H357" s="5">
        <f>IF($I2="","",INDEX(Productos!$AG:$AG,$I2))</f>
        <v/>
      </c>
      <c r="I357" s="136">
        <f>LET(_xlpm.r,Productos!$E$2:$E$653,_xlpm.m,IFERROR(_xlfn.XMATCH(C357,_xlpm.r),IFERROR(_xlfn.XMATCH(VALUE(C357),_xlpm.r),0)),IF(_xlpm.m=0,"",_xlpm.m+1))</f>
        <v/>
      </c>
      <c r="J357" s="137" t="inlineStr">
        <is>
          <t>NetSuite</t>
        </is>
      </c>
    </row>
    <row r="358">
      <c r="A358" s="5" t="inlineStr">
        <is>
          <t>REFLO ALMACEN</t>
        </is>
      </c>
      <c r="B358" s="5">
        <f>IF($I2="","",INDEX(Productos!$A:$A,$I2))</f>
        <v/>
      </c>
      <c r="C358" s="134" t="inlineStr">
        <is>
          <t>RM02101023-38</t>
        </is>
      </c>
      <c r="D358" s="5">
        <f>IF($I2="","",INDEX(Productos!$B:$B,$I2))</f>
        <v/>
      </c>
      <c r="E358" s="5">
        <f>IF($I2="","",INDEX(Productos!$H:$H,$I2))</f>
        <v/>
      </c>
      <c r="F358" s="5">
        <f>IF($I2="","",INDEX(Productos!$I:$I,$I2))</f>
        <v/>
      </c>
      <c r="G358" s="135" t="n">
        <v>5</v>
      </c>
      <c r="H358" s="5">
        <f>IF($I2="","",INDEX(Productos!$AG:$AG,$I2))</f>
        <v/>
      </c>
      <c r="I358" s="136">
        <f>LET(_xlpm.r,Productos!$E$2:$E$653,_xlpm.m,IFERROR(_xlfn.XMATCH(C358,_xlpm.r),IFERROR(_xlfn.XMATCH(VALUE(C358),_xlpm.r),0)),IF(_xlpm.m=0,"",_xlpm.m+1))</f>
        <v/>
      </c>
      <c r="J358" s="137" t="inlineStr">
        <is>
          <t>NetSuite</t>
        </is>
      </c>
    </row>
    <row r="359">
      <c r="A359" s="5" t="inlineStr">
        <is>
          <t>REFLO ALMACEN</t>
        </is>
      </c>
      <c r="B359" s="5">
        <f>IF($I2="","",INDEX(Productos!$A:$A,$I2))</f>
        <v/>
      </c>
      <c r="C359" s="134" t="inlineStr">
        <is>
          <t>RM02101023-40</t>
        </is>
      </c>
      <c r="D359" s="5">
        <f>IF($I2="","",INDEX(Productos!$B:$B,$I2))</f>
        <v/>
      </c>
      <c r="E359" s="5">
        <f>IF($I2="","",INDEX(Productos!$H:$H,$I2))</f>
        <v/>
      </c>
      <c r="F359" s="5">
        <f>IF($I2="","",INDEX(Productos!$I:$I,$I2))</f>
        <v/>
      </c>
      <c r="G359" s="135" t="n">
        <v>4</v>
      </c>
      <c r="H359" s="5">
        <f>IF($I2="","",INDEX(Productos!$AG:$AG,$I2))</f>
        <v/>
      </c>
      <c r="I359" s="136">
        <f>LET(_xlpm.r,Productos!$E$2:$E$653,_xlpm.m,IFERROR(_xlfn.XMATCH(C359,_xlpm.r),IFERROR(_xlfn.XMATCH(VALUE(C359),_xlpm.r),0)),IF(_xlpm.m=0,"",_xlpm.m+1))</f>
        <v/>
      </c>
      <c r="J359" s="137" t="inlineStr">
        <is>
          <t>NetSuite</t>
        </is>
      </c>
    </row>
    <row r="360">
      <c r="A360" s="5" t="inlineStr">
        <is>
          <t>REFLO ALMACEN</t>
        </is>
      </c>
      <c r="B360" s="5">
        <f>IF($I2="","",INDEX(Productos!$A:$A,$I2))</f>
        <v/>
      </c>
      <c r="C360" s="134" t="inlineStr">
        <is>
          <t>RM02101035-30</t>
        </is>
      </c>
      <c r="D360" s="5">
        <f>IF($I2="","",INDEX(Productos!$B:$B,$I2))</f>
        <v/>
      </c>
      <c r="E360" s="5">
        <f>IF($I2="","",INDEX(Productos!$H:$H,$I2))</f>
        <v/>
      </c>
      <c r="F360" s="5">
        <f>IF($I2="","",INDEX(Productos!$I:$I,$I2))</f>
        <v/>
      </c>
      <c r="G360" s="135" t="n">
        <v>9</v>
      </c>
      <c r="H360" s="5">
        <f>IF($I2="","",INDEX(Productos!$AG:$AG,$I2))</f>
        <v/>
      </c>
      <c r="I360" s="136">
        <f>LET(_xlpm.r,Productos!$E$2:$E$653,_xlpm.m,IFERROR(_xlfn.XMATCH(C360,_xlpm.r),IFERROR(_xlfn.XMATCH(VALUE(C360),_xlpm.r),0)),IF(_xlpm.m=0,"",_xlpm.m+1))</f>
        <v/>
      </c>
      <c r="J360" s="137" t="inlineStr">
        <is>
          <t>NetSuite</t>
        </is>
      </c>
    </row>
    <row r="361">
      <c r="A361" s="5" t="inlineStr">
        <is>
          <t>REFLO ALMACEN</t>
        </is>
      </c>
      <c r="B361" s="5">
        <f>IF($I2="","",INDEX(Productos!$A:$A,$I2))</f>
        <v/>
      </c>
      <c r="C361" s="134" t="inlineStr">
        <is>
          <t>RM02101035-32</t>
        </is>
      </c>
      <c r="D361" s="5">
        <f>IF($I2="","",INDEX(Productos!$B:$B,$I2))</f>
        <v/>
      </c>
      <c r="E361" s="5">
        <f>IF($I2="","",INDEX(Productos!$H:$H,$I2))</f>
        <v/>
      </c>
      <c r="F361" s="5">
        <f>IF($I2="","",INDEX(Productos!$I:$I,$I2))</f>
        <v/>
      </c>
      <c r="G361" s="135" t="n">
        <v>19</v>
      </c>
      <c r="H361" s="5">
        <f>IF($I2="","",INDEX(Productos!$AG:$AG,$I2))</f>
        <v/>
      </c>
      <c r="I361" s="136">
        <f>LET(_xlpm.r,Productos!$E$2:$E$653,_xlpm.m,IFERROR(_xlfn.XMATCH(C361,_xlpm.r),IFERROR(_xlfn.XMATCH(VALUE(C361),_xlpm.r),0)),IF(_xlpm.m=0,"",_xlpm.m+1))</f>
        <v/>
      </c>
      <c r="J361" s="137" t="inlineStr">
        <is>
          <t>NetSuite</t>
        </is>
      </c>
    </row>
    <row r="362">
      <c r="A362" s="5" t="inlineStr">
        <is>
          <t>REFLO ALMACEN</t>
        </is>
      </c>
      <c r="B362" s="5">
        <f>IF($I2="","",INDEX(Productos!$A:$A,$I2))</f>
        <v/>
      </c>
      <c r="C362" s="134" t="inlineStr">
        <is>
          <t>RM02101035-34</t>
        </is>
      </c>
      <c r="D362" s="5">
        <f>IF($I2="","",INDEX(Productos!$B:$B,$I2))</f>
        <v/>
      </c>
      <c r="E362" s="5">
        <f>IF($I2="","",INDEX(Productos!$H:$H,$I2))</f>
        <v/>
      </c>
      <c r="F362" s="5">
        <f>IF($I2="","",INDEX(Productos!$I:$I,$I2))</f>
        <v/>
      </c>
      <c r="G362" s="135" t="n">
        <v>32</v>
      </c>
      <c r="H362" s="5">
        <f>IF($I2="","",INDEX(Productos!$AG:$AG,$I2))</f>
        <v/>
      </c>
      <c r="I362" s="136">
        <f>LET(_xlpm.r,Productos!$E$2:$E$653,_xlpm.m,IFERROR(_xlfn.XMATCH(C362,_xlpm.r),IFERROR(_xlfn.XMATCH(VALUE(C362),_xlpm.r),0)),IF(_xlpm.m=0,"",_xlpm.m+1))</f>
        <v/>
      </c>
      <c r="J362" s="137" t="inlineStr">
        <is>
          <t>NetSuite</t>
        </is>
      </c>
    </row>
    <row r="363">
      <c r="A363" s="5" t="inlineStr">
        <is>
          <t>REFLO ALMACEN</t>
        </is>
      </c>
      <c r="B363" s="5">
        <f>IF($I2="","",INDEX(Productos!$A:$A,$I2))</f>
        <v/>
      </c>
      <c r="C363" s="134" t="inlineStr">
        <is>
          <t>RM02101035-36</t>
        </is>
      </c>
      <c r="D363" s="5">
        <f>IF($I2="","",INDEX(Productos!$B:$B,$I2))</f>
        <v/>
      </c>
      <c r="E363" s="5">
        <f>IF($I2="","",INDEX(Productos!$H:$H,$I2))</f>
        <v/>
      </c>
      <c r="F363" s="5">
        <f>IF($I2="","",INDEX(Productos!$I:$I,$I2))</f>
        <v/>
      </c>
      <c r="G363" s="135" t="n">
        <v>31</v>
      </c>
      <c r="H363" s="5">
        <f>IF($I2="","",INDEX(Productos!$AG:$AG,$I2))</f>
        <v/>
      </c>
      <c r="I363" s="136">
        <f>LET(_xlpm.r,Productos!$E$2:$E$653,_xlpm.m,IFERROR(_xlfn.XMATCH(C363,_xlpm.r),IFERROR(_xlfn.XMATCH(VALUE(C363),_xlpm.r),0)),IF(_xlpm.m=0,"",_xlpm.m+1))</f>
        <v/>
      </c>
      <c r="J363" s="137" t="inlineStr">
        <is>
          <t>NetSuite</t>
        </is>
      </c>
    </row>
    <row r="364">
      <c r="A364" s="5" t="inlineStr">
        <is>
          <t>REFLO ALMACEN</t>
        </is>
      </c>
      <c r="B364" s="5">
        <f>IF($I2="","",INDEX(Productos!$A:$A,$I2))</f>
        <v/>
      </c>
      <c r="C364" s="134" t="inlineStr">
        <is>
          <t>RM02101035-38</t>
        </is>
      </c>
      <c r="D364" s="5">
        <f>IF($I2="","",INDEX(Productos!$B:$B,$I2))</f>
        <v/>
      </c>
      <c r="E364" s="5">
        <f>IF($I2="","",INDEX(Productos!$H:$H,$I2))</f>
        <v/>
      </c>
      <c r="F364" s="5">
        <f>IF($I2="","",INDEX(Productos!$I:$I,$I2))</f>
        <v/>
      </c>
      <c r="G364" s="135" t="n">
        <v>8</v>
      </c>
      <c r="H364" s="5">
        <f>IF($I2="","",INDEX(Productos!$AG:$AG,$I2))</f>
        <v/>
      </c>
      <c r="I364" s="136">
        <f>LET(_xlpm.r,Productos!$E$2:$E$653,_xlpm.m,IFERROR(_xlfn.XMATCH(C364,_xlpm.r),IFERROR(_xlfn.XMATCH(VALUE(C364),_xlpm.r),0)),IF(_xlpm.m=0,"",_xlpm.m+1))</f>
        <v/>
      </c>
      <c r="J364" s="137" t="inlineStr">
        <is>
          <t>NetSuite</t>
        </is>
      </c>
    </row>
    <row r="365">
      <c r="A365" s="5" t="inlineStr">
        <is>
          <t>REFLO ALMACEN</t>
        </is>
      </c>
      <c r="B365" s="5">
        <f>IF($I2="","",INDEX(Productos!$A:$A,$I2))</f>
        <v/>
      </c>
      <c r="C365" s="134" t="inlineStr">
        <is>
          <t>RM02101035-40</t>
        </is>
      </c>
      <c r="D365" s="5">
        <f>IF($I2="","",INDEX(Productos!$B:$B,$I2))</f>
        <v/>
      </c>
      <c r="E365" s="5">
        <f>IF($I2="","",INDEX(Productos!$H:$H,$I2))</f>
        <v/>
      </c>
      <c r="F365" s="5">
        <f>IF($I2="","",INDEX(Productos!$I:$I,$I2))</f>
        <v/>
      </c>
      <c r="G365" s="135" t="n">
        <v>5</v>
      </c>
      <c r="H365" s="5">
        <f>IF($I2="","",INDEX(Productos!$AG:$AG,$I2))</f>
        <v/>
      </c>
      <c r="I365" s="136">
        <f>LET(_xlpm.r,Productos!$E$2:$E$653,_xlpm.m,IFERROR(_xlfn.XMATCH(C365,_xlpm.r),IFERROR(_xlfn.XMATCH(VALUE(C365),_xlpm.r),0)),IF(_xlpm.m=0,"",_xlpm.m+1))</f>
        <v/>
      </c>
      <c r="J365" s="137" t="inlineStr">
        <is>
          <t>NetSuite</t>
        </is>
      </c>
    </row>
    <row r="366">
      <c r="A366" s="5" t="inlineStr">
        <is>
          <t>REFLO ALMACEN</t>
        </is>
      </c>
      <c r="B366" s="5">
        <f>IF($I2="","",INDEX(Productos!$A:$A,$I2))</f>
        <v/>
      </c>
      <c r="C366" s="134" t="inlineStr">
        <is>
          <t>RM02101054-30</t>
        </is>
      </c>
      <c r="D366" s="5">
        <f>IF($I2="","",INDEX(Productos!$B:$B,$I2))</f>
        <v/>
      </c>
      <c r="E366" s="5">
        <f>IF($I2="","",INDEX(Productos!$H:$H,$I2))</f>
        <v/>
      </c>
      <c r="F366" s="5">
        <f>IF($I2="","",INDEX(Productos!$I:$I,$I2))</f>
        <v/>
      </c>
      <c r="G366" s="135" t="n">
        <v>14</v>
      </c>
      <c r="H366" s="5">
        <f>IF($I2="","",INDEX(Productos!$AG:$AG,$I2))</f>
        <v/>
      </c>
      <c r="I366" s="136">
        <f>LET(_xlpm.r,Productos!$E$2:$E$653,_xlpm.m,IFERROR(_xlfn.XMATCH(C366,_xlpm.r),IFERROR(_xlfn.XMATCH(VALUE(C366),_xlpm.r),0)),IF(_xlpm.m=0,"",_xlpm.m+1))</f>
        <v/>
      </c>
      <c r="J366" s="137" t="inlineStr">
        <is>
          <t>NetSuite</t>
        </is>
      </c>
    </row>
    <row r="367">
      <c r="A367" s="5" t="inlineStr">
        <is>
          <t>REFLO ALMACEN</t>
        </is>
      </c>
      <c r="B367" s="5">
        <f>IF($I2="","",INDEX(Productos!$A:$A,$I2))</f>
        <v/>
      </c>
      <c r="C367" s="134" t="inlineStr">
        <is>
          <t>RM02101054-32</t>
        </is>
      </c>
      <c r="D367" s="5">
        <f>IF($I2="","",INDEX(Productos!$B:$B,$I2))</f>
        <v/>
      </c>
      <c r="E367" s="5">
        <f>IF($I2="","",INDEX(Productos!$H:$H,$I2))</f>
        <v/>
      </c>
      <c r="F367" s="5">
        <f>IF($I2="","",INDEX(Productos!$I:$I,$I2))</f>
        <v/>
      </c>
      <c r="G367" s="135" t="n">
        <v>19</v>
      </c>
      <c r="H367" s="5">
        <f>IF($I2="","",INDEX(Productos!$AG:$AG,$I2))</f>
        <v/>
      </c>
      <c r="I367" s="136">
        <f>LET(_xlpm.r,Productos!$E$2:$E$653,_xlpm.m,IFERROR(_xlfn.XMATCH(C367,_xlpm.r),IFERROR(_xlfn.XMATCH(VALUE(C367),_xlpm.r),0)),IF(_xlpm.m=0,"",_xlpm.m+1))</f>
        <v/>
      </c>
      <c r="J367" s="137" t="inlineStr">
        <is>
          <t>NetSuite</t>
        </is>
      </c>
    </row>
    <row r="368">
      <c r="A368" s="5" t="inlineStr">
        <is>
          <t>REFLO ALMACEN</t>
        </is>
      </c>
      <c r="B368" s="5">
        <f>IF($I2="","",INDEX(Productos!$A:$A,$I2))</f>
        <v/>
      </c>
      <c r="C368" s="134" t="inlineStr">
        <is>
          <t>RM02101054-34</t>
        </is>
      </c>
      <c r="D368" s="5">
        <f>IF($I2="","",INDEX(Productos!$B:$B,$I2))</f>
        <v/>
      </c>
      <c r="E368" s="5">
        <f>IF($I2="","",INDEX(Productos!$H:$H,$I2))</f>
        <v/>
      </c>
      <c r="F368" s="5">
        <f>IF($I2="","",INDEX(Productos!$I:$I,$I2))</f>
        <v/>
      </c>
      <c r="G368" s="135" t="n">
        <v>36</v>
      </c>
      <c r="H368" s="5">
        <f>IF($I2="","",INDEX(Productos!$AG:$AG,$I2))</f>
        <v/>
      </c>
      <c r="I368" s="136">
        <f>LET(_xlpm.r,Productos!$E$2:$E$653,_xlpm.m,IFERROR(_xlfn.XMATCH(C368,_xlpm.r),IFERROR(_xlfn.XMATCH(VALUE(C368),_xlpm.r),0)),IF(_xlpm.m=0,"",_xlpm.m+1))</f>
        <v/>
      </c>
      <c r="J368" s="137" t="inlineStr">
        <is>
          <t>NetSuite</t>
        </is>
      </c>
    </row>
    <row r="369">
      <c r="A369" s="5" t="inlineStr">
        <is>
          <t>REFLO ALMACEN</t>
        </is>
      </c>
      <c r="B369" s="5">
        <f>IF($I2="","",INDEX(Productos!$A:$A,$I2))</f>
        <v/>
      </c>
      <c r="C369" s="134" t="inlineStr">
        <is>
          <t>RM02101054-36</t>
        </is>
      </c>
      <c r="D369" s="5">
        <f>IF($I2="","",INDEX(Productos!$B:$B,$I2))</f>
        <v/>
      </c>
      <c r="E369" s="5">
        <f>IF($I2="","",INDEX(Productos!$H:$H,$I2))</f>
        <v/>
      </c>
      <c r="F369" s="5">
        <f>IF($I2="","",INDEX(Productos!$I:$I,$I2))</f>
        <v/>
      </c>
      <c r="G369" s="135" t="n">
        <v>35</v>
      </c>
      <c r="H369" s="5">
        <f>IF($I2="","",INDEX(Productos!$AG:$AG,$I2))</f>
        <v/>
      </c>
      <c r="I369" s="136">
        <f>LET(_xlpm.r,Productos!$E$2:$E$653,_xlpm.m,IFERROR(_xlfn.XMATCH(C369,_xlpm.r),IFERROR(_xlfn.XMATCH(VALUE(C369),_xlpm.r),0)),IF(_xlpm.m=0,"",_xlpm.m+1))</f>
        <v/>
      </c>
      <c r="J369" s="137" t="inlineStr">
        <is>
          <t>NetSuite</t>
        </is>
      </c>
    </row>
    <row r="370">
      <c r="A370" s="5" t="inlineStr">
        <is>
          <t>REFLO ALMACEN</t>
        </is>
      </c>
      <c r="B370" s="5">
        <f>IF($I2="","",INDEX(Productos!$A:$A,$I2))</f>
        <v/>
      </c>
      <c r="C370" s="134" t="inlineStr">
        <is>
          <t>RM02101054-38</t>
        </is>
      </c>
      <c r="D370" s="5">
        <f>IF($I2="","",INDEX(Productos!$B:$B,$I2))</f>
        <v/>
      </c>
      <c r="E370" s="5">
        <f>IF($I2="","",INDEX(Productos!$H:$H,$I2))</f>
        <v/>
      </c>
      <c r="F370" s="5">
        <f>IF($I2="","",INDEX(Productos!$I:$I,$I2))</f>
        <v/>
      </c>
      <c r="G370" s="135" t="n">
        <v>11</v>
      </c>
      <c r="H370" s="5">
        <f>IF($I2="","",INDEX(Productos!$AG:$AG,$I2))</f>
        <v/>
      </c>
      <c r="I370" s="136">
        <f>LET(_xlpm.r,Productos!$E$2:$E$653,_xlpm.m,IFERROR(_xlfn.XMATCH(C370,_xlpm.r),IFERROR(_xlfn.XMATCH(VALUE(C370),_xlpm.r),0)),IF(_xlpm.m=0,"",_xlpm.m+1))</f>
        <v/>
      </c>
      <c r="J370" s="137" t="inlineStr">
        <is>
          <t>NetSuite</t>
        </is>
      </c>
    </row>
    <row r="371">
      <c r="A371" s="5" t="inlineStr">
        <is>
          <t>REFLO ALMACEN</t>
        </is>
      </c>
      <c r="B371" s="5">
        <f>IF($I2="","",INDEX(Productos!$A:$A,$I2))</f>
        <v/>
      </c>
      <c r="C371" s="134" t="inlineStr">
        <is>
          <t>RM02101054-40</t>
        </is>
      </c>
      <c r="D371" s="5">
        <f>IF($I2="","",INDEX(Productos!$B:$B,$I2))</f>
        <v/>
      </c>
      <c r="E371" s="5">
        <f>IF($I2="","",INDEX(Productos!$H:$H,$I2))</f>
        <v/>
      </c>
      <c r="F371" s="5">
        <f>IF($I2="","",INDEX(Productos!$I:$I,$I2))</f>
        <v/>
      </c>
      <c r="G371" s="135" t="n">
        <v>5</v>
      </c>
      <c r="H371" s="5">
        <f>IF($I2="","",INDEX(Productos!$AG:$AG,$I2))</f>
        <v/>
      </c>
      <c r="I371" s="136">
        <f>LET(_xlpm.r,Productos!$E$2:$E$653,_xlpm.m,IFERROR(_xlfn.XMATCH(C371,_xlpm.r),IFERROR(_xlfn.XMATCH(VALUE(C371),_xlpm.r),0)),IF(_xlpm.m=0,"",_xlpm.m+1))</f>
        <v/>
      </c>
      <c r="J371" s="137" t="inlineStr">
        <is>
          <t>NetSuite</t>
        </is>
      </c>
    </row>
    <row r="372">
      <c r="A372" s="5" t="inlineStr">
        <is>
          <t>REFLO ALMACEN</t>
        </is>
      </c>
      <c r="B372" s="5">
        <f>IF($I2="","",INDEX(Productos!$A:$A,$I2))</f>
        <v/>
      </c>
      <c r="C372" s="134" t="inlineStr">
        <is>
          <t>RM02101068-30</t>
        </is>
      </c>
      <c r="D372" s="5">
        <f>IF($I2="","",INDEX(Productos!$B:$B,$I2))</f>
        <v/>
      </c>
      <c r="E372" s="5">
        <f>IF($I2="","",INDEX(Productos!$H:$H,$I2))</f>
        <v/>
      </c>
      <c r="F372" s="5">
        <f>IF($I2="","",INDEX(Productos!$I:$I,$I2))</f>
        <v/>
      </c>
      <c r="G372" s="135" t="n">
        <v>8</v>
      </c>
      <c r="H372" s="5">
        <f>IF($I2="","",INDEX(Productos!$AG:$AG,$I2))</f>
        <v/>
      </c>
      <c r="I372" s="136">
        <f>LET(_xlpm.r,Productos!$E$2:$E$653,_xlpm.m,IFERROR(_xlfn.XMATCH(C372,_xlpm.r),IFERROR(_xlfn.XMATCH(VALUE(C372),_xlpm.r),0)),IF(_xlpm.m=0,"",_xlpm.m+1))</f>
        <v/>
      </c>
      <c r="J372" s="137" t="inlineStr">
        <is>
          <t>NetSuite</t>
        </is>
      </c>
    </row>
    <row r="373">
      <c r="A373" s="5" t="inlineStr">
        <is>
          <t>REFLO ALMACEN</t>
        </is>
      </c>
      <c r="B373" s="5">
        <f>IF($I2="","",INDEX(Productos!$A:$A,$I2))</f>
        <v/>
      </c>
      <c r="C373" s="134" t="inlineStr">
        <is>
          <t>RM02101068-32</t>
        </is>
      </c>
      <c r="D373" s="5">
        <f>IF($I2="","",INDEX(Productos!$B:$B,$I2))</f>
        <v/>
      </c>
      <c r="E373" s="5">
        <f>IF($I2="","",INDEX(Productos!$H:$H,$I2))</f>
        <v/>
      </c>
      <c r="F373" s="5">
        <f>IF($I2="","",INDEX(Productos!$I:$I,$I2))</f>
        <v/>
      </c>
      <c r="G373" s="135" t="n">
        <v>17</v>
      </c>
      <c r="H373" s="5">
        <f>IF($I2="","",INDEX(Productos!$AG:$AG,$I2))</f>
        <v/>
      </c>
      <c r="I373" s="136">
        <f>LET(_xlpm.r,Productos!$E$2:$E$653,_xlpm.m,IFERROR(_xlfn.XMATCH(C373,_xlpm.r),IFERROR(_xlfn.XMATCH(VALUE(C373),_xlpm.r),0)),IF(_xlpm.m=0,"",_xlpm.m+1))</f>
        <v/>
      </c>
      <c r="J373" s="137" t="inlineStr">
        <is>
          <t>NetSuite</t>
        </is>
      </c>
    </row>
    <row r="374">
      <c r="A374" s="5" t="inlineStr">
        <is>
          <t>REFLO ALMACEN</t>
        </is>
      </c>
      <c r="B374" s="5">
        <f>IF($I2="","",INDEX(Productos!$A:$A,$I2))</f>
        <v/>
      </c>
      <c r="C374" s="134" t="inlineStr">
        <is>
          <t>RM02101068-34</t>
        </is>
      </c>
      <c r="D374" s="5">
        <f>IF($I2="","",INDEX(Productos!$B:$B,$I2))</f>
        <v/>
      </c>
      <c r="E374" s="5">
        <f>IF($I2="","",INDEX(Productos!$H:$H,$I2))</f>
        <v/>
      </c>
      <c r="F374" s="5">
        <f>IF($I2="","",INDEX(Productos!$I:$I,$I2))</f>
        <v/>
      </c>
      <c r="G374" s="135" t="n">
        <v>29</v>
      </c>
      <c r="H374" s="5">
        <f>IF($I2="","",INDEX(Productos!$AG:$AG,$I2))</f>
        <v/>
      </c>
      <c r="I374" s="136">
        <f>LET(_xlpm.r,Productos!$E$2:$E$653,_xlpm.m,IFERROR(_xlfn.XMATCH(C374,_xlpm.r),IFERROR(_xlfn.XMATCH(VALUE(C374),_xlpm.r),0)),IF(_xlpm.m=0,"",_xlpm.m+1))</f>
        <v/>
      </c>
      <c r="J374" s="137" t="inlineStr">
        <is>
          <t>NetSuite</t>
        </is>
      </c>
    </row>
    <row r="375">
      <c r="A375" s="5" t="inlineStr">
        <is>
          <t>REFLO ALMACEN</t>
        </is>
      </c>
      <c r="B375" s="5">
        <f>IF($I2="","",INDEX(Productos!$A:$A,$I2))</f>
        <v/>
      </c>
      <c r="C375" s="134" t="inlineStr">
        <is>
          <t>RM02101068-36</t>
        </is>
      </c>
      <c r="D375" s="5">
        <f>IF($I2="","",INDEX(Productos!$B:$B,$I2))</f>
        <v/>
      </c>
      <c r="E375" s="5">
        <f>IF($I2="","",INDEX(Productos!$H:$H,$I2))</f>
        <v/>
      </c>
      <c r="F375" s="5">
        <f>IF($I2="","",INDEX(Productos!$I:$I,$I2))</f>
        <v/>
      </c>
      <c r="G375" s="135" t="n">
        <v>30</v>
      </c>
      <c r="H375" s="5">
        <f>IF($I2="","",INDEX(Productos!$AG:$AG,$I2))</f>
        <v/>
      </c>
      <c r="I375" s="136">
        <f>LET(_xlpm.r,Productos!$E$2:$E$653,_xlpm.m,IFERROR(_xlfn.XMATCH(C375,_xlpm.r),IFERROR(_xlfn.XMATCH(VALUE(C375),_xlpm.r),0)),IF(_xlpm.m=0,"",_xlpm.m+1))</f>
        <v/>
      </c>
      <c r="J375" s="137" t="inlineStr">
        <is>
          <t>NetSuite</t>
        </is>
      </c>
    </row>
    <row r="376">
      <c r="A376" s="5" t="inlineStr">
        <is>
          <t>REFLO ALMACEN</t>
        </is>
      </c>
      <c r="B376" s="5">
        <f>IF($I2="","",INDEX(Productos!$A:$A,$I2))</f>
        <v/>
      </c>
      <c r="C376" s="134" t="inlineStr">
        <is>
          <t>RM02101068-38</t>
        </is>
      </c>
      <c r="D376" s="5">
        <f>IF($I2="","",INDEX(Productos!$B:$B,$I2))</f>
        <v/>
      </c>
      <c r="E376" s="5">
        <f>IF($I2="","",INDEX(Productos!$H:$H,$I2))</f>
        <v/>
      </c>
      <c r="F376" s="5">
        <f>IF($I2="","",INDEX(Productos!$I:$I,$I2))</f>
        <v/>
      </c>
      <c r="G376" s="135" t="n">
        <v>8</v>
      </c>
      <c r="H376" s="5">
        <f>IF($I2="","",INDEX(Productos!$AG:$AG,$I2))</f>
        <v/>
      </c>
      <c r="I376" s="136">
        <f>LET(_xlpm.r,Productos!$E$2:$E$653,_xlpm.m,IFERROR(_xlfn.XMATCH(C376,_xlpm.r),IFERROR(_xlfn.XMATCH(VALUE(C376),_xlpm.r),0)),IF(_xlpm.m=0,"",_xlpm.m+1))</f>
        <v/>
      </c>
      <c r="J376" s="137" t="inlineStr">
        <is>
          <t>NetSuite</t>
        </is>
      </c>
    </row>
    <row r="377">
      <c r="A377" s="5" t="inlineStr">
        <is>
          <t>REFLO ALMACEN</t>
        </is>
      </c>
      <c r="B377" s="5">
        <f>IF($I2="","",INDEX(Productos!$A:$A,$I2))</f>
        <v/>
      </c>
      <c r="C377" s="134" t="inlineStr">
        <is>
          <t>RM02101068-40</t>
        </is>
      </c>
      <c r="D377" s="5">
        <f>IF($I2="","",INDEX(Productos!$B:$B,$I2))</f>
        <v/>
      </c>
      <c r="E377" s="5">
        <f>IF($I2="","",INDEX(Productos!$H:$H,$I2))</f>
        <v/>
      </c>
      <c r="F377" s="5">
        <f>IF($I2="","",INDEX(Productos!$I:$I,$I2))</f>
        <v/>
      </c>
      <c r="G377" s="135" t="n">
        <v>5</v>
      </c>
      <c r="H377" s="5">
        <f>IF($I2="","",INDEX(Productos!$AG:$AG,$I2))</f>
        <v/>
      </c>
      <c r="I377" s="136">
        <f>LET(_xlpm.r,Productos!$E$2:$E$653,_xlpm.m,IFERROR(_xlfn.XMATCH(C377,_xlpm.r),IFERROR(_xlfn.XMATCH(VALUE(C377),_xlpm.r),0)),IF(_xlpm.m=0,"",_xlpm.m+1))</f>
        <v/>
      </c>
      <c r="J377" s="137" t="inlineStr">
        <is>
          <t>NetSuite</t>
        </is>
      </c>
    </row>
    <row r="378">
      <c r="A378" s="5" t="inlineStr">
        <is>
          <t>REFLO ALMACEN</t>
        </is>
      </c>
      <c r="B378" s="5">
        <f>IF($I2="","",INDEX(Productos!$A:$A,$I2))</f>
        <v/>
      </c>
      <c r="C378" s="134" t="inlineStr">
        <is>
          <t>RM02202009-30</t>
        </is>
      </c>
      <c r="D378" s="5">
        <f>IF($I2="","",INDEX(Productos!$B:$B,$I2))</f>
        <v/>
      </c>
      <c r="E378" s="5">
        <f>IF($I2="","",INDEX(Productos!$H:$H,$I2))</f>
        <v/>
      </c>
      <c r="F378" s="5">
        <f>IF($I2="","",INDEX(Productos!$I:$I,$I2))</f>
        <v/>
      </c>
      <c r="G378" s="135" t="n">
        <v>11</v>
      </c>
      <c r="H378" s="5">
        <f>IF($I2="","",INDEX(Productos!$AG:$AG,$I2))</f>
        <v/>
      </c>
      <c r="I378" s="136">
        <f>LET(_xlpm.r,Productos!$E$2:$E$653,_xlpm.m,IFERROR(_xlfn.XMATCH(C378,_xlpm.r),IFERROR(_xlfn.XMATCH(VALUE(C378),_xlpm.r),0)),IF(_xlpm.m=0,"",_xlpm.m+1))</f>
        <v/>
      </c>
      <c r="J378" s="137" t="inlineStr">
        <is>
          <t>NetSuite</t>
        </is>
      </c>
    </row>
    <row r="379">
      <c r="A379" s="5" t="inlineStr">
        <is>
          <t>REFLO ALMACEN</t>
        </is>
      </c>
      <c r="B379" s="5">
        <f>IF($I2="","",INDEX(Productos!$A:$A,$I2))</f>
        <v/>
      </c>
      <c r="C379" s="134" t="inlineStr">
        <is>
          <t>RM02202009-32</t>
        </is>
      </c>
      <c r="D379" s="5">
        <f>IF($I2="","",INDEX(Productos!$B:$B,$I2))</f>
        <v/>
      </c>
      <c r="E379" s="5">
        <f>IF($I2="","",INDEX(Productos!$H:$H,$I2))</f>
        <v/>
      </c>
      <c r="F379" s="5">
        <f>IF($I2="","",INDEX(Productos!$I:$I,$I2))</f>
        <v/>
      </c>
      <c r="G379" s="135" t="n">
        <v>18</v>
      </c>
      <c r="H379" s="5">
        <f>IF($I2="","",INDEX(Productos!$AG:$AG,$I2))</f>
        <v/>
      </c>
      <c r="I379" s="136">
        <f>LET(_xlpm.r,Productos!$E$2:$E$653,_xlpm.m,IFERROR(_xlfn.XMATCH(C379,_xlpm.r),IFERROR(_xlfn.XMATCH(VALUE(C379),_xlpm.r),0)),IF(_xlpm.m=0,"",_xlpm.m+1))</f>
        <v/>
      </c>
      <c r="J379" s="137" t="inlineStr">
        <is>
          <t>NetSuite</t>
        </is>
      </c>
    </row>
    <row r="380">
      <c r="A380" s="5" t="inlineStr">
        <is>
          <t>REFLO ALMACEN</t>
        </is>
      </c>
      <c r="B380" s="5">
        <f>IF($I2="","",INDEX(Productos!$A:$A,$I2))</f>
        <v/>
      </c>
      <c r="C380" s="134" t="inlineStr">
        <is>
          <t>RM02202009-34</t>
        </is>
      </c>
      <c r="D380" s="5">
        <f>IF($I2="","",INDEX(Productos!$B:$B,$I2))</f>
        <v/>
      </c>
      <c r="E380" s="5">
        <f>IF($I2="","",INDEX(Productos!$H:$H,$I2))</f>
        <v/>
      </c>
      <c r="F380" s="5">
        <f>IF($I2="","",INDEX(Productos!$I:$I,$I2))</f>
        <v/>
      </c>
      <c r="G380" s="135" t="n">
        <v>34</v>
      </c>
      <c r="H380" s="5">
        <f>IF($I2="","",INDEX(Productos!$AG:$AG,$I2))</f>
        <v/>
      </c>
      <c r="I380" s="136">
        <f>LET(_xlpm.r,Productos!$E$2:$E$653,_xlpm.m,IFERROR(_xlfn.XMATCH(C380,_xlpm.r),IFERROR(_xlfn.XMATCH(VALUE(C380),_xlpm.r),0)),IF(_xlpm.m=0,"",_xlpm.m+1))</f>
        <v/>
      </c>
      <c r="J380" s="137" t="inlineStr">
        <is>
          <t>NetSuite</t>
        </is>
      </c>
    </row>
    <row r="381">
      <c r="A381" s="5" t="inlineStr">
        <is>
          <t>REFLO ALMACEN</t>
        </is>
      </c>
      <c r="B381" s="5">
        <f>IF($I2="","",INDEX(Productos!$A:$A,$I2))</f>
        <v/>
      </c>
      <c r="C381" s="134" t="inlineStr">
        <is>
          <t>RM02202009-36</t>
        </is>
      </c>
      <c r="D381" s="5">
        <f>IF($I2="","",INDEX(Productos!$B:$B,$I2))</f>
        <v/>
      </c>
      <c r="E381" s="5">
        <f>IF($I2="","",INDEX(Productos!$H:$H,$I2))</f>
        <v/>
      </c>
      <c r="F381" s="5">
        <f>IF($I2="","",INDEX(Productos!$I:$I,$I2))</f>
        <v/>
      </c>
      <c r="G381" s="135" t="n">
        <v>28</v>
      </c>
      <c r="H381" s="5">
        <f>IF($I2="","",INDEX(Productos!$AG:$AG,$I2))</f>
        <v/>
      </c>
      <c r="I381" s="136">
        <f>LET(_xlpm.r,Productos!$E$2:$E$653,_xlpm.m,IFERROR(_xlfn.XMATCH(C381,_xlpm.r),IFERROR(_xlfn.XMATCH(VALUE(C381),_xlpm.r),0)),IF(_xlpm.m=0,"",_xlpm.m+1))</f>
        <v/>
      </c>
      <c r="J381" s="137" t="inlineStr">
        <is>
          <t>NetSuite</t>
        </is>
      </c>
    </row>
    <row r="382">
      <c r="A382" s="5" t="inlineStr">
        <is>
          <t>REFLO ALMACEN</t>
        </is>
      </c>
      <c r="B382" s="5">
        <f>IF($I2="","",INDEX(Productos!$A:$A,$I2))</f>
        <v/>
      </c>
      <c r="C382" s="134" t="inlineStr">
        <is>
          <t>RM02202009-38</t>
        </is>
      </c>
      <c r="D382" s="5">
        <f>IF($I2="","",INDEX(Productos!$B:$B,$I2))</f>
        <v/>
      </c>
      <c r="E382" s="5">
        <f>IF($I2="","",INDEX(Productos!$H:$H,$I2))</f>
        <v/>
      </c>
      <c r="F382" s="5">
        <f>IF($I2="","",INDEX(Productos!$I:$I,$I2))</f>
        <v/>
      </c>
      <c r="G382" s="135" t="n">
        <v>1</v>
      </c>
      <c r="H382" s="5">
        <f>IF($I2="","",INDEX(Productos!$AG:$AG,$I2))</f>
        <v/>
      </c>
      <c r="I382" s="136">
        <f>LET(_xlpm.r,Productos!$E$2:$E$653,_xlpm.m,IFERROR(_xlfn.XMATCH(C382,_xlpm.r),IFERROR(_xlfn.XMATCH(VALUE(C382),_xlpm.r),0)),IF(_xlpm.m=0,"",_xlpm.m+1))</f>
        <v/>
      </c>
      <c r="J382" s="137" t="inlineStr">
        <is>
          <t>NetSuite</t>
        </is>
      </c>
    </row>
    <row r="383">
      <c r="A383" s="5" t="inlineStr">
        <is>
          <t>REFLO ALMACEN</t>
        </is>
      </c>
      <c r="B383" s="5">
        <f>IF($I2="","",INDEX(Productos!$A:$A,$I2))</f>
        <v/>
      </c>
      <c r="C383" s="134" t="inlineStr">
        <is>
          <t>RM02202009-40</t>
        </is>
      </c>
      <c r="D383" s="5">
        <f>IF($I2="","",INDEX(Productos!$B:$B,$I2))</f>
        <v/>
      </c>
      <c r="E383" s="5">
        <f>IF($I2="","",INDEX(Productos!$H:$H,$I2))</f>
        <v/>
      </c>
      <c r="F383" s="5">
        <f>IF($I2="","",INDEX(Productos!$I:$I,$I2))</f>
        <v/>
      </c>
      <c r="G383" s="135" t="n">
        <v>6</v>
      </c>
      <c r="H383" s="5">
        <f>IF($I2="","",INDEX(Productos!$AG:$AG,$I2))</f>
        <v/>
      </c>
      <c r="I383" s="136">
        <f>LET(_xlpm.r,Productos!$E$2:$E$653,_xlpm.m,IFERROR(_xlfn.XMATCH(C383,_xlpm.r),IFERROR(_xlfn.XMATCH(VALUE(C383),_xlpm.r),0)),IF(_xlpm.m=0,"",_xlpm.m+1))</f>
        <v/>
      </c>
      <c r="J383" s="137" t="inlineStr">
        <is>
          <t>NetSuite</t>
        </is>
      </c>
    </row>
    <row r="384">
      <c r="A384" s="5" t="inlineStr">
        <is>
          <t>REFLO ALMACEN</t>
        </is>
      </c>
      <c r="B384" s="5">
        <f>IF($I2="","",INDEX(Productos!$A:$A,$I2))</f>
        <v/>
      </c>
      <c r="C384" s="134" t="inlineStr">
        <is>
          <t>RM02202023-30</t>
        </is>
      </c>
      <c r="D384" s="5">
        <f>IF($I2="","",INDEX(Productos!$B:$B,$I2))</f>
        <v/>
      </c>
      <c r="E384" s="5">
        <f>IF($I2="","",INDEX(Productos!$H:$H,$I2))</f>
        <v/>
      </c>
      <c r="F384" s="5">
        <f>IF($I2="","",INDEX(Productos!$I:$I,$I2))</f>
        <v/>
      </c>
      <c r="G384" s="135" t="n">
        <v>3</v>
      </c>
      <c r="H384" s="5">
        <f>IF($I2="","",INDEX(Productos!$AG:$AG,$I2))</f>
        <v/>
      </c>
      <c r="I384" s="136">
        <f>LET(_xlpm.r,Productos!$E$2:$E$653,_xlpm.m,IFERROR(_xlfn.XMATCH(C384,_xlpm.r),IFERROR(_xlfn.XMATCH(VALUE(C384),_xlpm.r),0)),IF(_xlpm.m=0,"",_xlpm.m+1))</f>
        <v/>
      </c>
      <c r="J384" s="137" t="inlineStr">
        <is>
          <t>NetSuite</t>
        </is>
      </c>
    </row>
    <row r="385">
      <c r="A385" s="5" t="inlineStr">
        <is>
          <t>REFLO ALMACEN</t>
        </is>
      </c>
      <c r="B385" s="5">
        <f>IF($I2="","",INDEX(Productos!$A:$A,$I2))</f>
        <v/>
      </c>
      <c r="C385" s="134" t="inlineStr">
        <is>
          <t>RM02202023-32</t>
        </is>
      </c>
      <c r="D385" s="5">
        <f>IF($I2="","",INDEX(Productos!$B:$B,$I2))</f>
        <v/>
      </c>
      <c r="E385" s="5">
        <f>IF($I2="","",INDEX(Productos!$H:$H,$I2))</f>
        <v/>
      </c>
      <c r="F385" s="5">
        <f>IF($I2="","",INDEX(Productos!$I:$I,$I2))</f>
        <v/>
      </c>
      <c r="G385" s="135" t="n">
        <v>7</v>
      </c>
      <c r="H385" s="5">
        <f>IF($I2="","",INDEX(Productos!$AG:$AG,$I2))</f>
        <v/>
      </c>
      <c r="I385" s="136">
        <f>LET(_xlpm.r,Productos!$E$2:$E$653,_xlpm.m,IFERROR(_xlfn.XMATCH(C385,_xlpm.r),IFERROR(_xlfn.XMATCH(VALUE(C385),_xlpm.r),0)),IF(_xlpm.m=0,"",_xlpm.m+1))</f>
        <v/>
      </c>
      <c r="J385" s="137" t="inlineStr">
        <is>
          <t>NetSuite</t>
        </is>
      </c>
    </row>
    <row r="386">
      <c r="A386" s="5" t="inlineStr">
        <is>
          <t>REFLO ALMACEN</t>
        </is>
      </c>
      <c r="B386" s="5">
        <f>IF($I2="","",INDEX(Productos!$A:$A,$I2))</f>
        <v/>
      </c>
      <c r="C386" s="134" t="inlineStr">
        <is>
          <t>RM02202023-34</t>
        </is>
      </c>
      <c r="D386" s="5">
        <f>IF($I2="","",INDEX(Productos!$B:$B,$I2))</f>
        <v/>
      </c>
      <c r="E386" s="5">
        <f>IF($I2="","",INDEX(Productos!$H:$H,$I2))</f>
        <v/>
      </c>
      <c r="F386" s="5">
        <f>IF($I2="","",INDEX(Productos!$I:$I,$I2))</f>
        <v/>
      </c>
      <c r="G386" s="135" t="n">
        <v>15</v>
      </c>
      <c r="H386" s="5">
        <f>IF($I2="","",INDEX(Productos!$AG:$AG,$I2))</f>
        <v/>
      </c>
      <c r="I386" s="136">
        <f>LET(_xlpm.r,Productos!$E$2:$E$653,_xlpm.m,IFERROR(_xlfn.XMATCH(C386,_xlpm.r),IFERROR(_xlfn.XMATCH(VALUE(C386),_xlpm.r),0)),IF(_xlpm.m=0,"",_xlpm.m+1))</f>
        <v/>
      </c>
      <c r="J386" s="137" t="inlineStr">
        <is>
          <t>NetSuite</t>
        </is>
      </c>
    </row>
    <row r="387">
      <c r="A387" s="5" t="inlineStr">
        <is>
          <t>REFLO ALMACEN</t>
        </is>
      </c>
      <c r="B387" s="5">
        <f>IF($I2="","",INDEX(Productos!$A:$A,$I2))</f>
        <v/>
      </c>
      <c r="C387" s="134" t="inlineStr">
        <is>
          <t>RM02202023-36</t>
        </is>
      </c>
      <c r="D387" s="5">
        <f>IF($I2="","",INDEX(Productos!$B:$B,$I2))</f>
        <v/>
      </c>
      <c r="E387" s="5">
        <f>IF($I2="","",INDEX(Productos!$H:$H,$I2))</f>
        <v/>
      </c>
      <c r="F387" s="5">
        <f>IF($I2="","",INDEX(Productos!$I:$I,$I2))</f>
        <v/>
      </c>
      <c r="G387" s="135" t="n">
        <v>15</v>
      </c>
      <c r="H387" s="5">
        <f>IF($I2="","",INDEX(Productos!$AG:$AG,$I2))</f>
        <v/>
      </c>
      <c r="I387" s="136">
        <f>LET(_xlpm.r,Productos!$E$2:$E$653,_xlpm.m,IFERROR(_xlfn.XMATCH(C387,_xlpm.r),IFERROR(_xlfn.XMATCH(VALUE(C387),_xlpm.r),0)),IF(_xlpm.m=0,"",_xlpm.m+1))</f>
        <v/>
      </c>
      <c r="J387" s="137" t="inlineStr">
        <is>
          <t>NetSuite</t>
        </is>
      </c>
    </row>
    <row r="388">
      <c r="A388" s="5" t="inlineStr">
        <is>
          <t>REFLO ALMACEN</t>
        </is>
      </c>
      <c r="B388" s="5">
        <f>IF($I2="","",INDEX(Productos!$A:$A,$I2))</f>
        <v/>
      </c>
      <c r="C388" s="134" t="inlineStr">
        <is>
          <t>RM02202023-38</t>
        </is>
      </c>
      <c r="D388" s="5">
        <f>IF($I2="","",INDEX(Productos!$B:$B,$I2))</f>
        <v/>
      </c>
      <c r="E388" s="5">
        <f>IF($I2="","",INDEX(Productos!$H:$H,$I2))</f>
        <v/>
      </c>
      <c r="F388" s="5">
        <f>IF($I2="","",INDEX(Productos!$I:$I,$I2))</f>
        <v/>
      </c>
      <c r="G388" s="135" t="n">
        <v>5</v>
      </c>
      <c r="H388" s="5">
        <f>IF($I2="","",INDEX(Productos!$AG:$AG,$I2))</f>
        <v/>
      </c>
      <c r="I388" s="136">
        <f>LET(_xlpm.r,Productos!$E$2:$E$653,_xlpm.m,IFERROR(_xlfn.XMATCH(C388,_xlpm.r),IFERROR(_xlfn.XMATCH(VALUE(C388),_xlpm.r),0)),IF(_xlpm.m=0,"",_xlpm.m+1))</f>
        <v/>
      </c>
      <c r="J388" s="137" t="inlineStr">
        <is>
          <t>NetSuite</t>
        </is>
      </c>
    </row>
    <row r="389">
      <c r="A389" s="5" t="inlineStr">
        <is>
          <t>REFLO ALMACEN</t>
        </is>
      </c>
      <c r="B389" s="5">
        <f>IF($I2="","",INDEX(Productos!$A:$A,$I2))</f>
        <v/>
      </c>
      <c r="C389" s="134" t="inlineStr">
        <is>
          <t>RM02202023-40</t>
        </is>
      </c>
      <c r="D389" s="5">
        <f>IF($I2="","",INDEX(Productos!$B:$B,$I2))</f>
        <v/>
      </c>
      <c r="E389" s="5">
        <f>IF($I2="","",INDEX(Productos!$H:$H,$I2))</f>
        <v/>
      </c>
      <c r="F389" s="5">
        <f>IF($I2="","",INDEX(Productos!$I:$I,$I2))</f>
        <v/>
      </c>
      <c r="G389" s="135" t="n">
        <v>3</v>
      </c>
      <c r="H389" s="5">
        <f>IF($I2="","",INDEX(Productos!$AG:$AG,$I2))</f>
        <v/>
      </c>
      <c r="I389" s="136">
        <f>LET(_xlpm.r,Productos!$E$2:$E$653,_xlpm.m,IFERROR(_xlfn.XMATCH(C389,_xlpm.r),IFERROR(_xlfn.XMATCH(VALUE(C389),_xlpm.r),0)),IF(_xlpm.m=0,"",_xlpm.m+1))</f>
        <v/>
      </c>
      <c r="J389" s="137" t="inlineStr">
        <is>
          <t>NetSuite</t>
        </is>
      </c>
    </row>
    <row r="390">
      <c r="A390" s="5" t="inlineStr">
        <is>
          <t>REFLO ALMACEN</t>
        </is>
      </c>
      <c r="B390" s="5">
        <f>IF($I2="","",INDEX(Productos!$A:$A,$I2))</f>
        <v/>
      </c>
      <c r="C390" s="134" t="inlineStr">
        <is>
          <t>RM02202035-30</t>
        </is>
      </c>
      <c r="D390" s="5">
        <f>IF($I2="","",INDEX(Productos!$B:$B,$I2))</f>
        <v/>
      </c>
      <c r="E390" s="5">
        <f>IF($I2="","",INDEX(Productos!$H:$H,$I2))</f>
        <v/>
      </c>
      <c r="F390" s="5">
        <f>IF($I2="","",INDEX(Productos!$I:$I,$I2))</f>
        <v/>
      </c>
      <c r="G390" s="135" t="n">
        <v>8</v>
      </c>
      <c r="H390" s="5">
        <f>IF($I2="","",INDEX(Productos!$AG:$AG,$I2))</f>
        <v/>
      </c>
      <c r="I390" s="136">
        <f>LET(_xlpm.r,Productos!$E$2:$E$653,_xlpm.m,IFERROR(_xlfn.XMATCH(C390,_xlpm.r),IFERROR(_xlfn.XMATCH(VALUE(C390),_xlpm.r),0)),IF(_xlpm.m=0,"",_xlpm.m+1))</f>
        <v/>
      </c>
      <c r="J390" s="137" t="inlineStr">
        <is>
          <t>NetSuite</t>
        </is>
      </c>
    </row>
    <row r="391">
      <c r="A391" s="5" t="inlineStr">
        <is>
          <t>REFLO ALMACEN</t>
        </is>
      </c>
      <c r="B391" s="5">
        <f>IF($I2="","",INDEX(Productos!$A:$A,$I2))</f>
        <v/>
      </c>
      <c r="C391" s="134" t="inlineStr">
        <is>
          <t>RM02202035-32</t>
        </is>
      </c>
      <c r="D391" s="5">
        <f>IF($I2="","",INDEX(Productos!$B:$B,$I2))</f>
        <v/>
      </c>
      <c r="E391" s="5">
        <f>IF($I2="","",INDEX(Productos!$H:$H,$I2))</f>
        <v/>
      </c>
      <c r="F391" s="5">
        <f>IF($I2="","",INDEX(Productos!$I:$I,$I2))</f>
        <v/>
      </c>
      <c r="G391" s="135" t="n">
        <v>16</v>
      </c>
      <c r="H391" s="5">
        <f>IF($I2="","",INDEX(Productos!$AG:$AG,$I2))</f>
        <v/>
      </c>
      <c r="I391" s="136">
        <f>LET(_xlpm.r,Productos!$E$2:$E$653,_xlpm.m,IFERROR(_xlfn.XMATCH(C391,_xlpm.r),IFERROR(_xlfn.XMATCH(VALUE(C391),_xlpm.r),0)),IF(_xlpm.m=0,"",_xlpm.m+1))</f>
        <v/>
      </c>
      <c r="J391" s="137" t="inlineStr">
        <is>
          <t>NetSuite</t>
        </is>
      </c>
    </row>
    <row r="392">
      <c r="A392" s="5" t="inlineStr">
        <is>
          <t>REFLO ALMACEN</t>
        </is>
      </c>
      <c r="B392" s="5">
        <f>IF($I2="","",INDEX(Productos!$A:$A,$I2))</f>
        <v/>
      </c>
      <c r="C392" s="134" t="inlineStr">
        <is>
          <t>RM02202035-34</t>
        </is>
      </c>
      <c r="D392" s="5">
        <f>IF($I2="","",INDEX(Productos!$B:$B,$I2))</f>
        <v/>
      </c>
      <c r="E392" s="5">
        <f>IF($I2="","",INDEX(Productos!$H:$H,$I2))</f>
        <v/>
      </c>
      <c r="F392" s="5">
        <f>IF($I2="","",INDEX(Productos!$I:$I,$I2))</f>
        <v/>
      </c>
      <c r="G392" s="135" t="n">
        <v>23</v>
      </c>
      <c r="H392" s="5">
        <f>IF($I2="","",INDEX(Productos!$AG:$AG,$I2))</f>
        <v/>
      </c>
      <c r="I392" s="136">
        <f>LET(_xlpm.r,Productos!$E$2:$E$653,_xlpm.m,IFERROR(_xlfn.XMATCH(C392,_xlpm.r),IFERROR(_xlfn.XMATCH(VALUE(C392),_xlpm.r),0)),IF(_xlpm.m=0,"",_xlpm.m+1))</f>
        <v/>
      </c>
      <c r="J392" s="137" t="inlineStr">
        <is>
          <t>NetSuite</t>
        </is>
      </c>
    </row>
    <row r="393">
      <c r="A393" s="5" t="inlineStr">
        <is>
          <t>REFLO ALMACEN</t>
        </is>
      </c>
      <c r="B393" s="5">
        <f>IF($I2="","",INDEX(Productos!$A:$A,$I2))</f>
        <v/>
      </c>
      <c r="C393" s="134" t="inlineStr">
        <is>
          <t>RM02202035-36</t>
        </is>
      </c>
      <c r="D393" s="5">
        <f>IF($I2="","",INDEX(Productos!$B:$B,$I2))</f>
        <v/>
      </c>
      <c r="E393" s="5">
        <f>IF($I2="","",INDEX(Productos!$H:$H,$I2))</f>
        <v/>
      </c>
      <c r="F393" s="5">
        <f>IF($I2="","",INDEX(Productos!$I:$I,$I2))</f>
        <v/>
      </c>
      <c r="G393" s="135" t="n">
        <v>19</v>
      </c>
      <c r="H393" s="5">
        <f>IF($I2="","",INDEX(Productos!$AG:$AG,$I2))</f>
        <v/>
      </c>
      <c r="I393" s="136">
        <f>LET(_xlpm.r,Productos!$E$2:$E$653,_xlpm.m,IFERROR(_xlfn.XMATCH(C393,_xlpm.r),IFERROR(_xlfn.XMATCH(VALUE(C393),_xlpm.r),0)),IF(_xlpm.m=0,"",_xlpm.m+1))</f>
        <v/>
      </c>
      <c r="J393" s="137" t="inlineStr">
        <is>
          <t>NetSuite</t>
        </is>
      </c>
    </row>
    <row r="394">
      <c r="A394" s="5" t="inlineStr">
        <is>
          <t>REFLO ALMACEN</t>
        </is>
      </c>
      <c r="B394" s="5">
        <f>IF($I2="","",INDEX(Productos!$A:$A,$I2))</f>
        <v/>
      </c>
      <c r="C394" s="134" t="inlineStr">
        <is>
          <t>RM02202035-38</t>
        </is>
      </c>
      <c r="D394" s="5">
        <f>IF($I2="","",INDEX(Productos!$B:$B,$I2))</f>
        <v/>
      </c>
      <c r="E394" s="5">
        <f>IF($I2="","",INDEX(Productos!$H:$H,$I2))</f>
        <v/>
      </c>
      <c r="F394" s="5">
        <f>IF($I2="","",INDEX(Productos!$I:$I,$I2))</f>
        <v/>
      </c>
      <c r="G394" s="135" t="n">
        <v>3</v>
      </c>
      <c r="H394" s="5">
        <f>IF($I2="","",INDEX(Productos!$AG:$AG,$I2))</f>
        <v/>
      </c>
      <c r="I394" s="136">
        <f>LET(_xlpm.r,Productos!$E$2:$E$653,_xlpm.m,IFERROR(_xlfn.XMATCH(C394,_xlpm.r),IFERROR(_xlfn.XMATCH(VALUE(C394),_xlpm.r),0)),IF(_xlpm.m=0,"",_xlpm.m+1))</f>
        <v/>
      </c>
      <c r="J394" s="137" t="inlineStr">
        <is>
          <t>NetSuite</t>
        </is>
      </c>
    </row>
    <row r="395">
      <c r="A395" s="5" t="inlineStr">
        <is>
          <t>REFLO ALMACEN</t>
        </is>
      </c>
      <c r="B395" s="5">
        <f>IF($I2="","",INDEX(Productos!$A:$A,$I2))</f>
        <v/>
      </c>
      <c r="C395" s="134" t="inlineStr">
        <is>
          <t>RM02202035-40</t>
        </is>
      </c>
      <c r="D395" s="5">
        <f>IF($I2="","",INDEX(Productos!$B:$B,$I2))</f>
        <v/>
      </c>
      <c r="E395" s="5">
        <f>IF($I2="","",INDEX(Productos!$H:$H,$I2))</f>
        <v/>
      </c>
      <c r="F395" s="5">
        <f>IF($I2="","",INDEX(Productos!$I:$I,$I2))</f>
        <v/>
      </c>
      <c r="G395" s="135" t="n">
        <v>4</v>
      </c>
      <c r="H395" s="5">
        <f>IF($I2="","",INDEX(Productos!$AG:$AG,$I2))</f>
        <v/>
      </c>
      <c r="I395" s="136">
        <f>LET(_xlpm.r,Productos!$E$2:$E$653,_xlpm.m,IFERROR(_xlfn.XMATCH(C395,_xlpm.r),IFERROR(_xlfn.XMATCH(VALUE(C395),_xlpm.r),0)),IF(_xlpm.m=0,"",_xlpm.m+1))</f>
        <v/>
      </c>
      <c r="J395" s="137" t="inlineStr">
        <is>
          <t>NetSuite</t>
        </is>
      </c>
    </row>
    <row r="396">
      <c r="A396" s="5" t="inlineStr">
        <is>
          <t>REFLO ALMACEN</t>
        </is>
      </c>
      <c r="B396" s="5">
        <f>IF($I2="","",INDEX(Productos!$A:$A,$I2))</f>
        <v/>
      </c>
      <c r="C396" s="134" t="inlineStr">
        <is>
          <t>RM02202054-30</t>
        </is>
      </c>
      <c r="D396" s="5">
        <f>IF($I2="","",INDEX(Productos!$B:$B,$I2))</f>
        <v/>
      </c>
      <c r="E396" s="5">
        <f>IF($I2="","",INDEX(Productos!$H:$H,$I2))</f>
        <v/>
      </c>
      <c r="F396" s="5">
        <f>IF($I2="","",INDEX(Productos!$I:$I,$I2))</f>
        <v/>
      </c>
      <c r="G396" s="135" t="n">
        <v>14</v>
      </c>
      <c r="H396" s="5">
        <f>IF($I2="","",INDEX(Productos!$AG:$AG,$I2))</f>
        <v/>
      </c>
      <c r="I396" s="136">
        <f>LET(_xlpm.r,Productos!$E$2:$E$653,_xlpm.m,IFERROR(_xlfn.XMATCH(C396,_xlpm.r),IFERROR(_xlfn.XMATCH(VALUE(C396),_xlpm.r),0)),IF(_xlpm.m=0,"",_xlpm.m+1))</f>
        <v/>
      </c>
      <c r="J396" s="137" t="inlineStr">
        <is>
          <t>NetSuite</t>
        </is>
      </c>
    </row>
    <row r="397">
      <c r="A397" s="5" t="inlineStr">
        <is>
          <t>REFLO ALMACEN</t>
        </is>
      </c>
      <c r="B397" s="5">
        <f>IF($I2="","",INDEX(Productos!$A:$A,$I2))</f>
        <v/>
      </c>
      <c r="C397" s="134" t="inlineStr">
        <is>
          <t>RM02202054-32</t>
        </is>
      </c>
      <c r="D397" s="5">
        <f>IF($I2="","",INDEX(Productos!$B:$B,$I2))</f>
        <v/>
      </c>
      <c r="E397" s="5">
        <f>IF($I2="","",INDEX(Productos!$H:$H,$I2))</f>
        <v/>
      </c>
      <c r="F397" s="5">
        <f>IF($I2="","",INDEX(Productos!$I:$I,$I2))</f>
        <v/>
      </c>
      <c r="G397" s="135" t="n">
        <v>22</v>
      </c>
      <c r="H397" s="5">
        <f>IF($I2="","",INDEX(Productos!$AG:$AG,$I2))</f>
        <v/>
      </c>
      <c r="I397" s="136">
        <f>LET(_xlpm.r,Productos!$E$2:$E$653,_xlpm.m,IFERROR(_xlfn.XMATCH(C397,_xlpm.r),IFERROR(_xlfn.XMATCH(VALUE(C397),_xlpm.r),0)),IF(_xlpm.m=0,"",_xlpm.m+1))</f>
        <v/>
      </c>
      <c r="J397" s="137" t="inlineStr">
        <is>
          <t>NetSuite</t>
        </is>
      </c>
    </row>
    <row r="398">
      <c r="A398" s="5" t="inlineStr">
        <is>
          <t>REFLO ALMACEN</t>
        </is>
      </c>
      <c r="B398" s="5">
        <f>IF($I2="","",INDEX(Productos!$A:$A,$I2))</f>
        <v/>
      </c>
      <c r="C398" s="134" t="inlineStr">
        <is>
          <t>RM02202054-34</t>
        </is>
      </c>
      <c r="D398" s="5">
        <f>IF($I2="","",INDEX(Productos!$B:$B,$I2))</f>
        <v/>
      </c>
      <c r="E398" s="5">
        <f>IF($I2="","",INDEX(Productos!$H:$H,$I2))</f>
        <v/>
      </c>
      <c r="F398" s="5">
        <f>IF($I2="","",INDEX(Productos!$I:$I,$I2))</f>
        <v/>
      </c>
      <c r="G398" s="135" t="n">
        <v>35</v>
      </c>
      <c r="H398" s="5">
        <f>IF($I2="","",INDEX(Productos!$AG:$AG,$I2))</f>
        <v/>
      </c>
      <c r="I398" s="136">
        <f>LET(_xlpm.r,Productos!$E$2:$E$653,_xlpm.m,IFERROR(_xlfn.XMATCH(C398,_xlpm.r),IFERROR(_xlfn.XMATCH(VALUE(C398),_xlpm.r),0)),IF(_xlpm.m=0,"",_xlpm.m+1))</f>
        <v/>
      </c>
      <c r="J398" s="137" t="inlineStr">
        <is>
          <t>NetSuite</t>
        </is>
      </c>
    </row>
    <row r="399">
      <c r="A399" s="5" t="inlineStr">
        <is>
          <t>REFLO ALMACEN</t>
        </is>
      </c>
      <c r="B399" s="5">
        <f>IF($I2="","",INDEX(Productos!$A:$A,$I2))</f>
        <v/>
      </c>
      <c r="C399" s="134" t="inlineStr">
        <is>
          <t>RM02202054-36</t>
        </is>
      </c>
      <c r="D399" s="5">
        <f>IF($I2="","",INDEX(Productos!$B:$B,$I2))</f>
        <v/>
      </c>
      <c r="E399" s="5">
        <f>IF($I2="","",INDEX(Productos!$H:$H,$I2))</f>
        <v/>
      </c>
      <c r="F399" s="5">
        <f>IF($I2="","",INDEX(Productos!$I:$I,$I2))</f>
        <v/>
      </c>
      <c r="G399" s="135" t="n">
        <v>35</v>
      </c>
      <c r="H399" s="5">
        <f>IF($I2="","",INDEX(Productos!$AG:$AG,$I2))</f>
        <v/>
      </c>
      <c r="I399" s="136">
        <f>LET(_xlpm.r,Productos!$E$2:$E$653,_xlpm.m,IFERROR(_xlfn.XMATCH(C399,_xlpm.r),IFERROR(_xlfn.XMATCH(VALUE(C399),_xlpm.r),0)),IF(_xlpm.m=0,"",_xlpm.m+1))</f>
        <v/>
      </c>
      <c r="J399" s="137" t="inlineStr">
        <is>
          <t>NetSuite</t>
        </is>
      </c>
    </row>
    <row r="400">
      <c r="A400" s="5" t="inlineStr">
        <is>
          <t>REFLO ALMACEN</t>
        </is>
      </c>
      <c r="B400" s="5">
        <f>IF($I2="","",INDEX(Productos!$A:$A,$I2))</f>
        <v/>
      </c>
      <c r="C400" s="134" t="inlineStr">
        <is>
          <t>RM02202054-38</t>
        </is>
      </c>
      <c r="D400" s="5">
        <f>IF($I2="","",INDEX(Productos!$B:$B,$I2))</f>
        <v/>
      </c>
      <c r="E400" s="5">
        <f>IF($I2="","",INDEX(Productos!$H:$H,$I2))</f>
        <v/>
      </c>
      <c r="F400" s="5">
        <f>IF($I2="","",INDEX(Productos!$I:$I,$I2))</f>
        <v/>
      </c>
      <c r="G400" s="135" t="n">
        <v>4</v>
      </c>
      <c r="H400" s="5">
        <f>IF($I2="","",INDEX(Productos!$AG:$AG,$I2))</f>
        <v/>
      </c>
      <c r="I400" s="136">
        <f>LET(_xlpm.r,Productos!$E$2:$E$653,_xlpm.m,IFERROR(_xlfn.XMATCH(C400,_xlpm.r),IFERROR(_xlfn.XMATCH(VALUE(C400),_xlpm.r),0)),IF(_xlpm.m=0,"",_xlpm.m+1))</f>
        <v/>
      </c>
      <c r="J400" s="137" t="inlineStr">
        <is>
          <t>NetSuite</t>
        </is>
      </c>
    </row>
    <row r="401">
      <c r="A401" s="5" t="inlineStr">
        <is>
          <t>REFLO ALMACEN</t>
        </is>
      </c>
      <c r="B401" s="5">
        <f>IF($I2="","",INDEX(Productos!$A:$A,$I2))</f>
        <v/>
      </c>
      <c r="C401" s="134" t="inlineStr">
        <is>
          <t>RM02202054-40</t>
        </is>
      </c>
      <c r="D401" s="5">
        <f>IF($I2="","",INDEX(Productos!$B:$B,$I2))</f>
        <v/>
      </c>
      <c r="E401" s="5">
        <f>IF($I2="","",INDEX(Productos!$H:$H,$I2))</f>
        <v/>
      </c>
      <c r="F401" s="5">
        <f>IF($I2="","",INDEX(Productos!$I:$I,$I2))</f>
        <v/>
      </c>
      <c r="G401" s="135" t="n">
        <v>7</v>
      </c>
      <c r="H401" s="5">
        <f>IF($I2="","",INDEX(Productos!$AG:$AG,$I2))</f>
        <v/>
      </c>
      <c r="I401" s="136">
        <f>LET(_xlpm.r,Productos!$E$2:$E$653,_xlpm.m,IFERROR(_xlfn.XMATCH(C401,_xlpm.r),IFERROR(_xlfn.XMATCH(VALUE(C401),_xlpm.r),0)),IF(_xlpm.m=0,"",_xlpm.m+1))</f>
        <v/>
      </c>
      <c r="J401" s="137" t="inlineStr">
        <is>
          <t>NetSuite</t>
        </is>
      </c>
    </row>
    <row r="402">
      <c r="A402" s="5" t="inlineStr">
        <is>
          <t>REFLO ALMACEN</t>
        </is>
      </c>
      <c r="B402" s="5">
        <f>IF($I2="","",INDEX(Productos!$A:$A,$I2))</f>
        <v/>
      </c>
      <c r="C402" s="134" t="inlineStr">
        <is>
          <t>RM02202068-30</t>
        </is>
      </c>
      <c r="D402" s="5">
        <f>IF($I2="","",INDEX(Productos!$B:$B,$I2))</f>
        <v/>
      </c>
      <c r="E402" s="5">
        <f>IF($I2="","",INDEX(Productos!$H:$H,$I2))</f>
        <v/>
      </c>
      <c r="F402" s="5">
        <f>IF($I2="","",INDEX(Productos!$I:$I,$I2))</f>
        <v/>
      </c>
      <c r="G402" s="135" t="n">
        <v>7</v>
      </c>
      <c r="H402" s="5">
        <f>IF($I2="","",INDEX(Productos!$AG:$AG,$I2))</f>
        <v/>
      </c>
      <c r="I402" s="136">
        <f>LET(_xlpm.r,Productos!$E$2:$E$653,_xlpm.m,IFERROR(_xlfn.XMATCH(C402,_xlpm.r),IFERROR(_xlfn.XMATCH(VALUE(C402),_xlpm.r),0)),IF(_xlpm.m=0,"",_xlpm.m+1))</f>
        <v/>
      </c>
      <c r="J402" s="137" t="inlineStr">
        <is>
          <t>NetSuite</t>
        </is>
      </c>
    </row>
    <row r="403">
      <c r="A403" s="5" t="inlineStr">
        <is>
          <t>REFLO ALMACEN</t>
        </is>
      </c>
      <c r="B403" s="5">
        <f>IF($I2="","",INDEX(Productos!$A:$A,$I2))</f>
        <v/>
      </c>
      <c r="C403" s="134" t="inlineStr">
        <is>
          <t>RM02202068-32</t>
        </is>
      </c>
      <c r="D403" s="5">
        <f>IF($I2="","",INDEX(Productos!$B:$B,$I2))</f>
        <v/>
      </c>
      <c r="E403" s="5">
        <f>IF($I2="","",INDEX(Productos!$H:$H,$I2))</f>
        <v/>
      </c>
      <c r="F403" s="5">
        <f>IF($I2="","",INDEX(Productos!$I:$I,$I2))</f>
        <v/>
      </c>
      <c r="G403" s="135" t="n">
        <v>8</v>
      </c>
      <c r="H403" s="5">
        <f>IF($I2="","",INDEX(Productos!$AG:$AG,$I2))</f>
        <v/>
      </c>
      <c r="I403" s="136">
        <f>LET(_xlpm.r,Productos!$E$2:$E$653,_xlpm.m,IFERROR(_xlfn.XMATCH(C403,_xlpm.r),IFERROR(_xlfn.XMATCH(VALUE(C403),_xlpm.r),0)),IF(_xlpm.m=0,"",_xlpm.m+1))</f>
        <v/>
      </c>
      <c r="J403" s="137" t="inlineStr">
        <is>
          <t>NetSuite</t>
        </is>
      </c>
    </row>
    <row r="404">
      <c r="A404" s="5" t="inlineStr">
        <is>
          <t>REFLO ALMACEN</t>
        </is>
      </c>
      <c r="B404" s="5">
        <f>IF($I2="","",INDEX(Productos!$A:$A,$I2))</f>
        <v/>
      </c>
      <c r="C404" s="134" t="inlineStr">
        <is>
          <t>RM02202068-34</t>
        </is>
      </c>
      <c r="D404" s="5">
        <f>IF($I2="","",INDEX(Productos!$B:$B,$I2))</f>
        <v/>
      </c>
      <c r="E404" s="5">
        <f>IF($I2="","",INDEX(Productos!$H:$H,$I2))</f>
        <v/>
      </c>
      <c r="F404" s="5">
        <f>IF($I2="","",INDEX(Productos!$I:$I,$I2))</f>
        <v/>
      </c>
      <c r="G404" s="135" t="n">
        <v>22</v>
      </c>
      <c r="H404" s="5">
        <f>IF($I2="","",INDEX(Productos!$AG:$AG,$I2))</f>
        <v/>
      </c>
      <c r="I404" s="136">
        <f>LET(_xlpm.r,Productos!$E$2:$E$653,_xlpm.m,IFERROR(_xlfn.XMATCH(C404,_xlpm.r),IFERROR(_xlfn.XMATCH(VALUE(C404),_xlpm.r),0)),IF(_xlpm.m=0,"",_xlpm.m+1))</f>
        <v/>
      </c>
      <c r="J404" s="137" t="inlineStr">
        <is>
          <t>NetSuite</t>
        </is>
      </c>
    </row>
    <row r="405">
      <c r="A405" s="5" t="inlineStr">
        <is>
          <t>REFLO ALMACEN</t>
        </is>
      </c>
      <c r="B405" s="5">
        <f>IF($I2="","",INDEX(Productos!$A:$A,$I2))</f>
        <v/>
      </c>
      <c r="C405" s="134" t="inlineStr">
        <is>
          <t>RM02202068-36</t>
        </is>
      </c>
      <c r="D405" s="5">
        <f>IF($I2="","",INDEX(Productos!$B:$B,$I2))</f>
        <v/>
      </c>
      <c r="E405" s="5">
        <f>IF($I2="","",INDEX(Productos!$H:$H,$I2))</f>
        <v/>
      </c>
      <c r="F405" s="5">
        <f>IF($I2="","",INDEX(Productos!$I:$I,$I2))</f>
        <v/>
      </c>
      <c r="G405" s="135" t="n">
        <v>16</v>
      </c>
      <c r="H405" s="5">
        <f>IF($I2="","",INDEX(Productos!$AG:$AG,$I2))</f>
        <v/>
      </c>
      <c r="I405" s="136">
        <f>LET(_xlpm.r,Productos!$E$2:$E$653,_xlpm.m,IFERROR(_xlfn.XMATCH(C405,_xlpm.r),IFERROR(_xlfn.XMATCH(VALUE(C405),_xlpm.r),0)),IF(_xlpm.m=0,"",_xlpm.m+1))</f>
        <v/>
      </c>
      <c r="J405" s="137" t="inlineStr">
        <is>
          <t>NetSuite</t>
        </is>
      </c>
    </row>
    <row r="406">
      <c r="A406" s="5" t="inlineStr">
        <is>
          <t>REFLO ALMACEN</t>
        </is>
      </c>
      <c r="B406" s="5">
        <f>IF($I2="","",INDEX(Productos!$A:$A,$I2))</f>
        <v/>
      </c>
      <c r="C406" s="134" t="inlineStr">
        <is>
          <t>RM02202068-38</t>
        </is>
      </c>
      <c r="D406" s="5">
        <f>IF($I2="","",INDEX(Productos!$B:$B,$I2))</f>
        <v/>
      </c>
      <c r="E406" s="5">
        <f>IF($I2="","",INDEX(Productos!$H:$H,$I2))</f>
        <v/>
      </c>
      <c r="F406" s="5">
        <f>IF($I2="","",INDEX(Productos!$I:$I,$I2))</f>
        <v/>
      </c>
      <c r="G406" s="135" t="n">
        <v>4</v>
      </c>
      <c r="H406" s="5">
        <f>IF($I2="","",INDEX(Productos!$AG:$AG,$I2))</f>
        <v/>
      </c>
      <c r="I406" s="136">
        <f>LET(_xlpm.r,Productos!$E$2:$E$653,_xlpm.m,IFERROR(_xlfn.XMATCH(C406,_xlpm.r),IFERROR(_xlfn.XMATCH(VALUE(C406),_xlpm.r),0)),IF(_xlpm.m=0,"",_xlpm.m+1))</f>
        <v/>
      </c>
      <c r="J406" s="137" t="inlineStr">
        <is>
          <t>NetSuite</t>
        </is>
      </c>
    </row>
    <row r="407">
      <c r="A407" s="5" t="inlineStr">
        <is>
          <t>REFLO ALMACEN</t>
        </is>
      </c>
      <c r="B407" s="5">
        <f>IF($I2="","",INDEX(Productos!$A:$A,$I2))</f>
        <v/>
      </c>
      <c r="C407" s="134" t="inlineStr">
        <is>
          <t>RM02202068-40</t>
        </is>
      </c>
      <c r="D407" s="5">
        <f>IF($I2="","",INDEX(Productos!$B:$B,$I2))</f>
        <v/>
      </c>
      <c r="E407" s="5">
        <f>IF($I2="","",INDEX(Productos!$H:$H,$I2))</f>
        <v/>
      </c>
      <c r="F407" s="5">
        <f>IF($I2="","",INDEX(Productos!$I:$I,$I2))</f>
        <v/>
      </c>
      <c r="G407" s="135" t="n">
        <v>4</v>
      </c>
      <c r="H407" s="5">
        <f>IF($I2="","",INDEX(Productos!$AG:$AG,$I2))</f>
        <v/>
      </c>
      <c r="I407" s="136">
        <f>LET(_xlpm.r,Productos!$E$2:$E$653,_xlpm.m,IFERROR(_xlfn.XMATCH(C407,_xlpm.r),IFERROR(_xlfn.XMATCH(VALUE(C407),_xlpm.r),0)),IF(_xlpm.m=0,"",_xlpm.m+1))</f>
        <v/>
      </c>
      <c r="J407" s="137" t="inlineStr">
        <is>
          <t>NetSuite</t>
        </is>
      </c>
    </row>
    <row r="408">
      <c r="A408" s="5" t="inlineStr">
        <is>
          <t>REFLO ALMACEN</t>
        </is>
      </c>
      <c r="B408" s="5">
        <f>IF($I2="","",INDEX(Productos!$A:$A,$I2))</f>
        <v/>
      </c>
      <c r="C408" s="134" t="inlineStr">
        <is>
          <t>RM24407050-2XL</t>
        </is>
      </c>
      <c r="D408" s="5">
        <f>IF($I2="","",INDEX(Productos!$B:$B,$I2))</f>
        <v/>
      </c>
      <c r="E408" s="5">
        <f>IF($I2="","",INDEX(Productos!$H:$H,$I2))</f>
        <v/>
      </c>
      <c r="F408" s="5">
        <f>IF($I2="","",INDEX(Productos!$I:$I,$I2))</f>
        <v/>
      </c>
      <c r="G408" s="135" t="n">
        <v>2</v>
      </c>
      <c r="H408" s="5">
        <f>IF($I2="","",INDEX(Productos!$AG:$AG,$I2))</f>
        <v/>
      </c>
      <c r="I408" s="136">
        <f>LET(_xlpm.r,Productos!$E$2:$E$653,_xlpm.m,IFERROR(_xlfn.XMATCH(C408,_xlpm.r),IFERROR(_xlfn.XMATCH(VALUE(C408),_xlpm.r),0)),IF(_xlpm.m=0,"",_xlpm.m+1))</f>
        <v/>
      </c>
      <c r="J408" s="137" t="inlineStr">
        <is>
          <t>NetSuite</t>
        </is>
      </c>
    </row>
    <row r="409">
      <c r="A409" s="5" t="inlineStr">
        <is>
          <t>REFLO ALMACEN</t>
        </is>
      </c>
      <c r="B409" s="5">
        <f>IF($I2="","",INDEX(Productos!$A:$A,$I2))</f>
        <v/>
      </c>
      <c r="C409" s="134" t="inlineStr">
        <is>
          <t>RM24407050-L</t>
        </is>
      </c>
      <c r="D409" s="5">
        <f>IF($I2="","",INDEX(Productos!$B:$B,$I2))</f>
        <v/>
      </c>
      <c r="E409" s="5">
        <f>IF($I2="","",INDEX(Productos!$H:$H,$I2))</f>
        <v/>
      </c>
      <c r="F409" s="5">
        <f>IF($I2="","",INDEX(Productos!$I:$I,$I2))</f>
        <v/>
      </c>
      <c r="G409" s="135" t="n">
        <v>7</v>
      </c>
      <c r="H409" s="5">
        <f>IF($I2="","",INDEX(Productos!$AG:$AG,$I2))</f>
        <v/>
      </c>
      <c r="I409" s="136">
        <f>LET(_xlpm.r,Productos!$E$2:$E$653,_xlpm.m,IFERROR(_xlfn.XMATCH(C409,_xlpm.r),IFERROR(_xlfn.XMATCH(VALUE(C409),_xlpm.r),0)),IF(_xlpm.m=0,"",_xlpm.m+1))</f>
        <v/>
      </c>
      <c r="J409" s="137" t="inlineStr">
        <is>
          <t>NetSuite</t>
        </is>
      </c>
    </row>
    <row r="410">
      <c r="A410" s="5" t="inlineStr">
        <is>
          <t>REFLO ALMACEN</t>
        </is>
      </c>
      <c r="B410" s="5">
        <f>IF($I2="","",INDEX(Productos!$A:$A,$I2))</f>
        <v/>
      </c>
      <c r="C410" s="134" t="inlineStr">
        <is>
          <t>RM24407050-M</t>
        </is>
      </c>
      <c r="D410" s="5">
        <f>IF($I2="","",INDEX(Productos!$B:$B,$I2))</f>
        <v/>
      </c>
      <c r="E410" s="5">
        <f>IF($I2="","",INDEX(Productos!$H:$H,$I2))</f>
        <v/>
      </c>
      <c r="F410" s="5">
        <f>IF($I2="","",INDEX(Productos!$I:$I,$I2))</f>
        <v/>
      </c>
      <c r="G410" s="135" t="n">
        <v>2</v>
      </c>
      <c r="H410" s="5">
        <f>IF($I2="","",INDEX(Productos!$AG:$AG,$I2))</f>
        <v/>
      </c>
      <c r="I410" s="136">
        <f>LET(_xlpm.r,Productos!$E$2:$E$653,_xlpm.m,IFERROR(_xlfn.XMATCH(C410,_xlpm.r),IFERROR(_xlfn.XMATCH(VALUE(C410),_xlpm.r),0)),IF(_xlpm.m=0,"",_xlpm.m+1))</f>
        <v/>
      </c>
      <c r="J410" s="137" t="inlineStr">
        <is>
          <t>NetSuite</t>
        </is>
      </c>
    </row>
    <row r="411">
      <c r="A411" s="5" t="inlineStr">
        <is>
          <t>REFLO ALMACEN</t>
        </is>
      </c>
      <c r="B411" s="5">
        <f>IF($I2="","",INDEX(Productos!$A:$A,$I2))</f>
        <v/>
      </c>
      <c r="C411" s="134" t="inlineStr">
        <is>
          <t>RM24407050-XL</t>
        </is>
      </c>
      <c r="D411" s="5">
        <f>IF($I2="","",INDEX(Productos!$B:$B,$I2))</f>
        <v/>
      </c>
      <c r="E411" s="5">
        <f>IF($I2="","",INDEX(Productos!$H:$H,$I2))</f>
        <v/>
      </c>
      <c r="F411" s="5">
        <f>IF($I2="","",INDEX(Productos!$I:$I,$I2))</f>
        <v/>
      </c>
      <c r="G411" s="135" t="n">
        <v>8</v>
      </c>
      <c r="H411" s="5">
        <f>IF($I2="","",INDEX(Productos!$AG:$AG,$I2))</f>
        <v/>
      </c>
      <c r="I411" s="136">
        <f>LET(_xlpm.r,Productos!$E$2:$E$653,_xlpm.m,IFERROR(_xlfn.XMATCH(C411,_xlpm.r),IFERROR(_xlfn.XMATCH(VALUE(C411),_xlpm.r),0)),IF(_xlpm.m=0,"",_xlpm.m+1))</f>
        <v/>
      </c>
      <c r="J411" s="137" t="inlineStr">
        <is>
          <t>NetSuite</t>
        </is>
      </c>
    </row>
    <row r="412">
      <c r="A412" s="5" t="inlineStr">
        <is>
          <t>REFLO ALMACEN</t>
        </is>
      </c>
      <c r="B412" s="5">
        <f>IF($I2="","",INDEX(Productos!$A:$A,$I2))</f>
        <v/>
      </c>
      <c r="C412" s="134" t="inlineStr">
        <is>
          <t>RM24408051-2XL</t>
        </is>
      </c>
      <c r="D412" s="5">
        <f>IF($I2="","",INDEX(Productos!$B:$B,$I2))</f>
        <v/>
      </c>
      <c r="E412" s="5">
        <f>IF($I2="","",INDEX(Productos!$H:$H,$I2))</f>
        <v/>
      </c>
      <c r="F412" s="5">
        <f>IF($I2="","",INDEX(Productos!$I:$I,$I2))</f>
        <v/>
      </c>
      <c r="G412" s="135" t="n">
        <v>2</v>
      </c>
      <c r="H412" s="5">
        <f>IF($I2="","",INDEX(Productos!$AG:$AG,$I2))</f>
        <v/>
      </c>
      <c r="I412" s="136">
        <f>LET(_xlpm.r,Productos!$E$2:$E$653,_xlpm.m,IFERROR(_xlfn.XMATCH(C412,_xlpm.r),IFERROR(_xlfn.XMATCH(VALUE(C412),_xlpm.r),0)),IF(_xlpm.m=0,"",_xlpm.m+1))</f>
        <v/>
      </c>
      <c r="J412" s="137" t="inlineStr">
        <is>
          <t>NetSuite</t>
        </is>
      </c>
    </row>
    <row r="413">
      <c r="A413" s="5" t="inlineStr">
        <is>
          <t>REFLO ALMACEN</t>
        </is>
      </c>
      <c r="B413" s="5">
        <f>IF($I2="","",INDEX(Productos!$A:$A,$I2))</f>
        <v/>
      </c>
      <c r="C413" s="134" t="inlineStr">
        <is>
          <t>RM24408051-L</t>
        </is>
      </c>
      <c r="D413" s="5">
        <f>IF($I2="","",INDEX(Productos!$B:$B,$I2))</f>
        <v/>
      </c>
      <c r="E413" s="5">
        <f>IF($I2="","",INDEX(Productos!$H:$H,$I2))</f>
        <v/>
      </c>
      <c r="F413" s="5">
        <f>IF($I2="","",INDEX(Productos!$I:$I,$I2))</f>
        <v/>
      </c>
      <c r="G413" s="135" t="n">
        <v>2</v>
      </c>
      <c r="H413" s="5">
        <f>IF($I2="","",INDEX(Productos!$AG:$AG,$I2))</f>
        <v/>
      </c>
      <c r="I413" s="136">
        <f>LET(_xlpm.r,Productos!$E$2:$E$653,_xlpm.m,IFERROR(_xlfn.XMATCH(C413,_xlpm.r),IFERROR(_xlfn.XMATCH(VALUE(C413),_xlpm.r),0)),IF(_xlpm.m=0,"",_xlpm.m+1))</f>
        <v/>
      </c>
      <c r="J413" s="137" t="inlineStr">
        <is>
          <t>NetSuite</t>
        </is>
      </c>
    </row>
    <row r="414">
      <c r="A414" s="5" t="inlineStr">
        <is>
          <t>REFLO ALMACEN</t>
        </is>
      </c>
      <c r="B414" s="5">
        <f>IF($I2="","",INDEX(Productos!$A:$A,$I2))</f>
        <v/>
      </c>
      <c r="C414" s="134" t="inlineStr">
        <is>
          <t>RM24408051-M</t>
        </is>
      </c>
      <c r="D414" s="5">
        <f>IF($I2="","",INDEX(Productos!$B:$B,$I2))</f>
        <v/>
      </c>
      <c r="E414" s="5">
        <f>IF($I2="","",INDEX(Productos!$H:$H,$I2))</f>
        <v/>
      </c>
      <c r="F414" s="5">
        <f>IF($I2="","",INDEX(Productos!$I:$I,$I2))</f>
        <v/>
      </c>
      <c r="G414" s="135" t="n">
        <v>1</v>
      </c>
      <c r="H414" s="5">
        <f>IF($I2="","",INDEX(Productos!$AG:$AG,$I2))</f>
        <v/>
      </c>
      <c r="I414" s="136">
        <f>LET(_xlpm.r,Productos!$E$2:$E$653,_xlpm.m,IFERROR(_xlfn.XMATCH(C414,_xlpm.r),IFERROR(_xlfn.XMATCH(VALUE(C414),_xlpm.r),0)),IF(_xlpm.m=0,"",_xlpm.m+1))</f>
        <v/>
      </c>
      <c r="J414" s="137" t="inlineStr">
        <is>
          <t>NetSuite</t>
        </is>
      </c>
    </row>
    <row r="415">
      <c r="A415" s="5" t="inlineStr">
        <is>
          <t>REFLO ALMACEN</t>
        </is>
      </c>
      <c r="B415" s="5">
        <f>IF($I2="","",INDEX(Productos!$A:$A,$I2))</f>
        <v/>
      </c>
      <c r="C415" s="134" t="inlineStr">
        <is>
          <t>RM24408051-S</t>
        </is>
      </c>
      <c r="D415" s="5">
        <f>IF($I2="","",INDEX(Productos!$B:$B,$I2))</f>
        <v/>
      </c>
      <c r="E415" s="5">
        <f>IF($I2="","",INDEX(Productos!$H:$H,$I2))</f>
        <v/>
      </c>
      <c r="F415" s="5">
        <f>IF($I2="","",INDEX(Productos!$I:$I,$I2))</f>
        <v/>
      </c>
      <c r="G415" s="135" t="n">
        <v>1</v>
      </c>
      <c r="H415" s="5">
        <f>IF($I2="","",INDEX(Productos!$AG:$AG,$I2))</f>
        <v/>
      </c>
      <c r="I415" s="136">
        <f>LET(_xlpm.r,Productos!$E$2:$E$653,_xlpm.m,IFERROR(_xlfn.XMATCH(C415,_xlpm.r),IFERROR(_xlfn.XMATCH(VALUE(C415),_xlpm.r),0)),IF(_xlpm.m=0,"",_xlpm.m+1))</f>
        <v/>
      </c>
      <c r="J415" s="137" t="inlineStr">
        <is>
          <t>NetSuite</t>
        </is>
      </c>
    </row>
    <row r="416">
      <c r="A416" s="5" t="inlineStr">
        <is>
          <t>REFLO ALMACEN</t>
        </is>
      </c>
      <c r="B416" s="5">
        <f>IF($I2="","",INDEX(Productos!$A:$A,$I2))</f>
        <v/>
      </c>
      <c r="C416" s="134" t="inlineStr">
        <is>
          <t>RM24408051-XL</t>
        </is>
      </c>
      <c r="D416" s="5">
        <f>IF($I2="","",INDEX(Productos!$B:$B,$I2))</f>
        <v/>
      </c>
      <c r="E416" s="5">
        <f>IF($I2="","",INDEX(Productos!$H:$H,$I2))</f>
        <v/>
      </c>
      <c r="F416" s="5">
        <f>IF($I2="","",INDEX(Productos!$I:$I,$I2))</f>
        <v/>
      </c>
      <c r="G416" s="135" t="n">
        <v>4</v>
      </c>
      <c r="H416" s="5">
        <f>IF($I2="","",INDEX(Productos!$AG:$AG,$I2))</f>
        <v/>
      </c>
      <c r="I416" s="136">
        <f>LET(_xlpm.r,Productos!$E$2:$E$653,_xlpm.m,IFERROR(_xlfn.XMATCH(C416,_xlpm.r),IFERROR(_xlfn.XMATCH(VALUE(C416),_xlpm.r),0)),IF(_xlpm.m=0,"",_xlpm.m+1))</f>
        <v/>
      </c>
      <c r="J416" s="137" t="inlineStr">
        <is>
          <t>NetSuite</t>
        </is>
      </c>
    </row>
    <row r="417">
      <c r="A417" s="5" t="inlineStr">
        <is>
          <t>REFLO ALMACEN</t>
        </is>
      </c>
      <c r="B417" s="5">
        <f>IF($I2="","",INDEX(Productos!$A:$A,$I2))</f>
        <v/>
      </c>
      <c r="C417" s="134" t="inlineStr">
        <is>
          <t>RU02001010-L</t>
        </is>
      </c>
      <c r="D417" s="5">
        <f>IF($I2="","",INDEX(Productos!$B:$B,$I2))</f>
        <v/>
      </c>
      <c r="E417" s="5">
        <f>IF($I2="","",INDEX(Productos!$H:$H,$I2))</f>
        <v/>
      </c>
      <c r="F417" s="5">
        <f>IF($I2="","",INDEX(Productos!$I:$I,$I2))</f>
        <v/>
      </c>
      <c r="G417" s="135" t="n">
        <v>1</v>
      </c>
      <c r="H417" s="5">
        <f>IF($I2="","",INDEX(Productos!$AG:$AG,$I2))</f>
        <v/>
      </c>
      <c r="I417" s="136">
        <f>LET(_xlpm.r,Productos!$E$2:$E$653,_xlpm.m,IFERROR(_xlfn.XMATCH(C417,_xlpm.r),IFERROR(_xlfn.XMATCH(VALUE(C417),_xlpm.r),0)),IF(_xlpm.m=0,"",_xlpm.m+1))</f>
        <v/>
      </c>
      <c r="J417" s="137" t="inlineStr">
        <is>
          <t>NetSuite</t>
        </is>
      </c>
    </row>
    <row r="418">
      <c r="A418" s="5" t="inlineStr">
        <is>
          <t>REFLO ALMACEN</t>
        </is>
      </c>
      <c r="B418" s="5">
        <f>IF($I2="","",INDEX(Productos!$A:$A,$I2))</f>
        <v/>
      </c>
      <c r="C418" s="134" t="inlineStr">
        <is>
          <t>RU02001031-L</t>
        </is>
      </c>
      <c r="D418" s="5">
        <f>IF($I2="","",INDEX(Productos!$B:$B,$I2))</f>
        <v/>
      </c>
      <c r="E418" s="5">
        <f>IF($I2="","",INDEX(Productos!$H:$H,$I2))</f>
        <v/>
      </c>
      <c r="F418" s="5">
        <f>IF($I2="","",INDEX(Productos!$I:$I,$I2))</f>
        <v/>
      </c>
      <c r="G418" s="135" t="n">
        <v>1</v>
      </c>
      <c r="H418" s="5">
        <f>IF($I2="","",INDEX(Productos!$AG:$AG,$I2))</f>
        <v/>
      </c>
      <c r="I418" s="136">
        <f>LET(_xlpm.r,Productos!$E$2:$E$653,_xlpm.m,IFERROR(_xlfn.XMATCH(C418,_xlpm.r),IFERROR(_xlfn.XMATCH(VALUE(C418),_xlpm.r),0)),IF(_xlpm.m=0,"",_xlpm.m+1))</f>
        <v/>
      </c>
      <c r="J418" s="137" t="inlineStr">
        <is>
          <t>NetSuite</t>
        </is>
      </c>
    </row>
    <row r="419">
      <c r="A419" s="5" t="inlineStr">
        <is>
          <t>REFLO ALMACEN</t>
        </is>
      </c>
      <c r="B419" s="5">
        <f>IF($I2="","",INDEX(Productos!$A:$A,$I2))</f>
        <v/>
      </c>
      <c r="C419" s="134" t="inlineStr">
        <is>
          <t>RU20801032-OS</t>
        </is>
      </c>
      <c r="D419" s="5">
        <f>IF($I2="","",INDEX(Productos!$B:$B,$I2))</f>
        <v/>
      </c>
      <c r="E419" s="5">
        <f>IF($I2="","",INDEX(Productos!$H:$H,$I2))</f>
        <v/>
      </c>
      <c r="F419" s="5">
        <f>IF($I2="","",INDEX(Productos!$I:$I,$I2))</f>
        <v/>
      </c>
      <c r="G419" s="135" t="n">
        <v>47</v>
      </c>
      <c r="H419" s="5">
        <f>IF($I2="","",INDEX(Productos!$AG:$AG,$I2))</f>
        <v/>
      </c>
      <c r="I419" s="136">
        <f>LET(_xlpm.r,Productos!$E$2:$E$653,_xlpm.m,IFERROR(_xlfn.XMATCH(C419,_xlpm.r),IFERROR(_xlfn.XMATCH(VALUE(C419),_xlpm.r),0)),IF(_xlpm.m=0,"",_xlpm.m+1))</f>
        <v/>
      </c>
      <c r="J419" s="137" t="inlineStr">
        <is>
          <t>NetSuite</t>
        </is>
      </c>
    </row>
    <row r="420">
      <c r="A420" s="5" t="inlineStr">
        <is>
          <t>REFLO ALMACEN</t>
        </is>
      </c>
      <c r="B420" s="5">
        <f>IF($I2="","",INDEX(Productos!$A:$A,$I2))</f>
        <v/>
      </c>
      <c r="C420" s="134" t="inlineStr">
        <is>
          <t>RU20802032-OS</t>
        </is>
      </c>
      <c r="D420" s="5">
        <f>IF($I2="","",INDEX(Productos!$B:$B,$I2))</f>
        <v/>
      </c>
      <c r="E420" s="5">
        <f>IF($I2="","",INDEX(Productos!$H:$H,$I2))</f>
        <v/>
      </c>
      <c r="F420" s="5">
        <f>IF($I2="","",INDEX(Productos!$I:$I,$I2))</f>
        <v/>
      </c>
      <c r="G420" s="135" t="n">
        <v>47</v>
      </c>
      <c r="H420" s="5">
        <f>IF($I2="","",INDEX(Productos!$AG:$AG,$I2))</f>
        <v/>
      </c>
      <c r="I420" s="136">
        <f>LET(_xlpm.r,Productos!$E$2:$E$653,_xlpm.m,IFERROR(_xlfn.XMATCH(C420,_xlpm.r),IFERROR(_xlfn.XMATCH(VALUE(C420),_xlpm.r),0)),IF(_xlpm.m=0,"",_xlpm.m+1))</f>
        <v/>
      </c>
      <c r="J420" s="137" t="inlineStr">
        <is>
          <t>NetSuite</t>
        </is>
      </c>
    </row>
    <row r="421">
      <c r="A421" s="5" t="inlineStr">
        <is>
          <t>REFLO ALMACEN</t>
        </is>
      </c>
      <c r="B421" s="5">
        <f>IF($I2="","",INDEX(Productos!$A:$A,$I2))</f>
        <v/>
      </c>
      <c r="C421" s="134" t="inlineStr">
        <is>
          <t>RU20804010-OS</t>
        </is>
      </c>
      <c r="D421" s="5">
        <f>IF($I2="","",INDEX(Productos!$B:$B,$I2))</f>
        <v/>
      </c>
      <c r="E421" s="5">
        <f>IF($I2="","",INDEX(Productos!$H:$H,$I2))</f>
        <v/>
      </c>
      <c r="F421" s="5">
        <f>IF($I2="","",INDEX(Productos!$I:$I,$I2))</f>
        <v/>
      </c>
      <c r="G421" s="135" t="n">
        <v>47</v>
      </c>
      <c r="H421" s="5">
        <f>IF($I2="","",INDEX(Productos!$AG:$AG,$I2))</f>
        <v/>
      </c>
      <c r="I421" s="136">
        <f>LET(_xlpm.r,Productos!$E$2:$E$653,_xlpm.m,IFERROR(_xlfn.XMATCH(C421,_xlpm.r),IFERROR(_xlfn.XMATCH(VALUE(C421),_xlpm.r),0)),IF(_xlpm.m=0,"",_xlpm.m+1))</f>
        <v/>
      </c>
      <c r="J421" s="137" t="inlineStr">
        <is>
          <t>NetSuite</t>
        </is>
      </c>
    </row>
    <row r="422">
      <c r="A422" s="5" t="inlineStr">
        <is>
          <t>REFLO ALMACEN</t>
        </is>
      </c>
      <c r="B422" s="5">
        <f>IF($I2="","",INDEX(Productos!$A:$A,$I2))</f>
        <v/>
      </c>
      <c r="C422" s="134" t="inlineStr">
        <is>
          <t>RU20805010-OS</t>
        </is>
      </c>
      <c r="D422" s="5">
        <f>IF($I2="","",INDEX(Productos!$B:$B,$I2))</f>
        <v/>
      </c>
      <c r="E422" s="5">
        <f>IF($I2="","",INDEX(Productos!$H:$H,$I2))</f>
        <v/>
      </c>
      <c r="F422" s="5">
        <f>IF($I2="","",INDEX(Productos!$I:$I,$I2))</f>
        <v/>
      </c>
      <c r="G422" s="135" t="n">
        <v>67</v>
      </c>
      <c r="H422" s="5">
        <f>IF($I2="","",INDEX(Productos!$AG:$AG,$I2))</f>
        <v/>
      </c>
      <c r="I422" s="136">
        <f>LET(_xlpm.r,Productos!$E$2:$E$653,_xlpm.m,IFERROR(_xlfn.XMATCH(C422,_xlpm.r),IFERROR(_xlfn.XMATCH(VALUE(C422),_xlpm.r),0)),IF(_xlpm.m=0,"",_xlpm.m+1))</f>
        <v/>
      </c>
      <c r="J422" s="137" t="inlineStr">
        <is>
          <t>NetSuite</t>
        </is>
      </c>
    </row>
    <row r="423">
      <c r="A423" s="5" t="inlineStr">
        <is>
          <t>REFLO ALMACEN</t>
        </is>
      </c>
      <c r="B423" s="5">
        <f>IF($I2="","",INDEX(Productos!$A:$A,$I2))</f>
        <v/>
      </c>
      <c r="C423" s="134" t="inlineStr">
        <is>
          <t>RU20807003-OS</t>
        </is>
      </c>
      <c r="D423" s="5">
        <f>IF($I2="","",INDEX(Productos!$B:$B,$I2))</f>
        <v/>
      </c>
      <c r="E423" s="5">
        <f>IF($I2="","",INDEX(Productos!$H:$H,$I2))</f>
        <v/>
      </c>
      <c r="F423" s="5">
        <f>IF($I2="","",INDEX(Productos!$I:$I,$I2))</f>
        <v/>
      </c>
      <c r="G423" s="135" t="n">
        <v>72</v>
      </c>
      <c r="H423" s="5">
        <f>IF($I2="","",INDEX(Productos!$AG:$AG,$I2))</f>
        <v/>
      </c>
      <c r="I423" s="136">
        <f>LET(_xlpm.r,Productos!$E$2:$E$653,_xlpm.m,IFERROR(_xlfn.XMATCH(C423,_xlpm.r),IFERROR(_xlfn.XMATCH(VALUE(C423),_xlpm.r),0)),IF(_xlpm.m=0,"",_xlpm.m+1))</f>
        <v/>
      </c>
      <c r="J423" s="137" t="inlineStr">
        <is>
          <t>NetSuite</t>
        </is>
      </c>
    </row>
    <row r="424">
      <c r="A424" s="5" t="inlineStr">
        <is>
          <t>REFLO ALMACEN</t>
        </is>
      </c>
      <c r="B424" s="5">
        <f>IF($I2="","",INDEX(Productos!$A:$A,$I2))</f>
        <v/>
      </c>
      <c r="C424" s="134" t="inlineStr">
        <is>
          <t>RU20808003-OS</t>
        </is>
      </c>
      <c r="D424" s="5">
        <f>IF($I2="","",INDEX(Productos!$B:$B,$I2))</f>
        <v/>
      </c>
      <c r="E424" s="5">
        <f>IF($I2="","",INDEX(Productos!$H:$H,$I2))</f>
        <v/>
      </c>
      <c r="F424" s="5">
        <f>IF($I2="","",INDEX(Productos!$I:$I,$I2))</f>
        <v/>
      </c>
      <c r="G424" s="135" t="n">
        <v>47</v>
      </c>
      <c r="H424" s="5">
        <f>IF($I2="","",INDEX(Productos!$AG:$AG,$I2))</f>
        <v/>
      </c>
      <c r="I424" s="136">
        <f>LET(_xlpm.r,Productos!$E$2:$E$653,_xlpm.m,IFERROR(_xlfn.XMATCH(C424,_xlpm.r),IFERROR(_xlfn.XMATCH(VALUE(C424),_xlpm.r),0)),IF(_xlpm.m=0,"",_xlpm.m+1))</f>
        <v/>
      </c>
      <c r="J424" s="137" t="inlineStr">
        <is>
          <t>NetSuite</t>
        </is>
      </c>
    </row>
    <row r="425">
      <c r="A425" s="5" t="inlineStr">
        <is>
          <t>REFLO ALMACEN</t>
        </is>
      </c>
      <c r="B425" s="5">
        <f>IF($I2="","",INDEX(Productos!$A:$A,$I2))</f>
        <v/>
      </c>
      <c r="C425" s="134" t="inlineStr">
        <is>
          <t>RU20810032-OS</t>
        </is>
      </c>
      <c r="D425" s="5">
        <f>IF($I2="","",INDEX(Productos!$B:$B,$I2))</f>
        <v/>
      </c>
      <c r="E425" s="5">
        <f>IF($I2="","",INDEX(Productos!$H:$H,$I2))</f>
        <v/>
      </c>
      <c r="F425" s="5">
        <f>IF($I2="","",INDEX(Productos!$I:$I,$I2))</f>
        <v/>
      </c>
      <c r="G425" s="135" t="n">
        <v>47</v>
      </c>
      <c r="H425" s="5">
        <f>IF($I2="","",INDEX(Productos!$AG:$AG,$I2))</f>
        <v/>
      </c>
      <c r="I425" s="136">
        <f>LET(_xlpm.r,Productos!$E$2:$E$653,_xlpm.m,IFERROR(_xlfn.XMATCH(C425,_xlpm.r),IFERROR(_xlfn.XMATCH(VALUE(C425),_xlpm.r),0)),IF(_xlpm.m=0,"",_xlpm.m+1))</f>
        <v/>
      </c>
      <c r="J425" s="137" t="inlineStr">
        <is>
          <t>NetSuite</t>
        </is>
      </c>
    </row>
    <row r="426">
      <c r="A426" s="5" t="inlineStr">
        <is>
          <t>REFLO ALMACEN</t>
        </is>
      </c>
      <c r="B426" s="5">
        <f>IF($I2="","",INDEX(Productos!$A:$A,$I2))</f>
        <v/>
      </c>
      <c r="C426" s="134" t="inlineStr">
        <is>
          <t>RU20811032-OS</t>
        </is>
      </c>
      <c r="D426" s="5">
        <f>IF($I2="","",INDEX(Productos!$B:$B,$I2))</f>
        <v/>
      </c>
      <c r="E426" s="5">
        <f>IF($I2="","",INDEX(Productos!$H:$H,$I2))</f>
        <v/>
      </c>
      <c r="F426" s="5">
        <f>IF($I2="","",INDEX(Productos!$I:$I,$I2))</f>
        <v/>
      </c>
      <c r="G426" s="135" t="n">
        <v>66</v>
      </c>
      <c r="H426" s="5">
        <f>IF($I2="","",INDEX(Productos!$AG:$AG,$I2))</f>
        <v/>
      </c>
      <c r="I426" s="136">
        <f>LET(_xlpm.r,Productos!$E$2:$E$653,_xlpm.m,IFERROR(_xlfn.XMATCH(C426,_xlpm.r),IFERROR(_xlfn.XMATCH(VALUE(C426),_xlpm.r),0)),IF(_xlpm.m=0,"",_xlpm.m+1))</f>
        <v/>
      </c>
      <c r="J426" s="137" t="inlineStr">
        <is>
          <t>NetSuite</t>
        </is>
      </c>
    </row>
    <row r="427">
      <c r="A427" s="5" t="inlineStr">
        <is>
          <t>REFLO ALMACEN</t>
        </is>
      </c>
      <c r="B427" s="5">
        <f>IF($I2="","",INDEX(Productos!$A:$A,$I2))</f>
        <v/>
      </c>
      <c r="C427" s="134" t="inlineStr">
        <is>
          <t>RU20813010-OS</t>
        </is>
      </c>
      <c r="D427" s="5">
        <f>IF($I2="","",INDEX(Productos!$B:$B,$I2))</f>
        <v/>
      </c>
      <c r="E427" s="5">
        <f>IF($I2="","",INDEX(Productos!$H:$H,$I2))</f>
        <v/>
      </c>
      <c r="F427" s="5">
        <f>IF($I2="","",INDEX(Productos!$I:$I,$I2))</f>
        <v/>
      </c>
      <c r="G427" s="135" t="n">
        <v>71</v>
      </c>
      <c r="H427" s="5">
        <f>IF($I2="","",INDEX(Productos!$AG:$AG,$I2))</f>
        <v/>
      </c>
      <c r="I427" s="136">
        <f>LET(_xlpm.r,Productos!$E$2:$E$653,_xlpm.m,IFERROR(_xlfn.XMATCH(C427,_xlpm.r),IFERROR(_xlfn.XMATCH(VALUE(C427),_xlpm.r),0)),IF(_xlpm.m=0,"",_xlpm.m+1))</f>
        <v/>
      </c>
      <c r="J427" s="137" t="inlineStr">
        <is>
          <t>NetSuite</t>
        </is>
      </c>
    </row>
    <row r="428">
      <c r="A428" s="5" t="inlineStr">
        <is>
          <t>REFLO ALMACEN</t>
        </is>
      </c>
      <c r="B428" s="5">
        <f>IF($I2="","",INDEX(Productos!$A:$A,$I2))</f>
        <v/>
      </c>
      <c r="C428" s="134" t="inlineStr">
        <is>
          <t>RU20814010-OS</t>
        </is>
      </c>
      <c r="D428" s="5">
        <f>IF($I2="","",INDEX(Productos!$B:$B,$I2))</f>
        <v/>
      </c>
      <c r="E428" s="5">
        <f>IF($I2="","",INDEX(Productos!$H:$H,$I2))</f>
        <v/>
      </c>
      <c r="F428" s="5">
        <f>IF($I2="","",INDEX(Productos!$I:$I,$I2))</f>
        <v/>
      </c>
      <c r="G428" s="135" t="n">
        <v>47</v>
      </c>
      <c r="H428" s="5">
        <f>IF($I2="","",INDEX(Productos!$AG:$AG,$I2))</f>
        <v/>
      </c>
      <c r="I428" s="136">
        <f>LET(_xlpm.r,Productos!$E$2:$E$653,_xlpm.m,IFERROR(_xlfn.XMATCH(C428,_xlpm.r),IFERROR(_xlfn.XMATCH(VALUE(C428),_xlpm.r),0)),IF(_xlpm.m=0,"",_xlpm.m+1))</f>
        <v/>
      </c>
      <c r="J428" s="137" t="inlineStr">
        <is>
          <t>NetSuite</t>
        </is>
      </c>
    </row>
    <row r="429">
      <c r="A429" s="5" t="inlineStr">
        <is>
          <t>REFLO ALMACEN</t>
        </is>
      </c>
      <c r="B429" s="5">
        <f>IF($I2="","",INDEX(Productos!$A:$A,$I2))</f>
        <v/>
      </c>
      <c r="C429" s="134" t="inlineStr">
        <is>
          <t>RU20816003-OS</t>
        </is>
      </c>
      <c r="D429" s="5">
        <f>IF($I2="","",INDEX(Productos!$B:$B,$I2))</f>
        <v/>
      </c>
      <c r="E429" s="5">
        <f>IF($I2="","",INDEX(Productos!$H:$H,$I2))</f>
        <v/>
      </c>
      <c r="F429" s="5">
        <f>IF($I2="","",INDEX(Productos!$I:$I,$I2))</f>
        <v/>
      </c>
      <c r="G429" s="135" t="n">
        <v>70</v>
      </c>
      <c r="H429" s="5">
        <f>IF($I2="","",INDEX(Productos!$AG:$AG,$I2))</f>
        <v/>
      </c>
      <c r="I429" s="136">
        <f>LET(_xlpm.r,Productos!$E$2:$E$653,_xlpm.m,IFERROR(_xlfn.XMATCH(C429,_xlpm.r),IFERROR(_xlfn.XMATCH(VALUE(C429),_xlpm.r),0)),IF(_xlpm.m=0,"",_xlpm.m+1))</f>
        <v/>
      </c>
      <c r="J429" s="137" t="inlineStr">
        <is>
          <t>NetSuite</t>
        </is>
      </c>
    </row>
    <row r="430">
      <c r="A430" s="5" t="inlineStr">
        <is>
          <t>REFLO ALMACEN</t>
        </is>
      </c>
      <c r="B430" s="5">
        <f>IF($I2="","",INDEX(Productos!$A:$A,$I2))</f>
        <v/>
      </c>
      <c r="C430" s="134" t="inlineStr">
        <is>
          <t>RU20817003-OS</t>
        </is>
      </c>
      <c r="D430" s="5">
        <f>IF($I2="","",INDEX(Productos!$B:$B,$I2))</f>
        <v/>
      </c>
      <c r="E430" s="5">
        <f>IF($I2="","",INDEX(Productos!$H:$H,$I2))</f>
        <v/>
      </c>
      <c r="F430" s="5">
        <f>IF($I2="","",INDEX(Productos!$I:$I,$I2))</f>
        <v/>
      </c>
      <c r="G430" s="135" t="n">
        <v>47</v>
      </c>
      <c r="H430" s="5">
        <f>IF($I2="","",INDEX(Productos!$AG:$AG,$I2))</f>
        <v/>
      </c>
      <c r="I430" s="136">
        <f>LET(_xlpm.r,Productos!$E$2:$E$653,_xlpm.m,IFERROR(_xlfn.XMATCH(C430,_xlpm.r),IFERROR(_xlfn.XMATCH(VALUE(C430),_xlpm.r),0)),IF(_xlpm.m=0,"",_xlpm.m+1))</f>
        <v/>
      </c>
      <c r="J430" s="137" t="inlineStr">
        <is>
          <t>NetSuite</t>
        </is>
      </c>
    </row>
    <row r="431">
      <c r="A431" s="5" t="inlineStr">
        <is>
          <t>REFLO ALMACEN</t>
        </is>
      </c>
      <c r="B431" s="5">
        <f>IF($I2="","",INDEX(Productos!$A:$A,$I2))</f>
        <v/>
      </c>
      <c r="C431" s="134" t="inlineStr">
        <is>
          <t>RU20819030-OS</t>
        </is>
      </c>
      <c r="D431" s="5">
        <f>IF($I2="","",INDEX(Productos!$B:$B,$I2))</f>
        <v/>
      </c>
      <c r="E431" s="5">
        <f>IF($I2="","",INDEX(Productos!$H:$H,$I2))</f>
        <v/>
      </c>
      <c r="F431" s="5">
        <f>IF($I2="","",INDEX(Productos!$I:$I,$I2))</f>
        <v/>
      </c>
      <c r="G431" s="135" t="n">
        <v>73</v>
      </c>
      <c r="H431" s="5">
        <f>IF($I2="","",INDEX(Productos!$AG:$AG,$I2))</f>
        <v/>
      </c>
      <c r="I431" s="136">
        <f>LET(_xlpm.r,Productos!$E$2:$E$653,_xlpm.m,IFERROR(_xlfn.XMATCH(C431,_xlpm.r),IFERROR(_xlfn.XMATCH(VALUE(C431),_xlpm.r),0)),IF(_xlpm.m=0,"",_xlpm.m+1))</f>
        <v/>
      </c>
      <c r="J431" s="137" t="inlineStr">
        <is>
          <t>NetSuite</t>
        </is>
      </c>
    </row>
    <row r="432">
      <c r="A432" s="5" t="inlineStr">
        <is>
          <t>REFLO ALMACEN</t>
        </is>
      </c>
      <c r="B432" s="5">
        <f>IF($I2="","",INDEX(Productos!$A:$A,$I2))</f>
        <v/>
      </c>
      <c r="C432" s="134" t="inlineStr">
        <is>
          <t>RU20820030-OS</t>
        </is>
      </c>
      <c r="D432" s="5">
        <f>IF($I2="","",INDEX(Productos!$B:$B,$I2))</f>
        <v/>
      </c>
      <c r="E432" s="5">
        <f>IF($I2="","",INDEX(Productos!$H:$H,$I2))</f>
        <v/>
      </c>
      <c r="F432" s="5">
        <f>IF($I2="","",INDEX(Productos!$I:$I,$I2))</f>
        <v/>
      </c>
      <c r="G432" s="135" t="n">
        <v>47</v>
      </c>
      <c r="H432" s="5">
        <f>IF($I2="","",INDEX(Productos!$AG:$AG,$I2))</f>
        <v/>
      </c>
      <c r="I432" s="136">
        <f>LET(_xlpm.r,Productos!$E$2:$E$653,_xlpm.m,IFERROR(_xlfn.XMATCH(C432,_xlpm.r),IFERROR(_xlfn.XMATCH(VALUE(C432),_xlpm.r),0)),IF(_xlpm.m=0,"",_xlpm.m+1))</f>
        <v/>
      </c>
      <c r="J432" s="137" t="inlineStr">
        <is>
          <t>NetSuite</t>
        </is>
      </c>
    </row>
    <row r="433">
      <c r="A433" s="5" t="inlineStr">
        <is>
          <t>REFLO ALMACEN</t>
        </is>
      </c>
      <c r="B433" s="5">
        <f>IF($I2="","",INDEX(Productos!$A:$A,$I2))</f>
        <v/>
      </c>
      <c r="C433" s="134" t="inlineStr">
        <is>
          <t>RU20821030-OS</t>
        </is>
      </c>
      <c r="D433" s="5">
        <f>IF($I2="","",INDEX(Productos!$B:$B,$I2))</f>
        <v/>
      </c>
      <c r="E433" s="5">
        <f>IF($I2="","",INDEX(Productos!$H:$H,$I2))</f>
        <v/>
      </c>
      <c r="F433" s="5">
        <f>IF($I2="","",INDEX(Productos!$I:$I,$I2))</f>
        <v/>
      </c>
      <c r="G433" s="135" t="n">
        <v>47</v>
      </c>
      <c r="H433" s="5">
        <f>IF($I2="","",INDEX(Productos!$AG:$AG,$I2))</f>
        <v/>
      </c>
      <c r="I433" s="136">
        <f>LET(_xlpm.r,Productos!$E$2:$E$653,_xlpm.m,IFERROR(_xlfn.XMATCH(C433,_xlpm.r),IFERROR(_xlfn.XMATCH(VALUE(C433),_xlpm.r),0)),IF(_xlpm.m=0,"",_xlpm.m+1))</f>
        <v/>
      </c>
      <c r="J433" s="137" t="inlineStr">
        <is>
          <t>NetSuite</t>
        </is>
      </c>
    </row>
    <row r="434">
      <c r="A434" s="5" t="inlineStr">
        <is>
          <t>REFLO ALMACEN</t>
        </is>
      </c>
      <c r="B434" s="5">
        <f>IF($I2="","",INDEX(Productos!$A:$A,$I2))</f>
        <v/>
      </c>
      <c r="C434" s="134" t="inlineStr">
        <is>
          <t>RU20822030-OS</t>
        </is>
      </c>
      <c r="D434" s="5">
        <f>IF($I2="","",INDEX(Productos!$B:$B,$I2))</f>
        <v/>
      </c>
      <c r="E434" s="5">
        <f>IF($I2="","",INDEX(Productos!$H:$H,$I2))</f>
        <v/>
      </c>
      <c r="F434" s="5">
        <f>IF($I2="","",INDEX(Productos!$I:$I,$I2))</f>
        <v/>
      </c>
      <c r="G434" s="135" t="n">
        <v>72</v>
      </c>
      <c r="H434" s="5">
        <f>IF($I2="","",INDEX(Productos!$AG:$AG,$I2))</f>
        <v/>
      </c>
      <c r="I434" s="136">
        <f>LET(_xlpm.r,Productos!$E$2:$E$653,_xlpm.m,IFERROR(_xlfn.XMATCH(C434,_xlpm.r),IFERROR(_xlfn.XMATCH(VALUE(C434),_xlpm.r),0)),IF(_xlpm.m=0,"",_xlpm.m+1))</f>
        <v/>
      </c>
      <c r="J434" s="137" t="inlineStr">
        <is>
          <t>NetSuite</t>
        </is>
      </c>
    </row>
    <row r="435">
      <c r="A435" s="5" t="inlineStr">
        <is>
          <t>REFLO ALMACEN</t>
        </is>
      </c>
      <c r="B435" s="5">
        <f>IF($I2="","",INDEX(Productos!$A:$A,$I2))</f>
        <v/>
      </c>
      <c r="C435" s="134" t="inlineStr">
        <is>
          <t>SARGBLA-L</t>
        </is>
      </c>
      <c r="D435" s="5">
        <f>IF($I2="","",INDEX(Productos!$B:$B,$I2))</f>
        <v/>
      </c>
      <c r="E435" s="5">
        <f>IF($I2="","",INDEX(Productos!$H:$H,$I2))</f>
        <v/>
      </c>
      <c r="F435" s="5">
        <f>IF($I2="","",INDEX(Productos!$I:$I,$I2))</f>
        <v/>
      </c>
      <c r="G435" s="135" t="n">
        <v>3</v>
      </c>
      <c r="H435" s="5">
        <f>IF($I2="","",INDEX(Productos!$AG:$AG,$I2))</f>
        <v/>
      </c>
      <c r="I435" s="136">
        <f>LET(_xlpm.r,Productos!$E$2:$E$653,_xlpm.m,IFERROR(_xlfn.XMATCH(C435,_xlpm.r),IFERROR(_xlfn.XMATCH(VALUE(C435),_xlpm.r),0)),IF(_xlpm.m=0,"",_xlpm.m+1))</f>
        <v/>
      </c>
      <c r="J435" s="137" t="inlineStr">
        <is>
          <t>NetSuite</t>
        </is>
      </c>
    </row>
    <row r="436">
      <c r="A436" s="5" t="inlineStr">
        <is>
          <t>REFLO ALMACEN</t>
        </is>
      </c>
      <c r="B436" s="5">
        <f>IF($I2="","",INDEX(Productos!$A:$A,$I2))</f>
        <v/>
      </c>
      <c r="C436" s="134" t="inlineStr">
        <is>
          <t>SARGBLA-M</t>
        </is>
      </c>
      <c r="D436" s="5">
        <f>IF($I2="","",INDEX(Productos!$B:$B,$I2))</f>
        <v/>
      </c>
      <c r="E436" s="5">
        <f>IF($I2="","",INDEX(Productos!$H:$H,$I2))</f>
        <v/>
      </c>
      <c r="F436" s="5">
        <f>IF($I2="","",INDEX(Productos!$I:$I,$I2))</f>
        <v/>
      </c>
      <c r="G436" s="135" t="n">
        <v>3</v>
      </c>
      <c r="H436" s="5">
        <f>IF($I2="","",INDEX(Productos!$AG:$AG,$I2))</f>
        <v/>
      </c>
      <c r="I436" s="136">
        <f>LET(_xlpm.r,Productos!$E$2:$E$653,_xlpm.m,IFERROR(_xlfn.XMATCH(C436,_xlpm.r),IFERROR(_xlfn.XMATCH(VALUE(C436),_xlpm.r),0)),IF(_xlpm.m=0,"",_xlpm.m+1))</f>
        <v/>
      </c>
      <c r="J436" s="137" t="inlineStr">
        <is>
          <t>NetSuite</t>
        </is>
      </c>
    </row>
    <row r="437">
      <c r="A437" s="5" t="inlineStr">
        <is>
          <t>REFLO ALMACEN</t>
        </is>
      </c>
      <c r="B437" s="5">
        <f>IF($I2="","",INDEX(Productos!$A:$A,$I2))</f>
        <v/>
      </c>
      <c r="C437" s="134" t="inlineStr">
        <is>
          <t>SARGBLA-S</t>
        </is>
      </c>
      <c r="D437" s="5">
        <f>IF($I2="","",INDEX(Productos!$B:$B,$I2))</f>
        <v/>
      </c>
      <c r="E437" s="5">
        <f>IF($I2="","",INDEX(Productos!$H:$H,$I2))</f>
        <v/>
      </c>
      <c r="F437" s="5">
        <f>IF($I2="","",INDEX(Productos!$I:$I,$I2))</f>
        <v/>
      </c>
      <c r="G437" s="135" t="n">
        <v>2</v>
      </c>
      <c r="H437" s="5">
        <f>IF($I2="","",INDEX(Productos!$AG:$AG,$I2))</f>
        <v/>
      </c>
      <c r="I437" s="136">
        <f>LET(_xlpm.r,Productos!$E$2:$E$653,_xlpm.m,IFERROR(_xlfn.XMATCH(C437,_xlpm.r),IFERROR(_xlfn.XMATCH(VALUE(C437),_xlpm.r),0)),IF(_xlpm.m=0,"",_xlpm.m+1))</f>
        <v/>
      </c>
      <c r="J437" s="137" t="inlineStr">
        <is>
          <t>NetSuite</t>
        </is>
      </c>
    </row>
    <row r="438">
      <c r="A438" s="5" t="inlineStr">
        <is>
          <t>REFLO ALMACEN</t>
        </is>
      </c>
      <c r="B438" s="5">
        <f>IF($I2="","",INDEX(Productos!$A:$A,$I2))</f>
        <v/>
      </c>
      <c r="C438" s="134" t="inlineStr">
        <is>
          <t>SARGBLA-XL</t>
        </is>
      </c>
      <c r="D438" s="5">
        <f>IF($I2="","",INDEX(Productos!$B:$B,$I2))</f>
        <v/>
      </c>
      <c r="E438" s="5">
        <f>IF($I2="","",INDEX(Productos!$H:$H,$I2))</f>
        <v/>
      </c>
      <c r="F438" s="5">
        <f>IF($I2="","",INDEX(Productos!$I:$I,$I2))</f>
        <v/>
      </c>
      <c r="G438" s="135" t="n">
        <v>4</v>
      </c>
      <c r="H438" s="5">
        <f>IF($I2="","",INDEX(Productos!$AG:$AG,$I2))</f>
        <v/>
      </c>
      <c r="I438" s="136">
        <f>LET(_xlpm.r,Productos!$E$2:$E$653,_xlpm.m,IFERROR(_xlfn.XMATCH(C438,_xlpm.r),IFERROR(_xlfn.XMATCH(VALUE(C438),_xlpm.r),0)),IF(_xlpm.m=0,"",_xlpm.m+1))</f>
        <v/>
      </c>
      <c r="J438" s="137" t="inlineStr">
        <is>
          <t>NetSuite</t>
        </is>
      </c>
    </row>
    <row r="439">
      <c r="A439" s="5" t="inlineStr">
        <is>
          <t>REFLO ALMACEN</t>
        </is>
      </c>
      <c r="B439" s="5">
        <f>IF($I2="","",INDEX(Productos!$A:$A,$I2))</f>
        <v/>
      </c>
      <c r="C439" s="134" t="inlineStr">
        <is>
          <t>SARGBLA-XXL</t>
        </is>
      </c>
      <c r="D439" s="5">
        <f>IF($I2="","",INDEX(Productos!$B:$B,$I2))</f>
        <v/>
      </c>
      <c r="E439" s="5">
        <f>IF($I2="","",INDEX(Productos!$H:$H,$I2))</f>
        <v/>
      </c>
      <c r="F439" s="5">
        <f>IF($I2="","",INDEX(Productos!$I:$I,$I2))</f>
        <v/>
      </c>
      <c r="G439" s="135" t="n">
        <v>1</v>
      </c>
      <c r="H439" s="5">
        <f>IF($I2="","",INDEX(Productos!$AG:$AG,$I2))</f>
        <v/>
      </c>
      <c r="I439" s="136">
        <f>LET(_xlpm.r,Productos!$E$2:$E$653,_xlpm.m,IFERROR(_xlfn.XMATCH(C439,_xlpm.r),IFERROR(_xlfn.XMATCH(VALUE(C439),_xlpm.r),0)),IF(_xlpm.m=0,"",_xlpm.m+1))</f>
        <v/>
      </c>
      <c r="J439" s="137" t="inlineStr">
        <is>
          <t>NetSuite</t>
        </is>
      </c>
    </row>
    <row r="440">
      <c r="A440" s="5" t="inlineStr">
        <is>
          <t>REFLO ALMACEN</t>
        </is>
      </c>
      <c r="B440" s="5">
        <f>IF($I2="","",INDEX(Productos!$A:$A,$I2))</f>
        <v/>
      </c>
      <c r="C440" s="134" t="inlineStr">
        <is>
          <t>SARGCLO-L</t>
        </is>
      </c>
      <c r="D440" s="5">
        <f>IF($I2="","",INDEX(Productos!$B:$B,$I2))</f>
        <v/>
      </c>
      <c r="E440" s="5">
        <f>IF($I2="","",INDEX(Productos!$H:$H,$I2))</f>
        <v/>
      </c>
      <c r="F440" s="5">
        <f>IF($I2="","",INDEX(Productos!$I:$I,$I2))</f>
        <v/>
      </c>
      <c r="G440" s="135" t="n">
        <v>3</v>
      </c>
      <c r="H440" s="5">
        <f>IF($I2="","",INDEX(Productos!$AG:$AG,$I2))</f>
        <v/>
      </c>
      <c r="I440" s="136">
        <f>LET(_xlpm.r,Productos!$E$2:$E$653,_xlpm.m,IFERROR(_xlfn.XMATCH(C440,_xlpm.r),IFERROR(_xlfn.XMATCH(VALUE(C440),_xlpm.r),0)),IF(_xlpm.m=0,"",_xlpm.m+1))</f>
        <v/>
      </c>
      <c r="J440" s="137" t="inlineStr">
        <is>
          <t>NetSuite</t>
        </is>
      </c>
    </row>
    <row r="441">
      <c r="A441" s="5" t="inlineStr">
        <is>
          <t>REFLO ALMACEN</t>
        </is>
      </c>
      <c r="B441" s="5">
        <f>IF($I2="","",INDEX(Productos!$A:$A,$I2))</f>
        <v/>
      </c>
      <c r="C441" s="134" t="inlineStr">
        <is>
          <t>SARGCLO-M</t>
        </is>
      </c>
      <c r="D441" s="5">
        <f>IF($I2="","",INDEX(Productos!$B:$B,$I2))</f>
        <v/>
      </c>
      <c r="E441" s="5">
        <f>IF($I2="","",INDEX(Productos!$H:$H,$I2))</f>
        <v/>
      </c>
      <c r="F441" s="5">
        <f>IF($I2="","",INDEX(Productos!$I:$I,$I2))</f>
        <v/>
      </c>
      <c r="G441" s="135" t="n">
        <v>2</v>
      </c>
      <c r="H441" s="5">
        <f>IF($I2="","",INDEX(Productos!$AG:$AG,$I2))</f>
        <v/>
      </c>
      <c r="I441" s="136">
        <f>LET(_xlpm.r,Productos!$E$2:$E$653,_xlpm.m,IFERROR(_xlfn.XMATCH(C441,_xlpm.r),IFERROR(_xlfn.XMATCH(VALUE(C441),_xlpm.r),0)),IF(_xlpm.m=0,"",_xlpm.m+1))</f>
        <v/>
      </c>
      <c r="J441" s="137" t="inlineStr">
        <is>
          <t>NetSuite</t>
        </is>
      </c>
    </row>
    <row r="442">
      <c r="A442" s="5" t="inlineStr">
        <is>
          <t>REFLO ALMACEN</t>
        </is>
      </c>
      <c r="B442" s="5">
        <f>IF($I2="","",INDEX(Productos!$A:$A,$I2))</f>
        <v/>
      </c>
      <c r="C442" s="134" t="inlineStr">
        <is>
          <t>SARGCLO-S</t>
        </is>
      </c>
      <c r="D442" s="5">
        <f>IF($I2="","",INDEX(Productos!$B:$B,$I2))</f>
        <v/>
      </c>
      <c r="E442" s="5">
        <f>IF($I2="","",INDEX(Productos!$H:$H,$I2))</f>
        <v/>
      </c>
      <c r="F442" s="5">
        <f>IF($I2="","",INDEX(Productos!$I:$I,$I2))</f>
        <v/>
      </c>
      <c r="G442" s="135" t="n">
        <v>3</v>
      </c>
      <c r="H442" s="5">
        <f>IF($I2="","",INDEX(Productos!$AG:$AG,$I2))</f>
        <v/>
      </c>
      <c r="I442" s="136">
        <f>LET(_xlpm.r,Productos!$E$2:$E$653,_xlpm.m,IFERROR(_xlfn.XMATCH(C442,_xlpm.r),IFERROR(_xlfn.XMATCH(VALUE(C442),_xlpm.r),0)),IF(_xlpm.m=0,"",_xlpm.m+1))</f>
        <v/>
      </c>
      <c r="J442" s="137" t="inlineStr">
        <is>
          <t>NetSuite</t>
        </is>
      </c>
    </row>
    <row r="443">
      <c r="A443" s="5" t="inlineStr">
        <is>
          <t>REFLO ALMACEN</t>
        </is>
      </c>
      <c r="B443" s="5">
        <f>IF($I2="","",INDEX(Productos!$A:$A,$I2))</f>
        <v/>
      </c>
      <c r="C443" s="134" t="inlineStr">
        <is>
          <t>SARGCLO-XL</t>
        </is>
      </c>
      <c r="D443" s="5">
        <f>IF($I2="","",INDEX(Productos!$B:$B,$I2))</f>
        <v/>
      </c>
      <c r="E443" s="5">
        <f>IF($I2="","",INDEX(Productos!$H:$H,$I2))</f>
        <v/>
      </c>
      <c r="F443" s="5">
        <f>IF($I2="","",INDEX(Productos!$I:$I,$I2))</f>
        <v/>
      </c>
      <c r="G443" s="135" t="n">
        <v>4</v>
      </c>
      <c r="H443" s="5">
        <f>IF($I2="","",INDEX(Productos!$AG:$AG,$I2))</f>
        <v/>
      </c>
      <c r="I443" s="136">
        <f>LET(_xlpm.r,Productos!$E$2:$E$653,_xlpm.m,IFERROR(_xlfn.XMATCH(C443,_xlpm.r),IFERROR(_xlfn.XMATCH(VALUE(C443),_xlpm.r),0)),IF(_xlpm.m=0,"",_xlpm.m+1))</f>
        <v/>
      </c>
      <c r="J443" s="137" t="inlineStr">
        <is>
          <t>NetSuite</t>
        </is>
      </c>
    </row>
    <row r="444">
      <c r="A444" s="5" t="inlineStr">
        <is>
          <t>REFLO ALMACEN</t>
        </is>
      </c>
      <c r="B444" s="5">
        <f>IF($I2="","",INDEX(Productos!$A:$A,$I2))</f>
        <v/>
      </c>
      <c r="C444" s="134" t="inlineStr">
        <is>
          <t>SARGCLO-XXL</t>
        </is>
      </c>
      <c r="D444" s="5">
        <f>IF($I2="","",INDEX(Productos!$B:$B,$I2))</f>
        <v/>
      </c>
      <c r="E444" s="5">
        <f>IF($I2="","",INDEX(Productos!$H:$H,$I2))</f>
        <v/>
      </c>
      <c r="F444" s="5">
        <f>IF($I2="","",INDEX(Productos!$I:$I,$I2))</f>
        <v/>
      </c>
      <c r="G444" s="135" t="n">
        <v>2</v>
      </c>
      <c r="H444" s="5">
        <f>IF($I2="","",INDEX(Productos!$AG:$AG,$I2))</f>
        <v/>
      </c>
      <c r="I444" s="136">
        <f>LET(_xlpm.r,Productos!$E$2:$E$653,_xlpm.m,IFERROR(_xlfn.XMATCH(C444,_xlpm.r),IFERROR(_xlfn.XMATCH(VALUE(C444),_xlpm.r),0)),IF(_xlpm.m=0,"",_xlpm.m+1))</f>
        <v/>
      </c>
      <c r="J444" s="137" t="inlineStr">
        <is>
          <t>NetSuite</t>
        </is>
      </c>
    </row>
    <row r="445">
      <c r="A445" s="5" t="inlineStr">
        <is>
          <t>REFLO ALMACEN</t>
        </is>
      </c>
      <c r="B445" s="5">
        <f>IF($I2="","",INDEX(Productos!$A:$A,$I2))</f>
        <v/>
      </c>
      <c r="C445" s="134" t="inlineStr">
        <is>
          <t>SARGFRE-L</t>
        </is>
      </c>
      <c r="D445" s="5">
        <f>IF($I2="","",INDEX(Productos!$B:$B,$I2))</f>
        <v/>
      </c>
      <c r="E445" s="5">
        <f>IF($I2="","",INDEX(Productos!$H:$H,$I2))</f>
        <v/>
      </c>
      <c r="F445" s="5">
        <f>IF($I2="","",INDEX(Productos!$I:$I,$I2))</f>
        <v/>
      </c>
      <c r="G445" s="135" t="n">
        <v>4</v>
      </c>
      <c r="H445" s="5">
        <f>IF($I2="","",INDEX(Productos!$AG:$AG,$I2))</f>
        <v/>
      </c>
      <c r="I445" s="136">
        <f>LET(_xlpm.r,Productos!$E$2:$E$653,_xlpm.m,IFERROR(_xlfn.XMATCH(C445,_xlpm.r),IFERROR(_xlfn.XMATCH(VALUE(C445),_xlpm.r),0)),IF(_xlpm.m=0,"",_xlpm.m+1))</f>
        <v/>
      </c>
      <c r="J445" s="137" t="inlineStr">
        <is>
          <t>NetSuite</t>
        </is>
      </c>
    </row>
    <row r="446">
      <c r="A446" s="5" t="inlineStr">
        <is>
          <t>REFLO ALMACEN</t>
        </is>
      </c>
      <c r="B446" s="5">
        <f>IF($I2="","",INDEX(Productos!$A:$A,$I2))</f>
        <v/>
      </c>
      <c r="C446" s="134" t="inlineStr">
        <is>
          <t>SARGFRE-M</t>
        </is>
      </c>
      <c r="D446" s="5">
        <f>IF($I2="","",INDEX(Productos!$B:$B,$I2))</f>
        <v/>
      </c>
      <c r="E446" s="5">
        <f>IF($I2="","",INDEX(Productos!$H:$H,$I2))</f>
        <v/>
      </c>
      <c r="F446" s="5">
        <f>IF($I2="","",INDEX(Productos!$I:$I,$I2))</f>
        <v/>
      </c>
      <c r="G446" s="135" t="n">
        <v>5</v>
      </c>
      <c r="H446" s="5">
        <f>IF($I2="","",INDEX(Productos!$AG:$AG,$I2))</f>
        <v/>
      </c>
      <c r="I446" s="136">
        <f>LET(_xlpm.r,Productos!$E$2:$E$653,_xlpm.m,IFERROR(_xlfn.XMATCH(C446,_xlpm.r),IFERROR(_xlfn.XMATCH(VALUE(C446),_xlpm.r),0)),IF(_xlpm.m=0,"",_xlpm.m+1))</f>
        <v/>
      </c>
      <c r="J446" s="137" t="inlineStr">
        <is>
          <t>NetSuite</t>
        </is>
      </c>
    </row>
    <row r="447">
      <c r="A447" s="5" t="inlineStr">
        <is>
          <t>REFLO ALMACEN</t>
        </is>
      </c>
      <c r="B447" s="5">
        <f>IF($I2="","",INDEX(Productos!$A:$A,$I2))</f>
        <v/>
      </c>
      <c r="C447" s="134" t="inlineStr">
        <is>
          <t>SARGFRE-S</t>
        </is>
      </c>
      <c r="D447" s="5">
        <f>IF($I2="","",INDEX(Productos!$B:$B,$I2))</f>
        <v/>
      </c>
      <c r="E447" s="5">
        <f>IF($I2="","",INDEX(Productos!$H:$H,$I2))</f>
        <v/>
      </c>
      <c r="F447" s="5">
        <f>IF($I2="","",INDEX(Productos!$I:$I,$I2))</f>
        <v/>
      </c>
      <c r="G447" s="135" t="n">
        <v>4</v>
      </c>
      <c r="H447" s="5">
        <f>IF($I2="","",INDEX(Productos!$AG:$AG,$I2))</f>
        <v/>
      </c>
      <c r="I447" s="136">
        <f>LET(_xlpm.r,Productos!$E$2:$E$653,_xlpm.m,IFERROR(_xlfn.XMATCH(C447,_xlpm.r),IFERROR(_xlfn.XMATCH(VALUE(C447),_xlpm.r),0)),IF(_xlpm.m=0,"",_xlpm.m+1))</f>
        <v/>
      </c>
      <c r="J447" s="137" t="inlineStr">
        <is>
          <t>NetSuite</t>
        </is>
      </c>
    </row>
    <row r="448">
      <c r="A448" s="5" t="inlineStr">
        <is>
          <t>REFLO ALMACEN</t>
        </is>
      </c>
      <c r="B448" s="5">
        <f>IF($I2="","",INDEX(Productos!$A:$A,$I2))</f>
        <v/>
      </c>
      <c r="C448" s="134" t="inlineStr">
        <is>
          <t>SARGFRE-XL</t>
        </is>
      </c>
      <c r="D448" s="5">
        <f>IF($I2="","",INDEX(Productos!$B:$B,$I2))</f>
        <v/>
      </c>
      <c r="E448" s="5">
        <f>IF($I2="","",INDEX(Productos!$H:$H,$I2))</f>
        <v/>
      </c>
      <c r="F448" s="5">
        <f>IF($I2="","",INDEX(Productos!$I:$I,$I2))</f>
        <v/>
      </c>
      <c r="G448" s="135" t="n">
        <v>5</v>
      </c>
      <c r="H448" s="5">
        <f>IF($I2="","",INDEX(Productos!$AG:$AG,$I2))</f>
        <v/>
      </c>
      <c r="I448" s="136">
        <f>LET(_xlpm.r,Productos!$E$2:$E$653,_xlpm.m,IFERROR(_xlfn.XMATCH(C448,_xlpm.r),IFERROR(_xlfn.XMATCH(VALUE(C448),_xlpm.r),0)),IF(_xlpm.m=0,"",_xlpm.m+1))</f>
        <v/>
      </c>
      <c r="J448" s="137" t="inlineStr">
        <is>
          <t>NetSuite</t>
        </is>
      </c>
    </row>
    <row r="449">
      <c r="A449" s="5" t="inlineStr">
        <is>
          <t>REFLO ALMACEN</t>
        </is>
      </c>
      <c r="B449" s="5">
        <f>IF($I2="","",INDEX(Productos!$A:$A,$I2))</f>
        <v/>
      </c>
      <c r="C449" s="134" t="inlineStr">
        <is>
          <t>SARGFRE-XXL</t>
        </is>
      </c>
      <c r="D449" s="5">
        <f>IF($I2="","",INDEX(Productos!$B:$B,$I2))</f>
        <v/>
      </c>
      <c r="E449" s="5">
        <f>IF($I2="","",INDEX(Productos!$H:$H,$I2))</f>
        <v/>
      </c>
      <c r="F449" s="5">
        <f>IF($I2="","",INDEX(Productos!$I:$I,$I2))</f>
        <v/>
      </c>
      <c r="G449" s="135" t="n">
        <v>3</v>
      </c>
      <c r="H449" s="5">
        <f>IF($I2="","",INDEX(Productos!$AG:$AG,$I2))</f>
        <v/>
      </c>
      <c r="I449" s="136">
        <f>LET(_xlpm.r,Productos!$E$2:$E$653,_xlpm.m,IFERROR(_xlfn.XMATCH(C449,_xlpm.r),IFERROR(_xlfn.XMATCH(VALUE(C449),_xlpm.r),0)),IF(_xlpm.m=0,"",_xlpm.m+1))</f>
        <v/>
      </c>
      <c r="J449" s="137" t="inlineStr">
        <is>
          <t>NetSuite</t>
        </is>
      </c>
    </row>
    <row r="450">
      <c r="A450" s="5" t="inlineStr">
        <is>
          <t>REFLO ALMACEN</t>
        </is>
      </c>
      <c r="B450" s="5">
        <f>IF($I2="","",INDEX(Productos!$A:$A,$I2))</f>
        <v/>
      </c>
      <c r="C450" s="134" t="inlineStr">
        <is>
          <t>SULUBLA-M</t>
        </is>
      </c>
      <c r="D450" s="5">
        <f>IF($I2="","",INDEX(Productos!$B:$B,$I2))</f>
        <v/>
      </c>
      <c r="E450" s="5">
        <f>IF($I2="","",INDEX(Productos!$H:$H,$I2))</f>
        <v/>
      </c>
      <c r="F450" s="5">
        <f>IF($I2="","",INDEX(Productos!$I:$I,$I2))</f>
        <v/>
      </c>
      <c r="G450" s="135" t="n">
        <v>3</v>
      </c>
      <c r="H450" s="5">
        <f>IF($I2="","",INDEX(Productos!$AG:$AG,$I2))</f>
        <v/>
      </c>
      <c r="I450" s="136">
        <f>LET(_xlpm.r,Productos!$E$2:$E$653,_xlpm.m,IFERROR(_xlfn.XMATCH(C450,_xlpm.r),IFERROR(_xlfn.XMATCH(VALUE(C450),_xlpm.r),0)),IF(_xlpm.m=0,"",_xlpm.m+1))</f>
        <v/>
      </c>
      <c r="J450" s="137" t="inlineStr">
        <is>
          <t>NetSuite</t>
        </is>
      </c>
    </row>
    <row r="451">
      <c r="A451" s="5" t="inlineStr">
        <is>
          <t>REFLO ALMACEN</t>
        </is>
      </c>
      <c r="B451" s="5">
        <f>IF($I2="","",INDEX(Productos!$A:$A,$I2))</f>
        <v/>
      </c>
      <c r="C451" s="134" t="inlineStr">
        <is>
          <t>SULUBLA-XXL</t>
        </is>
      </c>
      <c r="D451" s="5">
        <f>IF($I2="","",INDEX(Productos!$B:$B,$I2))</f>
        <v/>
      </c>
      <c r="E451" s="5">
        <f>IF($I2="","",INDEX(Productos!$H:$H,$I2))</f>
        <v/>
      </c>
      <c r="F451" s="5">
        <f>IF($I2="","",INDEX(Productos!$I:$I,$I2))</f>
        <v/>
      </c>
      <c r="G451" s="135" t="n">
        <v>3</v>
      </c>
      <c r="H451" s="5">
        <f>IF($I2="","",INDEX(Productos!$AG:$AG,$I2))</f>
        <v/>
      </c>
      <c r="I451" s="136">
        <f>LET(_xlpm.r,Productos!$E$2:$E$653,_xlpm.m,IFERROR(_xlfn.XMATCH(C451,_xlpm.r),IFERROR(_xlfn.XMATCH(VALUE(C451),_xlpm.r),0)),IF(_xlpm.m=0,"",_xlpm.m+1))</f>
        <v/>
      </c>
      <c r="J451" s="137" t="inlineStr">
        <is>
          <t>NetSuite</t>
        </is>
      </c>
    </row>
    <row r="452">
      <c r="A452" s="5" t="inlineStr">
        <is>
          <t>REFLO ALMACEN</t>
        </is>
      </c>
      <c r="B452" s="5">
        <f>IF($I2="","",INDEX(Productos!$A:$A,$I2))</f>
        <v/>
      </c>
      <c r="C452" s="134" t="inlineStr">
        <is>
          <t>SULUCLO-XL</t>
        </is>
      </c>
      <c r="D452" s="5">
        <f>IF($I2="","",INDEX(Productos!$B:$B,$I2))</f>
        <v/>
      </c>
      <c r="E452" s="5">
        <f>IF($I2="","",INDEX(Productos!$H:$H,$I2))</f>
        <v/>
      </c>
      <c r="F452" s="5">
        <f>IF($I2="","",INDEX(Productos!$I:$I,$I2))</f>
        <v/>
      </c>
      <c r="G452" s="135" t="n">
        <v>5</v>
      </c>
      <c r="H452" s="5">
        <f>IF($I2="","",INDEX(Productos!$AG:$AG,$I2))</f>
        <v/>
      </c>
      <c r="I452" s="136">
        <f>LET(_xlpm.r,Productos!$E$2:$E$653,_xlpm.m,IFERROR(_xlfn.XMATCH(C452,_xlpm.r),IFERROR(_xlfn.XMATCH(VALUE(C452),_xlpm.r),0)),IF(_xlpm.m=0,"",_xlpm.m+1))</f>
        <v/>
      </c>
      <c r="J452" s="137" t="inlineStr">
        <is>
          <t>NetSuite</t>
        </is>
      </c>
    </row>
    <row r="453">
      <c r="A453" s="5" t="inlineStr">
        <is>
          <t>REFLO ALMACEN</t>
        </is>
      </c>
      <c r="B453" s="5">
        <f>IF($I2="","",INDEX(Productos!$A:$A,$I2))</f>
        <v/>
      </c>
      <c r="C453" s="134" t="inlineStr">
        <is>
          <t>SULUCLO-XXL</t>
        </is>
      </c>
      <c r="D453" s="5">
        <f>IF($I2="","",INDEX(Productos!$B:$B,$I2))</f>
        <v/>
      </c>
      <c r="E453" s="5">
        <f>IF($I2="","",INDEX(Productos!$H:$H,$I2))</f>
        <v/>
      </c>
      <c r="F453" s="5">
        <f>IF($I2="","",INDEX(Productos!$I:$I,$I2))</f>
        <v/>
      </c>
      <c r="G453" s="135" t="n">
        <v>2</v>
      </c>
      <c r="H453" s="5">
        <f>IF($I2="","",INDEX(Productos!$AG:$AG,$I2))</f>
        <v/>
      </c>
      <c r="I453" s="136">
        <f>LET(_xlpm.r,Productos!$E$2:$E$653,_xlpm.m,IFERROR(_xlfn.XMATCH(C453,_xlpm.r),IFERROR(_xlfn.XMATCH(VALUE(C453),_xlpm.r),0)),IF(_xlpm.m=0,"",_xlpm.m+1))</f>
        <v/>
      </c>
      <c r="J453" s="137" t="inlineStr">
        <is>
          <t>NetSuite</t>
        </is>
      </c>
    </row>
    <row r="454">
      <c r="A454" s="5" t="inlineStr">
        <is>
          <t>REFLO ALMACEN</t>
        </is>
      </c>
      <c r="B454" s="5">
        <f>IF($I2="","",INDEX(Productos!$A:$A,$I2))</f>
        <v/>
      </c>
      <c r="C454" s="134" t="inlineStr">
        <is>
          <t>SULUGRE-XL</t>
        </is>
      </c>
      <c r="D454" s="5">
        <f>IF($I2="","",INDEX(Productos!$B:$B,$I2))</f>
        <v/>
      </c>
      <c r="E454" s="5">
        <f>IF($I2="","",INDEX(Productos!$H:$H,$I2))</f>
        <v/>
      </c>
      <c r="F454" s="5">
        <f>IF($I2="","",INDEX(Productos!$I:$I,$I2))</f>
        <v/>
      </c>
      <c r="G454" s="135" t="n">
        <v>6</v>
      </c>
      <c r="H454" s="5">
        <f>IF($I2="","",INDEX(Productos!$AG:$AG,$I2))</f>
        <v/>
      </c>
      <c r="I454" s="136">
        <f>LET(_xlpm.r,Productos!$E$2:$E$653,_xlpm.m,IFERROR(_xlfn.XMATCH(C454,_xlpm.r),IFERROR(_xlfn.XMATCH(VALUE(C454),_xlpm.r),0)),IF(_xlpm.m=0,"",_xlpm.m+1))</f>
        <v/>
      </c>
      <c r="J454" s="137" t="inlineStr">
        <is>
          <t>NetSuite</t>
        </is>
      </c>
    </row>
    <row r="455">
      <c r="A455" s="5" t="inlineStr">
        <is>
          <t>REFLO ALMACEN</t>
        </is>
      </c>
      <c r="B455" s="5">
        <f>IF($I2="","",INDEX(Productos!$A:$A,$I2))</f>
        <v/>
      </c>
      <c r="C455" s="134" t="inlineStr">
        <is>
          <t>SULUGRE-XXL</t>
        </is>
      </c>
      <c r="D455" s="5">
        <f>IF($I2="","",INDEX(Productos!$B:$B,$I2))</f>
        <v/>
      </c>
      <c r="E455" s="5">
        <f>IF($I2="","",INDEX(Productos!$H:$H,$I2))</f>
        <v/>
      </c>
      <c r="F455" s="5">
        <f>IF($I2="","",INDEX(Productos!$I:$I,$I2))</f>
        <v/>
      </c>
      <c r="G455" s="135" t="n">
        <v>3</v>
      </c>
      <c r="H455" s="5">
        <f>IF($I2="","",INDEX(Productos!$AG:$AG,$I2))</f>
        <v/>
      </c>
      <c r="I455" s="136">
        <f>LET(_xlpm.r,Productos!$E$2:$E$653,_xlpm.m,IFERROR(_xlfn.XMATCH(C455,_xlpm.r),IFERROR(_xlfn.XMATCH(VALUE(C455),_xlpm.r),0)),IF(_xlpm.m=0,"",_xlpm.m+1))</f>
        <v/>
      </c>
      <c r="J455" s="137" t="inlineStr">
        <is>
          <t>NetSuite</t>
        </is>
      </c>
    </row>
    <row r="456">
      <c r="A456" s="5" t="inlineStr">
        <is>
          <t>REFLO ALMACEN</t>
        </is>
      </c>
      <c r="B456" s="5">
        <f>IF($I2="","",INDEX(Productos!$A:$A,$I2))</f>
        <v/>
      </c>
      <c r="C456" s="134" t="inlineStr">
        <is>
          <t>SULUYEL-M</t>
        </is>
      </c>
      <c r="D456" s="5">
        <f>IF($I2="","",INDEX(Productos!$B:$B,$I2))</f>
        <v/>
      </c>
      <c r="E456" s="5">
        <f>IF($I2="","",INDEX(Productos!$H:$H,$I2))</f>
        <v/>
      </c>
      <c r="F456" s="5">
        <f>IF($I2="","",INDEX(Productos!$I:$I,$I2))</f>
        <v/>
      </c>
      <c r="G456" s="135" t="n">
        <v>2</v>
      </c>
      <c r="H456" s="5">
        <f>IF($I2="","",INDEX(Productos!$AG:$AG,$I2))</f>
        <v/>
      </c>
      <c r="I456" s="136">
        <f>LET(_xlpm.r,Productos!$E$2:$E$653,_xlpm.m,IFERROR(_xlfn.XMATCH(C456,_xlpm.r),IFERROR(_xlfn.XMATCH(VALUE(C456),_xlpm.r),0)),IF(_xlpm.m=0,"",_xlpm.m+1))</f>
        <v/>
      </c>
      <c r="J456" s="137" t="inlineStr">
        <is>
          <t>NetSuite</t>
        </is>
      </c>
    </row>
    <row r="457">
      <c r="A457" s="5" t="inlineStr">
        <is>
          <t>REFLO ALMACEN</t>
        </is>
      </c>
      <c r="B457" s="5">
        <f>IF($I2="","",INDEX(Productos!$A:$A,$I2))</f>
        <v/>
      </c>
      <c r="C457" s="134" t="inlineStr">
        <is>
          <t>SULUYEL-XL</t>
        </is>
      </c>
      <c r="D457" s="5">
        <f>IF($I2="","",INDEX(Productos!$B:$B,$I2))</f>
        <v/>
      </c>
      <c r="E457" s="5">
        <f>IF($I2="","",INDEX(Productos!$H:$H,$I2))</f>
        <v/>
      </c>
      <c r="F457" s="5">
        <f>IF($I2="","",INDEX(Productos!$I:$I,$I2))</f>
        <v/>
      </c>
      <c r="G457" s="135" t="n">
        <v>5</v>
      </c>
      <c r="H457" s="5">
        <f>IF($I2="","",INDEX(Productos!$AG:$AG,$I2))</f>
        <v/>
      </c>
      <c r="I457" s="136">
        <f>LET(_xlpm.r,Productos!$E$2:$E$653,_xlpm.m,IFERROR(_xlfn.XMATCH(C457,_xlpm.r),IFERROR(_xlfn.XMATCH(VALUE(C457),_xlpm.r),0)),IF(_xlpm.m=0,"",_xlpm.m+1))</f>
        <v/>
      </c>
      <c r="J457" s="137" t="inlineStr">
        <is>
          <t>NetSuite</t>
        </is>
      </c>
    </row>
    <row r="458">
      <c r="A458" s="5" t="inlineStr">
        <is>
          <t>REFLO ALMACEN</t>
        </is>
      </c>
      <c r="B458" s="5">
        <f>IF($I2="","",INDEX(Productos!$A:$A,$I2))</f>
        <v/>
      </c>
      <c r="C458" s="134" t="inlineStr">
        <is>
          <t>SULUYEL-XXL</t>
        </is>
      </c>
      <c r="D458" s="5">
        <f>IF($I2="","",INDEX(Productos!$B:$B,$I2))</f>
        <v/>
      </c>
      <c r="E458" s="5">
        <f>IF($I2="","",INDEX(Productos!$H:$H,$I2))</f>
        <v/>
      </c>
      <c r="F458" s="5">
        <f>IF($I2="","",INDEX(Productos!$I:$I,$I2))</f>
        <v/>
      </c>
      <c r="G458" s="135" t="n">
        <v>2</v>
      </c>
      <c r="H458" s="5">
        <f>IF($I2="","",INDEX(Productos!$AG:$AG,$I2))</f>
        <v/>
      </c>
      <c r="I458" s="136">
        <f>LET(_xlpm.r,Productos!$E$2:$E$653,_xlpm.m,IFERROR(_xlfn.XMATCH(C458,_xlpm.r),IFERROR(_xlfn.XMATCH(VALUE(C458),_xlpm.r),0)),IF(_xlpm.m=0,"",_xlpm.m+1))</f>
        <v/>
      </c>
      <c r="J458" s="137" t="inlineStr">
        <is>
          <t>NetSuite</t>
        </is>
      </c>
    </row>
    <row r="459">
      <c r="A459" s="5" t="inlineStr">
        <is>
          <t>REFLO ALMACEN</t>
        </is>
      </c>
      <c r="B459" s="5">
        <f>IF($I2="","",INDEX(Productos!$A:$A,$I2))</f>
        <v/>
      </c>
      <c r="C459" s="134" t="inlineStr">
        <is>
          <t>TAGCAV-2XL</t>
        </is>
      </c>
      <c r="D459" s="5">
        <f>IF($I2="","",INDEX(Productos!$B:$B,$I2))</f>
        <v/>
      </c>
      <c r="E459" s="5">
        <f>IF($I2="","",INDEX(Productos!$H:$H,$I2))</f>
        <v/>
      </c>
      <c r="F459" s="5">
        <f>IF($I2="","",INDEX(Productos!$I:$I,$I2))</f>
        <v/>
      </c>
      <c r="G459" s="135" t="n">
        <v>4</v>
      </c>
      <c r="H459" s="5">
        <f>IF($I2="","",INDEX(Productos!$AG:$AG,$I2))</f>
        <v/>
      </c>
      <c r="I459" s="136">
        <f>LET(_xlpm.r,Productos!$E$2:$E$653,_xlpm.m,IFERROR(_xlfn.XMATCH(C459,_xlpm.r),IFERROR(_xlfn.XMATCH(VALUE(C459),_xlpm.r),0)),IF(_xlpm.m=0,"",_xlpm.m+1))</f>
        <v/>
      </c>
      <c r="J459" s="137" t="inlineStr">
        <is>
          <t>NetSuite</t>
        </is>
      </c>
    </row>
    <row r="460">
      <c r="A460" s="5" t="inlineStr">
        <is>
          <t>REFLO ALMACEN</t>
        </is>
      </c>
      <c r="B460" s="5">
        <f>IF($I2="","",INDEX(Productos!$A:$A,$I2))</f>
        <v/>
      </c>
      <c r="C460" s="134" t="inlineStr">
        <is>
          <t>TAGCAV-L</t>
        </is>
      </c>
      <c r="D460" s="5">
        <f>IF($I2="","",INDEX(Productos!$B:$B,$I2))</f>
        <v/>
      </c>
      <c r="E460" s="5">
        <f>IF($I2="","",INDEX(Productos!$H:$H,$I2))</f>
        <v/>
      </c>
      <c r="F460" s="5">
        <f>IF($I2="","",INDEX(Productos!$I:$I,$I2))</f>
        <v/>
      </c>
      <c r="G460" s="135" t="n">
        <v>7</v>
      </c>
      <c r="H460" s="5">
        <f>IF($I2="","",INDEX(Productos!$AG:$AG,$I2))</f>
        <v/>
      </c>
      <c r="I460" s="136">
        <f>LET(_xlpm.r,Productos!$E$2:$E$653,_xlpm.m,IFERROR(_xlfn.XMATCH(C460,_xlpm.r),IFERROR(_xlfn.XMATCH(VALUE(C460),_xlpm.r),0)),IF(_xlpm.m=0,"",_xlpm.m+1))</f>
        <v/>
      </c>
      <c r="J460" s="137" t="inlineStr">
        <is>
          <t>NetSuite</t>
        </is>
      </c>
    </row>
    <row r="461">
      <c r="A461" s="5" t="inlineStr">
        <is>
          <t>REFLO ALMACEN</t>
        </is>
      </c>
      <c r="B461" s="5">
        <f>IF($I2="","",INDEX(Productos!$A:$A,$I2))</f>
        <v/>
      </c>
      <c r="C461" s="134" t="inlineStr">
        <is>
          <t>TAGCAV-M</t>
        </is>
      </c>
      <c r="D461" s="5">
        <f>IF($I2="","",INDEX(Productos!$B:$B,$I2))</f>
        <v/>
      </c>
      <c r="E461" s="5">
        <f>IF($I2="","",INDEX(Productos!$H:$H,$I2))</f>
        <v/>
      </c>
      <c r="F461" s="5">
        <f>IF($I2="","",INDEX(Productos!$I:$I,$I2))</f>
        <v/>
      </c>
      <c r="G461" s="135" t="n">
        <v>3</v>
      </c>
      <c r="H461" s="5">
        <f>IF($I2="","",INDEX(Productos!$AG:$AG,$I2))</f>
        <v/>
      </c>
      <c r="I461" s="136">
        <f>LET(_xlpm.r,Productos!$E$2:$E$653,_xlpm.m,IFERROR(_xlfn.XMATCH(C461,_xlpm.r),IFERROR(_xlfn.XMATCH(VALUE(C461),_xlpm.r),0)),IF(_xlpm.m=0,"",_xlpm.m+1))</f>
        <v/>
      </c>
      <c r="J461" s="137" t="inlineStr">
        <is>
          <t>NetSuite</t>
        </is>
      </c>
    </row>
    <row r="462">
      <c r="A462" s="5" t="inlineStr">
        <is>
          <t>REFLO ALMACEN</t>
        </is>
      </c>
      <c r="B462" s="5">
        <f>IF($I2="","",INDEX(Productos!$A:$A,$I2))</f>
        <v/>
      </c>
      <c r="C462" s="134" t="inlineStr">
        <is>
          <t>TAGCAV-S</t>
        </is>
      </c>
      <c r="D462" s="5">
        <f>IF($I2="","",INDEX(Productos!$B:$B,$I2))</f>
        <v/>
      </c>
      <c r="E462" s="5">
        <f>IF($I2="","",INDEX(Productos!$H:$H,$I2))</f>
        <v/>
      </c>
      <c r="F462" s="5">
        <f>IF($I2="","",INDEX(Productos!$I:$I,$I2))</f>
        <v/>
      </c>
      <c r="G462" s="135" t="n">
        <v>2</v>
      </c>
      <c r="H462" s="5">
        <f>IF($I2="","",INDEX(Productos!$AG:$AG,$I2))</f>
        <v/>
      </c>
      <c r="I462" s="136">
        <f>LET(_xlpm.r,Productos!$E$2:$E$653,_xlpm.m,IFERROR(_xlfn.XMATCH(C462,_xlpm.r),IFERROR(_xlfn.XMATCH(VALUE(C462),_xlpm.r),0)),IF(_xlpm.m=0,"",_xlpm.m+1))</f>
        <v/>
      </c>
      <c r="J462" s="137" t="inlineStr">
        <is>
          <t>NetSuite</t>
        </is>
      </c>
    </row>
    <row r="463">
      <c r="A463" s="5" t="inlineStr">
        <is>
          <t>REFLO ALMACEN</t>
        </is>
      </c>
      <c r="B463" s="5">
        <f>IF($I2="","",INDEX(Productos!$A:$A,$I2))</f>
        <v/>
      </c>
      <c r="C463" s="134" t="inlineStr">
        <is>
          <t>TAGCAV-XL</t>
        </is>
      </c>
      <c r="D463" s="5">
        <f>IF($I2="","",INDEX(Productos!$B:$B,$I2))</f>
        <v/>
      </c>
      <c r="E463" s="5">
        <f>IF($I2="","",INDEX(Productos!$H:$H,$I2))</f>
        <v/>
      </c>
      <c r="F463" s="5">
        <f>IF($I2="","",INDEX(Productos!$I:$I,$I2))</f>
        <v/>
      </c>
      <c r="G463" s="135" t="n">
        <v>8</v>
      </c>
      <c r="H463" s="5">
        <f>IF($I2="","",INDEX(Productos!$AG:$AG,$I2))</f>
        <v/>
      </c>
      <c r="I463" s="136">
        <f>LET(_xlpm.r,Productos!$E$2:$E$653,_xlpm.m,IFERROR(_xlfn.XMATCH(C463,_xlpm.r),IFERROR(_xlfn.XMATCH(VALUE(C463),_xlpm.r),0)),IF(_xlpm.m=0,"",_xlpm.m+1))</f>
        <v/>
      </c>
      <c r="J463" s="137" t="inlineStr">
        <is>
          <t>NetSuite</t>
        </is>
      </c>
    </row>
    <row r="464">
      <c r="A464" s="5" t="inlineStr">
        <is>
          <t>REFLO ALMACEN</t>
        </is>
      </c>
      <c r="B464" s="5">
        <f>IF($I2="","",INDEX(Productos!$A:$A,$I2))</f>
        <v/>
      </c>
      <c r="C464" s="134" t="inlineStr">
        <is>
          <t>TAGCOR-2XL</t>
        </is>
      </c>
      <c r="D464" s="5">
        <f>IF($I2="","",INDEX(Productos!$B:$B,$I2))</f>
        <v/>
      </c>
      <c r="E464" s="5">
        <f>IF($I2="","",INDEX(Productos!$H:$H,$I2))</f>
        <v/>
      </c>
      <c r="F464" s="5">
        <f>IF($I2="","",INDEX(Productos!$I:$I,$I2))</f>
        <v/>
      </c>
      <c r="G464" s="135" t="n">
        <v>4</v>
      </c>
      <c r="H464" s="5">
        <f>IF($I2="","",INDEX(Productos!$AG:$AG,$I2))</f>
        <v/>
      </c>
      <c r="I464" s="136">
        <f>LET(_xlpm.r,Productos!$E$2:$E$653,_xlpm.m,IFERROR(_xlfn.XMATCH(C464,_xlpm.r),IFERROR(_xlfn.XMATCH(VALUE(C464),_xlpm.r),0)),IF(_xlpm.m=0,"",_xlpm.m+1))</f>
        <v/>
      </c>
      <c r="J464" s="137" t="inlineStr">
        <is>
          <t>NetSuite</t>
        </is>
      </c>
    </row>
    <row r="465">
      <c r="A465" s="5" t="inlineStr">
        <is>
          <t>REFLO ALMACEN</t>
        </is>
      </c>
      <c r="B465" s="5">
        <f>IF($I2="","",INDEX(Productos!$A:$A,$I2))</f>
        <v/>
      </c>
      <c r="C465" s="134" t="inlineStr">
        <is>
          <t>TAGCOR-L</t>
        </is>
      </c>
      <c r="D465" s="5">
        <f>IF($I2="","",INDEX(Productos!$B:$B,$I2))</f>
        <v/>
      </c>
      <c r="E465" s="5">
        <f>IF($I2="","",INDEX(Productos!$H:$H,$I2))</f>
        <v/>
      </c>
      <c r="F465" s="5">
        <f>IF($I2="","",INDEX(Productos!$I:$I,$I2))</f>
        <v/>
      </c>
      <c r="G465" s="135" t="n">
        <v>7</v>
      </c>
      <c r="H465" s="5">
        <f>IF($I2="","",INDEX(Productos!$AG:$AG,$I2))</f>
        <v/>
      </c>
      <c r="I465" s="136">
        <f>LET(_xlpm.r,Productos!$E$2:$E$653,_xlpm.m,IFERROR(_xlfn.XMATCH(C465,_xlpm.r),IFERROR(_xlfn.XMATCH(VALUE(C465),_xlpm.r),0)),IF(_xlpm.m=0,"",_xlpm.m+1))</f>
        <v/>
      </c>
      <c r="J465" s="137" t="inlineStr">
        <is>
          <t>NetSuite</t>
        </is>
      </c>
    </row>
    <row r="466">
      <c r="A466" s="5" t="inlineStr">
        <is>
          <t>REFLO ALMACEN</t>
        </is>
      </c>
      <c r="B466" s="5">
        <f>IF($I2="","",INDEX(Productos!$A:$A,$I2))</f>
        <v/>
      </c>
      <c r="C466" s="134" t="inlineStr">
        <is>
          <t>TAGCOR-M</t>
        </is>
      </c>
      <c r="D466" s="5">
        <f>IF($I2="","",INDEX(Productos!$B:$B,$I2))</f>
        <v/>
      </c>
      <c r="E466" s="5">
        <f>IF($I2="","",INDEX(Productos!$H:$H,$I2))</f>
        <v/>
      </c>
      <c r="F466" s="5">
        <f>IF($I2="","",INDEX(Productos!$I:$I,$I2))</f>
        <v/>
      </c>
      <c r="G466" s="135" t="n">
        <v>5</v>
      </c>
      <c r="H466" s="5">
        <f>IF($I2="","",INDEX(Productos!$AG:$AG,$I2))</f>
        <v/>
      </c>
      <c r="I466" s="136">
        <f>LET(_xlpm.r,Productos!$E$2:$E$653,_xlpm.m,IFERROR(_xlfn.XMATCH(C466,_xlpm.r),IFERROR(_xlfn.XMATCH(VALUE(C466),_xlpm.r),0)),IF(_xlpm.m=0,"",_xlpm.m+1))</f>
        <v/>
      </c>
      <c r="J466" s="137" t="inlineStr">
        <is>
          <t>NetSuite</t>
        </is>
      </c>
    </row>
    <row r="467">
      <c r="A467" s="5" t="inlineStr">
        <is>
          <t>REFLO ALMACEN</t>
        </is>
      </c>
      <c r="B467" s="5">
        <f>IF($I2="","",INDEX(Productos!$A:$A,$I2))</f>
        <v/>
      </c>
      <c r="C467" s="134" t="inlineStr">
        <is>
          <t>TAGCOR-XL</t>
        </is>
      </c>
      <c r="D467" s="5">
        <f>IF($I2="","",INDEX(Productos!$B:$B,$I2))</f>
        <v/>
      </c>
      <c r="E467" s="5">
        <f>IF($I2="","",INDEX(Productos!$H:$H,$I2))</f>
        <v/>
      </c>
      <c r="F467" s="5">
        <f>IF($I2="","",INDEX(Productos!$I:$I,$I2))</f>
        <v/>
      </c>
      <c r="G467" s="135" t="n">
        <v>8</v>
      </c>
      <c r="H467" s="5">
        <f>IF($I2="","",INDEX(Productos!$AG:$AG,$I2))</f>
        <v/>
      </c>
      <c r="I467" s="136">
        <f>LET(_xlpm.r,Productos!$E$2:$E$653,_xlpm.m,IFERROR(_xlfn.XMATCH(C467,_xlpm.r),IFERROR(_xlfn.XMATCH(VALUE(C467),_xlpm.r),0)),IF(_xlpm.m=0,"",_xlpm.m+1))</f>
        <v/>
      </c>
      <c r="J467" s="137" t="inlineStr">
        <is>
          <t>NetSuite</t>
        </is>
      </c>
    </row>
    <row r="468">
      <c r="A468" s="5" t="inlineStr">
        <is>
          <t>REFLO ALMACEN</t>
        </is>
      </c>
      <c r="B468" s="5">
        <f>IF($I2="","",INDEX(Productos!$A:$A,$I2))</f>
        <v/>
      </c>
      <c r="C468" s="134" t="inlineStr">
        <is>
          <t>TAGDAR-2XL</t>
        </is>
      </c>
      <c r="D468" s="5">
        <f>IF($I2="","",INDEX(Productos!$B:$B,$I2))</f>
        <v/>
      </c>
      <c r="E468" s="5">
        <f>IF($I2="","",INDEX(Productos!$H:$H,$I2))</f>
        <v/>
      </c>
      <c r="F468" s="5">
        <f>IF($I2="","",INDEX(Productos!$I:$I,$I2))</f>
        <v/>
      </c>
      <c r="G468" s="135" t="n">
        <v>4</v>
      </c>
      <c r="H468" s="5">
        <f>IF($I2="","",INDEX(Productos!$AG:$AG,$I2))</f>
        <v/>
      </c>
      <c r="I468" s="136">
        <f>LET(_xlpm.r,Productos!$E$2:$E$653,_xlpm.m,IFERROR(_xlfn.XMATCH(C468,_xlpm.r),IFERROR(_xlfn.XMATCH(VALUE(C468),_xlpm.r),0)),IF(_xlpm.m=0,"",_xlpm.m+1))</f>
        <v/>
      </c>
      <c r="J468" s="137" t="inlineStr">
        <is>
          <t>NetSuite</t>
        </is>
      </c>
    </row>
    <row r="469">
      <c r="A469" s="5" t="inlineStr">
        <is>
          <t>REFLO ALMACEN</t>
        </is>
      </c>
      <c r="B469" s="5">
        <f>IF($I2="","",INDEX(Productos!$A:$A,$I2))</f>
        <v/>
      </c>
      <c r="C469" s="134" t="inlineStr">
        <is>
          <t>TAGDAR-L</t>
        </is>
      </c>
      <c r="D469" s="5">
        <f>IF($I2="","",INDEX(Productos!$B:$B,$I2))</f>
        <v/>
      </c>
      <c r="E469" s="5">
        <f>IF($I2="","",INDEX(Productos!$H:$H,$I2))</f>
        <v/>
      </c>
      <c r="F469" s="5">
        <f>IF($I2="","",INDEX(Productos!$I:$I,$I2))</f>
        <v/>
      </c>
      <c r="G469" s="135" t="n">
        <v>7</v>
      </c>
      <c r="H469" s="5">
        <f>IF($I2="","",INDEX(Productos!$AG:$AG,$I2))</f>
        <v/>
      </c>
      <c r="I469" s="136">
        <f>LET(_xlpm.r,Productos!$E$2:$E$653,_xlpm.m,IFERROR(_xlfn.XMATCH(C469,_xlpm.r),IFERROR(_xlfn.XMATCH(VALUE(C469),_xlpm.r),0)),IF(_xlpm.m=0,"",_xlpm.m+1))</f>
        <v/>
      </c>
      <c r="J469" s="137" t="inlineStr">
        <is>
          <t>NetSuite</t>
        </is>
      </c>
    </row>
    <row r="470">
      <c r="A470" s="5" t="inlineStr">
        <is>
          <t>REFLO ALMACEN</t>
        </is>
      </c>
      <c r="B470" s="5">
        <f>IF($I2="","",INDEX(Productos!$A:$A,$I2))</f>
        <v/>
      </c>
      <c r="C470" s="134" t="inlineStr">
        <is>
          <t>TAGDAR-M</t>
        </is>
      </c>
      <c r="D470" s="5">
        <f>IF($I2="","",INDEX(Productos!$B:$B,$I2))</f>
        <v/>
      </c>
      <c r="E470" s="5">
        <f>IF($I2="","",INDEX(Productos!$H:$H,$I2))</f>
        <v/>
      </c>
      <c r="F470" s="5">
        <f>IF($I2="","",INDEX(Productos!$I:$I,$I2))</f>
        <v/>
      </c>
      <c r="G470" s="135" t="n">
        <v>5</v>
      </c>
      <c r="H470" s="5">
        <f>IF($I2="","",INDEX(Productos!$AG:$AG,$I2))</f>
        <v/>
      </c>
      <c r="I470" s="136">
        <f>LET(_xlpm.r,Productos!$E$2:$E$653,_xlpm.m,IFERROR(_xlfn.XMATCH(C470,_xlpm.r),IFERROR(_xlfn.XMATCH(VALUE(C470),_xlpm.r),0)),IF(_xlpm.m=0,"",_xlpm.m+1))</f>
        <v/>
      </c>
      <c r="J470" s="137" t="inlineStr">
        <is>
          <t>NetSuite</t>
        </is>
      </c>
    </row>
    <row r="471">
      <c r="A471" s="5" t="inlineStr">
        <is>
          <t>REFLO ALMACEN</t>
        </is>
      </c>
      <c r="B471" s="5">
        <f>IF($I2="","",INDEX(Productos!$A:$A,$I2))</f>
        <v/>
      </c>
      <c r="C471" s="134" t="inlineStr">
        <is>
          <t>TAGDAR-XL</t>
        </is>
      </c>
      <c r="D471" s="5">
        <f>IF($I2="","",INDEX(Productos!$B:$B,$I2))</f>
        <v/>
      </c>
      <c r="E471" s="5">
        <f>IF($I2="","",INDEX(Productos!$H:$H,$I2))</f>
        <v/>
      </c>
      <c r="F471" s="5">
        <f>IF($I2="","",INDEX(Productos!$I:$I,$I2))</f>
        <v/>
      </c>
      <c r="G471" s="135" t="n">
        <v>7</v>
      </c>
      <c r="H471" s="5">
        <f>IF($I2="","",INDEX(Productos!$AG:$AG,$I2))</f>
        <v/>
      </c>
      <c r="I471" s="136">
        <f>LET(_xlpm.r,Productos!$E$2:$E$653,_xlpm.m,IFERROR(_xlfn.XMATCH(C471,_xlpm.r),IFERROR(_xlfn.XMATCH(VALUE(C471),_xlpm.r),0)),IF(_xlpm.m=0,"",_xlpm.m+1))</f>
        <v/>
      </c>
      <c r="J471" s="137" t="inlineStr">
        <is>
          <t>NetSuite</t>
        </is>
      </c>
    </row>
    <row r="472">
      <c r="A472" s="5" t="inlineStr">
        <is>
          <t>REFLO ALMACEN</t>
        </is>
      </c>
      <c r="B472" s="5">
        <f>IF($I2="","",INDEX(Productos!$A:$A,$I2))</f>
        <v/>
      </c>
      <c r="C472" s="134" t="inlineStr">
        <is>
          <t>TOBCAV-2XL</t>
        </is>
      </c>
      <c r="D472" s="5">
        <f>IF($I2="","",INDEX(Productos!$B:$B,$I2))</f>
        <v/>
      </c>
      <c r="E472" s="5">
        <f>IF($I2="","",INDEX(Productos!$H:$H,$I2))</f>
        <v/>
      </c>
      <c r="F472" s="5">
        <f>IF($I2="","",INDEX(Productos!$I:$I,$I2))</f>
        <v/>
      </c>
      <c r="G472" s="135" t="n">
        <v>2</v>
      </c>
      <c r="H472" s="5">
        <f>IF($I2="","",INDEX(Productos!$AG:$AG,$I2))</f>
        <v/>
      </c>
      <c r="I472" s="136">
        <f>LET(_xlpm.r,Productos!$E$2:$E$653,_xlpm.m,IFERROR(_xlfn.XMATCH(C472,_xlpm.r),IFERROR(_xlfn.XMATCH(VALUE(C472),_xlpm.r),0)),IF(_xlpm.m=0,"",_xlpm.m+1))</f>
        <v/>
      </c>
      <c r="J472" s="137" t="inlineStr">
        <is>
          <t>NetSuite</t>
        </is>
      </c>
    </row>
    <row r="473">
      <c r="A473" s="5" t="inlineStr">
        <is>
          <t>REFLO ALMACEN</t>
        </is>
      </c>
      <c r="B473" s="5">
        <f>IF($I2="","",INDEX(Productos!$A:$A,$I2))</f>
        <v/>
      </c>
      <c r="C473" s="134" t="inlineStr">
        <is>
          <t>TOBCAV-L</t>
        </is>
      </c>
      <c r="D473" s="5">
        <f>IF($I2="","",INDEX(Productos!$B:$B,$I2))</f>
        <v/>
      </c>
      <c r="E473" s="5">
        <f>IF($I2="","",INDEX(Productos!$H:$H,$I2))</f>
        <v/>
      </c>
      <c r="F473" s="5">
        <f>IF($I2="","",INDEX(Productos!$I:$I,$I2))</f>
        <v/>
      </c>
      <c r="G473" s="135" t="n">
        <v>2</v>
      </c>
      <c r="H473" s="5">
        <f>IF($I2="","",INDEX(Productos!$AG:$AG,$I2))</f>
        <v/>
      </c>
      <c r="I473" s="136">
        <f>LET(_xlpm.r,Productos!$E$2:$E$653,_xlpm.m,IFERROR(_xlfn.XMATCH(C473,_xlpm.r),IFERROR(_xlfn.XMATCH(VALUE(C473),_xlpm.r),0)),IF(_xlpm.m=0,"",_xlpm.m+1))</f>
        <v/>
      </c>
      <c r="J473" s="137" t="inlineStr">
        <is>
          <t>NetSuite</t>
        </is>
      </c>
    </row>
    <row r="474">
      <c r="A474" s="5" t="inlineStr">
        <is>
          <t>REFLO ALMACEN</t>
        </is>
      </c>
      <c r="B474" s="5">
        <f>IF($I2="","",INDEX(Productos!$A:$A,$I2))</f>
        <v/>
      </c>
      <c r="C474" s="134" t="inlineStr">
        <is>
          <t>TOBCAV-S</t>
        </is>
      </c>
      <c r="D474" s="5">
        <f>IF($I2="","",INDEX(Productos!$B:$B,$I2))</f>
        <v/>
      </c>
      <c r="E474" s="5">
        <f>IF($I2="","",INDEX(Productos!$H:$H,$I2))</f>
        <v/>
      </c>
      <c r="F474" s="5">
        <f>IF($I2="","",INDEX(Productos!$I:$I,$I2))</f>
        <v/>
      </c>
      <c r="G474" s="135" t="n">
        <v>2</v>
      </c>
      <c r="H474" s="5">
        <f>IF($I2="","",INDEX(Productos!$AG:$AG,$I2))</f>
        <v/>
      </c>
      <c r="I474" s="136">
        <f>LET(_xlpm.r,Productos!$E$2:$E$653,_xlpm.m,IFERROR(_xlfn.XMATCH(C474,_xlpm.r),IFERROR(_xlfn.XMATCH(VALUE(C474),_xlpm.r),0)),IF(_xlpm.m=0,"",_xlpm.m+1))</f>
        <v/>
      </c>
      <c r="J474" s="137" t="inlineStr">
        <is>
          <t>NetSuite</t>
        </is>
      </c>
    </row>
    <row r="475">
      <c r="A475" s="5" t="inlineStr">
        <is>
          <t>REFLO ALMACEN</t>
        </is>
      </c>
      <c r="B475" s="5">
        <f>IF($I2="","",INDEX(Productos!$A:$A,$I2))</f>
        <v/>
      </c>
      <c r="C475" s="134" t="inlineStr">
        <is>
          <t>TOBCAV-XL</t>
        </is>
      </c>
      <c r="D475" s="5">
        <f>IF($I2="","",INDEX(Productos!$B:$B,$I2))</f>
        <v/>
      </c>
      <c r="E475" s="5">
        <f>IF($I2="","",INDEX(Productos!$H:$H,$I2))</f>
        <v/>
      </c>
      <c r="F475" s="5">
        <f>IF($I2="","",INDEX(Productos!$I:$I,$I2))</f>
        <v/>
      </c>
      <c r="G475" s="135" t="n">
        <v>3</v>
      </c>
      <c r="H475" s="5">
        <f>IF($I2="","",INDEX(Productos!$AG:$AG,$I2))</f>
        <v/>
      </c>
      <c r="I475" s="136">
        <f>LET(_xlpm.r,Productos!$E$2:$E$653,_xlpm.m,IFERROR(_xlfn.XMATCH(C475,_xlpm.r),IFERROR(_xlfn.XMATCH(VALUE(C475),_xlpm.r),0)),IF(_xlpm.m=0,"",_xlpm.m+1))</f>
        <v/>
      </c>
      <c r="J475" s="137" t="inlineStr">
        <is>
          <t>NetSuite</t>
        </is>
      </c>
    </row>
    <row r="476">
      <c r="A476" s="5" t="inlineStr">
        <is>
          <t>REFLO ALMACEN</t>
        </is>
      </c>
      <c r="B476" s="5">
        <f>IF($I2="","",INDEX(Productos!$A:$A,$I2))</f>
        <v/>
      </c>
      <c r="C476" s="134" t="inlineStr">
        <is>
          <t>TOBCOR-2XL</t>
        </is>
      </c>
      <c r="D476" s="5">
        <f>IF($I2="","",INDEX(Productos!$B:$B,$I2))</f>
        <v/>
      </c>
      <c r="E476" s="5">
        <f>IF($I2="","",INDEX(Productos!$H:$H,$I2))</f>
        <v/>
      </c>
      <c r="F476" s="5">
        <f>IF($I2="","",INDEX(Productos!$I:$I,$I2))</f>
        <v/>
      </c>
      <c r="G476" s="135" t="n">
        <v>3</v>
      </c>
      <c r="H476" s="5">
        <f>IF($I2="","",INDEX(Productos!$AG:$AG,$I2))</f>
        <v/>
      </c>
      <c r="I476" s="136">
        <f>LET(_xlpm.r,Productos!$E$2:$E$653,_xlpm.m,IFERROR(_xlfn.XMATCH(C476,_xlpm.r),IFERROR(_xlfn.XMATCH(VALUE(C476),_xlpm.r),0)),IF(_xlpm.m=0,"",_xlpm.m+1))</f>
        <v/>
      </c>
      <c r="J476" s="137" t="inlineStr">
        <is>
          <t>NetSuite</t>
        </is>
      </c>
    </row>
    <row r="477">
      <c r="A477" s="5" t="inlineStr">
        <is>
          <t>REFLO ALMACEN</t>
        </is>
      </c>
      <c r="B477" s="5">
        <f>IF($I2="","",INDEX(Productos!$A:$A,$I2))</f>
        <v/>
      </c>
      <c r="C477" s="134" t="inlineStr">
        <is>
          <t>TOBCOR-L</t>
        </is>
      </c>
      <c r="D477" s="5">
        <f>IF($I2="","",INDEX(Productos!$B:$B,$I2))</f>
        <v/>
      </c>
      <c r="E477" s="5">
        <f>IF($I2="","",INDEX(Productos!$H:$H,$I2))</f>
        <v/>
      </c>
      <c r="F477" s="5">
        <f>IF($I2="","",INDEX(Productos!$I:$I,$I2))</f>
        <v/>
      </c>
      <c r="G477" s="135" t="n">
        <v>1</v>
      </c>
      <c r="H477" s="5">
        <f>IF($I2="","",INDEX(Productos!$AG:$AG,$I2))</f>
        <v/>
      </c>
      <c r="I477" s="136">
        <f>LET(_xlpm.r,Productos!$E$2:$E$653,_xlpm.m,IFERROR(_xlfn.XMATCH(C477,_xlpm.r),IFERROR(_xlfn.XMATCH(VALUE(C477),_xlpm.r),0)),IF(_xlpm.m=0,"",_xlpm.m+1))</f>
        <v/>
      </c>
      <c r="J477" s="137" t="inlineStr">
        <is>
          <t>NetSuite</t>
        </is>
      </c>
    </row>
    <row r="478">
      <c r="A478" s="5" t="inlineStr">
        <is>
          <t>REFLO ALMACEN</t>
        </is>
      </c>
      <c r="B478" s="5">
        <f>IF($I2="","",INDEX(Productos!$A:$A,$I2))</f>
        <v/>
      </c>
      <c r="C478" s="134" t="inlineStr">
        <is>
          <t>TOBCOR-S</t>
        </is>
      </c>
      <c r="D478" s="5">
        <f>IF($I2="","",INDEX(Productos!$B:$B,$I2))</f>
        <v/>
      </c>
      <c r="E478" s="5">
        <f>IF($I2="","",INDEX(Productos!$H:$H,$I2))</f>
        <v/>
      </c>
      <c r="F478" s="5">
        <f>IF($I2="","",INDEX(Productos!$I:$I,$I2))</f>
        <v/>
      </c>
      <c r="G478" s="135" t="n">
        <v>4</v>
      </c>
      <c r="H478" s="5">
        <f>IF($I2="","",INDEX(Productos!$AG:$AG,$I2))</f>
        <v/>
      </c>
      <c r="I478" s="136">
        <f>LET(_xlpm.r,Productos!$E$2:$E$653,_xlpm.m,IFERROR(_xlfn.XMATCH(C478,_xlpm.r),IFERROR(_xlfn.XMATCH(VALUE(C478),_xlpm.r),0)),IF(_xlpm.m=0,"",_xlpm.m+1))</f>
        <v/>
      </c>
      <c r="J478" s="137" t="inlineStr">
        <is>
          <t>NetSuite</t>
        </is>
      </c>
    </row>
    <row r="479">
      <c r="A479" s="5" t="inlineStr">
        <is>
          <t>REFLO ALMACEN</t>
        </is>
      </c>
      <c r="B479" s="5">
        <f>IF($I2="","",INDEX(Productos!$A:$A,$I2))</f>
        <v/>
      </c>
      <c r="C479" s="134" t="inlineStr">
        <is>
          <t>TOBCOR-XL</t>
        </is>
      </c>
      <c r="D479" s="5">
        <f>IF($I2="","",INDEX(Productos!$B:$B,$I2))</f>
        <v/>
      </c>
      <c r="E479" s="5">
        <f>IF($I2="","",INDEX(Productos!$H:$H,$I2))</f>
        <v/>
      </c>
      <c r="F479" s="5">
        <f>IF($I2="","",INDEX(Productos!$I:$I,$I2))</f>
        <v/>
      </c>
      <c r="G479" s="135" t="n">
        <v>3</v>
      </c>
      <c r="H479" s="5">
        <f>IF($I2="","",INDEX(Productos!$AG:$AG,$I2))</f>
        <v/>
      </c>
      <c r="I479" s="136">
        <f>LET(_xlpm.r,Productos!$E$2:$E$653,_xlpm.m,IFERROR(_xlfn.XMATCH(C479,_xlpm.r),IFERROR(_xlfn.XMATCH(VALUE(C479),_xlpm.r),0)),IF(_xlpm.m=0,"",_xlpm.m+1))</f>
        <v/>
      </c>
      <c r="J479" s="137" t="inlineStr">
        <is>
          <t>NetSuite</t>
        </is>
      </c>
    </row>
    <row r="480">
      <c r="A480" s="5" t="inlineStr">
        <is>
          <t>REFLO ALMACEN</t>
        </is>
      </c>
      <c r="B480" s="5">
        <f>IF($I2="","",INDEX(Productos!$A:$A,$I2))</f>
        <v/>
      </c>
      <c r="C480" s="134" t="inlineStr">
        <is>
          <t>TOBTAN-2XL</t>
        </is>
      </c>
      <c r="D480" s="5">
        <f>IF($I2="","",INDEX(Productos!$B:$B,$I2))</f>
        <v/>
      </c>
      <c r="E480" s="5">
        <f>IF($I2="","",INDEX(Productos!$H:$H,$I2))</f>
        <v/>
      </c>
      <c r="F480" s="5">
        <f>IF($I2="","",INDEX(Productos!$I:$I,$I2))</f>
        <v/>
      </c>
      <c r="G480" s="135" t="n">
        <v>2</v>
      </c>
      <c r="H480" s="5">
        <f>IF($I2="","",INDEX(Productos!$AG:$AG,$I2))</f>
        <v/>
      </c>
      <c r="I480" s="136">
        <f>LET(_xlpm.r,Productos!$E$2:$E$653,_xlpm.m,IFERROR(_xlfn.XMATCH(C480,_xlpm.r),IFERROR(_xlfn.XMATCH(VALUE(C480),_xlpm.r),0)),IF(_xlpm.m=0,"",_xlpm.m+1))</f>
        <v/>
      </c>
      <c r="J480" s="137" t="inlineStr">
        <is>
          <t>NetSuite</t>
        </is>
      </c>
    </row>
    <row r="481">
      <c r="A481" s="5" t="inlineStr">
        <is>
          <t>REFLO ALMACEN</t>
        </is>
      </c>
      <c r="B481" s="5">
        <f>IF($I2="","",INDEX(Productos!$A:$A,$I2))</f>
        <v/>
      </c>
      <c r="C481" s="134" t="inlineStr">
        <is>
          <t>TOBTAN-L</t>
        </is>
      </c>
      <c r="D481" s="5">
        <f>IF($I2="","",INDEX(Productos!$B:$B,$I2))</f>
        <v/>
      </c>
      <c r="E481" s="5">
        <f>IF($I2="","",INDEX(Productos!$H:$H,$I2))</f>
        <v/>
      </c>
      <c r="F481" s="5">
        <f>IF($I2="","",INDEX(Productos!$I:$I,$I2))</f>
        <v/>
      </c>
      <c r="G481" s="135" t="n">
        <v>1</v>
      </c>
      <c r="H481" s="5">
        <f>IF($I2="","",INDEX(Productos!$AG:$AG,$I2))</f>
        <v/>
      </c>
      <c r="I481" s="136">
        <f>LET(_xlpm.r,Productos!$E$2:$E$653,_xlpm.m,IFERROR(_xlfn.XMATCH(C481,_xlpm.r),IFERROR(_xlfn.XMATCH(VALUE(C481),_xlpm.r),0)),IF(_xlpm.m=0,"",_xlpm.m+1))</f>
        <v/>
      </c>
      <c r="J481" s="137" t="inlineStr">
        <is>
          <t>NetSuite</t>
        </is>
      </c>
    </row>
    <row r="482">
      <c r="A482" s="5" t="inlineStr">
        <is>
          <t>REFLO ALMACEN</t>
        </is>
      </c>
      <c r="B482" s="5">
        <f>IF($I2="","",INDEX(Productos!$A:$A,$I2))</f>
        <v/>
      </c>
      <c r="C482" s="134" t="inlineStr">
        <is>
          <t>TOBTAN-S</t>
        </is>
      </c>
      <c r="D482" s="5">
        <f>IF($I2="","",INDEX(Productos!$B:$B,$I2))</f>
        <v/>
      </c>
      <c r="E482" s="5">
        <f>IF($I2="","",INDEX(Productos!$H:$H,$I2))</f>
        <v/>
      </c>
      <c r="F482" s="5">
        <f>IF($I2="","",INDEX(Productos!$I:$I,$I2))</f>
        <v/>
      </c>
      <c r="G482" s="135" t="n">
        <v>2</v>
      </c>
      <c r="H482" s="5">
        <f>IF($I2="","",INDEX(Productos!$AG:$AG,$I2))</f>
        <v/>
      </c>
      <c r="I482" s="136">
        <f>LET(_xlpm.r,Productos!$E$2:$E$653,_xlpm.m,IFERROR(_xlfn.XMATCH(C482,_xlpm.r),IFERROR(_xlfn.XMATCH(VALUE(C482),_xlpm.r),0)),IF(_xlpm.m=0,"",_xlpm.m+1))</f>
        <v/>
      </c>
      <c r="J482" s="137" t="inlineStr">
        <is>
          <t>NetSuite</t>
        </is>
      </c>
    </row>
    <row r="483">
      <c r="A483" s="5" t="inlineStr">
        <is>
          <t>REFLO ALMACEN</t>
        </is>
      </c>
      <c r="B483" s="5">
        <f>IF($I2="","",INDEX(Productos!$A:$A,$I2))</f>
        <v/>
      </c>
      <c r="C483" s="134" t="inlineStr">
        <is>
          <t>TOBTAN-XL</t>
        </is>
      </c>
      <c r="D483" s="5">
        <f>IF($I2="","",INDEX(Productos!$B:$B,$I2))</f>
        <v/>
      </c>
      <c r="E483" s="5">
        <f>IF($I2="","",INDEX(Productos!$H:$H,$I2))</f>
        <v/>
      </c>
      <c r="F483" s="5">
        <f>IF($I2="","",INDEX(Productos!$I:$I,$I2))</f>
        <v/>
      </c>
      <c r="G483" s="135" t="n">
        <v>2</v>
      </c>
      <c r="H483" s="5">
        <f>IF($I2="","",INDEX(Productos!$AG:$AG,$I2))</f>
        <v/>
      </c>
      <c r="I483" s="136">
        <f>LET(_xlpm.r,Productos!$E$2:$E$653,_xlpm.m,IFERROR(_xlfn.XMATCH(C483,_xlpm.r),IFERROR(_xlfn.XMATCH(VALUE(C483),_xlpm.r),0)),IF(_xlpm.m=0,"",_xlpm.m+1))</f>
        <v/>
      </c>
      <c r="J483" s="137" t="inlineStr">
        <is>
          <t>NetSuite</t>
        </is>
      </c>
    </row>
    <row r="484">
      <c r="A484" s="5" t="inlineStr">
        <is>
          <t>REFLO ALMACEN</t>
        </is>
      </c>
      <c r="B484" s="5">
        <f>IF($I2="","",INDEX(Productos!$A:$A,$I2))</f>
        <v/>
      </c>
      <c r="C484" s="134" t="inlineStr">
        <is>
          <t>XR20803032-OS</t>
        </is>
      </c>
      <c r="D484" s="5">
        <f>IF($I2="","",INDEX(Productos!$B:$B,$I2))</f>
        <v/>
      </c>
      <c r="E484" s="5">
        <f>IF($I2="","",INDEX(Productos!$H:$H,$I2))</f>
        <v/>
      </c>
      <c r="F484" s="5">
        <f>IF($I2="","",INDEX(Productos!$I:$I,$I2))</f>
        <v/>
      </c>
      <c r="G484" s="135" t="n">
        <v>105</v>
      </c>
      <c r="H484" s="5">
        <f>IF($I2="","",INDEX(Productos!$AG:$AG,$I2))</f>
        <v/>
      </c>
      <c r="I484" s="136">
        <f>LET(_xlpm.r,Productos!$E$2:$E$653,_xlpm.m,IFERROR(_xlfn.XMATCH(C484,_xlpm.r),IFERROR(_xlfn.XMATCH(VALUE(C484),_xlpm.r),0)),IF(_xlpm.m=0,"",_xlpm.m+1))</f>
        <v/>
      </c>
      <c r="J484" s="137" t="inlineStr">
        <is>
          <t>NetSuite</t>
        </is>
      </c>
    </row>
    <row r="485">
      <c r="A485" s="5" t="inlineStr">
        <is>
          <t>REFLO ALMACEN</t>
        </is>
      </c>
      <c r="B485" s="5">
        <f>IF($I2="","",INDEX(Productos!$A:$A,$I2))</f>
        <v/>
      </c>
      <c r="C485" s="134" t="inlineStr">
        <is>
          <t>XR20806010-OS</t>
        </is>
      </c>
      <c r="D485" s="5">
        <f>IF($I2="","",INDEX(Productos!$B:$B,$I2))</f>
        <v/>
      </c>
      <c r="E485" s="5">
        <f>IF($I2="","",INDEX(Productos!$H:$H,$I2))</f>
        <v/>
      </c>
      <c r="F485" s="5">
        <f>IF($I2="","",INDEX(Productos!$I:$I,$I2))</f>
        <v/>
      </c>
      <c r="G485" s="135" t="n">
        <v>144</v>
      </c>
      <c r="H485" s="5">
        <f>IF($I2="","",INDEX(Productos!$AG:$AG,$I2))</f>
        <v/>
      </c>
      <c r="I485" s="136">
        <f>LET(_xlpm.r,Productos!$E$2:$E$653,_xlpm.m,IFERROR(_xlfn.XMATCH(C485,_xlpm.r),IFERROR(_xlfn.XMATCH(VALUE(C485),_xlpm.r),0)),IF(_xlpm.m=0,"",_xlpm.m+1))</f>
        <v/>
      </c>
      <c r="J485" s="137" t="inlineStr">
        <is>
          <t>NetSuite</t>
        </is>
      </c>
    </row>
    <row r="486">
      <c r="A486" s="5" t="inlineStr">
        <is>
          <t>REFLO ALMACEN</t>
        </is>
      </c>
      <c r="B486" s="5">
        <f>IF($I2="","",INDEX(Productos!$A:$A,$I2))</f>
        <v/>
      </c>
      <c r="C486" s="134" t="inlineStr">
        <is>
          <t>XR20809003-OS</t>
        </is>
      </c>
      <c r="D486" s="5">
        <f>IF($I2="","",INDEX(Productos!$B:$B,$I2))</f>
        <v/>
      </c>
      <c r="E486" s="5">
        <f>IF($I2="","",INDEX(Productos!$H:$H,$I2))</f>
        <v/>
      </c>
      <c r="F486" s="5">
        <f>IF($I2="","",INDEX(Productos!$I:$I,$I2))</f>
        <v/>
      </c>
      <c r="G486" s="135" t="n">
        <v>147</v>
      </c>
      <c r="H486" s="5">
        <f>IF($I2="","",INDEX(Productos!$AG:$AG,$I2))</f>
        <v/>
      </c>
      <c r="I486" s="136">
        <f>LET(_xlpm.r,Productos!$E$2:$E$653,_xlpm.m,IFERROR(_xlfn.XMATCH(C486,_xlpm.r),IFERROR(_xlfn.XMATCH(VALUE(C486),_xlpm.r),0)),IF(_xlpm.m=0,"",_xlpm.m+1))</f>
        <v/>
      </c>
      <c r="J486" s="137" t="inlineStr">
        <is>
          <t>NetSuite</t>
        </is>
      </c>
    </row>
    <row r="487">
      <c r="A487" s="5" t="inlineStr">
        <is>
          <t>REFLO ALMACEN</t>
        </is>
      </c>
      <c r="B487" s="5">
        <f>IF($I2="","",INDEX(Productos!$A:$A,$I2))</f>
        <v/>
      </c>
      <c r="C487" s="134" t="inlineStr">
        <is>
          <t>XR20812032-OS</t>
        </is>
      </c>
      <c r="D487" s="5">
        <f>IF($I2="","",INDEX(Productos!$B:$B,$I2))</f>
        <v/>
      </c>
      <c r="E487" s="5">
        <f>IF($I2="","",INDEX(Productos!$H:$H,$I2))</f>
        <v/>
      </c>
      <c r="F487" s="5">
        <f>IF($I2="","",INDEX(Productos!$I:$I,$I2))</f>
        <v/>
      </c>
      <c r="G487" s="135" t="n">
        <v>142</v>
      </c>
      <c r="H487" s="5">
        <f>IF($I2="","",INDEX(Productos!$AG:$AG,$I2))</f>
        <v/>
      </c>
      <c r="I487" s="136">
        <f>LET(_xlpm.r,Productos!$E$2:$E$653,_xlpm.m,IFERROR(_xlfn.XMATCH(C487,_xlpm.r),IFERROR(_xlfn.XMATCH(VALUE(C487),_xlpm.r),0)),IF(_xlpm.m=0,"",_xlpm.m+1))</f>
        <v/>
      </c>
      <c r="J487" s="137" t="inlineStr">
        <is>
          <t>NetSuite</t>
        </is>
      </c>
    </row>
    <row r="488">
      <c r="A488" s="5" t="inlineStr">
        <is>
          <t>REFLO ALMACEN</t>
        </is>
      </c>
      <c r="B488" s="5">
        <f>IF($I2="","",INDEX(Productos!$A:$A,$I2))</f>
        <v/>
      </c>
      <c r="C488" s="134" t="inlineStr">
        <is>
          <t>XR20815010-OS</t>
        </is>
      </c>
      <c r="D488" s="5">
        <f>IF($I2="","",INDEX(Productos!$B:$B,$I2))</f>
        <v/>
      </c>
      <c r="E488" s="5">
        <f>IF($I2="","",INDEX(Productos!$H:$H,$I2))</f>
        <v/>
      </c>
      <c r="F488" s="5">
        <f>IF($I2="","",INDEX(Productos!$I:$I,$I2))</f>
        <v/>
      </c>
      <c r="G488" s="135" t="n">
        <v>144</v>
      </c>
      <c r="H488" s="5">
        <f>IF($I2="","",INDEX(Productos!$AG:$AG,$I2))</f>
        <v/>
      </c>
      <c r="I488" s="136">
        <f>LET(_xlpm.r,Productos!$E$2:$E$653,_xlpm.m,IFERROR(_xlfn.XMATCH(C488,_xlpm.r),IFERROR(_xlfn.XMATCH(VALUE(C488),_xlpm.r),0)),IF(_xlpm.m=0,"",_xlpm.m+1))</f>
        <v/>
      </c>
      <c r="J488" s="137" t="inlineStr">
        <is>
          <t>NetSuite</t>
        </is>
      </c>
    </row>
    <row r="489">
      <c r="A489" s="5" t="inlineStr">
        <is>
          <t>REFLO ALMACEN</t>
        </is>
      </c>
      <c r="B489" s="5">
        <f>IF($I2="","",INDEX(Productos!$A:$A,$I2))</f>
        <v/>
      </c>
      <c r="C489" s="134" t="inlineStr">
        <is>
          <t>XR20818003-OS</t>
        </is>
      </c>
      <c r="D489" s="5">
        <f>IF($I2="","",INDEX(Productos!$B:$B,$I2))</f>
        <v/>
      </c>
      <c r="E489" s="5">
        <f>IF($I2="","",INDEX(Productos!$H:$H,$I2))</f>
        <v/>
      </c>
      <c r="F489" s="5">
        <f>IF($I2="","",INDEX(Productos!$I:$I,$I2))</f>
        <v/>
      </c>
      <c r="G489" s="135" t="n">
        <v>144</v>
      </c>
      <c r="H489" s="5">
        <f>IF($I2="","",INDEX(Productos!$AG:$AG,$I2))</f>
        <v/>
      </c>
      <c r="I489" s="136">
        <f>LET(_xlpm.r,Productos!$E$2:$E$653,_xlpm.m,IFERROR(_xlfn.XMATCH(C489,_xlpm.r),IFERROR(_xlfn.XMATCH(VALUE(C489),_xlpm.r),0)),IF(_xlpm.m=0,"",_xlpm.m+1))</f>
        <v/>
      </c>
      <c r="J489" s="137" t="inlineStr">
        <is>
          <t>NetSuite</t>
        </is>
      </c>
    </row>
    <row r="490">
      <c r="A490" s="5" t="inlineStr">
        <is>
          <t>REFLO ALMACEN</t>
        </is>
      </c>
      <c r="B490" s="5">
        <f>IF($I2="","",INDEX(Productos!$A:$A,$I2))</f>
        <v/>
      </c>
      <c r="C490" s="134" t="inlineStr">
        <is>
          <t>XR20823030-OS</t>
        </is>
      </c>
      <c r="D490" s="5">
        <f>IF($I2="","",INDEX(Productos!$B:$B,$I2))</f>
        <v/>
      </c>
      <c r="E490" s="5">
        <f>IF($I2="","",INDEX(Productos!$H:$H,$I2))</f>
        <v/>
      </c>
      <c r="F490" s="5">
        <f>IF($I2="","",INDEX(Productos!$I:$I,$I2))</f>
        <v/>
      </c>
      <c r="G490" s="135" t="n">
        <v>146</v>
      </c>
      <c r="H490" s="5">
        <f>IF($I2="","",INDEX(Productos!$AG:$AG,$I2))</f>
        <v/>
      </c>
      <c r="I490" s="136">
        <f>LET(_xlpm.r,Productos!$E$2:$E$653,_xlpm.m,IFERROR(_xlfn.XMATCH(C490,_xlpm.r),IFERROR(_xlfn.XMATCH(VALUE(C490),_xlpm.r),0)),IF(_xlpm.m=0,"",_xlpm.m+1))</f>
        <v/>
      </c>
      <c r="J490" s="137" t="inlineStr">
        <is>
          <t>NetSuite</t>
        </is>
      </c>
    </row>
    <row r="491">
      <c r="A491" s="5" t="inlineStr">
        <is>
          <t>REFLO ALMACEN</t>
        </is>
      </c>
      <c r="B491" s="5">
        <f>IF($I2="","",INDEX(Productos!$A:$A,$I2))</f>
        <v/>
      </c>
      <c r="C491" s="134" t="inlineStr">
        <is>
          <t>XR20824030-OS</t>
        </is>
      </c>
      <c r="D491" s="5">
        <f>IF($I2="","",INDEX(Productos!$B:$B,$I2))</f>
        <v/>
      </c>
      <c r="E491" s="5">
        <f>IF($I2="","",INDEX(Productos!$H:$H,$I2))</f>
        <v/>
      </c>
      <c r="F491" s="5">
        <f>IF($I2="","",INDEX(Productos!$I:$I,$I2))</f>
        <v/>
      </c>
      <c r="G491" s="135" t="n">
        <v>144</v>
      </c>
      <c r="H491" s="5">
        <f>IF($I2="","",INDEX(Productos!$AG:$AG,$I2))</f>
        <v/>
      </c>
      <c r="I491" s="136">
        <f>LET(_xlpm.r,Productos!$E$2:$E$653,_xlpm.m,IFERROR(_xlfn.XMATCH(C491,_xlpm.r),IFERROR(_xlfn.XMATCH(VALUE(C491),_xlpm.r),0)),IF(_xlpm.m=0,"",_xlpm.m+1))</f>
        <v/>
      </c>
      <c r="J491" s="137" t="inlineStr">
        <is>
          <t>NetSuite</t>
        </is>
      </c>
    </row>
  </sheetData>
  <autoFilter ref="A1:J491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IF(ISNUMBER(I6),SUM(I6:I997),0)</f>
        <v/>
      </c>
      <c r="F3" s="145" t="inlineStr">
        <is>
          <t>Renglones:</t>
        </is>
      </c>
      <c r="G3" s="144">
        <f>IF(ISNUMBER(I6),COUNT(I6:I997),0)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43"",""""))))),pE,Productos!$E$2:$E$653,pA,Productos!$A$2:$A$653&amp;"""",s,'Stock por Ubicación'!$A$2:$J$491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$653,""""),sk,XLOOKUP(sk,pE,Produc"&amp;"tos!$B$2:$B$2502,""""),XLOOKUP(sk,pE,Productos!$H$2:$H$653,""""),XLOOKUP(sk,pE,Productos!$I$2:$I$653,""""),pz),IFERROR(FILTER(rw,pz&gt;0),""""))),todo,IF(INDEX(a,1,1)="""",b,IF(INDEX(b,1,1)="""",a,VSTACK(a,b))),IF(INDEX(todo,1,1)="""",""Sin existencias en "&amp;"esta bodega"",LET(tl,XLOOKUP(INDEX(todo,0,4),pE,Productos!$F$2:$F$653,"""")&amp;"""",o,HSTACK(CHOOSECOLS(todo,1,2,3,4,5,6,7),tl,CHOOSECOLS(todo,8)),x,SORT(o,1,TRUE,4,TRUE),IF(x="""","""",x)))))"),"B25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IF(ISNUMBER(I6),SUM(I6:I997),0)</f>
        <v/>
      </c>
      <c r="F3" s="145" t="inlineStr">
        <is>
          <t>Renglones:</t>
        </is>
      </c>
      <c r="G3" s="144">
        <f>IF(ISNUMBER(I6),COUNT(I6:I997),0)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43"",""""))))),pE,Productos!$E$2:$E$653,s,'Stock por Ubicación'!$A$2:$J$491,su,INDEX(s,0,1),sq,INDEX(s,0,7),selSis,(su&lt;&gt;"""")*ISNUMBER(sq)*(sq&gt;0)*(asig(su)=bod)&gt;0,a,IFERROR(FILTER(CHOOSECOLS(s,1,10,2,3,4,5,6,7),sel"&amp;"Sis),""""),tu,Table_2[Ubicación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$653,""""),sk,XLOOKUP(sk,pE,Productos!$B$2:$B$653"&amp;"02,""""),XLOOKUP(sk,pE,Productos!$H$2:$H$653,""""),XLOOKUP(sk,pE,Productos!$I$2:$I$653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$653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2026-10-06T16:34:34Z</dcterms:modified>
</cp:coreProperties>
</file>