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  <sheet xmlns:r="http://schemas.openxmlformats.org/officeDocument/2006/relationships" name="Inventario" sheetId="13" state="visible" r:id="rId13"/>
    <sheet xmlns:r="http://schemas.openxmlformats.org/officeDocument/2006/relationships" name="KPIs Inventario" sheetId="14" state="visible" r:id="rId14"/>
  </sheets>
  <definedNames>
    <definedName name="_xlnm._FilterDatabase" localSheetId="4" hidden="1">'Productos'!$A$1:$AR$204</definedName>
    <definedName name="_xlnm._FilterDatabase" localSheetId="7" hidden="1">'Revisión Duplicados'!$A$1:$AU$5</definedName>
    <definedName name="_xlnm._FilterDatabase" localSheetId="8" hidden="1">'Stock por Ubicación'!$A$1:$J$238</definedName>
    <definedName name="_xlnm._FilterDatabase" localSheetId="12" hidden="1">'Inventario'!$A$1:$AE$125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  <numFmt numFmtId="172" formatCode="0.0%"/>
    <numFmt numFmtId="173" formatCode="yyyy-mm-dd h:mm:ss"/>
  </numFmts>
  <fonts count="43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b val="1"/>
      <color rgb="00FFFFFF"/>
    </font>
    <font>
      <b val="1"/>
      <sz val="14"/>
    </font>
    <font>
      <b val="1"/>
    </font>
  </fonts>
  <fills count="23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  <xf numFmtId="0" fontId="40" fillId="21" borderId="0" applyAlignment="1" pivotButton="0" quotePrefix="0" xfId="0">
      <alignment vertical="center" wrapText="1"/>
    </xf>
    <xf numFmtId="169" fontId="0" fillId="0" borderId="0" pivotButton="0" quotePrefix="0" xfId="0"/>
    <xf numFmtId="0" fontId="41" fillId="0" borderId="0" pivotButton="0" quotePrefix="0" xfId="0"/>
    <xf numFmtId="0" fontId="42" fillId="22" borderId="0" pivotButton="0" quotePrefix="0" xfId="0"/>
    <xf numFmtId="0" fontId="0" fillId="22" borderId="0" pivotButton="0" quotePrefix="0" xfId="0"/>
    <xf numFmtId="0" fontId="40" fillId="21" borderId="0" pivotButton="0" quotePrefix="0" xfId="0"/>
    <xf numFmtId="3" fontId="0" fillId="0" borderId="0" pivotButton="0" quotePrefix="0" xfId="0"/>
    <xf numFmtId="172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4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  <row r="4">
      <c r="A4" s="8" t="n">
        <v>46274</v>
      </c>
      <c r="B4" s="9" t="n">
        <v>0.4409722222222222</v>
      </c>
      <c r="C4" s="10" t="inlineStr">
        <is>
          <t>ESC-20260909-J1-L1-01</t>
        </is>
      </c>
      <c r="D4" s="11" t="inlineStr">
        <is>
          <t>J1-L1-01</t>
        </is>
      </c>
      <c r="E4" s="11">
        <f>IFERROR(__xludf.DUMMYFUNCTION("IFERROR(TEXTJOIN("", "", TRUE, UNIQUE(FILTER(Table_2[Marca], Table_2[Folio de Escaneo]=C4))), """")"),"Stetson")</f>
        <v/>
      </c>
      <c r="F4" s="18">
        <f>SUMIFS(Table_2[Piezas Contadas],Table_2[Folio de Escaneo],C4)</f>
        <v/>
      </c>
      <c r="G4" s="11" t="n"/>
      <c r="H4" s="10" t="inlineStr">
        <is>
          <t>Revisión Requerida</t>
        </is>
      </c>
      <c r="I4" s="20" t="inlineStr">
        <is>
          <t>2 pzs con UPC inexistente en Productos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  <row r="2">
      <c r="A2" s="74" t="inlineStr">
        <is>
          <t>ESC-20260909-J1-L1-01</t>
        </is>
      </c>
      <c r="B2" s="75" t="inlineStr">
        <is>
          <t>2026-09-09 10:45:00</t>
        </is>
      </c>
      <c r="C2" s="76" t="inlineStr">
        <is>
          <t>J1-L1-01</t>
        </is>
      </c>
      <c r="D2" s="77" t="inlineStr">
        <is>
          <t>7506499570848</t>
        </is>
      </c>
      <c r="E2" s="77" t="n"/>
      <c r="F2" s="76" t="inlineStr">
        <is>
          <t>Stetson</t>
        </is>
      </c>
      <c r="G2" s="76" t="inlineStr">
        <is>
          <t>Camisa Stetson Vintage Range Sable Crest</t>
        </is>
      </c>
      <c r="H2" s="74" t="inlineStr">
        <is>
          <t>Camisas</t>
        </is>
      </c>
      <c r="I2" s="74" t="inlineStr">
        <is>
          <t>2XL</t>
        </is>
      </c>
      <c r="J2" s="78" t="n">
        <v>2</v>
      </c>
      <c r="K2" s="76" t="n"/>
      <c r="L2" s="74" t="inlineStr">
        <is>
          <t>Revisión Requerida</t>
        </is>
      </c>
      <c r="M2" s="79" t="inlineStr">
        <is>
          <t>UPC no existe en Productos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20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7506499570833</t>
        </is>
      </c>
      <c r="B2" s="51" t="inlineStr">
        <is>
          <t>108359</t>
        </is>
      </c>
      <c r="C2" s="156" t="inlineStr">
        <is>
          <t>Multimarca</t>
        </is>
      </c>
      <c r="D2" s="156" t="inlineStr">
        <is>
          <t>01-TDAG012-0010</t>
        </is>
      </c>
      <c r="E2" s="156" t="inlineStr">
        <is>
          <t>01-TDAG012-0010-M</t>
        </is>
      </c>
      <c r="F2" s="156" t="inlineStr">
        <is>
          <t>M</t>
        </is>
      </c>
      <c r="G2" s="156" t="inlineStr">
        <is>
          <t>M</t>
        </is>
      </c>
      <c r="H2" s="156" t="inlineStr">
        <is>
          <t>Denver</t>
        </is>
      </c>
      <c r="I2" s="156" t="inlineStr">
        <is>
          <t>Playera Denver caballero blanco</t>
        </is>
      </c>
      <c r="J2" s="156" t="inlineStr">
        <is>
          <t>Ropa</t>
        </is>
      </c>
      <c r="K2" s="156" t="inlineStr">
        <is>
          <t>Playeras</t>
        </is>
      </c>
      <c r="L2" s="156" t="inlineStr">
        <is>
          <t>Hombre</t>
        </is>
      </c>
      <c r="M2" s="156" t="inlineStr">
        <is>
          <t>Denver</t>
        </is>
      </c>
      <c r="N2" s="156" t="inlineStr">
        <is>
          <t>SS26</t>
        </is>
      </c>
      <c r="O2" s="156" t="inlineStr">
        <is>
          <t>Seasonal</t>
        </is>
      </c>
      <c r="P2" s="156" t="inlineStr">
        <is>
          <t>Blanco</t>
        </is>
      </c>
      <c r="Q2" s="156" t="inlineStr">
        <is>
          <t>Regular</t>
        </is>
      </c>
      <c r="R2" s="156" t="n"/>
      <c r="S2" s="156" t="inlineStr">
        <is>
          <t>100% Algodón</t>
        </is>
      </c>
      <c r="T2" s="156" t="inlineStr">
        <is>
          <t>Playera Denver caballero blanco Regular</t>
        </is>
      </c>
      <c r="U2" s="156" t="inlineStr">
        <is>
          <t>México</t>
        </is>
      </c>
      <c r="V2" s="156" t="inlineStr">
        <is>
          <t>PZS</t>
        </is>
      </c>
      <c r="W2" s="51" t="inlineStr">
        <is>
          <t>53101602</t>
        </is>
      </c>
      <c r="X2" s="156" t="n"/>
      <c r="Y2" s="54" t="n">
        <v>329</v>
      </c>
      <c r="Z2" s="54" t="n">
        <v>559.4827586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IFERROR(_xlfn.XMATCH(A2,$A$2:$A$204,0,1)&lt;&gt;_xlfn.XMATCH(A2,$A$2:$A$204,0,-1),FALSE)), "Código de barras duplicado", ""), IF(AND(E2&lt;&gt;"", COUNTIF($E$2:$E$204,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>
        <v>0</v>
      </c>
      <c r="AE2" s="156" t="n"/>
      <c r="AF2" s="51" t="n">
        <v>0</v>
      </c>
      <c r="AG2" s="156" t="inlineStr">
        <is>
          <t>Nuevo – NetSuite sin existencia</t>
        </is>
      </c>
      <c r="AH2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2" s="156" t="inlineStr">
        <is>
          <t>No</t>
        </is>
      </c>
      <c r="AJ2" s="156" t="n"/>
      <c r="AK2" s="155" t="inlineStr">
        <is>
          <t>ProductosCatalogoEstandar907.xlsx: fila 6236 [N,O,Q,S,U,Y]; G1522_Extraccion_Articulos_NetSuite_2026-09-30.xlsx: fila 56518 [P,V,Y,T] | Shopify WB: producto 8569955352761 / variante 47621314445497</t>
        </is>
      </c>
      <c r="AL2" s="58" t="n">
        <v>329</v>
      </c>
      <c r="AM2" s="58" t="n">
        <v>648.99999998</v>
      </c>
      <c r="AN2" s="155" t="inlineStr">
        <is>
          <t>Shopify Western Brothers</t>
        </is>
      </c>
      <c r="AO2" s="59" t="n"/>
      <c r="AP2" s="59" t="n">
        <v>0</v>
      </c>
      <c r="AQ2" s="59" t="n"/>
      <c r="AR2" s="155" t="n"/>
    </row>
    <row r="3">
      <c r="A3" s="50" t="inlineStr">
        <is>
          <t>7506499570834</t>
        </is>
      </c>
      <c r="B3" s="51" t="inlineStr">
        <is>
          <t>108360</t>
        </is>
      </c>
      <c r="C3" s="156" t="inlineStr">
        <is>
          <t>Multimarca</t>
        </is>
      </c>
      <c r="D3" s="156" t="inlineStr">
        <is>
          <t>01-TDAG012-0010</t>
        </is>
      </c>
      <c r="E3" s="156" t="inlineStr">
        <is>
          <t>01-TDAG012-0010-L</t>
        </is>
      </c>
      <c r="F3" s="156" t="inlineStr">
        <is>
          <t>L</t>
        </is>
      </c>
      <c r="G3" s="156" t="inlineStr">
        <is>
          <t>L</t>
        </is>
      </c>
      <c r="H3" s="156" t="inlineStr">
        <is>
          <t>Denver</t>
        </is>
      </c>
      <c r="I3" s="156" t="inlineStr">
        <is>
          <t>Playera Denver caballero blanco</t>
        </is>
      </c>
      <c r="J3" s="156" t="inlineStr">
        <is>
          <t>Ropa</t>
        </is>
      </c>
      <c r="K3" s="156" t="inlineStr">
        <is>
          <t>Playeras</t>
        </is>
      </c>
      <c r="L3" s="156" t="inlineStr">
        <is>
          <t>Hombre</t>
        </is>
      </c>
      <c r="M3" s="156" t="inlineStr">
        <is>
          <t>Denver</t>
        </is>
      </c>
      <c r="N3" s="156" t="inlineStr">
        <is>
          <t>SS26</t>
        </is>
      </c>
      <c r="O3" s="156" t="inlineStr">
        <is>
          <t>Seasonal</t>
        </is>
      </c>
      <c r="P3" s="156" t="inlineStr">
        <is>
          <t>Blanco</t>
        </is>
      </c>
      <c r="Q3" s="156" t="inlineStr">
        <is>
          <t>Regular</t>
        </is>
      </c>
      <c r="R3" s="156" t="n"/>
      <c r="S3" s="156" t="inlineStr">
        <is>
          <t>100% Algodón</t>
        </is>
      </c>
      <c r="T3" s="156" t="inlineStr">
        <is>
          <t>Playera Denver caballero blanco Regular</t>
        </is>
      </c>
      <c r="U3" s="156" t="inlineStr">
        <is>
          <t>México</t>
        </is>
      </c>
      <c r="V3" s="156" t="inlineStr">
        <is>
          <t>PZS</t>
        </is>
      </c>
      <c r="W3" s="51" t="inlineStr">
        <is>
          <t>53101602</t>
        </is>
      </c>
      <c r="X3" s="156" t="n"/>
      <c r="Y3" s="54" t="n">
        <v>329</v>
      </c>
      <c r="Z3" s="54" t="n">
        <v>559.4827586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IFERROR(_xlfn.XMATCH(A3,$A$2:$A$204,0,1)&lt;&gt;_xlfn.XMATCH(A3,$A$2:$A$204,0,-1),FALSE)), "Código de barras duplicado", ""), IF(AND(E3&lt;&gt;"", COUNTIF($E$2:$E$204,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>
        <v>3</v>
      </c>
      <c r="AE3" s="156" t="inlineStr">
        <is>
          <t>WB OUTLET LERMA: 3</t>
        </is>
      </c>
      <c r="AF3" s="51" t="n">
        <v>3</v>
      </c>
      <c r="AG3" s="156" t="inlineStr">
        <is>
          <t>Nuevo – NetSuite con existencia</t>
        </is>
      </c>
      <c r="AH3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3" s="156" t="inlineStr">
        <is>
          <t>No</t>
        </is>
      </c>
      <c r="AJ3" s="156" t="n"/>
      <c r="AK3" s="155" t="inlineStr">
        <is>
          <t>ProductosCatalogoEstandar907.xlsx: fila 6237 [N,O,Q,S,U,Y]; G1522_Extraccion_Articulos_NetSuite_2026-09-30.xlsx: fila 56519 [P,V,Y,T] | Shopify WB: producto 8569955352761 / variante 47621314478265</t>
        </is>
      </c>
      <c r="AL3" s="58" t="n">
        <v>329</v>
      </c>
      <c r="AM3" s="58" t="n">
        <v>648.99999998</v>
      </c>
      <c r="AN3" s="155" t="inlineStr">
        <is>
          <t>Shopify Western Brothers</t>
        </is>
      </c>
      <c r="AO3" s="59" t="n"/>
      <c r="AP3" s="59" t="n">
        <v>3</v>
      </c>
      <c r="AQ3" s="59" t="n"/>
      <c r="AR3" s="155" t="inlineStr">
        <is>
          <t>Shopify Western Brothers › Western Brothers Outlet Lerma: 3</t>
        </is>
      </c>
    </row>
    <row r="4">
      <c r="A4" s="50" t="inlineStr">
        <is>
          <t>7506499570835</t>
        </is>
      </c>
      <c r="B4" s="51" t="inlineStr">
        <is>
          <t>108361</t>
        </is>
      </c>
      <c r="C4" s="156" t="inlineStr">
        <is>
          <t>Multimarca</t>
        </is>
      </c>
      <c r="D4" s="156" t="inlineStr">
        <is>
          <t>01-TDAG012-0010</t>
        </is>
      </c>
      <c r="E4" s="156" t="inlineStr">
        <is>
          <t>01-TDAG012-0010-XL</t>
        </is>
      </c>
      <c r="F4" s="156" t="inlineStr">
        <is>
          <t>XL</t>
        </is>
      </c>
      <c r="G4" s="156" t="inlineStr">
        <is>
          <t>XL</t>
        </is>
      </c>
      <c r="H4" s="156" t="inlineStr">
        <is>
          <t>Denver</t>
        </is>
      </c>
      <c r="I4" s="156" t="inlineStr">
        <is>
          <t>Playera Denver caballero blanco</t>
        </is>
      </c>
      <c r="J4" s="156" t="inlineStr">
        <is>
          <t>Ropa</t>
        </is>
      </c>
      <c r="K4" s="156" t="inlineStr">
        <is>
          <t>Playeras</t>
        </is>
      </c>
      <c r="L4" s="156" t="inlineStr">
        <is>
          <t>Hombre</t>
        </is>
      </c>
      <c r="M4" s="156" t="inlineStr">
        <is>
          <t>Denver</t>
        </is>
      </c>
      <c r="N4" s="156" t="inlineStr">
        <is>
          <t>SS26</t>
        </is>
      </c>
      <c r="O4" s="156" t="inlineStr">
        <is>
          <t>Seasonal</t>
        </is>
      </c>
      <c r="P4" s="156" t="inlineStr">
        <is>
          <t>Blanco</t>
        </is>
      </c>
      <c r="Q4" s="156" t="inlineStr">
        <is>
          <t>Regular</t>
        </is>
      </c>
      <c r="R4" s="156" t="n"/>
      <c r="S4" s="156" t="inlineStr">
        <is>
          <t>100% Algodón</t>
        </is>
      </c>
      <c r="T4" s="156" t="inlineStr">
        <is>
          <t>Playera Denver caballero blanco Regular</t>
        </is>
      </c>
      <c r="U4" s="156" t="inlineStr">
        <is>
          <t>México</t>
        </is>
      </c>
      <c r="V4" s="156" t="inlineStr">
        <is>
          <t>PZS</t>
        </is>
      </c>
      <c r="W4" s="51" t="inlineStr">
        <is>
          <t>53101602</t>
        </is>
      </c>
      <c r="X4" s="156" t="n"/>
      <c r="Y4" s="54" t="n">
        <v>329</v>
      </c>
      <c r="Z4" s="54" t="n">
        <v>559.4827586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IFERROR(_xlfn.XMATCH(A4,$A$2:$A$204,0,1)&lt;&gt;_xlfn.XMATCH(A4,$A$2:$A$204,0,-1),FALSE)), "Código de barras duplicado", ""), IF(AND(E4&lt;&gt;"", COUNTIF($E$2:$E$204,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>
        <v>3</v>
      </c>
      <c r="AE4" s="156" t="inlineStr">
        <is>
          <t>WB OUTLET LERMA: 3</t>
        </is>
      </c>
      <c r="AF4" s="51" t="n">
        <v>3</v>
      </c>
      <c r="AG4" s="156" t="inlineStr">
        <is>
          <t>Nuevo – NetSuite con existencia</t>
        </is>
      </c>
      <c r="AH4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4" s="156" t="inlineStr">
        <is>
          <t>No</t>
        </is>
      </c>
      <c r="AJ4" s="156" t="n"/>
      <c r="AK4" s="155" t="inlineStr">
        <is>
          <t>ProductosCatalogoEstandar907.xlsx: fila 6238 [N,O,Q,S,U,Y]; G1522_Extraccion_Articulos_NetSuite_2026-09-30.xlsx: fila 56520 [P,V,Y,T] | Shopify WB: producto 8569955352761 / variante 47621314511033</t>
        </is>
      </c>
      <c r="AL4" s="58" t="n">
        <v>329</v>
      </c>
      <c r="AM4" s="58" t="n">
        <v>648.99999998</v>
      </c>
      <c r="AN4" s="155" t="inlineStr">
        <is>
          <t>Shopify Western Brothers</t>
        </is>
      </c>
      <c r="AO4" s="59" t="n"/>
      <c r="AP4" s="59" t="n">
        <v>3</v>
      </c>
      <c r="AQ4" s="59" t="n"/>
      <c r="AR4" s="155" t="inlineStr">
        <is>
          <t>Shopify Western Brothers › Western Brothers Outlet Lerma: 3</t>
        </is>
      </c>
    </row>
    <row r="5">
      <c r="A5" s="50" t="inlineStr">
        <is>
          <t>7506499570836</t>
        </is>
      </c>
      <c r="B5" s="51" t="inlineStr">
        <is>
          <t>108362</t>
        </is>
      </c>
      <c r="C5" s="156" t="inlineStr">
        <is>
          <t>Multimarca</t>
        </is>
      </c>
      <c r="D5" s="156" t="inlineStr">
        <is>
          <t>01-TDAG012-0011</t>
        </is>
      </c>
      <c r="E5" s="156" t="inlineStr">
        <is>
          <t>01-TDAG012-0011-S</t>
        </is>
      </c>
      <c r="F5" s="156" t="inlineStr">
        <is>
          <t>S</t>
        </is>
      </c>
      <c r="G5" s="156" t="inlineStr">
        <is>
          <t>S</t>
        </is>
      </c>
      <c r="H5" s="156" t="inlineStr">
        <is>
          <t>Denver</t>
        </is>
      </c>
      <c r="I5" s="156" t="inlineStr">
        <is>
          <t>Playera Denver caballero negro calavera con guitarra</t>
        </is>
      </c>
      <c r="J5" s="156" t="inlineStr">
        <is>
          <t>Ropa</t>
        </is>
      </c>
      <c r="K5" s="156" t="inlineStr">
        <is>
          <t>Playeras</t>
        </is>
      </c>
      <c r="L5" s="156" t="inlineStr">
        <is>
          <t>Hombre</t>
        </is>
      </c>
      <c r="M5" s="156" t="inlineStr">
        <is>
          <t>Denver</t>
        </is>
      </c>
      <c r="N5" s="156" t="inlineStr">
        <is>
          <t>SS26</t>
        </is>
      </c>
      <c r="O5" s="156" t="inlineStr">
        <is>
          <t>Seasonal</t>
        </is>
      </c>
      <c r="P5" s="156" t="inlineStr">
        <is>
          <t>Negro</t>
        </is>
      </c>
      <c r="Q5" s="156" t="inlineStr">
        <is>
          <t>Regular</t>
        </is>
      </c>
      <c r="R5" s="156" t="n"/>
      <c r="S5" s="156" t="inlineStr">
        <is>
          <t>100% Algodón</t>
        </is>
      </c>
      <c r="T5" s="156" t="inlineStr">
        <is>
          <t>Playera Denver caballero negro calavera con guitarra Regular</t>
        </is>
      </c>
      <c r="U5" s="156" t="inlineStr">
        <is>
          <t>México</t>
        </is>
      </c>
      <c r="V5" s="156" t="inlineStr">
        <is>
          <t>PZS</t>
        </is>
      </c>
      <c r="W5" s="51" t="inlineStr">
        <is>
          <t>53101602</t>
        </is>
      </c>
      <c r="X5" s="156" t="n"/>
      <c r="Y5" s="54" t="n">
        <v>329</v>
      </c>
      <c r="Z5" s="54" t="n">
        <v>559.4827586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IFERROR(_xlfn.XMATCH(A5,$A$2:$A$204,0,1)&lt;&gt;_xlfn.XMATCH(A5,$A$2:$A$204,0,-1),FALSE)), "Código de barras duplicado", ""), IF(AND(E5&lt;&gt;"", COUNTIF($E$2:$E$204,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>
        <v>2</v>
      </c>
      <c r="AE5" s="156" t="inlineStr">
        <is>
          <t>WB OUTLET LERMA: 2</t>
        </is>
      </c>
      <c r="AF5" s="51" t="n">
        <v>2</v>
      </c>
      <c r="AG5" s="156" t="inlineStr">
        <is>
          <t>Nuevo – NetSuite con existencia</t>
        </is>
      </c>
      <c r="AH5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5" s="156" t="inlineStr">
        <is>
          <t>No</t>
        </is>
      </c>
      <c r="AJ5" s="156" t="n"/>
      <c r="AK5" s="155" t="inlineStr">
        <is>
          <t>ProductosCatalogoEstandar907.xlsx: fila 6239 [N,O,Q,S,U,Y]; G1522_Extraccion_Articulos_NetSuite_2026-09-30.xlsx: fila 56521 [P,V,Y,T] | Shopify WB: producto 8569955680441 / variante 47621314773177</t>
        </is>
      </c>
      <c r="AL5" s="58" t="n">
        <v>329</v>
      </c>
      <c r="AM5" s="58" t="n">
        <v>648.99999998</v>
      </c>
      <c r="AN5" s="155" t="inlineStr">
        <is>
          <t>Shopify Western Brothers</t>
        </is>
      </c>
      <c r="AO5" s="59" t="n"/>
      <c r="AP5" s="59" t="n">
        <v>2</v>
      </c>
      <c r="AQ5" s="59" t="n"/>
      <c r="AR5" s="155" t="inlineStr">
        <is>
          <t>Shopify Western Brothers › Western Brothers Outlet Lerma: 2</t>
        </is>
      </c>
    </row>
    <row r="6">
      <c r="A6" s="50" t="inlineStr">
        <is>
          <t>7506499570837</t>
        </is>
      </c>
      <c r="B6" s="51" t="inlineStr">
        <is>
          <t>108363</t>
        </is>
      </c>
      <c r="C6" s="156" t="inlineStr">
        <is>
          <t>Multimarca</t>
        </is>
      </c>
      <c r="D6" s="156" t="inlineStr">
        <is>
          <t>01-TDAG012-0011</t>
        </is>
      </c>
      <c r="E6" s="156" t="inlineStr">
        <is>
          <t>01-TDAG012-0011-M</t>
        </is>
      </c>
      <c r="F6" s="156" t="inlineStr">
        <is>
          <t>M</t>
        </is>
      </c>
      <c r="G6" s="156" t="inlineStr">
        <is>
          <t>M</t>
        </is>
      </c>
      <c r="H6" s="156" t="inlineStr">
        <is>
          <t>Denver</t>
        </is>
      </c>
      <c r="I6" s="156" t="inlineStr">
        <is>
          <t>Playera Denver caballero negro calavera con guitarra</t>
        </is>
      </c>
      <c r="J6" s="156" t="inlineStr">
        <is>
          <t>Ropa</t>
        </is>
      </c>
      <c r="K6" s="156" t="inlineStr">
        <is>
          <t>Playeras</t>
        </is>
      </c>
      <c r="L6" s="156" t="inlineStr">
        <is>
          <t>Hombre</t>
        </is>
      </c>
      <c r="M6" s="156" t="inlineStr">
        <is>
          <t>Denver</t>
        </is>
      </c>
      <c r="N6" s="156" t="inlineStr">
        <is>
          <t>SS26</t>
        </is>
      </c>
      <c r="O6" s="156" t="inlineStr">
        <is>
          <t>Seasonal</t>
        </is>
      </c>
      <c r="P6" s="156" t="inlineStr">
        <is>
          <t>Negro</t>
        </is>
      </c>
      <c r="Q6" s="156" t="inlineStr">
        <is>
          <t>Regular</t>
        </is>
      </c>
      <c r="R6" s="156" t="n"/>
      <c r="S6" s="156" t="inlineStr">
        <is>
          <t>100% Algodón</t>
        </is>
      </c>
      <c r="T6" s="156" t="inlineStr">
        <is>
          <t>Playera Denver caballero negro calavera con guitarra Regular</t>
        </is>
      </c>
      <c r="U6" s="156" t="inlineStr">
        <is>
          <t>México</t>
        </is>
      </c>
      <c r="V6" s="156" t="inlineStr">
        <is>
          <t>PZS</t>
        </is>
      </c>
      <c r="W6" s="51" t="inlineStr">
        <is>
          <t>53101602</t>
        </is>
      </c>
      <c r="X6" s="156" t="n"/>
      <c r="Y6" s="54" t="n">
        <v>329</v>
      </c>
      <c r="Z6" s="54" t="n">
        <v>559.4827586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IFERROR(_xlfn.XMATCH(A6,$A$2:$A$204,0,1)&lt;&gt;_xlfn.XMATCH(A6,$A$2:$A$204,0,-1),FALSE)), "Código de barras duplicado", ""), IF(AND(E6&lt;&gt;"", COUNTIF($E$2:$E$204,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>
        <v>1</v>
      </c>
      <c r="AE6" s="156" t="inlineStr">
        <is>
          <t>WB OUTLET LERMA: 1</t>
        </is>
      </c>
      <c r="AF6" s="51" t="n">
        <v>1</v>
      </c>
      <c r="AG6" s="156" t="inlineStr">
        <is>
          <t>Nuevo – NetSuite con existencia</t>
        </is>
      </c>
      <c r="AH6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6" s="156" t="inlineStr">
        <is>
          <t>No</t>
        </is>
      </c>
      <c r="AJ6" s="156" t="n"/>
      <c r="AK6" s="155" t="inlineStr">
        <is>
          <t>ProductosCatalogoEstandar907.xlsx: fila 6240 [N,O,Q,S,U,Y]; G1522_Extraccion_Articulos_NetSuite_2026-09-30.xlsx: fila 56522 [P,V,Y,T] | Shopify WB: producto 8569955680441 / variante 47621314805945</t>
        </is>
      </c>
      <c r="AL6" s="58" t="n">
        <v>329</v>
      </c>
      <c r="AM6" s="58" t="n">
        <v>648.99999998</v>
      </c>
      <c r="AN6" s="155" t="inlineStr">
        <is>
          <t>Shopify Western Brothers</t>
        </is>
      </c>
      <c r="AO6" s="59" t="n"/>
      <c r="AP6" s="59" t="n">
        <v>1</v>
      </c>
      <c r="AQ6" s="59" t="n"/>
      <c r="AR6" s="155" t="inlineStr">
        <is>
          <t>Shopify Western Brothers › Western Brothers Outlet Lerma: 1</t>
        </is>
      </c>
    </row>
    <row r="7">
      <c r="A7" s="50" t="inlineStr">
        <is>
          <t>7506499570838</t>
        </is>
      </c>
      <c r="B7" s="51" t="inlineStr">
        <is>
          <t>108364</t>
        </is>
      </c>
      <c r="C7" s="156" t="inlineStr">
        <is>
          <t>Multimarca</t>
        </is>
      </c>
      <c r="D7" s="156" t="inlineStr">
        <is>
          <t>01-TDAG012-0011</t>
        </is>
      </c>
      <c r="E7" s="156" t="inlineStr">
        <is>
          <t>01-TDAG012-0011-L</t>
        </is>
      </c>
      <c r="F7" s="156" t="inlineStr">
        <is>
          <t>L</t>
        </is>
      </c>
      <c r="G7" s="156" t="inlineStr">
        <is>
          <t>L</t>
        </is>
      </c>
      <c r="H7" s="156" t="inlineStr">
        <is>
          <t>Denver</t>
        </is>
      </c>
      <c r="I7" s="156" t="inlineStr">
        <is>
          <t>Playera Denver caballero negro calavera con guitarra</t>
        </is>
      </c>
      <c r="J7" s="156" t="inlineStr">
        <is>
          <t>Ropa</t>
        </is>
      </c>
      <c r="K7" s="156" t="inlineStr">
        <is>
          <t>Playeras</t>
        </is>
      </c>
      <c r="L7" s="156" t="inlineStr">
        <is>
          <t>Hombre</t>
        </is>
      </c>
      <c r="M7" s="156" t="inlineStr">
        <is>
          <t>Denver</t>
        </is>
      </c>
      <c r="N7" s="156" t="inlineStr">
        <is>
          <t>SS26</t>
        </is>
      </c>
      <c r="O7" s="156" t="inlineStr">
        <is>
          <t>Seasonal</t>
        </is>
      </c>
      <c r="P7" s="156" t="inlineStr">
        <is>
          <t>Negro</t>
        </is>
      </c>
      <c r="Q7" s="156" t="inlineStr">
        <is>
          <t>Regular</t>
        </is>
      </c>
      <c r="R7" s="156" t="n"/>
      <c r="S7" s="156" t="inlineStr">
        <is>
          <t>100% Algodón</t>
        </is>
      </c>
      <c r="T7" s="156" t="inlineStr">
        <is>
          <t>Playera Denver caballero negro calavera con guitarra Regular</t>
        </is>
      </c>
      <c r="U7" s="156" t="inlineStr">
        <is>
          <t>México</t>
        </is>
      </c>
      <c r="V7" s="156" t="inlineStr">
        <is>
          <t>PZS</t>
        </is>
      </c>
      <c r="W7" s="51" t="inlineStr">
        <is>
          <t>53101602</t>
        </is>
      </c>
      <c r="X7" s="156" t="n"/>
      <c r="Y7" s="54" t="n">
        <v>329</v>
      </c>
      <c r="Z7" s="54" t="n">
        <v>559.4827586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IFERROR(_xlfn.XMATCH(A7,$A$2:$A$204,0,1)&lt;&gt;_xlfn.XMATCH(A7,$A$2:$A$204,0,-1),FALSE)), "Código de barras duplicado", ""), IF(AND(E7&lt;&gt;"", COUNTIF($E$2:$E$204,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>
        <v>1</v>
      </c>
      <c r="AE7" s="156" t="inlineStr">
        <is>
          <t>WB OUTLET LERMA: 1</t>
        </is>
      </c>
      <c r="AF7" s="51" t="n">
        <v>1</v>
      </c>
      <c r="AG7" s="156" t="inlineStr">
        <is>
          <t>Nuevo – NetSuite con existencia</t>
        </is>
      </c>
      <c r="AH7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7" s="156" t="inlineStr">
        <is>
          <t>No</t>
        </is>
      </c>
      <c r="AJ7" s="156" t="n"/>
      <c r="AK7" s="155" t="inlineStr">
        <is>
          <t>ProductosCatalogoEstandar907.xlsx: fila 6241 [N,O,Q,S,U,Y]; G1522_Extraccion_Articulos_NetSuite_2026-09-30.xlsx: fila 56523 [P,V,Y,T] | Shopify WB: producto 8569955680441 / variante 47621314838713</t>
        </is>
      </c>
      <c r="AL7" s="58" t="n">
        <v>329</v>
      </c>
      <c r="AM7" s="58" t="n">
        <v>648.99999998</v>
      </c>
      <c r="AN7" s="155" t="inlineStr">
        <is>
          <t>Shopify Western Brothers</t>
        </is>
      </c>
      <c r="AO7" s="59" t="n"/>
      <c r="AP7" s="59" t="n">
        <v>1</v>
      </c>
      <c r="AQ7" s="59" t="n"/>
      <c r="AR7" s="155" t="inlineStr">
        <is>
          <t>Shopify Western Brothers › Western Brothers Outlet Lerma: 1</t>
        </is>
      </c>
    </row>
    <row r="8">
      <c r="A8" s="50" t="inlineStr">
        <is>
          <t>7506499570839</t>
        </is>
      </c>
      <c r="B8" s="51" t="inlineStr">
        <is>
          <t>108365</t>
        </is>
      </c>
      <c r="C8" s="156" t="inlineStr">
        <is>
          <t>Multimarca</t>
        </is>
      </c>
      <c r="D8" s="156" t="inlineStr">
        <is>
          <t>01-TDAG012-0011</t>
        </is>
      </c>
      <c r="E8" s="156" t="inlineStr">
        <is>
          <t>01-TDAG012-0011-XL</t>
        </is>
      </c>
      <c r="F8" s="156" t="inlineStr">
        <is>
          <t>XL</t>
        </is>
      </c>
      <c r="G8" s="156" t="inlineStr">
        <is>
          <t>XL</t>
        </is>
      </c>
      <c r="H8" s="156" t="inlineStr">
        <is>
          <t>Denver</t>
        </is>
      </c>
      <c r="I8" s="156" t="inlineStr">
        <is>
          <t>Playera Denver caballero negro calavera con guitarra</t>
        </is>
      </c>
      <c r="J8" s="156" t="inlineStr">
        <is>
          <t>Ropa</t>
        </is>
      </c>
      <c r="K8" s="156" t="inlineStr">
        <is>
          <t>Playeras</t>
        </is>
      </c>
      <c r="L8" s="156" t="inlineStr">
        <is>
          <t>Hombre</t>
        </is>
      </c>
      <c r="M8" s="156" t="inlineStr">
        <is>
          <t>Denver</t>
        </is>
      </c>
      <c r="N8" s="156" t="inlineStr">
        <is>
          <t>SS26</t>
        </is>
      </c>
      <c r="O8" s="156" t="inlineStr">
        <is>
          <t>Seasonal</t>
        </is>
      </c>
      <c r="P8" s="156" t="inlineStr">
        <is>
          <t>Negro</t>
        </is>
      </c>
      <c r="Q8" s="156" t="inlineStr">
        <is>
          <t>Regular</t>
        </is>
      </c>
      <c r="R8" s="156" t="n"/>
      <c r="S8" s="156" t="inlineStr">
        <is>
          <t>100% Algodón</t>
        </is>
      </c>
      <c r="T8" s="156" t="inlineStr">
        <is>
          <t>Playera Denver caballero negro calavera con guitarra Regular</t>
        </is>
      </c>
      <c r="U8" s="156" t="inlineStr">
        <is>
          <t>México</t>
        </is>
      </c>
      <c r="V8" s="156" t="inlineStr">
        <is>
          <t>PZS</t>
        </is>
      </c>
      <c r="W8" s="51" t="inlineStr">
        <is>
          <t>53101602</t>
        </is>
      </c>
      <c r="X8" s="156" t="n"/>
      <c r="Y8" s="54" t="n">
        <v>329</v>
      </c>
      <c r="Z8" s="54" t="n">
        <v>559.4827586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IFERROR(_xlfn.XMATCH(A8,$A$2:$A$204,0,1)&lt;&gt;_xlfn.XMATCH(A8,$A$2:$A$204,0,-1),FALSE)), "Código de barras duplicado", ""), IF(AND(E8&lt;&gt;"", COUNTIF($E$2:$E$204,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>
        <v>3</v>
      </c>
      <c r="AE8" s="156" t="inlineStr">
        <is>
          <t>WB OUTLET LERMA: 3</t>
        </is>
      </c>
      <c r="AF8" s="51" t="n">
        <v>3</v>
      </c>
      <c r="AG8" s="156" t="inlineStr">
        <is>
          <t>Nuevo – NetSuite con existencia</t>
        </is>
      </c>
      <c r="AH8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8" s="156" t="inlineStr">
        <is>
          <t>No</t>
        </is>
      </c>
      <c r="AJ8" s="156" t="n"/>
      <c r="AK8" s="155" t="inlineStr">
        <is>
          <t>ProductosCatalogoEstandar907.xlsx: fila 6242 [N,O,Q,S,U,Y]; G1522_Extraccion_Articulos_NetSuite_2026-09-30.xlsx: fila 56524 [P,V,Y,T] | Shopify WB: producto 8569955680441 / variante 47621314871481</t>
        </is>
      </c>
      <c r="AL8" s="58" t="n">
        <v>329</v>
      </c>
      <c r="AM8" s="58" t="n">
        <v>648.99999998</v>
      </c>
      <c r="AN8" s="155" t="inlineStr">
        <is>
          <t>Shopify Western Brothers</t>
        </is>
      </c>
      <c r="AO8" s="59" t="n"/>
      <c r="AP8" s="59" t="n">
        <v>3</v>
      </c>
      <c r="AQ8" s="59" t="n"/>
      <c r="AR8" s="155" t="inlineStr">
        <is>
          <t>Shopify Western Brothers › Western Brothers Outlet Lerma: 3</t>
        </is>
      </c>
    </row>
    <row r="9">
      <c r="A9" s="50" t="inlineStr">
        <is>
          <t>7506499570840</t>
        </is>
      </c>
      <c r="B9" s="51" t="inlineStr">
        <is>
          <t>108366</t>
        </is>
      </c>
      <c r="C9" s="156" t="inlineStr">
        <is>
          <t>Multimarca</t>
        </is>
      </c>
      <c r="D9" s="156" t="inlineStr">
        <is>
          <t>01-TDAG012-0015</t>
        </is>
      </c>
      <c r="E9" s="156" t="inlineStr">
        <is>
          <t>01-TDAG012-0015-S</t>
        </is>
      </c>
      <c r="F9" s="156" t="inlineStr">
        <is>
          <t>S</t>
        </is>
      </c>
      <c r="G9" s="156" t="inlineStr">
        <is>
          <t>S</t>
        </is>
      </c>
      <c r="H9" s="156" t="inlineStr">
        <is>
          <t>Denver</t>
        </is>
      </c>
      <c r="I9" s="156" t="inlineStr">
        <is>
          <t>Playera Denver caballero blanco cocodrilo</t>
        </is>
      </c>
      <c r="J9" s="156" t="inlineStr">
        <is>
          <t>Ropa</t>
        </is>
      </c>
      <c r="K9" s="156" t="inlineStr">
        <is>
          <t>Playeras</t>
        </is>
      </c>
      <c r="L9" s="156" t="inlineStr">
        <is>
          <t>Hombre</t>
        </is>
      </c>
      <c r="M9" s="156" t="inlineStr">
        <is>
          <t>Denver</t>
        </is>
      </c>
      <c r="N9" s="156" t="inlineStr">
        <is>
          <t>SS26</t>
        </is>
      </c>
      <c r="O9" s="156" t="inlineStr">
        <is>
          <t>Seasonal</t>
        </is>
      </c>
      <c r="P9" s="156" t="inlineStr">
        <is>
          <t>Blanco</t>
        </is>
      </c>
      <c r="Q9" s="156" t="inlineStr">
        <is>
          <t>Regular</t>
        </is>
      </c>
      <c r="R9" s="156" t="n"/>
      <c r="S9" s="156" t="inlineStr">
        <is>
          <t>100% Algodón</t>
        </is>
      </c>
      <c r="T9" s="156" t="inlineStr">
        <is>
          <t>Playera Denver caballero blanco cocodrilo Regular</t>
        </is>
      </c>
      <c r="U9" s="156" t="inlineStr">
        <is>
          <t>México</t>
        </is>
      </c>
      <c r="V9" s="156" t="inlineStr">
        <is>
          <t>PZS</t>
        </is>
      </c>
      <c r="W9" s="51" t="inlineStr">
        <is>
          <t>53101602</t>
        </is>
      </c>
      <c r="X9" s="156" t="n"/>
      <c r="Y9" s="54" t="n">
        <v>329</v>
      </c>
      <c r="Z9" s="54" t="n">
        <v>559.4827586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IFERROR(_xlfn.XMATCH(A9,$A$2:$A$204,0,1)&lt;&gt;_xlfn.XMATCH(A9,$A$2:$A$204,0,-1),FALSE)), "Código de barras duplicado", ""), IF(AND(E9&lt;&gt;"", COUNTIF($E$2:$E$204,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>
        <v>1</v>
      </c>
      <c r="AE9" s="156" t="inlineStr">
        <is>
          <t>WB OUTLET LERMA: 1</t>
        </is>
      </c>
      <c r="AF9" s="51" t="n">
        <v>1</v>
      </c>
      <c r="AG9" s="156" t="inlineStr">
        <is>
          <t>Nuevo – NetSuite con existencia</t>
        </is>
      </c>
      <c r="AH9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9" s="156" t="inlineStr">
        <is>
          <t>No</t>
        </is>
      </c>
      <c r="AJ9" s="156" t="n"/>
      <c r="AK9" s="155" t="inlineStr">
        <is>
          <t>ProductosCatalogoEstandar907.xlsx: fila 6243 [N,O,Q,S,U,Y]; G1522_Extraccion_Articulos_NetSuite_2026-09-30.xlsx: fila 56525 [P,V,Y,T] | Shopify WB: producto 8569955811513 / variante 47621315166393</t>
        </is>
      </c>
      <c r="AL9" s="58" t="n">
        <v>329</v>
      </c>
      <c r="AM9" s="58" t="n">
        <v>648.99999998</v>
      </c>
      <c r="AN9" s="155" t="inlineStr">
        <is>
          <t>Shopify Western Brothers</t>
        </is>
      </c>
      <c r="AO9" s="59" t="n"/>
      <c r="AP9" s="59" t="n">
        <v>2</v>
      </c>
      <c r="AQ9" s="59" t="n"/>
      <c r="AR9" s="155" t="inlineStr">
        <is>
          <t>Shopify Western Brothers › Western Brothers Outlet Lerma: 2</t>
        </is>
      </c>
    </row>
    <row r="10">
      <c r="A10" s="50" t="inlineStr">
        <is>
          <t>7506499570841</t>
        </is>
      </c>
      <c r="B10" s="51" t="inlineStr">
        <is>
          <t>108367</t>
        </is>
      </c>
      <c r="C10" s="156" t="inlineStr">
        <is>
          <t>Multimarca</t>
        </is>
      </c>
      <c r="D10" s="156" t="inlineStr">
        <is>
          <t>01-TDAG012-0015</t>
        </is>
      </c>
      <c r="E10" s="156" t="inlineStr">
        <is>
          <t>01-TDAG012-0015-M</t>
        </is>
      </c>
      <c r="F10" s="156" t="inlineStr">
        <is>
          <t>M</t>
        </is>
      </c>
      <c r="G10" s="156" t="inlineStr">
        <is>
          <t>M</t>
        </is>
      </c>
      <c r="H10" s="156" t="inlineStr">
        <is>
          <t>Denver</t>
        </is>
      </c>
      <c r="I10" s="156" t="inlineStr">
        <is>
          <t>Playera Denver caballero blanco cocodrilo</t>
        </is>
      </c>
      <c r="J10" s="156" t="inlineStr">
        <is>
          <t>Ropa</t>
        </is>
      </c>
      <c r="K10" s="156" t="inlineStr">
        <is>
          <t>Playeras</t>
        </is>
      </c>
      <c r="L10" s="156" t="inlineStr">
        <is>
          <t>Hombre</t>
        </is>
      </c>
      <c r="M10" s="156" t="inlineStr">
        <is>
          <t>Denver</t>
        </is>
      </c>
      <c r="N10" s="156" t="inlineStr">
        <is>
          <t>SS26</t>
        </is>
      </c>
      <c r="O10" s="156" t="inlineStr">
        <is>
          <t>Seasonal</t>
        </is>
      </c>
      <c r="P10" s="156" t="inlineStr">
        <is>
          <t>Blanco</t>
        </is>
      </c>
      <c r="Q10" s="156" t="inlineStr">
        <is>
          <t>Regular</t>
        </is>
      </c>
      <c r="R10" s="156" t="n"/>
      <c r="S10" s="156" t="inlineStr">
        <is>
          <t>100% Algodón</t>
        </is>
      </c>
      <c r="T10" s="156" t="inlineStr">
        <is>
          <t>Playera Denver caballero blanco cocodrilo Regular</t>
        </is>
      </c>
      <c r="U10" s="156" t="inlineStr">
        <is>
          <t>México</t>
        </is>
      </c>
      <c r="V10" s="156" t="inlineStr">
        <is>
          <t>PZS</t>
        </is>
      </c>
      <c r="W10" s="51" t="inlineStr">
        <is>
          <t>53101602</t>
        </is>
      </c>
      <c r="X10" s="156" t="n"/>
      <c r="Y10" s="54" t="n">
        <v>329</v>
      </c>
      <c r="Z10" s="54" t="n">
        <v>559.4827586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IFERROR(_xlfn.XMATCH(A10,$A$2:$A$204,0,1)&lt;&gt;_xlfn.XMATCH(A10,$A$2:$A$204,0,-1),FALSE)), "Código de barras duplicado", ""), IF(AND(E10&lt;&gt;"", COUNTIF($E$2:$E$204,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2</v>
      </c>
      <c r="AE10" s="156" t="inlineStr">
        <is>
          <t>WB OUTLET LERMA: 2</t>
        </is>
      </c>
      <c r="AF10" s="51" t="n">
        <v>2</v>
      </c>
      <c r="AG10" s="156" t="inlineStr">
        <is>
          <t>Nuevo – NetSuite con existencia</t>
        </is>
      </c>
      <c r="AH10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10" s="156" t="inlineStr">
        <is>
          <t>No</t>
        </is>
      </c>
      <c r="AJ10" s="156" t="n"/>
      <c r="AK10" s="155" t="inlineStr">
        <is>
          <t>ProductosCatalogoEstandar907.xlsx: fila 6244 [N,O,Q,S,U,Y]; G1522_Extraccion_Articulos_NetSuite_2026-09-30.xlsx: fila 56526 [P,V,Y,T] | Shopify WB: producto 8569955811513 / variante 47621315199161</t>
        </is>
      </c>
      <c r="AL10" s="58" t="n">
        <v>329</v>
      </c>
      <c r="AM10" s="58" t="n">
        <v>648.99999998</v>
      </c>
      <c r="AN10" s="155" t="inlineStr">
        <is>
          <t>Shopify Western Brothers</t>
        </is>
      </c>
      <c r="AO10" s="59" t="n"/>
      <c r="AP10" s="59" t="n">
        <v>2</v>
      </c>
      <c r="AQ10" s="59" t="n"/>
      <c r="AR10" s="155" t="inlineStr">
        <is>
          <t>Shopify Western Brothers › Western Brothers Outlet Lerma: 2</t>
        </is>
      </c>
    </row>
    <row r="11">
      <c r="A11" s="50" t="inlineStr">
        <is>
          <t>7506499570842</t>
        </is>
      </c>
      <c r="B11" s="51" t="inlineStr">
        <is>
          <t>108368</t>
        </is>
      </c>
      <c r="C11" s="156" t="inlineStr">
        <is>
          <t>Multimarca</t>
        </is>
      </c>
      <c r="D11" s="156" t="inlineStr">
        <is>
          <t>01-TDAG012-0015</t>
        </is>
      </c>
      <c r="E11" s="156" t="inlineStr">
        <is>
          <t>01-TDAG012-0015-L</t>
        </is>
      </c>
      <c r="F11" s="156" t="inlineStr">
        <is>
          <t>L</t>
        </is>
      </c>
      <c r="G11" s="156" t="inlineStr">
        <is>
          <t>L</t>
        </is>
      </c>
      <c r="H11" s="156" t="inlineStr">
        <is>
          <t>Denver</t>
        </is>
      </c>
      <c r="I11" s="156" t="inlineStr">
        <is>
          <t>Playera Denver caballero blanco cocodrilo</t>
        </is>
      </c>
      <c r="J11" s="156" t="inlineStr">
        <is>
          <t>Ropa</t>
        </is>
      </c>
      <c r="K11" s="156" t="inlineStr">
        <is>
          <t>Playeras</t>
        </is>
      </c>
      <c r="L11" s="156" t="inlineStr">
        <is>
          <t>Hombre</t>
        </is>
      </c>
      <c r="M11" s="156" t="inlineStr">
        <is>
          <t>Denver</t>
        </is>
      </c>
      <c r="N11" s="156" t="inlineStr">
        <is>
          <t>SS26</t>
        </is>
      </c>
      <c r="O11" s="156" t="inlineStr">
        <is>
          <t>Seasonal</t>
        </is>
      </c>
      <c r="P11" s="156" t="inlineStr">
        <is>
          <t>Blanco</t>
        </is>
      </c>
      <c r="Q11" s="156" t="inlineStr">
        <is>
          <t>Regular</t>
        </is>
      </c>
      <c r="R11" s="156" t="n"/>
      <c r="S11" s="156" t="inlineStr">
        <is>
          <t>100% Algodón</t>
        </is>
      </c>
      <c r="T11" s="156" t="inlineStr">
        <is>
          <t>Playera Denver caballero blanco cocodrilo Regular</t>
        </is>
      </c>
      <c r="U11" s="156" t="inlineStr">
        <is>
          <t>México</t>
        </is>
      </c>
      <c r="V11" s="156" t="inlineStr">
        <is>
          <t>PZS</t>
        </is>
      </c>
      <c r="W11" s="51" t="inlineStr">
        <is>
          <t>53101602</t>
        </is>
      </c>
      <c r="X11" s="156" t="n"/>
      <c r="Y11" s="54" t="n">
        <v>329</v>
      </c>
      <c r="Z11" s="54" t="n">
        <v>559.4827586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IFERROR(_xlfn.XMATCH(A11,$A$2:$A$204,0,1)&lt;&gt;_xlfn.XMATCH(A11,$A$2:$A$204,0,-1),FALSE)), "Código de barras duplicado", ""), IF(AND(E11&lt;&gt;"", COUNTIF($E$2:$E$204,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>
        <v>0</v>
      </c>
      <c r="AE11" s="156" t="n"/>
      <c r="AF11" s="51" t="n">
        <v>0</v>
      </c>
      <c r="AG11" s="156" t="inlineStr">
        <is>
          <t>Nuevo – NetSuite sin existencia</t>
        </is>
      </c>
      <c r="AH11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11" s="156" t="inlineStr">
        <is>
          <t>No</t>
        </is>
      </c>
      <c r="AJ11" s="156" t="n"/>
      <c r="AK11" s="155" t="inlineStr">
        <is>
          <t>ProductosCatalogoEstandar907.xlsx: fila 6245 [N,O,Q,S,U,Y]; G1522_Extraccion_Articulos_NetSuite_2026-09-30.xlsx: fila 56527 [P,V,Y,T] | Shopify WB: producto 8569955811513 / variante 47621315231929</t>
        </is>
      </c>
      <c r="AL11" s="58" t="n">
        <v>329</v>
      </c>
      <c r="AM11" s="58" t="n">
        <v>648.99999998</v>
      </c>
      <c r="AN11" s="155" t="inlineStr">
        <is>
          <t>Shopify Western Brothers</t>
        </is>
      </c>
      <c r="AO11" s="59" t="n"/>
      <c r="AP11" s="59" t="n">
        <v>0</v>
      </c>
      <c r="AQ11" s="59" t="n"/>
      <c r="AR11" s="155" t="n"/>
    </row>
    <row r="12">
      <c r="A12" s="50" t="inlineStr">
        <is>
          <t>7506499570843</t>
        </is>
      </c>
      <c r="B12" s="51" t="inlineStr">
        <is>
          <t>108369</t>
        </is>
      </c>
      <c r="C12" s="156" t="inlineStr">
        <is>
          <t>Multimarca</t>
        </is>
      </c>
      <c r="D12" s="156" t="inlineStr">
        <is>
          <t>01-TDAG012-0015</t>
        </is>
      </c>
      <c r="E12" s="156" t="inlineStr">
        <is>
          <t>01-TDAG012-0015-XL</t>
        </is>
      </c>
      <c r="F12" s="156" t="inlineStr">
        <is>
          <t>XL</t>
        </is>
      </c>
      <c r="G12" s="156" t="inlineStr">
        <is>
          <t>XL</t>
        </is>
      </c>
      <c r="H12" s="156" t="inlineStr">
        <is>
          <t>Denver</t>
        </is>
      </c>
      <c r="I12" s="156" t="inlineStr">
        <is>
          <t>Playera Denver caballero blanco cocodrilo</t>
        </is>
      </c>
      <c r="J12" s="156" t="inlineStr">
        <is>
          <t>Ropa</t>
        </is>
      </c>
      <c r="K12" s="156" t="inlineStr">
        <is>
          <t>Playeras</t>
        </is>
      </c>
      <c r="L12" s="156" t="inlineStr">
        <is>
          <t>Hombre</t>
        </is>
      </c>
      <c r="M12" s="156" t="inlineStr">
        <is>
          <t>Denver</t>
        </is>
      </c>
      <c r="N12" s="156" t="inlineStr">
        <is>
          <t>SS26</t>
        </is>
      </c>
      <c r="O12" s="156" t="inlineStr">
        <is>
          <t>Seasonal</t>
        </is>
      </c>
      <c r="P12" s="156" t="inlineStr">
        <is>
          <t>Blanco</t>
        </is>
      </c>
      <c r="Q12" s="156" t="inlineStr">
        <is>
          <t>Regular</t>
        </is>
      </c>
      <c r="R12" s="156" t="n"/>
      <c r="S12" s="156" t="inlineStr">
        <is>
          <t>100% Algodón</t>
        </is>
      </c>
      <c r="T12" s="156" t="inlineStr">
        <is>
          <t>Playera Denver caballero blanco cocodrilo Regular</t>
        </is>
      </c>
      <c r="U12" s="156" t="inlineStr">
        <is>
          <t>México</t>
        </is>
      </c>
      <c r="V12" s="156" t="inlineStr">
        <is>
          <t>PZS</t>
        </is>
      </c>
      <c r="W12" s="51" t="inlineStr">
        <is>
          <t>53101602</t>
        </is>
      </c>
      <c r="X12" s="156" t="n"/>
      <c r="Y12" s="54" t="n">
        <v>329</v>
      </c>
      <c r="Z12" s="54" t="n">
        <v>559.4827586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IFERROR(_xlfn.XMATCH(A12,$A$2:$A$204,0,1)&lt;&gt;_xlfn.XMATCH(A12,$A$2:$A$204,0,-1),FALSE)), "Código de barras duplicado", ""), IF(AND(E12&lt;&gt;"", COUNTIF($E$2:$E$204,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0</v>
      </c>
      <c r="AE12" s="156" t="n"/>
      <c r="AF12" s="51" t="n">
        <v>0</v>
      </c>
      <c r="AG12" s="156" t="inlineStr">
        <is>
          <t>Nuevo – NetSuite con existencia</t>
        </is>
      </c>
      <c r="AH12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12" s="156" t="inlineStr">
        <is>
          <t>No</t>
        </is>
      </c>
      <c r="AJ12" s="156" t="n"/>
      <c r="AK12" s="155" t="inlineStr">
        <is>
          <t>ProductosCatalogoEstandar907.xlsx: fila 6246 [N,O,Q,S,U,Y]; G1522_Extraccion_Articulos_NetSuite_2026-09-30.xlsx: fila 56528 [P,V,Y,T] | Shopify WB: producto 8569955811513 / variante 47621315264697</t>
        </is>
      </c>
      <c r="AL12" s="58" t="n">
        <v>329</v>
      </c>
      <c r="AM12" s="58" t="n">
        <v>648.99999998</v>
      </c>
      <c r="AN12" s="155" t="inlineStr">
        <is>
          <t>Shopify Western Brothers</t>
        </is>
      </c>
      <c r="AO12" s="59" t="n"/>
      <c r="AP12" s="59" t="n">
        <v>1</v>
      </c>
      <c r="AQ12" s="59" t="n"/>
      <c r="AR12" s="155" t="inlineStr">
        <is>
          <t>Shopify Western Brothers › Western Brothers Outlet Lerma: 1</t>
        </is>
      </c>
    </row>
    <row r="13">
      <c r="A13" s="50" t="inlineStr">
        <is>
          <t>7506499570844</t>
        </is>
      </c>
      <c r="B13" s="51" t="inlineStr">
        <is>
          <t>108370</t>
        </is>
      </c>
      <c r="C13" s="156" t="inlineStr">
        <is>
          <t>Multimarca</t>
        </is>
      </c>
      <c r="D13" s="156" t="inlineStr">
        <is>
          <t>01-TDAG012-0017</t>
        </is>
      </c>
      <c r="E13" s="156" t="inlineStr">
        <is>
          <t>01-TDAG012-0017-S</t>
        </is>
      </c>
      <c r="F13" s="156" t="inlineStr">
        <is>
          <t>S</t>
        </is>
      </c>
      <c r="G13" s="156" t="inlineStr">
        <is>
          <t>S</t>
        </is>
      </c>
      <c r="H13" s="156" t="inlineStr">
        <is>
          <t>Denver</t>
        </is>
      </c>
      <c r="I13" s="156" t="inlineStr">
        <is>
          <t>Playera Denver caballero azul toro enojado</t>
        </is>
      </c>
      <c r="J13" s="156" t="inlineStr">
        <is>
          <t>Ropa</t>
        </is>
      </c>
      <c r="K13" s="156" t="inlineStr">
        <is>
          <t>Playeras</t>
        </is>
      </c>
      <c r="L13" s="156" t="inlineStr">
        <is>
          <t>Hombre</t>
        </is>
      </c>
      <c r="M13" s="156" t="inlineStr">
        <is>
          <t>Denver</t>
        </is>
      </c>
      <c r="N13" s="156" t="inlineStr">
        <is>
          <t>SS26</t>
        </is>
      </c>
      <c r="O13" s="156" t="inlineStr">
        <is>
          <t>Seasonal</t>
        </is>
      </c>
      <c r="P13" s="156" t="inlineStr">
        <is>
          <t>Azul</t>
        </is>
      </c>
      <c r="Q13" s="156" t="inlineStr">
        <is>
          <t>Regular</t>
        </is>
      </c>
      <c r="R13" s="156" t="n"/>
      <c r="S13" s="156" t="inlineStr">
        <is>
          <t>100% Algodón</t>
        </is>
      </c>
      <c r="T13" s="156" t="inlineStr">
        <is>
          <t>Playera Denver caballero azul toro enojado Regular</t>
        </is>
      </c>
      <c r="U13" s="156" t="inlineStr">
        <is>
          <t>México</t>
        </is>
      </c>
      <c r="V13" s="156" t="inlineStr">
        <is>
          <t>PZS</t>
        </is>
      </c>
      <c r="W13" s="51" t="inlineStr">
        <is>
          <t>53101602</t>
        </is>
      </c>
      <c r="X13" s="156" t="n"/>
      <c r="Y13" s="54" t="n">
        <v>329</v>
      </c>
      <c r="Z13" s="54" t="n">
        <v>559.4827586</v>
      </c>
      <c r="AA13" s="55">
        <f>IF(AND(A13="", B13="", E13=""), "", IF(AB13="", "Válido", IF((LEN(AB13)-LEN(SUBSTITUTE(AB13,"; ","")))/2+1&gt;(LEN(AB13)-LEN(SUBSTITUTE(AB13,"[Aviso]","")))/7, "Con Incidencias", "Válido")))</f>
        <v/>
      </c>
      <c r="AB13" s="56">
        <f>IF(AND(A13="", B13="", E13=""), "", TEXTJOIN("; ", TRUE, IF(OR(TRIM(A13&amp;"")="", ISNUMBER(SEARCH("FALTA", A13))), "UPC faltante/inválido", ""), IF(AND(A13&lt;&gt;"", IFERROR(_xlfn.XMATCH(A13,$A$2:$A$204,0,1)&lt;&gt;_xlfn.XMATCH(A13,$A$2:$A$204,0,-1),FALSE)), "Código de barras duplicado", ""), IF(AND(E13&lt;&gt;"", COUNTIF($E$2:$E$204, E13)&gt;1), "SKU duplicado", ""), IF(OR(J13="", J13=""), "[Aviso] División no capturada ()", IF(ISNA(MATCH(J13, Criterios!$A$123:$A$126, 0)), "División no válida", "")), IF(OR(K13="", K13=""), "[Aviso] Categoría no capturada ()", IF(ISNA(MATCH(K13, Criterios!$A$81:$A$120, 0)), "Categoría no válida", IF(AND(J13&lt;&gt;"", J13&lt;&gt;"", J13&lt;&gt;VLOOKUP(K13, Criterios!$A$81:$B$120, 2, FALSE)), "División no coincide con Categoría", ""))), IF(OR(L13="", L13=""), "[Aviso] Género no capturado ()", IF(ISNA(MATCH(L13, Criterios!$B$123:$B$127, 0)), "Género no válido", "")), IF(OR(N13="", N13=""), "[Aviso] Temporada no capturada ()", IF(ISNA(MATCH(N13, Criterios!$C$123:$C$128, 0)), "Temporada no válida", "")), IF(OR(O13="", O13=""), "[Aviso] Ciclo de vida no capturado ()", IF(ISNA(MATCH(O13, Criterios!$D$123:$D$124, 0)), "Ciclo de vida no válido", ""))))</f>
        <v/>
      </c>
      <c r="AC13" s="56" t="n"/>
      <c r="AD13" s="51" t="n">
        <v>4</v>
      </c>
      <c r="AE13" s="156" t="inlineStr">
        <is>
          <t>WB OUTLET LERMA: 4</t>
        </is>
      </c>
      <c r="AF13" s="51" t="n">
        <v>4</v>
      </c>
      <c r="AG13" s="156" t="inlineStr">
        <is>
          <t>Nuevo – NetSuite con existencia</t>
        </is>
      </c>
      <c r="AH13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13" s="156" t="inlineStr">
        <is>
          <t>No</t>
        </is>
      </c>
      <c r="AJ13" s="156" t="n"/>
      <c r="AK13" s="155" t="inlineStr">
        <is>
          <t>ProductosCatalogoEstandar907.xlsx: fila 6247 [N,O,Q,S,U,Y]; G1522_Extraccion_Articulos_NetSuite_2026-09-30.xlsx: fila 56529 [P,V,Y,T] | Shopify WB: producto 8569955975353 / variante 47621315428537</t>
        </is>
      </c>
      <c r="AL13" s="58" t="n">
        <v>329</v>
      </c>
      <c r="AM13" s="58" t="n">
        <v>648.99999998</v>
      </c>
      <c r="AN13" s="155" t="inlineStr">
        <is>
          <t>Shopify Western Brothers</t>
        </is>
      </c>
      <c r="AO13" s="59" t="n"/>
      <c r="AP13" s="59" t="n">
        <v>4</v>
      </c>
      <c r="AQ13" s="59" t="n"/>
      <c r="AR13" s="155" t="inlineStr">
        <is>
          <t>Shopify Western Brothers › Western Brothers Outlet Lerma: 4</t>
        </is>
      </c>
    </row>
    <row r="14">
      <c r="A14" s="50" t="inlineStr">
        <is>
          <t>7506499570845</t>
        </is>
      </c>
      <c r="B14" s="51" t="inlineStr">
        <is>
          <t>108371</t>
        </is>
      </c>
      <c r="C14" s="156" t="inlineStr">
        <is>
          <t>Multimarca</t>
        </is>
      </c>
      <c r="D14" s="156" t="inlineStr">
        <is>
          <t>01-TDAG012-0017</t>
        </is>
      </c>
      <c r="E14" s="156" t="inlineStr">
        <is>
          <t>01-TDAG012-0017-M</t>
        </is>
      </c>
      <c r="F14" s="156" t="inlineStr">
        <is>
          <t>M</t>
        </is>
      </c>
      <c r="G14" s="156" t="inlineStr">
        <is>
          <t>M</t>
        </is>
      </c>
      <c r="H14" s="156" t="inlineStr">
        <is>
          <t>Denver</t>
        </is>
      </c>
      <c r="I14" s="156" t="inlineStr">
        <is>
          <t>Playera Denver caballero azul toro enojado</t>
        </is>
      </c>
      <c r="J14" s="156" t="inlineStr">
        <is>
          <t>Ropa</t>
        </is>
      </c>
      <c r="K14" s="156" t="inlineStr">
        <is>
          <t>Playeras</t>
        </is>
      </c>
      <c r="L14" s="156" t="inlineStr">
        <is>
          <t>Hombre</t>
        </is>
      </c>
      <c r="M14" s="156" t="inlineStr">
        <is>
          <t>Denver</t>
        </is>
      </c>
      <c r="N14" s="156" t="inlineStr">
        <is>
          <t>SS26</t>
        </is>
      </c>
      <c r="O14" s="156" t="inlineStr">
        <is>
          <t>Seasonal</t>
        </is>
      </c>
      <c r="P14" s="156" t="inlineStr">
        <is>
          <t>Azul</t>
        </is>
      </c>
      <c r="Q14" s="156" t="inlineStr">
        <is>
          <t>Regular</t>
        </is>
      </c>
      <c r="R14" s="156" t="n"/>
      <c r="S14" s="156" t="inlineStr">
        <is>
          <t>100% Algodón</t>
        </is>
      </c>
      <c r="T14" s="156" t="inlineStr">
        <is>
          <t>Playera Denver caballero azul toro enojado Regular</t>
        </is>
      </c>
      <c r="U14" s="156" t="inlineStr">
        <is>
          <t>México</t>
        </is>
      </c>
      <c r="V14" s="156" t="inlineStr">
        <is>
          <t>PZS</t>
        </is>
      </c>
      <c r="W14" s="51" t="inlineStr">
        <is>
          <t>53101602</t>
        </is>
      </c>
      <c r="X14" s="156" t="n"/>
      <c r="Y14" s="54" t="n">
        <v>329</v>
      </c>
      <c r="Z14" s="54" t="n">
        <v>559.4827586</v>
      </c>
      <c r="AA14" s="55">
        <f>IF(AND(A14="", B14="", E14=""), "", IF(AB14="", "Válido", IF((LEN(AB14)-LEN(SUBSTITUTE(AB14,"; ","")))/2+1&gt;(LEN(AB14)-LEN(SUBSTITUTE(AB14,"[Aviso]","")))/7, "Con Incidencias", "Válido")))</f>
        <v/>
      </c>
      <c r="AB14" s="56">
        <f>IF(AND(A14="", B14="", E14=""), "", TEXTJOIN("; ", TRUE, IF(OR(TRIM(A14&amp;"")="", ISNUMBER(SEARCH("FALTA", A14))), "UPC faltante/inválido", ""), IF(AND(A14&lt;&gt;"", IFERROR(_xlfn.XMATCH(A14,$A$2:$A$204,0,1)&lt;&gt;_xlfn.XMATCH(A14,$A$2:$A$204,0,-1),FALSE)), "Código de barras duplicado", ""), IF(AND(E14&lt;&gt;"", COUNTIF($E$2:$E$204, E14)&gt;1), "SKU duplicado", ""), IF(OR(J14="", J14=""), "[Aviso] División no capturada ()", IF(ISNA(MATCH(J14, Criterios!$A$123:$A$126, 0)), "División no válida", "")), IF(OR(K14="", K14=""), "[Aviso] Categoría no capturada ()", IF(ISNA(MATCH(K14, Criterios!$A$81:$A$120, 0)), "Categoría no válida", IF(AND(J14&lt;&gt;"", J14&lt;&gt;"", J14&lt;&gt;VLOOKUP(K14, Criterios!$A$81:$B$120, 2, FALSE)), "División no coincide con Categoría", ""))), IF(OR(L14="", L14=""), "[Aviso] Género no capturado ()", IF(ISNA(MATCH(L14, Criterios!$B$123:$B$127, 0)), "Género no válido", "")), IF(OR(N14="", N14=""), "[Aviso] Temporada no capturada ()", IF(ISNA(MATCH(N14, Criterios!$C$123:$C$128, 0)), "Temporada no válida", "")), IF(OR(O14="", O14=""), "[Aviso] Ciclo de vida no capturado ()", IF(ISNA(MATCH(O14, Criterios!$D$123:$D$124, 0)), "Ciclo de vida no válido", ""))))</f>
        <v/>
      </c>
      <c r="AC14" s="56" t="n"/>
      <c r="AD14" s="51" t="n">
        <v>3</v>
      </c>
      <c r="AE14" s="156" t="inlineStr">
        <is>
          <t>WB OUTLET LERMA: 3</t>
        </is>
      </c>
      <c r="AF14" s="51" t="n">
        <v>3</v>
      </c>
      <c r="AG14" s="156" t="inlineStr">
        <is>
          <t>Nuevo – NetSuite con existencia</t>
        </is>
      </c>
      <c r="AH14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14" s="156" t="inlineStr">
        <is>
          <t>No</t>
        </is>
      </c>
      <c r="AJ14" s="156" t="n"/>
      <c r="AK14" s="155" t="inlineStr">
        <is>
          <t>ProductosCatalogoEstandar907.xlsx: fila 6248 [N,O,Q,S,U,Y]; G1522_Extraccion_Articulos_NetSuite_2026-09-30.xlsx: fila 56530 [P,V,Y,T] | Shopify WB: producto 8569955975353 / variante 47621315461305</t>
        </is>
      </c>
      <c r="AL14" s="58" t="n">
        <v>329</v>
      </c>
      <c r="AM14" s="58" t="n">
        <v>648.99999998</v>
      </c>
      <c r="AN14" s="155" t="inlineStr">
        <is>
          <t>Shopify Western Brothers</t>
        </is>
      </c>
      <c r="AO14" s="59" t="n"/>
      <c r="AP14" s="59" t="n">
        <v>3</v>
      </c>
      <c r="AQ14" s="59" t="n"/>
      <c r="AR14" s="155" t="inlineStr">
        <is>
          <t>Shopify Western Brothers › Western Brothers Outlet Lerma: 3</t>
        </is>
      </c>
    </row>
    <row r="15">
      <c r="A15" s="50" t="inlineStr">
        <is>
          <t>7506499570846</t>
        </is>
      </c>
      <c r="B15" s="51" t="inlineStr">
        <is>
          <t>108372</t>
        </is>
      </c>
      <c r="C15" s="156" t="inlineStr">
        <is>
          <t>Multimarca</t>
        </is>
      </c>
      <c r="D15" s="156" t="inlineStr">
        <is>
          <t>01-TDAG012-0017</t>
        </is>
      </c>
      <c r="E15" s="156" t="inlineStr">
        <is>
          <t>01-TDAG012-0017-L</t>
        </is>
      </c>
      <c r="F15" s="156" t="inlineStr">
        <is>
          <t>L</t>
        </is>
      </c>
      <c r="G15" s="156" t="inlineStr">
        <is>
          <t>L</t>
        </is>
      </c>
      <c r="H15" s="156" t="inlineStr">
        <is>
          <t>Denver</t>
        </is>
      </c>
      <c r="I15" s="156" t="inlineStr">
        <is>
          <t>Playera Denver caballero azul toro enojado</t>
        </is>
      </c>
      <c r="J15" s="156" t="inlineStr">
        <is>
          <t>Ropa</t>
        </is>
      </c>
      <c r="K15" s="156" t="inlineStr">
        <is>
          <t>Playeras</t>
        </is>
      </c>
      <c r="L15" s="156" t="inlineStr">
        <is>
          <t>Hombre</t>
        </is>
      </c>
      <c r="M15" s="156" t="inlineStr">
        <is>
          <t>Denver</t>
        </is>
      </c>
      <c r="N15" s="156" t="inlineStr">
        <is>
          <t>SS26</t>
        </is>
      </c>
      <c r="O15" s="156" t="inlineStr">
        <is>
          <t>Seasonal</t>
        </is>
      </c>
      <c r="P15" s="156" t="inlineStr">
        <is>
          <t>Azul</t>
        </is>
      </c>
      <c r="Q15" s="156" t="inlineStr">
        <is>
          <t>Regular</t>
        </is>
      </c>
      <c r="R15" s="156" t="n"/>
      <c r="S15" s="156" t="inlineStr">
        <is>
          <t>100% Algodón</t>
        </is>
      </c>
      <c r="T15" s="156" t="inlineStr">
        <is>
          <t>Playera Denver caballero azul toro enojado Regular</t>
        </is>
      </c>
      <c r="U15" s="156" t="inlineStr">
        <is>
          <t>México</t>
        </is>
      </c>
      <c r="V15" s="156" t="inlineStr">
        <is>
          <t>PZS</t>
        </is>
      </c>
      <c r="W15" s="51" t="inlineStr">
        <is>
          <t>53101602</t>
        </is>
      </c>
      <c r="X15" s="156" t="n"/>
      <c r="Y15" s="54" t="n">
        <v>329</v>
      </c>
      <c r="Z15" s="54" t="n">
        <v>559.4827586</v>
      </c>
      <c r="AA15" s="55">
        <f>IF(AND(A15="", B15="", E15=""), "", IF(AB15="", "Válido", IF((LEN(AB15)-LEN(SUBSTITUTE(AB15,"; ","")))/2+1&gt;(LEN(AB15)-LEN(SUBSTITUTE(AB15,"[Aviso]","")))/7, "Con Incidencias", "Válido")))</f>
        <v/>
      </c>
      <c r="AB15" s="56">
        <f>IF(AND(A15="", B15="", E15=""), "", TEXTJOIN("; ", TRUE, IF(OR(TRIM(A15&amp;"")="", ISNUMBER(SEARCH("FALTA", A15))), "UPC faltante/inválido", ""), IF(AND(A15&lt;&gt;"", IFERROR(_xlfn.XMATCH(A15,$A$2:$A$204,0,1)&lt;&gt;_xlfn.XMATCH(A15,$A$2:$A$204,0,-1),FALSE)), "Código de barras duplicado", ""), IF(AND(E15&lt;&gt;"", COUNTIF($E$2:$E$204, E15)&gt;1), "SKU duplicado", ""), IF(OR(J15="", J15=""), "[Aviso] División no capturada ()", IF(ISNA(MATCH(J15, Criterios!$A$123:$A$126, 0)), "División no válida", "")), IF(OR(K15="", K15=""), "[Aviso] Categoría no capturada ()", IF(ISNA(MATCH(K15, Criterios!$A$81:$A$120, 0)), "Categoría no válida", IF(AND(J15&lt;&gt;"", J15&lt;&gt;"", J15&lt;&gt;VLOOKUP(K15, Criterios!$A$81:$B$120, 2, FALSE)), "División no coincide con Categoría", ""))), IF(OR(L15="", L15=""), "[Aviso] Género no capturado ()", IF(ISNA(MATCH(L15, Criterios!$B$123:$B$127, 0)), "Género no válido", "")), IF(OR(N15="", N15=""), "[Aviso] Temporada no capturada ()", IF(ISNA(MATCH(N15, Criterios!$C$123:$C$128, 0)), "Temporada no válida", "")), IF(OR(O15="", O15=""), "[Aviso] Ciclo de vida no capturado ()", IF(ISNA(MATCH(O15, Criterios!$D$123:$D$124, 0)), "Ciclo de vida no válido", ""))))</f>
        <v/>
      </c>
      <c r="AC15" s="56" t="n"/>
      <c r="AD15" s="51" t="n">
        <v>4</v>
      </c>
      <c r="AE15" s="156" t="inlineStr">
        <is>
          <t>WB OUTLET LERMA: 4</t>
        </is>
      </c>
      <c r="AF15" s="51" t="n">
        <v>4</v>
      </c>
      <c r="AG15" s="156" t="inlineStr">
        <is>
          <t>Nuevo – NetSuite con existencia</t>
        </is>
      </c>
      <c r="AH15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15" s="156" t="inlineStr">
        <is>
          <t>No</t>
        </is>
      </c>
      <c r="AJ15" s="156" t="n"/>
      <c r="AK15" s="155" t="inlineStr">
        <is>
          <t>ProductosCatalogoEstandar907.xlsx: fila 6249 [N,O,Q,S,U,Y]; G1522_Extraccion_Articulos_NetSuite_2026-09-30.xlsx: fila 56531 [P,V,Y,T] | Shopify WB: producto 8569955975353 / variante 47621315494073</t>
        </is>
      </c>
      <c r="AL15" s="58" t="n">
        <v>329</v>
      </c>
      <c r="AM15" s="58" t="n">
        <v>648.99999998</v>
      </c>
      <c r="AN15" s="155" t="inlineStr">
        <is>
          <t>Shopify Western Brothers</t>
        </is>
      </c>
      <c r="AO15" s="59" t="n"/>
      <c r="AP15" s="59" t="n">
        <v>4</v>
      </c>
      <c r="AQ15" s="59" t="n"/>
      <c r="AR15" s="155" t="inlineStr">
        <is>
          <t>Shopify Western Brothers › Western Brothers Outlet Lerma: 4</t>
        </is>
      </c>
    </row>
    <row r="16">
      <c r="A16" s="50" t="inlineStr">
        <is>
          <t>7506499570847</t>
        </is>
      </c>
      <c r="B16" s="51" t="inlineStr">
        <is>
          <t>108373</t>
        </is>
      </c>
      <c r="C16" s="156" t="inlineStr">
        <is>
          <t>Multimarca</t>
        </is>
      </c>
      <c r="D16" s="156" t="inlineStr">
        <is>
          <t>01-TDAG012-0017</t>
        </is>
      </c>
      <c r="E16" s="156" t="inlineStr">
        <is>
          <t>01-TDAG012-0017-XL</t>
        </is>
      </c>
      <c r="F16" s="156" t="inlineStr">
        <is>
          <t>XL</t>
        </is>
      </c>
      <c r="G16" s="156" t="inlineStr">
        <is>
          <t>XL</t>
        </is>
      </c>
      <c r="H16" s="156" t="inlineStr">
        <is>
          <t>Denver</t>
        </is>
      </c>
      <c r="I16" s="156" t="inlineStr">
        <is>
          <t>Playera Denver caballero azul toro enojado</t>
        </is>
      </c>
      <c r="J16" s="156" t="inlineStr">
        <is>
          <t>Ropa</t>
        </is>
      </c>
      <c r="K16" s="156" t="inlineStr">
        <is>
          <t>Playeras</t>
        </is>
      </c>
      <c r="L16" s="156" t="inlineStr">
        <is>
          <t>Hombre</t>
        </is>
      </c>
      <c r="M16" s="156" t="inlineStr">
        <is>
          <t>Denver</t>
        </is>
      </c>
      <c r="N16" s="156" t="inlineStr">
        <is>
          <t>SS26</t>
        </is>
      </c>
      <c r="O16" s="156" t="inlineStr">
        <is>
          <t>Seasonal</t>
        </is>
      </c>
      <c r="P16" s="156" t="inlineStr">
        <is>
          <t>Azul</t>
        </is>
      </c>
      <c r="Q16" s="156" t="inlineStr">
        <is>
          <t>Regular</t>
        </is>
      </c>
      <c r="R16" s="156" t="n"/>
      <c r="S16" s="156" t="inlineStr">
        <is>
          <t>100% Algodón</t>
        </is>
      </c>
      <c r="T16" s="156" t="inlineStr">
        <is>
          <t>Playera Denver caballero azul toro enojado Regular</t>
        </is>
      </c>
      <c r="U16" s="156" t="inlineStr">
        <is>
          <t>México</t>
        </is>
      </c>
      <c r="V16" s="156" t="inlineStr">
        <is>
          <t>PZS</t>
        </is>
      </c>
      <c r="W16" s="51" t="inlineStr">
        <is>
          <t>53101602</t>
        </is>
      </c>
      <c r="X16" s="156" t="n"/>
      <c r="Y16" s="54" t="n">
        <v>329</v>
      </c>
      <c r="Z16" s="54" t="n">
        <v>559.4827586</v>
      </c>
      <c r="AA16" s="55">
        <f>IF(AND(A16="", B16="", E16=""), "", IF(AB16="", "Válido", IF((LEN(AB16)-LEN(SUBSTITUTE(AB16,"; ","")))/2+1&gt;(LEN(AB16)-LEN(SUBSTITUTE(AB16,"[Aviso]","")))/7, "Con Incidencias", "Válido")))</f>
        <v/>
      </c>
      <c r="AB16" s="56">
        <f>IF(AND(A16="", B16="", E16=""), "", TEXTJOIN("; ", TRUE, IF(OR(TRIM(A16&amp;"")="", ISNUMBER(SEARCH("FALTA", A16))), "UPC faltante/inválido", ""), IF(AND(A16&lt;&gt;"", IFERROR(_xlfn.XMATCH(A16,$A$2:$A$204,0,1)&lt;&gt;_xlfn.XMATCH(A16,$A$2:$A$204,0,-1),FALSE)), "Código de barras duplicado", ""), IF(AND(E16&lt;&gt;"", COUNTIF($E$2:$E$204, E16)&gt;1), "SKU duplicado", ""), IF(OR(J16="", J16=""), "[Aviso] División no capturada ()", IF(ISNA(MATCH(J16, Criterios!$A$123:$A$126, 0)), "División no válida", "")), IF(OR(K16="", K16=""), "[Aviso] Categoría no capturada ()", IF(ISNA(MATCH(K16, Criterios!$A$81:$A$120, 0)), "Categoría no válida", IF(AND(J16&lt;&gt;"", J16&lt;&gt;"", J16&lt;&gt;VLOOKUP(K16, Criterios!$A$81:$B$120, 2, FALSE)), "División no coincide con Categoría", ""))), IF(OR(L16="", L16=""), "[Aviso] Género no capturado ()", IF(ISNA(MATCH(L16, Criterios!$B$123:$B$127, 0)), "Género no válido", "")), IF(OR(N16="", N16=""), "[Aviso] Temporada no capturada ()", IF(ISNA(MATCH(N16, Criterios!$C$123:$C$128, 0)), "Temporada no válida", "")), IF(OR(O16="", O16=""), "[Aviso] Ciclo de vida no capturado ()", IF(ISNA(MATCH(O16, Criterios!$D$123:$D$124, 0)), "Ciclo de vida no válido", ""))))</f>
        <v/>
      </c>
      <c r="AC16" s="56" t="n"/>
      <c r="AD16" s="51" t="n">
        <v>3</v>
      </c>
      <c r="AE16" s="156" t="inlineStr">
        <is>
          <t>WB OUTLET LERMA: 3</t>
        </is>
      </c>
      <c r="AF16" s="51" t="n">
        <v>3</v>
      </c>
      <c r="AG16" s="156" t="inlineStr">
        <is>
          <t>Nuevo – NetSuite con existencia</t>
        </is>
      </c>
      <c r="AH16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16" s="156" t="inlineStr">
        <is>
          <t>No</t>
        </is>
      </c>
      <c r="AJ16" s="156" t="n"/>
      <c r="AK16" s="155" t="inlineStr">
        <is>
          <t>ProductosCatalogoEstandar907.xlsx: fila 6250 [N,O,Q,S,U,Y]; G1522_Extraccion_Articulos_NetSuite_2026-09-30.xlsx: fila 56532 [P,V,Y,T] | Shopify WB: producto 8569955975353 / variante 47621315526841</t>
        </is>
      </c>
      <c r="AL16" s="58" t="n">
        <v>329</v>
      </c>
      <c r="AM16" s="58" t="n">
        <v>648.99999998</v>
      </c>
      <c r="AN16" s="155" t="inlineStr">
        <is>
          <t>Shopify Western Brothers</t>
        </is>
      </c>
      <c r="AO16" s="59" t="n"/>
      <c r="AP16" s="59" t="n">
        <v>3</v>
      </c>
      <c r="AQ16" s="59" t="n"/>
      <c r="AR16" s="155" t="inlineStr">
        <is>
          <t>Shopify Western Brothers › Western Brothers Outlet Lerma: 3</t>
        </is>
      </c>
    </row>
    <row r="17">
      <c r="A17" s="50" t="inlineStr">
        <is>
          <t>7506499570849</t>
        </is>
      </c>
      <c r="B17" s="51" t="inlineStr">
        <is>
          <t>108375</t>
        </is>
      </c>
      <c r="C17" s="156" t="inlineStr">
        <is>
          <t>Multimarca</t>
        </is>
      </c>
      <c r="D17" s="156" t="inlineStr">
        <is>
          <t>02-TDAG012-0007</t>
        </is>
      </c>
      <c r="E17" s="156" t="inlineStr">
        <is>
          <t>02-TDAG012-0007-M</t>
        </is>
      </c>
      <c r="F17" s="156" t="inlineStr">
        <is>
          <t>M</t>
        </is>
      </c>
      <c r="G17" s="156" t="inlineStr">
        <is>
          <t>M</t>
        </is>
      </c>
      <c r="H17" s="156" t="inlineStr">
        <is>
          <t>Denver</t>
        </is>
      </c>
      <c r="I17" s="156" t="inlineStr">
        <is>
          <t>Playera Denver dama negro corazon toros</t>
        </is>
      </c>
      <c r="J17" s="156" t="inlineStr">
        <is>
          <t>Ropa</t>
        </is>
      </c>
      <c r="K17" s="156" t="inlineStr">
        <is>
          <t>Playeras</t>
        </is>
      </c>
      <c r="L17" s="156" t="inlineStr">
        <is>
          <t>Mujer</t>
        </is>
      </c>
      <c r="M17" s="156" t="inlineStr">
        <is>
          <t>Denver</t>
        </is>
      </c>
      <c r="N17" s="156" t="inlineStr">
        <is>
          <t>SS26</t>
        </is>
      </c>
      <c r="O17" s="156" t="inlineStr">
        <is>
          <t>Seasonal</t>
        </is>
      </c>
      <c r="P17" s="156" t="inlineStr">
        <is>
          <t>Negro</t>
        </is>
      </c>
      <c r="Q17" s="156" t="inlineStr">
        <is>
          <t>Regular</t>
        </is>
      </c>
      <c r="R17" s="156" t="n"/>
      <c r="S17" s="156" t="inlineStr">
        <is>
          <t>100% Algodón</t>
        </is>
      </c>
      <c r="T17" s="156" t="inlineStr">
        <is>
          <t>Playera Denver dama negro corazon toros Regular</t>
        </is>
      </c>
      <c r="U17" s="156" t="inlineStr">
        <is>
          <t>México</t>
        </is>
      </c>
      <c r="V17" s="156" t="inlineStr">
        <is>
          <t>PZS</t>
        </is>
      </c>
      <c r="W17" s="51" t="inlineStr">
        <is>
          <t>53101604</t>
        </is>
      </c>
      <c r="X17" s="156" t="n"/>
      <c r="Y17" s="54" t="n">
        <v>319</v>
      </c>
      <c r="Z17" s="54" t="n">
        <v>559.4827586</v>
      </c>
      <c r="AA17" s="55">
        <f>IF(AND(A17="", B17="", E17=""), "", IF(AB17="", "Válido", IF((LEN(AB17)-LEN(SUBSTITUTE(AB17,"; ","")))/2+1&gt;(LEN(AB17)-LEN(SUBSTITUTE(AB17,"[Aviso]","")))/7, "Con Incidencias", "Válido")))</f>
        <v/>
      </c>
      <c r="AB17" s="56">
        <f>IF(AND(A17="", B17="", E17=""), "", TEXTJOIN("; ", TRUE, IF(OR(TRIM(A17&amp;"")="", ISNUMBER(SEARCH("FALTA", A17))), "UPC faltante/inválido", ""), IF(AND(A17&lt;&gt;"", IFERROR(_xlfn.XMATCH(A17,$A$2:$A$204,0,1)&lt;&gt;_xlfn.XMATCH(A17,$A$2:$A$204,0,-1),FALSE)), "Código de barras duplicado", ""), IF(AND(E17&lt;&gt;"", COUNTIF($E$2:$E$204, E17)&gt;1), "SKU duplicado", ""), IF(OR(J17="", J17=""), "[Aviso] División no capturada ()", IF(ISNA(MATCH(J17, Criterios!$A$123:$A$126, 0)), "División no válida", "")), IF(OR(K17="", K17=""), "[Aviso] Categoría no capturada ()", IF(ISNA(MATCH(K17, Criterios!$A$81:$A$120, 0)), "Categoría no válida", IF(AND(J17&lt;&gt;"", J17&lt;&gt;"", J17&lt;&gt;VLOOKUP(K17, Criterios!$A$81:$B$120, 2, FALSE)), "División no coincide con Categoría", ""))), IF(OR(L17="", L17=""), "[Aviso] Género no capturado ()", IF(ISNA(MATCH(L17, Criterios!$B$123:$B$127, 0)), "Género no válido", "")), IF(OR(N17="", N17=""), "[Aviso] Temporada no capturada ()", IF(ISNA(MATCH(N17, Criterios!$C$123:$C$128, 0)), "Temporada no válida", "")), IF(OR(O17="", O17=""), "[Aviso] Ciclo de vida no capturado ()", IF(ISNA(MATCH(O17, Criterios!$D$123:$D$124, 0)), "Ciclo de vida no válido", ""))))</f>
        <v/>
      </c>
      <c r="AC17" s="56" t="n"/>
      <c r="AD17" s="51" t="n">
        <v>4</v>
      </c>
      <c r="AE17" s="156" t="inlineStr">
        <is>
          <t>WB OUTLET LERMA: 4</t>
        </is>
      </c>
      <c r="AF17" s="51" t="n">
        <v>4</v>
      </c>
      <c r="AG17" s="156" t="inlineStr">
        <is>
          <t>Nuevo – NetSuite con existencia</t>
        </is>
      </c>
      <c r="AH17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17" s="156" t="inlineStr">
        <is>
          <t>No</t>
        </is>
      </c>
      <c r="AJ17" s="156" t="n"/>
      <c r="AK17" s="155" t="inlineStr">
        <is>
          <t>ProductosCatalogoEstandar907.xlsx: fila 6252 [N,O,Q,S,U,Y]; G1522_Extraccion_Articulos_NetSuite_2026-09-30.xlsx: fila 56534 [P,V,Y,T] | Shopify WB: producto 8569956139193 / variante 47621315821753</t>
        </is>
      </c>
      <c r="AL17" s="58" t="n">
        <v>319</v>
      </c>
      <c r="AM17" s="58" t="n">
        <v>648.99999998</v>
      </c>
      <c r="AN17" s="155" t="inlineStr">
        <is>
          <t>Shopify Western Brothers</t>
        </is>
      </c>
      <c r="AO17" s="59" t="n"/>
      <c r="AP17" s="59" t="n">
        <v>4</v>
      </c>
      <c r="AQ17" s="59" t="n"/>
      <c r="AR17" s="155" t="inlineStr">
        <is>
          <t>Shopify Western Brothers › Western Brothers Outlet Lerma: 4</t>
        </is>
      </c>
    </row>
    <row r="18">
      <c r="A18" s="50" t="inlineStr">
        <is>
          <t>7506499570850</t>
        </is>
      </c>
      <c r="B18" s="51" t="inlineStr">
        <is>
          <t>108376</t>
        </is>
      </c>
      <c r="C18" s="156" t="inlineStr">
        <is>
          <t>Multimarca</t>
        </is>
      </c>
      <c r="D18" s="156" t="inlineStr">
        <is>
          <t>02-TDAG012-0007</t>
        </is>
      </c>
      <c r="E18" s="156" t="inlineStr">
        <is>
          <t>02-TDAG012-0007-L</t>
        </is>
      </c>
      <c r="F18" s="156" t="inlineStr">
        <is>
          <t>L</t>
        </is>
      </c>
      <c r="G18" s="156" t="inlineStr">
        <is>
          <t>L</t>
        </is>
      </c>
      <c r="H18" s="156" t="inlineStr">
        <is>
          <t>Denver</t>
        </is>
      </c>
      <c r="I18" s="156" t="inlineStr">
        <is>
          <t>Playera Denver dama negro corazon toros</t>
        </is>
      </c>
      <c r="J18" s="156" t="inlineStr">
        <is>
          <t>Ropa</t>
        </is>
      </c>
      <c r="K18" s="156" t="inlineStr">
        <is>
          <t>Playeras</t>
        </is>
      </c>
      <c r="L18" s="156" t="inlineStr">
        <is>
          <t>Mujer</t>
        </is>
      </c>
      <c r="M18" s="156" t="inlineStr">
        <is>
          <t>Denver</t>
        </is>
      </c>
      <c r="N18" s="156" t="inlineStr">
        <is>
          <t>SS26</t>
        </is>
      </c>
      <c r="O18" s="156" t="inlineStr">
        <is>
          <t>Seasonal</t>
        </is>
      </c>
      <c r="P18" s="156" t="inlineStr">
        <is>
          <t>Negro</t>
        </is>
      </c>
      <c r="Q18" s="156" t="inlineStr">
        <is>
          <t>Regular</t>
        </is>
      </c>
      <c r="R18" s="156" t="n"/>
      <c r="S18" s="156" t="inlineStr">
        <is>
          <t>100% Algodón</t>
        </is>
      </c>
      <c r="T18" s="156" t="inlineStr">
        <is>
          <t>Playera Denver dama negro corazon toros Regular</t>
        </is>
      </c>
      <c r="U18" s="156" t="inlineStr">
        <is>
          <t>México</t>
        </is>
      </c>
      <c r="V18" s="156" t="inlineStr">
        <is>
          <t>PZS</t>
        </is>
      </c>
      <c r="W18" s="51" t="inlineStr">
        <is>
          <t>53101604</t>
        </is>
      </c>
      <c r="X18" s="156" t="n"/>
      <c r="Y18" s="54" t="n">
        <v>319</v>
      </c>
      <c r="Z18" s="54" t="n">
        <v>559.4827586</v>
      </c>
      <c r="AA18" s="55">
        <f>IF(AND(A18="", B18="", E18=""), "", IF(AB18="", "Válido", IF((LEN(AB18)-LEN(SUBSTITUTE(AB18,"; ","")))/2+1&gt;(LEN(AB18)-LEN(SUBSTITUTE(AB18,"[Aviso]","")))/7, "Con Incidencias", "Válido")))</f>
        <v/>
      </c>
      <c r="AB18" s="56">
        <f>IF(AND(A18="", B18="", E18=""), "", TEXTJOIN("; ", TRUE, IF(OR(TRIM(A18&amp;"")="", ISNUMBER(SEARCH("FALTA", A18))), "UPC faltante/inválido", ""), IF(AND(A18&lt;&gt;"", IFERROR(_xlfn.XMATCH(A18,$A$2:$A$204,0,1)&lt;&gt;_xlfn.XMATCH(A18,$A$2:$A$204,0,-1),FALSE)), "Código de barras duplicado", ""), IF(AND(E18&lt;&gt;"", COUNTIF($E$2:$E$204, E18)&gt;1), "SKU duplicado", ""), IF(OR(J18="", J18=""), "[Aviso] División no capturada ()", IF(ISNA(MATCH(J18, Criterios!$A$123:$A$126, 0)), "División no válida", "")), IF(OR(K18="", K18=""), "[Aviso] Categoría no capturada ()", IF(ISNA(MATCH(K18, Criterios!$A$81:$A$120, 0)), "Categoría no válida", IF(AND(J18&lt;&gt;"", J18&lt;&gt;"", J18&lt;&gt;VLOOKUP(K18, Criterios!$A$81:$B$120, 2, FALSE)), "División no coincide con Categoría", ""))), IF(OR(L18="", L18=""), "[Aviso] Género no capturado ()", IF(ISNA(MATCH(L18, Criterios!$B$123:$B$127, 0)), "Género no válido", "")), IF(OR(N18="", N18=""), "[Aviso] Temporada no capturada ()", IF(ISNA(MATCH(N18, Criterios!$C$123:$C$128, 0)), "Temporada no válida", "")), IF(OR(O18="", O18=""), "[Aviso] Ciclo de vida no capturado ()", IF(ISNA(MATCH(O18, Criterios!$D$123:$D$124, 0)), "Ciclo de vida no válido", ""))))</f>
        <v/>
      </c>
      <c r="AC18" s="56" t="n"/>
      <c r="AD18" s="51" t="n">
        <v>4</v>
      </c>
      <c r="AE18" s="156" t="inlineStr">
        <is>
          <t>WB OUTLET LERMA: 4</t>
        </is>
      </c>
      <c r="AF18" s="51" t="n">
        <v>4</v>
      </c>
      <c r="AG18" s="156" t="inlineStr">
        <is>
          <t>Nuevo – NetSuite con existencia</t>
        </is>
      </c>
      <c r="AH18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18" s="156" t="inlineStr">
        <is>
          <t>No</t>
        </is>
      </c>
      <c r="AJ18" s="156" t="n"/>
      <c r="AK18" s="155" t="inlineStr">
        <is>
          <t>ProductosCatalogoEstandar907.xlsx: fila 6253 [N,O,Q,S,U,Y]; G1522_Extraccion_Articulos_NetSuite_2026-09-30.xlsx: fila 56535 [P,V,Y,T] | Shopify WB: producto 8569956139193 / variante 47621315854521</t>
        </is>
      </c>
      <c r="AL18" s="58" t="n">
        <v>319</v>
      </c>
      <c r="AM18" s="58" t="n">
        <v>648.99999998</v>
      </c>
      <c r="AN18" s="155" t="inlineStr">
        <is>
          <t>Shopify Western Brothers</t>
        </is>
      </c>
      <c r="AO18" s="59" t="n"/>
      <c r="AP18" s="59" t="n">
        <v>4</v>
      </c>
      <c r="AQ18" s="59" t="n"/>
      <c r="AR18" s="155" t="inlineStr">
        <is>
          <t>Shopify Western Brothers › Western Brothers Outlet Lerma: 4</t>
        </is>
      </c>
    </row>
    <row r="19">
      <c r="A19" s="50" t="inlineStr">
        <is>
          <t>7506499570851</t>
        </is>
      </c>
      <c r="B19" s="51" t="inlineStr">
        <is>
          <t>108377</t>
        </is>
      </c>
      <c r="C19" s="156" t="inlineStr">
        <is>
          <t>Multimarca</t>
        </is>
      </c>
      <c r="D19" s="156" t="inlineStr">
        <is>
          <t>02-TDAG012-0007</t>
        </is>
      </c>
      <c r="E19" s="156" t="inlineStr">
        <is>
          <t>02-TDAG012-0007-XL</t>
        </is>
      </c>
      <c r="F19" s="156" t="inlineStr">
        <is>
          <t>XL</t>
        </is>
      </c>
      <c r="G19" s="156" t="inlineStr">
        <is>
          <t>XL</t>
        </is>
      </c>
      <c r="H19" s="156" t="inlineStr">
        <is>
          <t>Denver</t>
        </is>
      </c>
      <c r="I19" s="156" t="inlineStr">
        <is>
          <t>Playera Denver dama negro corazon toros</t>
        </is>
      </c>
      <c r="J19" s="156" t="inlineStr">
        <is>
          <t>Ropa</t>
        </is>
      </c>
      <c r="K19" s="156" t="inlineStr">
        <is>
          <t>Playeras</t>
        </is>
      </c>
      <c r="L19" s="156" t="inlineStr">
        <is>
          <t>Mujer</t>
        </is>
      </c>
      <c r="M19" s="156" t="inlineStr">
        <is>
          <t>Denver</t>
        </is>
      </c>
      <c r="N19" s="156" t="inlineStr">
        <is>
          <t>SS26</t>
        </is>
      </c>
      <c r="O19" s="156" t="inlineStr">
        <is>
          <t>Seasonal</t>
        </is>
      </c>
      <c r="P19" s="156" t="inlineStr">
        <is>
          <t>Negro</t>
        </is>
      </c>
      <c r="Q19" s="156" t="inlineStr">
        <is>
          <t>Regular</t>
        </is>
      </c>
      <c r="R19" s="156" t="n"/>
      <c r="S19" s="156" t="inlineStr">
        <is>
          <t>100% Algodón</t>
        </is>
      </c>
      <c r="T19" s="156" t="inlineStr">
        <is>
          <t>Playera Denver dama negro corazon toros Regular</t>
        </is>
      </c>
      <c r="U19" s="156" t="inlineStr">
        <is>
          <t>México</t>
        </is>
      </c>
      <c r="V19" s="156" t="inlineStr">
        <is>
          <t>PZS</t>
        </is>
      </c>
      <c r="W19" s="51" t="inlineStr">
        <is>
          <t>53101604</t>
        </is>
      </c>
      <c r="X19" s="156" t="n"/>
      <c r="Y19" s="54" t="n">
        <v>319</v>
      </c>
      <c r="Z19" s="54" t="n">
        <v>559.4827586</v>
      </c>
      <c r="AA19" s="55">
        <f>IF(AND(A19="", B19="", E19=""), "", IF(AB19="", "Válido", IF((LEN(AB19)-LEN(SUBSTITUTE(AB19,"; ","")))/2+1&gt;(LEN(AB19)-LEN(SUBSTITUTE(AB19,"[Aviso]","")))/7, "Con Incidencias", "Válido")))</f>
        <v/>
      </c>
      <c r="AB19" s="56">
        <f>IF(AND(A19="", B19="", E19=""), "", TEXTJOIN("; ", TRUE, IF(OR(TRIM(A19&amp;"")="", ISNUMBER(SEARCH("FALTA", A19))), "UPC faltante/inválido", ""), IF(AND(A19&lt;&gt;"", IFERROR(_xlfn.XMATCH(A19,$A$2:$A$204,0,1)&lt;&gt;_xlfn.XMATCH(A19,$A$2:$A$204,0,-1),FALSE)), "Código de barras duplicado", ""), IF(AND(E19&lt;&gt;"", COUNTIF($E$2:$E$204, E19)&gt;1), "SKU duplicado", ""), IF(OR(J19="", J19=""), "[Aviso] División no capturada ()", IF(ISNA(MATCH(J19, Criterios!$A$123:$A$126, 0)), "División no válida", "")), IF(OR(K19="", K19=""), "[Aviso] Categoría no capturada ()", IF(ISNA(MATCH(K19, Criterios!$A$81:$A$120, 0)), "Categoría no válida", IF(AND(J19&lt;&gt;"", J19&lt;&gt;"", J19&lt;&gt;VLOOKUP(K19, Criterios!$A$81:$B$120, 2, FALSE)), "División no coincide con Categoría", ""))), IF(OR(L19="", L19=""), "[Aviso] Género no capturado ()", IF(ISNA(MATCH(L19, Criterios!$B$123:$B$127, 0)), "Género no válido", "")), IF(OR(N19="", N19=""), "[Aviso] Temporada no capturada ()", IF(ISNA(MATCH(N19, Criterios!$C$123:$C$128, 0)), "Temporada no válida", "")), IF(OR(O19="", O19=""), "[Aviso] Ciclo de vida no capturado ()", IF(ISNA(MATCH(O19, Criterios!$D$123:$D$124, 0)), "Ciclo de vida no válido", ""))))</f>
        <v/>
      </c>
      <c r="AC19" s="56" t="n"/>
      <c r="AD19" s="51" t="n">
        <v>4</v>
      </c>
      <c r="AE19" s="156" t="inlineStr">
        <is>
          <t>WB OUTLET LERMA: 4</t>
        </is>
      </c>
      <c r="AF19" s="51" t="n">
        <v>4</v>
      </c>
      <c r="AG19" s="156" t="inlineStr">
        <is>
          <t>Nuevo – NetSuite con existencia</t>
        </is>
      </c>
      <c r="AH19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19" s="156" t="inlineStr">
        <is>
          <t>No</t>
        </is>
      </c>
      <c r="AJ19" s="156" t="n"/>
      <c r="AK19" s="155" t="inlineStr">
        <is>
          <t>ProductosCatalogoEstandar907.xlsx: fila 6254 [N,O,Q,S,U,Y]; G1522_Extraccion_Articulos_NetSuite_2026-09-30.xlsx: fila 56536 [P,V,Y,T] | Shopify WB: producto 8569956139193 / variante 47621315887289</t>
        </is>
      </c>
      <c r="AL19" s="58" t="n">
        <v>319</v>
      </c>
      <c r="AM19" s="58" t="n">
        <v>648.99999998</v>
      </c>
      <c r="AN19" s="155" t="inlineStr">
        <is>
          <t>Shopify Western Brothers</t>
        </is>
      </c>
      <c r="AO19" s="59" t="n"/>
      <c r="AP19" s="59" t="n">
        <v>4</v>
      </c>
      <c r="AQ19" s="59" t="n"/>
      <c r="AR19" s="155" t="inlineStr">
        <is>
          <t>Shopify Western Brothers › Western Brothers Outlet Lerma: 4</t>
        </is>
      </c>
    </row>
    <row r="20">
      <c r="A20" s="50" t="inlineStr">
        <is>
          <t>7506499570852</t>
        </is>
      </c>
      <c r="B20" s="51" t="inlineStr">
        <is>
          <t>108378</t>
        </is>
      </c>
      <c r="C20" s="156" t="inlineStr">
        <is>
          <t>Multimarca</t>
        </is>
      </c>
      <c r="D20" s="156" t="inlineStr">
        <is>
          <t>02-TDAG012-0010</t>
        </is>
      </c>
      <c r="E20" s="156" t="inlineStr">
        <is>
          <t>02-TDAG012-0010-S</t>
        </is>
      </c>
      <c r="F20" s="156" t="inlineStr">
        <is>
          <t>S</t>
        </is>
      </c>
      <c r="G20" s="156" t="inlineStr">
        <is>
          <t>S</t>
        </is>
      </c>
      <c r="H20" s="156" t="inlineStr">
        <is>
          <t>Denver</t>
        </is>
      </c>
      <c r="I20" s="156" t="inlineStr">
        <is>
          <t>Playera Denver dama beige botas</t>
        </is>
      </c>
      <c r="J20" s="156" t="inlineStr">
        <is>
          <t>Ropa</t>
        </is>
      </c>
      <c r="K20" s="156" t="inlineStr">
        <is>
          <t>Playeras</t>
        </is>
      </c>
      <c r="L20" s="156" t="inlineStr">
        <is>
          <t>Mujer</t>
        </is>
      </c>
      <c r="M20" s="156" t="inlineStr">
        <is>
          <t>Denver</t>
        </is>
      </c>
      <c r="N20" s="156" t="inlineStr">
        <is>
          <t>SS26</t>
        </is>
      </c>
      <c r="O20" s="156" t="inlineStr">
        <is>
          <t>Seasonal</t>
        </is>
      </c>
      <c r="P20" s="156" t="inlineStr">
        <is>
          <t>Beige</t>
        </is>
      </c>
      <c r="Q20" s="156" t="inlineStr">
        <is>
          <t>Regular</t>
        </is>
      </c>
      <c r="R20" s="156" t="n"/>
      <c r="S20" s="156" t="inlineStr">
        <is>
          <t>100% Algodón</t>
        </is>
      </c>
      <c r="T20" s="156" t="inlineStr">
        <is>
          <t>Playera Denver dama beige botas Regular</t>
        </is>
      </c>
      <c r="U20" s="156" t="inlineStr">
        <is>
          <t>México</t>
        </is>
      </c>
      <c r="V20" s="156" t="inlineStr">
        <is>
          <t>PZS</t>
        </is>
      </c>
      <c r="W20" s="51" t="inlineStr">
        <is>
          <t>53101604</t>
        </is>
      </c>
      <c r="X20" s="156" t="n"/>
      <c r="Y20" s="54" t="n">
        <v>319</v>
      </c>
      <c r="Z20" s="54" t="n">
        <v>559.4827586</v>
      </c>
      <c r="AA20" s="55">
        <f>IF(AND(A20="", B20="", E20=""), "", IF(AB20="", "Válido", IF((LEN(AB20)-LEN(SUBSTITUTE(AB20,"; ","")))/2+1&gt;(LEN(AB20)-LEN(SUBSTITUTE(AB20,"[Aviso]","")))/7, "Con Incidencias", "Válido")))</f>
        <v/>
      </c>
      <c r="AB20" s="56">
        <f>IF(AND(A20="", B20="", E20=""), "", TEXTJOIN("; ", TRUE, IF(OR(TRIM(A20&amp;"")="", ISNUMBER(SEARCH("FALTA", A20))), "UPC faltante/inválido", ""), IF(AND(A20&lt;&gt;"", IFERROR(_xlfn.XMATCH(A20,$A$2:$A$204,0,1)&lt;&gt;_xlfn.XMATCH(A20,$A$2:$A$204,0,-1),FALSE)), "Código de barras duplicado", ""), IF(AND(E20&lt;&gt;"", COUNTIF($E$2:$E$204, E20)&gt;1), "SKU duplicado", ""), IF(OR(J20="", J20=""), "[Aviso] División no capturada ()", IF(ISNA(MATCH(J20, Criterios!$A$123:$A$126, 0)), "División no válida", "")), IF(OR(K20="", K20=""), "[Aviso] Categoría no capturada ()", IF(ISNA(MATCH(K20, Criterios!$A$81:$A$120, 0)), "Categoría no válida", IF(AND(J20&lt;&gt;"", J20&lt;&gt;"", J20&lt;&gt;VLOOKUP(K20, Criterios!$A$81:$B$120, 2, FALSE)), "División no coincide con Categoría", ""))), IF(OR(L20="", L20=""), "[Aviso] Género no capturado ()", IF(ISNA(MATCH(L20, Criterios!$B$123:$B$127, 0)), "Género no válido", "")), IF(OR(N20="", N20=""), "[Aviso] Temporada no capturada ()", IF(ISNA(MATCH(N20, Criterios!$C$123:$C$128, 0)), "Temporada no válida", "")), IF(OR(O20="", O20=""), "[Aviso] Ciclo de vida no capturado ()", IF(ISNA(MATCH(O20, Criterios!$D$123:$D$124, 0)), "Ciclo de vida no válido", ""))))</f>
        <v/>
      </c>
      <c r="AC20" s="56" t="n"/>
      <c r="AD20" s="51" t="n">
        <v>2</v>
      </c>
      <c r="AE20" s="156" t="inlineStr">
        <is>
          <t>WB OUTLET LERMA: 2</t>
        </is>
      </c>
      <c r="AF20" s="51" t="n">
        <v>2</v>
      </c>
      <c r="AG20" s="156" t="inlineStr">
        <is>
          <t>Nuevo – NetSuite con existencia</t>
        </is>
      </c>
      <c r="AH20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20" s="156" t="inlineStr">
        <is>
          <t>No</t>
        </is>
      </c>
      <c r="AJ20" s="156" t="n"/>
      <c r="AK20" s="155" t="inlineStr">
        <is>
          <t>ProductosCatalogoEstandar907.xlsx: fila 6255 [N,O,Q,S,U,Y]; G1522_Extraccion_Articulos_NetSuite_2026-09-30.xlsx: fila 56537 [P,V,Y,T] | Shopify WB: producto 8569956270265 / variante 47621316018361</t>
        </is>
      </c>
      <c r="AL20" s="58" t="n">
        <v>319</v>
      </c>
      <c r="AM20" s="58" t="n">
        <v>648.99999998</v>
      </c>
      <c r="AN20" s="155" t="inlineStr">
        <is>
          <t>Shopify Western Brothers</t>
        </is>
      </c>
      <c r="AO20" s="59" t="n"/>
      <c r="AP20" s="59" t="n">
        <v>3</v>
      </c>
      <c r="AQ20" s="59" t="n"/>
      <c r="AR20" s="155" t="inlineStr">
        <is>
          <t>Shopify Western Brothers › Western Brothers Outlet Lerma: 3</t>
        </is>
      </c>
    </row>
    <row r="21">
      <c r="A21" s="50" t="inlineStr">
        <is>
          <t>7506499570853</t>
        </is>
      </c>
      <c r="B21" s="51" t="inlineStr">
        <is>
          <t>108379</t>
        </is>
      </c>
      <c r="C21" s="156" t="inlineStr">
        <is>
          <t>Multimarca</t>
        </is>
      </c>
      <c r="D21" s="156" t="inlineStr">
        <is>
          <t>02-TDAG012-0010</t>
        </is>
      </c>
      <c r="E21" s="156" t="inlineStr">
        <is>
          <t>02-TDAG012-0010-M</t>
        </is>
      </c>
      <c r="F21" s="156" t="inlineStr">
        <is>
          <t>M</t>
        </is>
      </c>
      <c r="G21" s="156" t="inlineStr">
        <is>
          <t>M</t>
        </is>
      </c>
      <c r="H21" s="156" t="inlineStr">
        <is>
          <t>Denver</t>
        </is>
      </c>
      <c r="I21" s="156" t="inlineStr">
        <is>
          <t>Playera Denver dama beige botas</t>
        </is>
      </c>
      <c r="J21" s="156" t="inlineStr">
        <is>
          <t>Ropa</t>
        </is>
      </c>
      <c r="K21" s="156" t="inlineStr">
        <is>
          <t>Playeras</t>
        </is>
      </c>
      <c r="L21" s="156" t="inlineStr">
        <is>
          <t>Mujer</t>
        </is>
      </c>
      <c r="M21" s="156" t="inlineStr">
        <is>
          <t>Denver</t>
        </is>
      </c>
      <c r="N21" s="156" t="inlineStr">
        <is>
          <t>SS26</t>
        </is>
      </c>
      <c r="O21" s="156" t="inlineStr">
        <is>
          <t>Seasonal</t>
        </is>
      </c>
      <c r="P21" s="156" t="inlineStr">
        <is>
          <t>Beige</t>
        </is>
      </c>
      <c r="Q21" s="156" t="inlineStr">
        <is>
          <t>Regular</t>
        </is>
      </c>
      <c r="R21" s="156" t="n"/>
      <c r="S21" s="156" t="inlineStr">
        <is>
          <t>100% Algodón</t>
        </is>
      </c>
      <c r="T21" s="156" t="inlineStr">
        <is>
          <t>Playera Denver dama beige botas Regular</t>
        </is>
      </c>
      <c r="U21" s="156" t="inlineStr">
        <is>
          <t>México</t>
        </is>
      </c>
      <c r="V21" s="156" t="inlineStr">
        <is>
          <t>PZS</t>
        </is>
      </c>
      <c r="W21" s="51" t="inlineStr">
        <is>
          <t>53101604</t>
        </is>
      </c>
      <c r="X21" s="156" t="n"/>
      <c r="Y21" s="54" t="n">
        <v>319</v>
      </c>
      <c r="Z21" s="54" t="n">
        <v>559.4827586</v>
      </c>
      <c r="AA21" s="55">
        <f>IF(AND(A21="", B21="", E21=""), "", IF(AB21="", "Válido", IF((LEN(AB21)-LEN(SUBSTITUTE(AB21,"; ","")))/2+1&gt;(LEN(AB21)-LEN(SUBSTITUTE(AB21,"[Aviso]","")))/7, "Con Incidencias", "Válido")))</f>
        <v/>
      </c>
      <c r="AB21" s="56">
        <f>IF(AND(A21="", B21="", E21=""), "", TEXTJOIN("; ", TRUE, IF(OR(TRIM(A21&amp;"")="", ISNUMBER(SEARCH("FALTA", A21))), "UPC faltante/inválido", ""), IF(AND(A21&lt;&gt;"", IFERROR(_xlfn.XMATCH(A21,$A$2:$A$204,0,1)&lt;&gt;_xlfn.XMATCH(A21,$A$2:$A$204,0,-1),FALSE)), "Código de barras duplicado", ""), IF(AND(E21&lt;&gt;"", COUNTIF($E$2:$E$204, E21)&gt;1), "SKU duplicado", ""), IF(OR(J21="", J21=""), "[Aviso] División no capturada ()", IF(ISNA(MATCH(J21, Criterios!$A$123:$A$126, 0)), "División no válida", "")), IF(OR(K21="", K21=""), "[Aviso] Categoría no capturada ()", IF(ISNA(MATCH(K21, Criterios!$A$81:$A$120, 0)), "Categoría no válida", IF(AND(J21&lt;&gt;"", J21&lt;&gt;"", J21&lt;&gt;VLOOKUP(K21, Criterios!$A$81:$B$120, 2, FALSE)), "División no coincide con Categoría", ""))), IF(OR(L21="", L21=""), "[Aviso] Género no capturado ()", IF(ISNA(MATCH(L21, Criterios!$B$123:$B$127, 0)), "Género no válido", "")), IF(OR(N21="", N21=""), "[Aviso] Temporada no capturada ()", IF(ISNA(MATCH(N21, Criterios!$C$123:$C$128, 0)), "Temporada no válida", "")), IF(OR(O21="", O21=""), "[Aviso] Ciclo de vida no capturado ()", IF(ISNA(MATCH(O21, Criterios!$D$123:$D$124, 0)), "Ciclo de vida no válido", ""))))</f>
        <v/>
      </c>
      <c r="AC21" s="56" t="n"/>
      <c r="AD21" s="51" t="n">
        <v>3</v>
      </c>
      <c r="AE21" s="156" t="inlineStr">
        <is>
          <t>WB OUTLET LERMA: 3</t>
        </is>
      </c>
      <c r="AF21" s="51" t="n">
        <v>3</v>
      </c>
      <c r="AG21" s="156" t="inlineStr">
        <is>
          <t>Nuevo – NetSuite con existencia</t>
        </is>
      </c>
      <c r="AH21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21" s="156" t="inlineStr">
        <is>
          <t>No</t>
        </is>
      </c>
      <c r="AJ21" s="156" t="n"/>
      <c r="AK21" s="155" t="inlineStr">
        <is>
          <t>ProductosCatalogoEstandar907.xlsx: fila 6256 [N,O,Q,S,U,Y]; G1522_Extraccion_Articulos_NetSuite_2026-09-30.xlsx: fila 56538 [P,V,Y,T] | Shopify WB: producto 8569956270265 / variante 47621316051129</t>
        </is>
      </c>
      <c r="AL21" s="58" t="n">
        <v>319</v>
      </c>
      <c r="AM21" s="58" t="n">
        <v>648.99999998</v>
      </c>
      <c r="AN21" s="155" t="inlineStr">
        <is>
          <t>Shopify Western Brothers</t>
        </is>
      </c>
      <c r="AO21" s="59" t="n"/>
      <c r="AP21" s="59" t="n">
        <v>3</v>
      </c>
      <c r="AQ21" s="59" t="n"/>
      <c r="AR21" s="155" t="inlineStr">
        <is>
          <t>Shopify Western Brothers › Western Brothers Outlet Lerma: 3</t>
        </is>
      </c>
    </row>
    <row r="22">
      <c r="A22" s="50" t="inlineStr">
        <is>
          <t>7506499570854</t>
        </is>
      </c>
      <c r="B22" s="51" t="inlineStr">
        <is>
          <t>108380</t>
        </is>
      </c>
      <c r="C22" s="156" t="inlineStr">
        <is>
          <t>Multimarca</t>
        </is>
      </c>
      <c r="D22" s="156" t="inlineStr">
        <is>
          <t>02-TDAG012-0010</t>
        </is>
      </c>
      <c r="E22" s="156" t="inlineStr">
        <is>
          <t>02-TDAG012-0010-L</t>
        </is>
      </c>
      <c r="F22" s="156" t="inlineStr">
        <is>
          <t>L</t>
        </is>
      </c>
      <c r="G22" s="156" t="inlineStr">
        <is>
          <t>L</t>
        </is>
      </c>
      <c r="H22" s="156" t="inlineStr">
        <is>
          <t>Denver</t>
        </is>
      </c>
      <c r="I22" s="156" t="inlineStr">
        <is>
          <t>Playera Denver dama beige botas</t>
        </is>
      </c>
      <c r="J22" s="156" t="inlineStr">
        <is>
          <t>Ropa</t>
        </is>
      </c>
      <c r="K22" s="156" t="inlineStr">
        <is>
          <t>Playeras</t>
        </is>
      </c>
      <c r="L22" s="156" t="inlineStr">
        <is>
          <t>Mujer</t>
        </is>
      </c>
      <c r="M22" s="156" t="inlineStr">
        <is>
          <t>Denver</t>
        </is>
      </c>
      <c r="N22" s="156" t="inlineStr">
        <is>
          <t>SS26</t>
        </is>
      </c>
      <c r="O22" s="156" t="inlineStr">
        <is>
          <t>Seasonal</t>
        </is>
      </c>
      <c r="P22" s="156" t="inlineStr">
        <is>
          <t>Beige</t>
        </is>
      </c>
      <c r="Q22" s="156" t="inlineStr">
        <is>
          <t>Regular</t>
        </is>
      </c>
      <c r="R22" s="156" t="n"/>
      <c r="S22" s="156" t="inlineStr">
        <is>
          <t>100% Algodón</t>
        </is>
      </c>
      <c r="T22" s="156" t="inlineStr">
        <is>
          <t>Playera Denver dama beige botas Regular</t>
        </is>
      </c>
      <c r="U22" s="156" t="inlineStr">
        <is>
          <t>México</t>
        </is>
      </c>
      <c r="V22" s="156" t="inlineStr">
        <is>
          <t>PZS</t>
        </is>
      </c>
      <c r="W22" s="51" t="inlineStr">
        <is>
          <t>53101604</t>
        </is>
      </c>
      <c r="X22" s="156" t="n"/>
      <c r="Y22" s="54" t="n">
        <v>319</v>
      </c>
      <c r="Z22" s="54" t="n">
        <v>559.4827586</v>
      </c>
      <c r="AA22" s="55">
        <f>IF(AND(A22="", B22="", E22=""), "", IF(AB22="", "Válido", IF((LEN(AB22)-LEN(SUBSTITUTE(AB22,"; ","")))/2+1&gt;(LEN(AB22)-LEN(SUBSTITUTE(AB22,"[Aviso]","")))/7, "Con Incidencias", "Válido")))</f>
        <v/>
      </c>
      <c r="AB22" s="56">
        <f>IF(AND(A22="", B22="", E22=""), "", TEXTJOIN("; ", TRUE, IF(OR(TRIM(A22&amp;"")="", ISNUMBER(SEARCH("FALTA", A22))), "UPC faltante/inválido", ""), IF(AND(A22&lt;&gt;"", IFERROR(_xlfn.XMATCH(A22,$A$2:$A$204,0,1)&lt;&gt;_xlfn.XMATCH(A22,$A$2:$A$204,0,-1),FALSE)), "Código de barras duplicado", ""), IF(AND(E22&lt;&gt;"", COUNTIF($E$2:$E$204, E22)&gt;1), "SKU duplicado", ""), IF(OR(J22="", J22=""), "[Aviso] División no capturada ()", IF(ISNA(MATCH(J22, Criterios!$A$123:$A$126, 0)), "División no válida", "")), IF(OR(K22="", K22=""), "[Aviso] Categoría no capturada ()", IF(ISNA(MATCH(K22, Criterios!$A$81:$A$120, 0)), "Categoría no válida", IF(AND(J22&lt;&gt;"", J22&lt;&gt;"", J22&lt;&gt;VLOOKUP(K22, Criterios!$A$81:$B$120, 2, FALSE)), "División no coincide con Categoría", ""))), IF(OR(L22="", L22=""), "[Aviso] Género no capturado ()", IF(ISNA(MATCH(L22, Criterios!$B$123:$B$127, 0)), "Género no válido", "")), IF(OR(N22="", N22=""), "[Aviso] Temporada no capturada ()", IF(ISNA(MATCH(N22, Criterios!$C$123:$C$128, 0)), "Temporada no válida", "")), IF(OR(O22="", O22=""), "[Aviso] Ciclo de vida no capturado ()", IF(ISNA(MATCH(O22, Criterios!$D$123:$D$124, 0)), "Ciclo de vida no válido", ""))))</f>
        <v/>
      </c>
      <c r="AC22" s="56" t="n"/>
      <c r="AD22" s="51" t="n">
        <v>2</v>
      </c>
      <c r="AE22" s="156" t="inlineStr">
        <is>
          <t>WB OUTLET LERMA: 2</t>
        </is>
      </c>
      <c r="AF22" s="51" t="n">
        <v>2</v>
      </c>
      <c r="AG22" s="156" t="inlineStr">
        <is>
          <t>Nuevo – NetSuite con existencia</t>
        </is>
      </c>
      <c r="AH22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22" s="156" t="inlineStr">
        <is>
          <t>No</t>
        </is>
      </c>
      <c r="AJ22" s="156" t="n"/>
      <c r="AK22" s="155" t="inlineStr">
        <is>
          <t>ProductosCatalogoEstandar907.xlsx: fila 6257 [N,O,Q,S,U,Y]; G1522_Extraccion_Articulos_NetSuite_2026-09-30.xlsx: fila 56539 [P,V,Y,T] | Shopify WB: producto 8569956270265 / variante 47621316083897</t>
        </is>
      </c>
      <c r="AL22" s="58" t="n">
        <v>319</v>
      </c>
      <c r="AM22" s="58" t="n">
        <v>648.99999998</v>
      </c>
      <c r="AN22" s="155" t="inlineStr">
        <is>
          <t>Shopify Western Brothers</t>
        </is>
      </c>
      <c r="AO22" s="59" t="n"/>
      <c r="AP22" s="59" t="n">
        <v>3</v>
      </c>
      <c r="AQ22" s="59" t="n"/>
      <c r="AR22" s="155" t="inlineStr">
        <is>
          <t>Shopify Western Brothers › Western Brothers Outlet Lerma: 3</t>
        </is>
      </c>
    </row>
    <row r="23">
      <c r="A23" s="50" t="inlineStr">
        <is>
          <t>7506499570855</t>
        </is>
      </c>
      <c r="B23" s="51" t="inlineStr">
        <is>
          <t>108381</t>
        </is>
      </c>
      <c r="C23" s="156" t="inlineStr">
        <is>
          <t>Multimarca</t>
        </is>
      </c>
      <c r="D23" s="156" t="inlineStr">
        <is>
          <t>02-TDAG012-0010</t>
        </is>
      </c>
      <c r="E23" s="156" t="inlineStr">
        <is>
          <t>02-TDAG012-0010-XL</t>
        </is>
      </c>
      <c r="F23" s="156" t="inlineStr">
        <is>
          <t>XL</t>
        </is>
      </c>
      <c r="G23" s="156" t="inlineStr">
        <is>
          <t>XL</t>
        </is>
      </c>
      <c r="H23" s="156" t="inlineStr">
        <is>
          <t>Denver</t>
        </is>
      </c>
      <c r="I23" s="156" t="inlineStr">
        <is>
          <t>Playera Denver dama beige botas</t>
        </is>
      </c>
      <c r="J23" s="156" t="inlineStr">
        <is>
          <t>Ropa</t>
        </is>
      </c>
      <c r="K23" s="156" t="inlineStr">
        <is>
          <t>Playeras</t>
        </is>
      </c>
      <c r="L23" s="156" t="inlineStr">
        <is>
          <t>Mujer</t>
        </is>
      </c>
      <c r="M23" s="156" t="inlineStr">
        <is>
          <t>Denver</t>
        </is>
      </c>
      <c r="N23" s="156" t="inlineStr">
        <is>
          <t>SS26</t>
        </is>
      </c>
      <c r="O23" s="156" t="inlineStr">
        <is>
          <t>Seasonal</t>
        </is>
      </c>
      <c r="P23" s="156" t="inlineStr">
        <is>
          <t>Beige</t>
        </is>
      </c>
      <c r="Q23" s="156" t="inlineStr">
        <is>
          <t>Regular</t>
        </is>
      </c>
      <c r="R23" s="156" t="n"/>
      <c r="S23" s="156" t="inlineStr">
        <is>
          <t>100% Algodón</t>
        </is>
      </c>
      <c r="T23" s="156" t="inlineStr">
        <is>
          <t>Playera Denver dama beige botas Regular</t>
        </is>
      </c>
      <c r="U23" s="156" t="inlineStr">
        <is>
          <t>México</t>
        </is>
      </c>
      <c r="V23" s="156" t="inlineStr">
        <is>
          <t>PZS</t>
        </is>
      </c>
      <c r="W23" s="51" t="inlineStr">
        <is>
          <t>53101604</t>
        </is>
      </c>
      <c r="X23" s="156" t="n"/>
      <c r="Y23" s="54" t="n">
        <v>319</v>
      </c>
      <c r="Z23" s="54" t="n">
        <v>559.4827586</v>
      </c>
      <c r="AA23" s="55">
        <f>IF(AND(A23="", B23="", E23=""), "", IF(AB23="", "Válido", IF((LEN(AB23)-LEN(SUBSTITUTE(AB23,"; ","")))/2+1&gt;(LEN(AB23)-LEN(SUBSTITUTE(AB23,"[Aviso]","")))/7, "Con Incidencias", "Válido")))</f>
        <v/>
      </c>
      <c r="AB23" s="56">
        <f>IF(AND(A23="", B23="", E23=""), "", TEXTJOIN("; ", TRUE, IF(OR(TRIM(A23&amp;"")="", ISNUMBER(SEARCH("FALTA", A23))), "UPC faltante/inválido", ""), IF(AND(A23&lt;&gt;"", IFERROR(_xlfn.XMATCH(A23,$A$2:$A$204,0,1)&lt;&gt;_xlfn.XMATCH(A23,$A$2:$A$204,0,-1),FALSE)), "Código de barras duplicado", ""), IF(AND(E23&lt;&gt;"", COUNTIF($E$2:$E$204, E23)&gt;1), "SKU duplicado", ""), IF(OR(J23="", J23=""), "[Aviso] División no capturada ()", IF(ISNA(MATCH(J23, Criterios!$A$123:$A$126, 0)), "División no válida", "")), IF(OR(K23="", K23=""), "[Aviso] Categoría no capturada ()", IF(ISNA(MATCH(K23, Criterios!$A$81:$A$120, 0)), "Categoría no válida", IF(AND(J23&lt;&gt;"", J23&lt;&gt;"", J23&lt;&gt;VLOOKUP(K23, Criterios!$A$81:$B$120, 2, FALSE)), "División no coincide con Categoría", ""))), IF(OR(L23="", L23=""), "[Aviso] Género no capturado ()", IF(ISNA(MATCH(L23, Criterios!$B$123:$B$127, 0)), "Género no válido", "")), IF(OR(N23="", N23=""), "[Aviso] Temporada no capturada ()", IF(ISNA(MATCH(N23, Criterios!$C$123:$C$128, 0)), "Temporada no válida", "")), IF(OR(O23="", O23=""), "[Aviso] Ciclo de vida no capturado ()", IF(ISNA(MATCH(O23, Criterios!$D$123:$D$124, 0)), "Ciclo de vida no válido", ""))))</f>
        <v/>
      </c>
      <c r="AC23" s="56" t="n"/>
      <c r="AD23" s="51" t="n">
        <v>3</v>
      </c>
      <c r="AE23" s="156" t="inlineStr">
        <is>
          <t>WB OUTLET LERMA: 3</t>
        </is>
      </c>
      <c r="AF23" s="51" t="n">
        <v>3</v>
      </c>
      <c r="AG23" s="156" t="inlineStr">
        <is>
          <t>Nuevo – NetSuite con existencia</t>
        </is>
      </c>
      <c r="AH23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23" s="156" t="inlineStr">
        <is>
          <t>No</t>
        </is>
      </c>
      <c r="AJ23" s="156" t="n"/>
      <c r="AK23" s="155" t="inlineStr">
        <is>
          <t>ProductosCatalogoEstandar907.xlsx: fila 6258 [N,O,Q,S,U,Y]; G1522_Extraccion_Articulos_NetSuite_2026-09-30.xlsx: fila 56540 [P,V,Y,T] | Shopify WB: producto 8569956270265 / variante 47621316116665</t>
        </is>
      </c>
      <c r="AL23" s="58" t="n">
        <v>319</v>
      </c>
      <c r="AM23" s="58" t="n">
        <v>648.99999998</v>
      </c>
      <c r="AN23" s="155" t="inlineStr">
        <is>
          <t>Shopify Western Brothers</t>
        </is>
      </c>
      <c r="AO23" s="59" t="n"/>
      <c r="AP23" s="59" t="n">
        <v>3</v>
      </c>
      <c r="AQ23" s="59" t="n"/>
      <c r="AR23" s="155" t="inlineStr">
        <is>
          <t>Shopify Western Brothers › Western Brothers Outlet Lerma: 3</t>
        </is>
      </c>
    </row>
    <row r="24">
      <c r="A24" s="50" t="inlineStr">
        <is>
          <t>7506499570856</t>
        </is>
      </c>
      <c r="B24" s="51" t="inlineStr">
        <is>
          <t>108382</t>
        </is>
      </c>
      <c r="C24" s="156" t="inlineStr">
        <is>
          <t>Multimarca</t>
        </is>
      </c>
      <c r="D24" s="156" t="inlineStr">
        <is>
          <t>02-TDAG012-0012</t>
        </is>
      </c>
      <c r="E24" s="156" t="inlineStr">
        <is>
          <t>02-TDAG012-0012-S</t>
        </is>
      </c>
      <c r="F24" s="156" t="inlineStr">
        <is>
          <t>S</t>
        </is>
      </c>
      <c r="G24" s="156" t="inlineStr">
        <is>
          <t>S</t>
        </is>
      </c>
      <c r="H24" s="156" t="inlineStr">
        <is>
          <t>Denver</t>
        </is>
      </c>
      <c r="I24" s="156" t="inlineStr">
        <is>
          <t>Playera Denver dama beige placa denversito</t>
        </is>
      </c>
      <c r="J24" s="156" t="inlineStr">
        <is>
          <t>Ropa</t>
        </is>
      </c>
      <c r="K24" s="156" t="inlineStr">
        <is>
          <t>Playeras</t>
        </is>
      </c>
      <c r="L24" s="156" t="inlineStr">
        <is>
          <t>Mujer</t>
        </is>
      </c>
      <c r="M24" s="156" t="inlineStr">
        <is>
          <t>Denver</t>
        </is>
      </c>
      <c r="N24" s="156" t="inlineStr">
        <is>
          <t>SS26</t>
        </is>
      </c>
      <c r="O24" s="156" t="inlineStr">
        <is>
          <t>Seasonal</t>
        </is>
      </c>
      <c r="P24" s="156" t="inlineStr">
        <is>
          <t>Beige</t>
        </is>
      </c>
      <c r="Q24" s="156" t="inlineStr">
        <is>
          <t>Regular</t>
        </is>
      </c>
      <c r="R24" s="156" t="n"/>
      <c r="S24" s="156" t="inlineStr">
        <is>
          <t>100% Algodón</t>
        </is>
      </c>
      <c r="T24" s="156" t="inlineStr">
        <is>
          <t>Playera Denver dama beige placa denversito Regular</t>
        </is>
      </c>
      <c r="U24" s="156" t="inlineStr">
        <is>
          <t>México</t>
        </is>
      </c>
      <c r="V24" s="156" t="inlineStr">
        <is>
          <t>PZS</t>
        </is>
      </c>
      <c r="W24" s="51" t="inlineStr">
        <is>
          <t>53101604</t>
        </is>
      </c>
      <c r="X24" s="156" t="n"/>
      <c r="Y24" s="54" t="n">
        <v>319</v>
      </c>
      <c r="Z24" s="54" t="n">
        <v>559.4827586</v>
      </c>
      <c r="AA24" s="55">
        <f>IF(AND(A24="", B24="", E24=""), "", IF(AB24="", "Válido", IF((LEN(AB24)-LEN(SUBSTITUTE(AB24,"; ","")))/2+1&gt;(LEN(AB24)-LEN(SUBSTITUTE(AB24,"[Aviso]","")))/7, "Con Incidencias", "Válido")))</f>
        <v/>
      </c>
      <c r="AB24" s="56">
        <f>IF(AND(A24="", B24="", E24=""), "", TEXTJOIN("; ", TRUE, IF(OR(TRIM(A24&amp;"")="", ISNUMBER(SEARCH("FALTA", A24))), "UPC faltante/inválido", ""), IF(AND(A24&lt;&gt;"", IFERROR(_xlfn.XMATCH(A24,$A$2:$A$204,0,1)&lt;&gt;_xlfn.XMATCH(A24,$A$2:$A$204,0,-1),FALSE)), "Código de barras duplicado", ""), IF(AND(E24&lt;&gt;"", COUNTIF($E$2:$E$204, E24)&gt;1), "SKU duplicado", ""), IF(OR(J24="", J24=""), "[Aviso] División no capturada ()", IF(ISNA(MATCH(J24, Criterios!$A$123:$A$126, 0)), "División no válida", "")), IF(OR(K24="", K24=""), "[Aviso] Categoría no capturada ()", IF(ISNA(MATCH(K24, Criterios!$A$81:$A$120, 0)), "Categoría no válida", IF(AND(J24&lt;&gt;"", J24&lt;&gt;"", J24&lt;&gt;VLOOKUP(K24, Criterios!$A$81:$B$120, 2, FALSE)), "División no coincide con Categoría", ""))), IF(OR(L24="", L24=""), "[Aviso] Género no capturado ()", IF(ISNA(MATCH(L24, Criterios!$B$123:$B$127, 0)), "Género no válido", "")), IF(OR(N24="", N24=""), "[Aviso] Temporada no capturada ()", IF(ISNA(MATCH(N24, Criterios!$C$123:$C$128, 0)), "Temporada no válida", "")), IF(OR(O24="", O24=""), "[Aviso] Ciclo de vida no capturado ()", IF(ISNA(MATCH(O24, Criterios!$D$123:$D$124, 0)), "Ciclo de vida no válido", ""))))</f>
        <v/>
      </c>
      <c r="AC24" s="56" t="n"/>
      <c r="AD24" s="51" t="n">
        <v>0</v>
      </c>
      <c r="AE24" s="156" t="n"/>
      <c r="AF24" s="51" t="n">
        <v>0</v>
      </c>
      <c r="AG24" s="156" t="inlineStr">
        <is>
          <t>Nuevo – NetSuite sin existencia</t>
        </is>
      </c>
      <c r="AH24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24" s="156" t="inlineStr">
        <is>
          <t>No</t>
        </is>
      </c>
      <c r="AJ24" s="156" t="n"/>
      <c r="AK24" s="155" t="inlineStr">
        <is>
          <t>ProductosCatalogoEstandar907.xlsx: fila 6259 [N,O,Q,S,U,Y]; G1522_Extraccion_Articulos_NetSuite_2026-09-30.xlsx: fila 56541 [P,V,Y,T] | Shopify WB: producto 8569956499641 / variante 47621316346041</t>
        </is>
      </c>
      <c r="AL24" s="58" t="n">
        <v>319</v>
      </c>
      <c r="AM24" s="58" t="n">
        <v>648.99999998</v>
      </c>
      <c r="AN24" s="155" t="inlineStr">
        <is>
          <t>Shopify Western Brothers</t>
        </is>
      </c>
      <c r="AO24" s="59" t="n"/>
      <c r="AP24" s="59" t="n">
        <v>0</v>
      </c>
      <c r="AQ24" s="59" t="n"/>
      <c r="AR24" s="155" t="n"/>
    </row>
    <row r="25">
      <c r="A25" s="50" t="inlineStr">
        <is>
          <t>7506499570857</t>
        </is>
      </c>
      <c r="B25" s="51" t="inlineStr">
        <is>
          <t>108383</t>
        </is>
      </c>
      <c r="C25" s="156" t="inlineStr">
        <is>
          <t>Multimarca</t>
        </is>
      </c>
      <c r="D25" s="156" t="inlineStr">
        <is>
          <t>02-TDAG012-0012</t>
        </is>
      </c>
      <c r="E25" s="156" t="inlineStr">
        <is>
          <t>02-TDAG012-0012-M</t>
        </is>
      </c>
      <c r="F25" s="156" t="inlineStr">
        <is>
          <t>M</t>
        </is>
      </c>
      <c r="G25" s="156" t="inlineStr">
        <is>
          <t>M</t>
        </is>
      </c>
      <c r="H25" s="156" t="inlineStr">
        <is>
          <t>Denver</t>
        </is>
      </c>
      <c r="I25" s="156" t="inlineStr">
        <is>
          <t>Playera Denver dama beige placa denversito</t>
        </is>
      </c>
      <c r="J25" s="156" t="inlineStr">
        <is>
          <t>Ropa</t>
        </is>
      </c>
      <c r="K25" s="156" t="inlineStr">
        <is>
          <t>Playeras</t>
        </is>
      </c>
      <c r="L25" s="156" t="inlineStr">
        <is>
          <t>Mujer</t>
        </is>
      </c>
      <c r="M25" s="156" t="inlineStr">
        <is>
          <t>Denver</t>
        </is>
      </c>
      <c r="N25" s="156" t="inlineStr">
        <is>
          <t>SS26</t>
        </is>
      </c>
      <c r="O25" s="156" t="inlineStr">
        <is>
          <t>Seasonal</t>
        </is>
      </c>
      <c r="P25" s="156" t="inlineStr">
        <is>
          <t>Beige</t>
        </is>
      </c>
      <c r="Q25" s="156" t="inlineStr">
        <is>
          <t>Regular</t>
        </is>
      </c>
      <c r="R25" s="156" t="n"/>
      <c r="S25" s="156" t="inlineStr">
        <is>
          <t>100% Algodón</t>
        </is>
      </c>
      <c r="T25" s="156" t="inlineStr">
        <is>
          <t>Playera Denver dama beige placa denversito Regular</t>
        </is>
      </c>
      <c r="U25" s="156" t="inlineStr">
        <is>
          <t>México</t>
        </is>
      </c>
      <c r="V25" s="156" t="inlineStr">
        <is>
          <t>PZS</t>
        </is>
      </c>
      <c r="W25" s="51" t="inlineStr">
        <is>
          <t>53101604</t>
        </is>
      </c>
      <c r="X25" s="156" t="n"/>
      <c r="Y25" s="54" t="n">
        <v>319</v>
      </c>
      <c r="Z25" s="54" t="n">
        <v>559.4827586</v>
      </c>
      <c r="AA25" s="55">
        <f>IF(AND(A25="", B25="", E25=""), "", IF(AB25="", "Válido", IF((LEN(AB25)-LEN(SUBSTITUTE(AB25,"; ","")))/2+1&gt;(LEN(AB25)-LEN(SUBSTITUTE(AB25,"[Aviso]","")))/7, "Con Incidencias", "Válido")))</f>
        <v/>
      </c>
      <c r="AB25" s="56">
        <f>IF(AND(A25="", B25="", E25=""), "", TEXTJOIN("; ", TRUE, IF(OR(TRIM(A25&amp;"")="", ISNUMBER(SEARCH("FALTA", A25))), "UPC faltante/inválido", ""), IF(AND(A25&lt;&gt;"", IFERROR(_xlfn.XMATCH(A25,$A$2:$A$204,0,1)&lt;&gt;_xlfn.XMATCH(A25,$A$2:$A$204,0,-1),FALSE)), "Código de barras duplicado", ""), IF(AND(E25&lt;&gt;"", COUNTIF($E$2:$E$204, E25)&gt;1), "SKU duplicado", ""), IF(OR(J25="", J25=""), "[Aviso] División no capturada ()", IF(ISNA(MATCH(J25, Criterios!$A$123:$A$126, 0)), "División no válida", "")), IF(OR(K25="", K25=""), "[Aviso] Categoría no capturada ()", IF(ISNA(MATCH(K25, Criterios!$A$81:$A$120, 0)), "Categoría no válida", IF(AND(J25&lt;&gt;"", J25&lt;&gt;"", J25&lt;&gt;VLOOKUP(K25, Criterios!$A$81:$B$120, 2, FALSE)), "División no coincide con Categoría", ""))), IF(OR(L25="", L25=""), "[Aviso] Género no capturado ()", IF(ISNA(MATCH(L25, Criterios!$B$123:$B$127, 0)), "Género no válido", "")), IF(OR(N25="", N25=""), "[Aviso] Temporada no capturada ()", IF(ISNA(MATCH(N25, Criterios!$C$123:$C$128, 0)), "Temporada no válida", "")), IF(OR(O25="", O25=""), "[Aviso] Ciclo de vida no capturado ()", IF(ISNA(MATCH(O25, Criterios!$D$123:$D$124, 0)), "Ciclo de vida no válido", ""))))</f>
        <v/>
      </c>
      <c r="AC25" s="56" t="n"/>
      <c r="AD25" s="51" t="n">
        <v>0</v>
      </c>
      <c r="AE25" s="156" t="n"/>
      <c r="AF25" s="51" t="n">
        <v>0</v>
      </c>
      <c r="AG25" s="156" t="inlineStr">
        <is>
          <t>Nuevo – NetSuite sin existencia</t>
        </is>
      </c>
      <c r="AH25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25" s="156" t="inlineStr">
        <is>
          <t>No</t>
        </is>
      </c>
      <c r="AJ25" s="156" t="n"/>
      <c r="AK25" s="155" t="inlineStr">
        <is>
          <t>ProductosCatalogoEstandar907.xlsx: fila 6260 [N,O,Q,S,U,Y]; G1522_Extraccion_Articulos_NetSuite_2026-09-30.xlsx: fila 56542 [P,V,Y,T] | Shopify WB: producto 8569956499641 / variante 47621316378809</t>
        </is>
      </c>
      <c r="AL25" s="58" t="n">
        <v>319</v>
      </c>
      <c r="AM25" s="58" t="n">
        <v>648.99999998</v>
      </c>
      <c r="AN25" s="155" t="inlineStr">
        <is>
          <t>Shopify Western Brothers</t>
        </is>
      </c>
      <c r="AO25" s="59" t="n"/>
      <c r="AP25" s="59" t="n">
        <v>0</v>
      </c>
      <c r="AQ25" s="59" t="n"/>
      <c r="AR25" s="155" t="n"/>
    </row>
    <row r="26">
      <c r="A26" s="50" t="inlineStr">
        <is>
          <t>7506499570858</t>
        </is>
      </c>
      <c r="B26" s="51" t="inlineStr">
        <is>
          <t>108384</t>
        </is>
      </c>
      <c r="C26" s="156" t="inlineStr">
        <is>
          <t>Multimarca</t>
        </is>
      </c>
      <c r="D26" s="156" t="inlineStr">
        <is>
          <t>02-TDAG012-0012</t>
        </is>
      </c>
      <c r="E26" s="156" t="inlineStr">
        <is>
          <t>02-TDAG012-0012-L</t>
        </is>
      </c>
      <c r="F26" s="156" t="inlineStr">
        <is>
          <t>L</t>
        </is>
      </c>
      <c r="G26" s="156" t="inlineStr">
        <is>
          <t>L</t>
        </is>
      </c>
      <c r="H26" s="156" t="inlineStr">
        <is>
          <t>Denver</t>
        </is>
      </c>
      <c r="I26" s="156" t="inlineStr">
        <is>
          <t>Playera Denver dama beige placa denversito</t>
        </is>
      </c>
      <c r="J26" s="156" t="inlineStr">
        <is>
          <t>Ropa</t>
        </is>
      </c>
      <c r="K26" s="156" t="inlineStr">
        <is>
          <t>Playeras</t>
        </is>
      </c>
      <c r="L26" s="156" t="inlineStr">
        <is>
          <t>Mujer</t>
        </is>
      </c>
      <c r="M26" s="156" t="inlineStr">
        <is>
          <t>Denver</t>
        </is>
      </c>
      <c r="N26" s="156" t="inlineStr">
        <is>
          <t>SS26</t>
        </is>
      </c>
      <c r="O26" s="156" t="inlineStr">
        <is>
          <t>Seasonal</t>
        </is>
      </c>
      <c r="P26" s="156" t="inlineStr">
        <is>
          <t>Beige</t>
        </is>
      </c>
      <c r="Q26" s="156" t="inlineStr">
        <is>
          <t>Regular</t>
        </is>
      </c>
      <c r="R26" s="156" t="n"/>
      <c r="S26" s="156" t="inlineStr">
        <is>
          <t>100% Algodón</t>
        </is>
      </c>
      <c r="T26" s="156" t="inlineStr">
        <is>
          <t>Playera Denver dama beige placa denversito Regular</t>
        </is>
      </c>
      <c r="U26" s="156" t="inlineStr">
        <is>
          <t>México</t>
        </is>
      </c>
      <c r="V26" s="156" t="inlineStr">
        <is>
          <t>PZS</t>
        </is>
      </c>
      <c r="W26" s="51" t="inlineStr">
        <is>
          <t>53101604</t>
        </is>
      </c>
      <c r="X26" s="156" t="n"/>
      <c r="Y26" s="54" t="n">
        <v>319</v>
      </c>
      <c r="Z26" s="54" t="n">
        <v>559.4827586</v>
      </c>
      <c r="AA26" s="55">
        <f>IF(AND(A26="", B26="", E26=""), "", IF(AB26="", "Válido", IF((LEN(AB26)-LEN(SUBSTITUTE(AB26,"; ","")))/2+1&gt;(LEN(AB26)-LEN(SUBSTITUTE(AB26,"[Aviso]","")))/7, "Con Incidencias", "Válido")))</f>
        <v/>
      </c>
      <c r="AB26" s="56">
        <f>IF(AND(A26="", B26="", E26=""), "", TEXTJOIN("; ", TRUE, IF(OR(TRIM(A26&amp;"")="", ISNUMBER(SEARCH("FALTA", A26))), "UPC faltante/inválido", ""), IF(AND(A26&lt;&gt;"", IFERROR(_xlfn.XMATCH(A26,$A$2:$A$204,0,1)&lt;&gt;_xlfn.XMATCH(A26,$A$2:$A$204,0,-1),FALSE)), "Código de barras duplicado", ""), IF(AND(E26&lt;&gt;"", COUNTIF($E$2:$E$204, E26)&gt;1), "SKU duplicado", ""), IF(OR(J26="", J26=""), "[Aviso] División no capturada ()", IF(ISNA(MATCH(J26, Criterios!$A$123:$A$126, 0)), "División no válida", "")), IF(OR(K26="", K26=""), "[Aviso] Categoría no capturada ()", IF(ISNA(MATCH(K26, Criterios!$A$81:$A$120, 0)), "Categoría no válida", IF(AND(J26&lt;&gt;"", J26&lt;&gt;"", J26&lt;&gt;VLOOKUP(K26, Criterios!$A$81:$B$120, 2, FALSE)), "División no coincide con Categoría", ""))), IF(OR(L26="", L26=""), "[Aviso] Género no capturado ()", IF(ISNA(MATCH(L26, Criterios!$B$123:$B$127, 0)), "Género no válido", "")), IF(OR(N26="", N26=""), "[Aviso] Temporada no capturada ()", IF(ISNA(MATCH(N26, Criterios!$C$123:$C$128, 0)), "Temporada no válida", "")), IF(OR(O26="", O26=""), "[Aviso] Ciclo de vida no capturado ()", IF(ISNA(MATCH(O26, Criterios!$D$123:$D$124, 0)), "Ciclo de vida no válido", ""))))</f>
        <v/>
      </c>
      <c r="AC26" s="56" t="n"/>
      <c r="AD26" s="51" t="n">
        <v>-1</v>
      </c>
      <c r="AE26" s="156" t="n"/>
      <c r="AF26" s="51" t="n">
        <v>0</v>
      </c>
      <c r="AG26" s="156" t="inlineStr">
        <is>
          <t>Nuevo – NetSuite sin existencia</t>
        </is>
      </c>
      <c r="AH26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26" s="156" t="inlineStr">
        <is>
          <t>Sí</t>
        </is>
      </c>
      <c r="AJ26" s="156" t="inlineStr">
        <is>
          <t>WB OUTLET LERMA: -1</t>
        </is>
      </c>
      <c r="AK26" s="155" t="inlineStr">
        <is>
          <t>ProductosCatalogoEstandar907.xlsx: fila 6261 [N,O,Q,S,U,Y]; G1522_Extraccion_Articulos_NetSuite_2026-09-30.xlsx: fila 56543 [P,V,Y,T] | Shopify WB: producto 8569956499641 / variante 47621316411577</t>
        </is>
      </c>
      <c r="AL26" s="58" t="n">
        <v>319</v>
      </c>
      <c r="AM26" s="58" t="n">
        <v>648.99999998</v>
      </c>
      <c r="AN26" s="155" t="inlineStr">
        <is>
          <t>Shopify Western Brothers</t>
        </is>
      </c>
      <c r="AO26" s="59" t="n"/>
      <c r="AP26" s="59" t="n">
        <v>-1</v>
      </c>
      <c r="AQ26" s="59" t="n"/>
      <c r="AR26" s="155" t="n"/>
    </row>
    <row r="27">
      <c r="A27" s="50" t="inlineStr">
        <is>
          <t>7506499570859</t>
        </is>
      </c>
      <c r="B27" s="51" t="inlineStr">
        <is>
          <t>108385</t>
        </is>
      </c>
      <c r="C27" s="156" t="inlineStr">
        <is>
          <t>Multimarca</t>
        </is>
      </c>
      <c r="D27" s="156" t="inlineStr">
        <is>
          <t>02-TDAG012-0012</t>
        </is>
      </c>
      <c r="E27" s="156" t="inlineStr">
        <is>
          <t>02-TDAG012-0012-XL</t>
        </is>
      </c>
      <c r="F27" s="156" t="inlineStr">
        <is>
          <t>XL</t>
        </is>
      </c>
      <c r="G27" s="156" t="inlineStr">
        <is>
          <t>XL</t>
        </is>
      </c>
      <c r="H27" s="156" t="inlineStr">
        <is>
          <t>Denver</t>
        </is>
      </c>
      <c r="I27" s="156" t="inlineStr">
        <is>
          <t>Playera Denver dama beige placa denversito</t>
        </is>
      </c>
      <c r="J27" s="156" t="inlineStr">
        <is>
          <t>Ropa</t>
        </is>
      </c>
      <c r="K27" s="156" t="inlineStr">
        <is>
          <t>Playeras</t>
        </is>
      </c>
      <c r="L27" s="156" t="inlineStr">
        <is>
          <t>Mujer</t>
        </is>
      </c>
      <c r="M27" s="156" t="inlineStr">
        <is>
          <t>Denver</t>
        </is>
      </c>
      <c r="N27" s="156" t="inlineStr">
        <is>
          <t>SS26</t>
        </is>
      </c>
      <c r="O27" s="156" t="inlineStr">
        <is>
          <t>Seasonal</t>
        </is>
      </c>
      <c r="P27" s="156" t="inlineStr">
        <is>
          <t>Beige</t>
        </is>
      </c>
      <c r="Q27" s="156" t="inlineStr">
        <is>
          <t>Regular</t>
        </is>
      </c>
      <c r="R27" s="156" t="n"/>
      <c r="S27" s="156" t="inlineStr">
        <is>
          <t>100% Algodón</t>
        </is>
      </c>
      <c r="T27" s="156" t="inlineStr">
        <is>
          <t>Playera Denver dama beige placa denversito Regular</t>
        </is>
      </c>
      <c r="U27" s="156" t="inlineStr">
        <is>
          <t>México</t>
        </is>
      </c>
      <c r="V27" s="156" t="inlineStr">
        <is>
          <t>PZS</t>
        </is>
      </c>
      <c r="W27" s="51" t="inlineStr">
        <is>
          <t>53101604</t>
        </is>
      </c>
      <c r="X27" s="156" t="n"/>
      <c r="Y27" s="54" t="n">
        <v>319</v>
      </c>
      <c r="Z27" s="54" t="n">
        <v>559.4827586</v>
      </c>
      <c r="AA27" s="55">
        <f>IF(AND(A27="", B27="", E27=""), "", IF(AB27="", "Válido", IF((LEN(AB27)-LEN(SUBSTITUTE(AB27,"; ","")))/2+1&gt;(LEN(AB27)-LEN(SUBSTITUTE(AB27,"[Aviso]","")))/7, "Con Incidencias", "Válido")))</f>
        <v/>
      </c>
      <c r="AB27" s="56">
        <f>IF(AND(A27="", B27="", E27=""), "", TEXTJOIN("; ", TRUE, IF(OR(TRIM(A27&amp;"")="", ISNUMBER(SEARCH("FALTA", A27))), "UPC faltante/inválido", ""), IF(AND(A27&lt;&gt;"", IFERROR(_xlfn.XMATCH(A27,$A$2:$A$204,0,1)&lt;&gt;_xlfn.XMATCH(A27,$A$2:$A$204,0,-1),FALSE)), "Código de barras duplicado", ""), IF(AND(E27&lt;&gt;"", COUNTIF($E$2:$E$204, E27)&gt;1), "SKU duplicado", ""), IF(OR(J27="", J27=""), "[Aviso] División no capturada ()", IF(ISNA(MATCH(J27, Criterios!$A$123:$A$126, 0)), "División no válida", "")), IF(OR(K27="", K27=""), "[Aviso] Categoría no capturada ()", IF(ISNA(MATCH(K27, Criterios!$A$81:$A$120, 0)), "Categoría no válida", IF(AND(J27&lt;&gt;"", J27&lt;&gt;"", J27&lt;&gt;VLOOKUP(K27, Criterios!$A$81:$B$120, 2, FALSE)), "División no coincide con Categoría", ""))), IF(OR(L27="", L27=""), "[Aviso] Género no capturado ()", IF(ISNA(MATCH(L27, Criterios!$B$123:$B$127, 0)), "Género no válido", "")), IF(OR(N27="", N27=""), "[Aviso] Temporada no capturada ()", IF(ISNA(MATCH(N27, Criterios!$C$123:$C$128, 0)), "Temporada no válida", "")), IF(OR(O27="", O27=""), "[Aviso] Ciclo de vida no capturado ()", IF(ISNA(MATCH(O27, Criterios!$D$123:$D$124, 0)), "Ciclo de vida no válido", ""))))</f>
        <v/>
      </c>
      <c r="AC27" s="56" t="n"/>
      <c r="AD27" s="51" t="n">
        <v>1</v>
      </c>
      <c r="AE27" s="156" t="inlineStr">
        <is>
          <t>WB OUTLET LERMA: 1</t>
        </is>
      </c>
      <c r="AF27" s="51" t="n">
        <v>1</v>
      </c>
      <c r="AG27" s="156" t="inlineStr">
        <is>
          <t>Nuevo – NetSuite con existencia</t>
        </is>
      </c>
      <c r="AH27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27" s="156" t="inlineStr">
        <is>
          <t>No</t>
        </is>
      </c>
      <c r="AJ27" s="156" t="n"/>
      <c r="AK27" s="155" t="inlineStr">
        <is>
          <t>ProductosCatalogoEstandar907.xlsx: fila 6262 [N,O,Q,S,U,Y]; G1522_Extraccion_Articulos_NetSuite_2026-09-30.xlsx: fila 56544 [P,V,Y,T] | Shopify WB: producto 8569956499641 / variante 47621316444345</t>
        </is>
      </c>
      <c r="AL27" s="58" t="n">
        <v>319</v>
      </c>
      <c r="AM27" s="58" t="n">
        <v>648.99999998</v>
      </c>
      <c r="AN27" s="155" t="inlineStr">
        <is>
          <t>Shopify Western Brothers</t>
        </is>
      </c>
      <c r="AO27" s="59" t="n"/>
      <c r="AP27" s="59" t="n">
        <v>1</v>
      </c>
      <c r="AQ27" s="59" t="n"/>
      <c r="AR27" s="155" t="inlineStr">
        <is>
          <t>Shopify Western Brothers › Western Brothers Outlet Lerma: 1</t>
        </is>
      </c>
    </row>
    <row r="28">
      <c r="A28" s="50" t="inlineStr">
        <is>
          <t>7506499530439</t>
        </is>
      </c>
      <c r="B28" s="51" t="inlineStr">
        <is>
          <t>108386</t>
        </is>
      </c>
      <c r="C28" s="156" t="inlineStr">
        <is>
          <t>Multimarca</t>
        </is>
      </c>
      <c r="D28" s="156" t="inlineStr">
        <is>
          <t>A-CHH180</t>
        </is>
      </c>
      <c r="E28" s="156" t="inlineStr">
        <is>
          <t>A-CHH180-S</t>
        </is>
      </c>
      <c r="F28" s="156" t="inlineStr">
        <is>
          <t>S</t>
        </is>
      </c>
      <c r="G28" s="156" t="inlineStr">
        <is>
          <t>S</t>
        </is>
      </c>
      <c r="H28" s="156" t="inlineStr">
        <is>
          <t>Denver</t>
        </is>
      </c>
      <c r="I28" s="156" t="inlineStr">
        <is>
          <t>Camisa Denver caballero estampado biznaga negra</t>
        </is>
      </c>
      <c r="J28" s="156" t="inlineStr">
        <is>
          <t>Ropa</t>
        </is>
      </c>
      <c r="K28" s="156" t="inlineStr">
        <is>
          <t>Camisas</t>
        </is>
      </c>
      <c r="L28" s="156" t="inlineStr">
        <is>
          <t>Hombre</t>
        </is>
      </c>
      <c r="M28" s="156" t="inlineStr">
        <is>
          <t>Denver</t>
        </is>
      </c>
      <c r="N28" s="156" t="inlineStr">
        <is>
          <t>SS26</t>
        </is>
      </c>
      <c r="O28" s="156" t="inlineStr">
        <is>
          <t>Core</t>
        </is>
      </c>
      <c r="P28" s="156" t="inlineStr">
        <is>
          <t>Negro</t>
        </is>
      </c>
      <c r="Q28" s="156" t="inlineStr">
        <is>
          <t>Regular</t>
        </is>
      </c>
      <c r="R28" s="156" t="n"/>
      <c r="S28" s="156" t="inlineStr">
        <is>
          <t>100% Algodón</t>
        </is>
      </c>
      <c r="T28" s="156" t="inlineStr">
        <is>
          <t>Camisa Denver caballero estampado biznaga negra Regular</t>
        </is>
      </c>
      <c r="U28" s="156" t="inlineStr">
        <is>
          <t>México</t>
        </is>
      </c>
      <c r="V28" s="156" t="inlineStr">
        <is>
          <t>PZS</t>
        </is>
      </c>
      <c r="W28" s="51" t="inlineStr">
        <is>
          <t>53101602</t>
        </is>
      </c>
      <c r="X28" s="156" t="n"/>
      <c r="Y28" s="54" t="n">
        <v>419</v>
      </c>
      <c r="Z28" s="54" t="n">
        <v>947.4137931</v>
      </c>
      <c r="AA28" s="55">
        <f>IF(AND(A28="", B28="", E28=""), "", IF(AB28="", "Válido", IF((LEN(AB28)-LEN(SUBSTITUTE(AB28,"; ","")))/2+1&gt;(LEN(AB28)-LEN(SUBSTITUTE(AB28,"[Aviso]","")))/7, "Con Incidencias", "Válido")))</f>
        <v/>
      </c>
      <c r="AB28" s="56">
        <f>IF(AND(A28="", B28="", E28=""), "", TEXTJOIN("; ", TRUE, IF(OR(TRIM(A28&amp;"")="", ISNUMBER(SEARCH("FALTA", A28))), "UPC faltante/inválido", ""), IF(AND(A28&lt;&gt;"", IFERROR(_xlfn.XMATCH(A28,$A$2:$A$204,0,1)&lt;&gt;_xlfn.XMATCH(A28,$A$2:$A$204,0,-1),FALSE)), "Código de barras duplicado", ""), IF(AND(E28&lt;&gt;"", COUNTIF($E$2:$E$204, E28)&gt;1), "SKU duplicado", ""), IF(OR(J28="", J28=""), "[Aviso] División no capturada ()", IF(ISNA(MATCH(J28, Criterios!$A$123:$A$126, 0)), "División no válida", "")), IF(OR(K28="", K28=""), "[Aviso] Categoría no capturada ()", IF(ISNA(MATCH(K28, Criterios!$A$81:$A$120, 0)), "Categoría no válida", IF(AND(J28&lt;&gt;"", J28&lt;&gt;"", J28&lt;&gt;VLOOKUP(K28, Criterios!$A$81:$B$120, 2, FALSE)), "División no coincide con Categoría", ""))), IF(OR(L28="", L28=""), "[Aviso] Género no capturado ()", IF(ISNA(MATCH(L28, Criterios!$B$123:$B$127, 0)), "Género no válido", "")), IF(OR(N28="", N28=""), "[Aviso] Temporada no capturada ()", IF(ISNA(MATCH(N28, Criterios!$C$123:$C$128, 0)), "Temporada no válida", "")), IF(OR(O28="", O28=""), "[Aviso] Ciclo de vida no capturado ()", IF(ISNA(MATCH(O28, Criterios!$D$123:$D$124, 0)), "Ciclo de vida no válido", ""))))</f>
        <v/>
      </c>
      <c r="AC28" s="56" t="n"/>
      <c r="AD28" s="51" t="n">
        <v>3</v>
      </c>
      <c r="AE28" s="156" t="inlineStr">
        <is>
          <t>WB OUTLET LERMA: 3</t>
        </is>
      </c>
      <c r="AF28" s="51" t="n">
        <v>3</v>
      </c>
      <c r="AG28" s="156" t="inlineStr">
        <is>
          <t>Nuevo – NetSuite con existencia</t>
        </is>
      </c>
      <c r="AH28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28" s="156" t="inlineStr">
        <is>
          <t>No</t>
        </is>
      </c>
      <c r="AJ28" s="156" t="n"/>
      <c r="AK28" s="155" t="inlineStr">
        <is>
          <t>ProductosCatalogoEstandar907.xlsx: fila 8 [N,O,Q,S,U,Y]; G1522_Extraccion_Articulos_NetSuite_2026-09-30.xlsx: fila 56545 [P,V,Y,T] | Shopify WB: producto 8569956663481 / variante 47621316673721</t>
        </is>
      </c>
      <c r="AL28" s="58" t="n">
        <v>419</v>
      </c>
      <c r="AM28" s="58" t="n">
        <v>1099</v>
      </c>
      <c r="AN28" s="155" t="inlineStr">
        <is>
          <t>Shopify Western Brothers</t>
        </is>
      </c>
      <c r="AO28" s="59" t="n"/>
      <c r="AP28" s="59" t="n">
        <v>3</v>
      </c>
      <c r="AQ28" s="59" t="n"/>
      <c r="AR28" s="155" t="inlineStr">
        <is>
          <t>Shopify Western Brothers › Western Brothers Outlet Lerma: 3</t>
        </is>
      </c>
    </row>
    <row r="29">
      <c r="A29" s="50" t="inlineStr">
        <is>
          <t>7506499531047</t>
        </is>
      </c>
      <c r="B29" s="51" t="inlineStr">
        <is>
          <t>108387</t>
        </is>
      </c>
      <c r="C29" s="156" t="inlineStr">
        <is>
          <t>Multimarca</t>
        </is>
      </c>
      <c r="D29" s="156" t="inlineStr">
        <is>
          <t>A-CHH180</t>
        </is>
      </c>
      <c r="E29" s="156" t="inlineStr">
        <is>
          <t>A-CHH180-M</t>
        </is>
      </c>
      <c r="F29" s="156" t="inlineStr">
        <is>
          <t>M</t>
        </is>
      </c>
      <c r="G29" s="156" t="inlineStr">
        <is>
          <t>M</t>
        </is>
      </c>
      <c r="H29" s="156" t="inlineStr">
        <is>
          <t>Denver</t>
        </is>
      </c>
      <c r="I29" s="156" t="inlineStr">
        <is>
          <t>Camisa Denver caballero estampado biznaga negra</t>
        </is>
      </c>
      <c r="J29" s="156" t="inlineStr">
        <is>
          <t>Ropa</t>
        </is>
      </c>
      <c r="K29" s="156" t="inlineStr">
        <is>
          <t>Camisas</t>
        </is>
      </c>
      <c r="L29" s="156" t="inlineStr">
        <is>
          <t>Hombre</t>
        </is>
      </c>
      <c r="M29" s="156" t="inlineStr">
        <is>
          <t>Denver</t>
        </is>
      </c>
      <c r="N29" s="156" t="inlineStr">
        <is>
          <t>SS26</t>
        </is>
      </c>
      <c r="O29" s="156" t="inlineStr">
        <is>
          <t>Core</t>
        </is>
      </c>
      <c r="P29" s="156" t="inlineStr">
        <is>
          <t>Negro</t>
        </is>
      </c>
      <c r="Q29" s="156" t="inlineStr">
        <is>
          <t>Regular</t>
        </is>
      </c>
      <c r="R29" s="156" t="n"/>
      <c r="S29" s="156" t="inlineStr">
        <is>
          <t>100% Algodón</t>
        </is>
      </c>
      <c r="T29" s="156" t="inlineStr">
        <is>
          <t>Camisa Denver caballero estampado biznaga negra Regular</t>
        </is>
      </c>
      <c r="U29" s="156" t="inlineStr">
        <is>
          <t>México</t>
        </is>
      </c>
      <c r="V29" s="156" t="inlineStr">
        <is>
          <t>PZS</t>
        </is>
      </c>
      <c r="W29" s="51" t="inlineStr">
        <is>
          <t>53101602</t>
        </is>
      </c>
      <c r="X29" s="156" t="n"/>
      <c r="Y29" s="54" t="n">
        <v>419</v>
      </c>
      <c r="Z29" s="54" t="n">
        <v>947.4137931</v>
      </c>
      <c r="AA29" s="55">
        <f>IF(AND(A29="", B29="", E29=""), "", IF(AB29="", "Válido", IF((LEN(AB29)-LEN(SUBSTITUTE(AB29,"; ","")))/2+1&gt;(LEN(AB29)-LEN(SUBSTITUTE(AB29,"[Aviso]","")))/7, "Con Incidencias", "Válido")))</f>
        <v/>
      </c>
      <c r="AB29" s="56">
        <f>IF(AND(A29="", B29="", E29=""), "", TEXTJOIN("; ", TRUE, IF(OR(TRIM(A29&amp;"")="", ISNUMBER(SEARCH("FALTA", A29))), "UPC faltante/inválido", ""), IF(AND(A29&lt;&gt;"", IFERROR(_xlfn.XMATCH(A29,$A$2:$A$204,0,1)&lt;&gt;_xlfn.XMATCH(A29,$A$2:$A$204,0,-1),FALSE)), "Código de barras duplicado", ""), IF(AND(E29&lt;&gt;"", COUNTIF($E$2:$E$204, E29)&gt;1), "SKU duplicado", ""), IF(OR(J29="", J29=""), "[Aviso] División no capturada ()", IF(ISNA(MATCH(J29, Criterios!$A$123:$A$126, 0)), "División no válida", "")), IF(OR(K29="", K29=""), "[Aviso] Categoría no capturada ()", IF(ISNA(MATCH(K29, Criterios!$A$81:$A$120, 0)), "Categoría no válida", IF(AND(J29&lt;&gt;"", J29&lt;&gt;"", J29&lt;&gt;VLOOKUP(K29, Criterios!$A$81:$B$120, 2, FALSE)), "División no coincide con Categoría", ""))), IF(OR(L29="", L29=""), "[Aviso] Género no capturado ()", IF(ISNA(MATCH(L29, Criterios!$B$123:$B$127, 0)), "Género no válido", "")), IF(OR(N29="", N29=""), "[Aviso] Temporada no capturada ()", IF(ISNA(MATCH(N29, Criterios!$C$123:$C$128, 0)), "Temporada no válida", "")), IF(OR(O29="", O29=""), "[Aviso] Ciclo de vida no capturado ()", IF(ISNA(MATCH(O29, Criterios!$D$123:$D$124, 0)), "Ciclo de vida no válido", ""))))</f>
        <v/>
      </c>
      <c r="AC29" s="56" t="n"/>
      <c r="AD29" s="51" t="n">
        <v>3</v>
      </c>
      <c r="AE29" s="156" t="inlineStr">
        <is>
          <t>WB OUTLET LERMA: 3</t>
        </is>
      </c>
      <c r="AF29" s="51" t="n">
        <v>3</v>
      </c>
      <c r="AG29" s="156" t="inlineStr">
        <is>
          <t>Nuevo – NetSuite con existencia</t>
        </is>
      </c>
      <c r="AH29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29" s="156" t="inlineStr">
        <is>
          <t>No</t>
        </is>
      </c>
      <c r="AJ29" s="156" t="n"/>
      <c r="AK29" s="155" t="inlineStr">
        <is>
          <t>ProductosCatalogoEstandar907.xlsx: fila 11 [N,O,Q,S,U,Y]; G1522_Extraccion_Articulos_NetSuite_2026-09-30.xlsx: fila 56546 [P,V,Y,T] | Shopify WB: producto 8569956663481 / variante 47621316772025</t>
        </is>
      </c>
      <c r="AL29" s="58" t="n">
        <v>419</v>
      </c>
      <c r="AM29" s="58" t="n">
        <v>1099</v>
      </c>
      <c r="AN29" s="155" t="inlineStr">
        <is>
          <t>Shopify Western Brothers</t>
        </is>
      </c>
      <c r="AO29" s="59" t="n"/>
      <c r="AP29" s="59" t="n">
        <v>3</v>
      </c>
      <c r="AQ29" s="59" t="n"/>
      <c r="AR29" s="155" t="inlineStr">
        <is>
          <t>Shopify Western Brothers › Western Brothers Outlet Lerma: 3</t>
        </is>
      </c>
    </row>
    <row r="30">
      <c r="A30" s="50" t="inlineStr">
        <is>
          <t>7506499530453</t>
        </is>
      </c>
      <c r="B30" s="51" t="inlineStr">
        <is>
          <t>108388</t>
        </is>
      </c>
      <c r="C30" s="156" t="inlineStr">
        <is>
          <t>Multimarca</t>
        </is>
      </c>
      <c r="D30" s="156" t="inlineStr">
        <is>
          <t>A-CHH180</t>
        </is>
      </c>
      <c r="E30" s="156" t="inlineStr">
        <is>
          <t>A-CHH180-L</t>
        </is>
      </c>
      <c r="F30" s="156" t="inlineStr">
        <is>
          <t>L</t>
        </is>
      </c>
      <c r="G30" s="156" t="inlineStr">
        <is>
          <t>L</t>
        </is>
      </c>
      <c r="H30" s="156" t="inlineStr">
        <is>
          <t>Denver</t>
        </is>
      </c>
      <c r="I30" s="156" t="inlineStr">
        <is>
          <t>Camisa Denver caballero estampado biznaga negra</t>
        </is>
      </c>
      <c r="J30" s="156" t="inlineStr">
        <is>
          <t>Ropa</t>
        </is>
      </c>
      <c r="K30" s="156" t="inlineStr">
        <is>
          <t>Camisas</t>
        </is>
      </c>
      <c r="L30" s="156" t="inlineStr">
        <is>
          <t>Hombre</t>
        </is>
      </c>
      <c r="M30" s="156" t="inlineStr">
        <is>
          <t>Denver</t>
        </is>
      </c>
      <c r="N30" s="156" t="inlineStr">
        <is>
          <t>SS26</t>
        </is>
      </c>
      <c r="O30" s="156" t="inlineStr">
        <is>
          <t>Core</t>
        </is>
      </c>
      <c r="P30" s="156" t="inlineStr">
        <is>
          <t>Negro</t>
        </is>
      </c>
      <c r="Q30" s="156" t="inlineStr">
        <is>
          <t>Regular</t>
        </is>
      </c>
      <c r="R30" s="156" t="n"/>
      <c r="S30" s="156" t="inlineStr">
        <is>
          <t>100% Algodón</t>
        </is>
      </c>
      <c r="T30" s="156" t="inlineStr">
        <is>
          <t>Camisa Denver caballero estampado biznaga negra Regular</t>
        </is>
      </c>
      <c r="U30" s="156" t="inlineStr">
        <is>
          <t>México</t>
        </is>
      </c>
      <c r="V30" s="156" t="inlineStr">
        <is>
          <t>PZS</t>
        </is>
      </c>
      <c r="W30" s="51" t="inlineStr">
        <is>
          <t>53101602</t>
        </is>
      </c>
      <c r="X30" s="156" t="n"/>
      <c r="Y30" s="54" t="n">
        <v>419</v>
      </c>
      <c r="Z30" s="54" t="n">
        <v>947.4137931</v>
      </c>
      <c r="AA30" s="55">
        <f>IF(AND(A30="", B30="", E30=""), "", IF(AB30="", "Válido", IF((LEN(AB30)-LEN(SUBSTITUTE(AB30,"; ","")))/2+1&gt;(LEN(AB30)-LEN(SUBSTITUTE(AB30,"[Aviso]","")))/7, "Con Incidencias", "Válido")))</f>
        <v/>
      </c>
      <c r="AB30" s="56">
        <f>IF(AND(A30="", B30="", E30=""), "", TEXTJOIN("; ", TRUE, IF(OR(TRIM(A30&amp;"")="", ISNUMBER(SEARCH("FALTA", A30))), "UPC faltante/inválido", ""), IF(AND(A30&lt;&gt;"", IFERROR(_xlfn.XMATCH(A30,$A$2:$A$204,0,1)&lt;&gt;_xlfn.XMATCH(A30,$A$2:$A$204,0,-1),FALSE)), "Código de barras duplicado", ""), IF(AND(E30&lt;&gt;"", COUNTIF($E$2:$E$204, E30)&gt;1), "SKU duplicado", ""), IF(OR(J30="", J30=""), "[Aviso] División no capturada ()", IF(ISNA(MATCH(J30, Criterios!$A$123:$A$126, 0)), "División no válida", "")), IF(OR(K30="", K30=""), "[Aviso] Categoría no capturada ()", IF(ISNA(MATCH(K30, Criterios!$A$81:$A$120, 0)), "Categoría no válida", IF(AND(J30&lt;&gt;"", J30&lt;&gt;"", J30&lt;&gt;VLOOKUP(K30, Criterios!$A$81:$B$120, 2, FALSE)), "División no coincide con Categoría", ""))), IF(OR(L30="", L30=""), "[Aviso] Género no capturado ()", IF(ISNA(MATCH(L30, Criterios!$B$123:$B$127, 0)), "Género no válido", "")), IF(OR(N30="", N30=""), "[Aviso] Temporada no capturada ()", IF(ISNA(MATCH(N30, Criterios!$C$123:$C$128, 0)), "Temporada no válida", "")), IF(OR(O30="", O30=""), "[Aviso] Ciclo de vida no capturado ()", IF(ISNA(MATCH(O30, Criterios!$D$123:$D$124, 0)), "Ciclo de vida no válido", ""))))</f>
        <v/>
      </c>
      <c r="AC30" s="56" t="n"/>
      <c r="AD30" s="51" t="n">
        <v>0</v>
      </c>
      <c r="AE30" s="156" t="n"/>
      <c r="AF30" s="51" t="n">
        <v>0</v>
      </c>
      <c r="AG30" s="156" t="inlineStr">
        <is>
          <t>Nuevo – NetSuite sin existencia</t>
        </is>
      </c>
      <c r="AH30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30" s="156" t="inlineStr">
        <is>
          <t>No</t>
        </is>
      </c>
      <c r="AJ30" s="156" t="n"/>
      <c r="AK30" s="155" t="inlineStr">
        <is>
          <t>ProductosCatalogoEstandar907.xlsx: fila 9 [N,O,Q,S,U,Y]; G1522_Extraccion_Articulos_NetSuite_2026-09-30.xlsx: fila 56547 [P,V,Y,T] | Shopify WB: producto 8569956663481 / variante 47621316706489</t>
        </is>
      </c>
      <c r="AL30" s="58" t="n">
        <v>419</v>
      </c>
      <c r="AM30" s="58" t="n">
        <v>1099</v>
      </c>
      <c r="AN30" s="155" t="inlineStr">
        <is>
          <t>Shopify Western Brothers</t>
        </is>
      </c>
      <c r="AO30" s="59" t="n"/>
      <c r="AP30" s="59" t="n">
        <v>0</v>
      </c>
      <c r="AQ30" s="59" t="n"/>
      <c r="AR30" s="155" t="n"/>
    </row>
    <row r="31">
      <c r="A31" s="50" t="inlineStr">
        <is>
          <t>7506499530460</t>
        </is>
      </c>
      <c r="B31" s="51" t="inlineStr">
        <is>
          <t>108389</t>
        </is>
      </c>
      <c r="C31" s="156" t="inlineStr">
        <is>
          <t>Multimarca</t>
        </is>
      </c>
      <c r="D31" s="156" t="inlineStr">
        <is>
          <t>A-CHH180</t>
        </is>
      </c>
      <c r="E31" s="156" t="inlineStr">
        <is>
          <t>A-CHH180-XL</t>
        </is>
      </c>
      <c r="F31" s="156" t="inlineStr">
        <is>
          <t>XL</t>
        </is>
      </c>
      <c r="G31" s="156" t="inlineStr">
        <is>
          <t>XL</t>
        </is>
      </c>
      <c r="H31" s="156" t="inlineStr">
        <is>
          <t>Denver</t>
        </is>
      </c>
      <c r="I31" s="156" t="inlineStr">
        <is>
          <t>Camisa Denver caballero estampado biznaga negra</t>
        </is>
      </c>
      <c r="J31" s="156" t="inlineStr">
        <is>
          <t>Ropa</t>
        </is>
      </c>
      <c r="K31" s="156" t="inlineStr">
        <is>
          <t>Camisas</t>
        </is>
      </c>
      <c r="L31" s="156" t="inlineStr">
        <is>
          <t>Hombre</t>
        </is>
      </c>
      <c r="M31" s="156" t="inlineStr">
        <is>
          <t>Denver</t>
        </is>
      </c>
      <c r="N31" s="156" t="inlineStr">
        <is>
          <t>SS26</t>
        </is>
      </c>
      <c r="O31" s="156" t="inlineStr">
        <is>
          <t>Core</t>
        </is>
      </c>
      <c r="P31" s="156" t="inlineStr">
        <is>
          <t>Negro</t>
        </is>
      </c>
      <c r="Q31" s="156" t="inlineStr">
        <is>
          <t>Regular</t>
        </is>
      </c>
      <c r="R31" s="156" t="n"/>
      <c r="S31" s="156" t="inlineStr">
        <is>
          <t>100% Algodón</t>
        </is>
      </c>
      <c r="T31" s="156" t="inlineStr">
        <is>
          <t>Camisa Denver caballero estampado biznaga negra Regular</t>
        </is>
      </c>
      <c r="U31" s="156" t="inlineStr">
        <is>
          <t>México</t>
        </is>
      </c>
      <c r="V31" s="156" t="inlineStr">
        <is>
          <t>PZS</t>
        </is>
      </c>
      <c r="W31" s="51" t="inlineStr">
        <is>
          <t>53101602</t>
        </is>
      </c>
      <c r="X31" s="156" t="n"/>
      <c r="Y31" s="54" t="n">
        <v>419</v>
      </c>
      <c r="Z31" s="54" t="n">
        <v>947.4137931</v>
      </c>
      <c r="AA31" s="55">
        <f>IF(AND(A31="", B31="", E31=""), "", IF(AB31="", "Válido", IF((LEN(AB31)-LEN(SUBSTITUTE(AB31,"; ","")))/2+1&gt;(LEN(AB31)-LEN(SUBSTITUTE(AB31,"[Aviso]","")))/7, "Con Incidencias", "Válido")))</f>
        <v/>
      </c>
      <c r="AB31" s="56">
        <f>IF(AND(A31="", B31="", E31=""), "", TEXTJOIN("; ", TRUE, IF(OR(TRIM(A31&amp;"")="", ISNUMBER(SEARCH("FALTA", A31))), "UPC faltante/inválido", ""), IF(AND(A31&lt;&gt;"", IFERROR(_xlfn.XMATCH(A31,$A$2:$A$204,0,1)&lt;&gt;_xlfn.XMATCH(A31,$A$2:$A$204,0,-1),FALSE)), "Código de barras duplicado", ""), IF(AND(E31&lt;&gt;"", COUNTIF($E$2:$E$204, E31)&gt;1), "SKU duplicado", ""), IF(OR(J31="", J31=""), "[Aviso] División no capturada ()", IF(ISNA(MATCH(J31, Criterios!$A$123:$A$126, 0)), "División no válida", "")), IF(OR(K31="", K31=""), "[Aviso] Categoría no capturada ()", IF(ISNA(MATCH(K31, Criterios!$A$81:$A$120, 0)), "Categoría no válida", IF(AND(J31&lt;&gt;"", J31&lt;&gt;"", J31&lt;&gt;VLOOKUP(K31, Criterios!$A$81:$B$120, 2, FALSE)), "División no coincide con Categoría", ""))), IF(OR(L31="", L31=""), "[Aviso] Género no capturado ()", IF(ISNA(MATCH(L31, Criterios!$B$123:$B$127, 0)), "Género no válido", "")), IF(OR(N31="", N31=""), "[Aviso] Temporada no capturada ()", IF(ISNA(MATCH(N31, Criterios!$C$123:$C$128, 0)), "Temporada no válida", "")), IF(OR(O31="", O31=""), "[Aviso] Ciclo de vida no capturado ()", IF(ISNA(MATCH(O31, Criterios!$D$123:$D$124, 0)), "Ciclo de vida no válido", ""))))</f>
        <v/>
      </c>
      <c r="AC31" s="56" t="n"/>
      <c r="AD31" s="51" t="n">
        <v>0</v>
      </c>
      <c r="AE31" s="156" t="n"/>
      <c r="AF31" s="51" t="n">
        <v>0</v>
      </c>
      <c r="AG31" s="156" t="inlineStr">
        <is>
          <t>Nuevo – NetSuite sin existencia</t>
        </is>
      </c>
      <c r="AH31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31" s="156" t="inlineStr">
        <is>
          <t>No</t>
        </is>
      </c>
      <c r="AJ31" s="156" t="n"/>
      <c r="AK31" s="155" t="inlineStr">
        <is>
          <t>ProductosCatalogoEstandar907.xlsx: fila 10 [N,O,Q,S,U,Y]; G1522_Extraccion_Articulos_NetSuite_2026-09-30.xlsx: fila 56548 [P,V,Y,T] | Shopify WB: producto 8569956663481 / variante 47621316739257</t>
        </is>
      </c>
      <c r="AL31" s="58" t="n">
        <v>419</v>
      </c>
      <c r="AM31" s="58" t="n">
        <v>1099</v>
      </c>
      <c r="AN31" s="155" t="inlineStr">
        <is>
          <t>Shopify Western Brothers</t>
        </is>
      </c>
      <c r="AO31" s="59" t="n"/>
      <c r="AP31" s="59" t="n">
        <v>0</v>
      </c>
      <c r="AQ31" s="59" t="n"/>
      <c r="AR31" s="155" t="n"/>
    </row>
    <row r="32">
      <c r="A32" s="50" t="inlineStr">
        <is>
          <t>7506499531184</t>
        </is>
      </c>
      <c r="B32" s="51" t="inlineStr">
        <is>
          <t>108390</t>
        </is>
      </c>
      <c r="C32" s="156" t="inlineStr">
        <is>
          <t>Multimarca</t>
        </is>
      </c>
      <c r="D32" s="156" t="inlineStr">
        <is>
          <t>A-CHH185</t>
        </is>
      </c>
      <c r="E32" s="156" t="inlineStr">
        <is>
          <t>A-CHH185-S</t>
        </is>
      </c>
      <c r="F32" s="156" t="inlineStr">
        <is>
          <t>S</t>
        </is>
      </c>
      <c r="G32" s="156" t="inlineStr">
        <is>
          <t>S</t>
        </is>
      </c>
      <c r="H32" s="156" t="inlineStr">
        <is>
          <t>Denver</t>
        </is>
      </c>
      <c r="I32" s="156" t="inlineStr">
        <is>
          <t>Camisa Denver caballero estampado nopal en verde</t>
        </is>
      </c>
      <c r="J32" s="156" t="inlineStr">
        <is>
          <t>Ropa</t>
        </is>
      </c>
      <c r="K32" s="156" t="inlineStr">
        <is>
          <t>Camisas</t>
        </is>
      </c>
      <c r="L32" s="156" t="inlineStr">
        <is>
          <t>Hombre</t>
        </is>
      </c>
      <c r="M32" s="156" t="inlineStr">
        <is>
          <t>Denver</t>
        </is>
      </c>
      <c r="N32" s="156" t="inlineStr">
        <is>
          <t>SS26</t>
        </is>
      </c>
      <c r="O32" s="156" t="inlineStr">
        <is>
          <t>Seasonal</t>
        </is>
      </c>
      <c r="P32" s="156" t="inlineStr">
        <is>
          <t>Verde</t>
        </is>
      </c>
      <c r="Q32" s="156" t="inlineStr">
        <is>
          <t>Regular</t>
        </is>
      </c>
      <c r="R32" s="156" t="n"/>
      <c r="S32" s="156" t="inlineStr">
        <is>
          <t>100% Algodón</t>
        </is>
      </c>
      <c r="T32" s="156" t="inlineStr">
        <is>
          <t>Camisa Denver caballero estampado nopal en verde Regular</t>
        </is>
      </c>
      <c r="U32" s="156" t="inlineStr">
        <is>
          <t>México</t>
        </is>
      </c>
      <c r="V32" s="156" t="inlineStr">
        <is>
          <t>PZS</t>
        </is>
      </c>
      <c r="W32" s="51" t="inlineStr">
        <is>
          <t>53101602</t>
        </is>
      </c>
      <c r="X32" s="156" t="n"/>
      <c r="Y32" s="54" t="n">
        <v>419</v>
      </c>
      <c r="Z32" s="54" t="n">
        <v>947.4137931</v>
      </c>
      <c r="AA32" s="55">
        <f>IF(AND(A32="", B32="", E32=""), "", IF(AB32="", "Válido", IF((LEN(AB32)-LEN(SUBSTITUTE(AB32,"; ","")))/2+1&gt;(LEN(AB32)-LEN(SUBSTITUTE(AB32,"[Aviso]","")))/7, "Con Incidencias", "Válido")))</f>
        <v/>
      </c>
      <c r="AB32" s="56">
        <f>IF(AND(A32="", B32="", E32=""), "", TEXTJOIN("; ", TRUE, IF(OR(TRIM(A32&amp;"")="", ISNUMBER(SEARCH("FALTA", A32))), "UPC faltante/inválido", ""), IF(AND(A32&lt;&gt;"", IFERROR(_xlfn.XMATCH(A32,$A$2:$A$204,0,1)&lt;&gt;_xlfn.XMATCH(A32,$A$2:$A$204,0,-1),FALSE)), "Código de barras duplicado", ""), IF(AND(E32&lt;&gt;"", COUNTIF($E$2:$E$204, E32)&gt;1), "SKU duplicado", ""), IF(OR(J32="", J32=""), "[Aviso] División no capturada ()", IF(ISNA(MATCH(J32, Criterios!$A$123:$A$126, 0)), "División no válida", "")), IF(OR(K32="", K32=""), "[Aviso] Categoría no capturada ()", IF(ISNA(MATCH(K32, Criterios!$A$81:$A$120, 0)), "Categoría no válida", IF(AND(J32&lt;&gt;"", J32&lt;&gt;"", J32&lt;&gt;VLOOKUP(K32, Criterios!$A$81:$B$120, 2, FALSE)), "División no coincide con Categoría", ""))), IF(OR(L32="", L32=""), "[Aviso] Género no capturado ()", IF(ISNA(MATCH(L32, Criterios!$B$123:$B$127, 0)), "Género no válido", "")), IF(OR(N32="", N32=""), "[Aviso] Temporada no capturada ()", IF(ISNA(MATCH(N32, Criterios!$C$123:$C$128, 0)), "Temporada no válida", "")), IF(OR(O32="", O32=""), "[Aviso] Ciclo de vida no capturado ()", IF(ISNA(MATCH(O32, Criterios!$D$123:$D$124, 0)), "Ciclo de vida no válido", ""))))</f>
        <v/>
      </c>
      <c r="AC32" s="56" t="n"/>
      <c r="AD32" s="51" t="n">
        <v>3</v>
      </c>
      <c r="AE32" s="156" t="inlineStr">
        <is>
          <t>WB OUTLET LERMA: 3</t>
        </is>
      </c>
      <c r="AF32" s="51" t="n">
        <v>3</v>
      </c>
      <c r="AG32" s="156" t="inlineStr">
        <is>
          <t>Nuevo – NetSuite con existencia</t>
        </is>
      </c>
      <c r="AH32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32" s="156" t="inlineStr">
        <is>
          <t>No</t>
        </is>
      </c>
      <c r="AJ32" s="156" t="n"/>
      <c r="AK32" s="155" t="inlineStr">
        <is>
          <t>ProductosCatalogoEstandar907.xlsx: fila 13 [N,O,Q,S,U,Y]; G1522_Extraccion_Articulos_NetSuite_2026-09-30.xlsx: fila 56549 [P,V,Y,T] | Shopify WB: producto 8569956827321 / variante 47621316968633</t>
        </is>
      </c>
      <c r="AL32" s="58" t="n">
        <v>419</v>
      </c>
      <c r="AM32" s="58" t="n">
        <v>1099</v>
      </c>
      <c r="AN32" s="155" t="inlineStr">
        <is>
          <t>Shopify Western Brothers</t>
        </is>
      </c>
      <c r="AO32" s="59" t="n"/>
      <c r="AP32" s="59" t="n">
        <v>3</v>
      </c>
      <c r="AQ32" s="59" t="n"/>
      <c r="AR32" s="155" t="inlineStr">
        <is>
          <t>Shopify Western Brothers › Western Brothers Outlet Lerma: 3</t>
        </is>
      </c>
    </row>
    <row r="33">
      <c r="A33" s="50" t="inlineStr">
        <is>
          <t>7506499530699</t>
        </is>
      </c>
      <c r="B33" s="51" t="inlineStr">
        <is>
          <t>108391</t>
        </is>
      </c>
      <c r="C33" s="156" t="inlineStr">
        <is>
          <t>Multimarca</t>
        </is>
      </c>
      <c r="D33" s="156" t="inlineStr">
        <is>
          <t>A-CHH185</t>
        </is>
      </c>
      <c r="E33" s="156" t="inlineStr">
        <is>
          <t>A-CHH185-M</t>
        </is>
      </c>
      <c r="F33" s="156" t="inlineStr">
        <is>
          <t>M</t>
        </is>
      </c>
      <c r="G33" s="156" t="inlineStr">
        <is>
          <t>M</t>
        </is>
      </c>
      <c r="H33" s="156" t="inlineStr">
        <is>
          <t>Denver</t>
        </is>
      </c>
      <c r="I33" s="156" t="inlineStr">
        <is>
          <t>Camisa Denver caballero estampado nopal en verde</t>
        </is>
      </c>
      <c r="J33" s="156" t="inlineStr">
        <is>
          <t>Ropa</t>
        </is>
      </c>
      <c r="K33" s="156" t="inlineStr">
        <is>
          <t>Camisas</t>
        </is>
      </c>
      <c r="L33" s="156" t="inlineStr">
        <is>
          <t>Hombre</t>
        </is>
      </c>
      <c r="M33" s="156" t="inlineStr">
        <is>
          <t>Denver</t>
        </is>
      </c>
      <c r="N33" s="156" t="inlineStr">
        <is>
          <t>SS26</t>
        </is>
      </c>
      <c r="O33" s="156" t="inlineStr">
        <is>
          <t>Seasonal</t>
        </is>
      </c>
      <c r="P33" s="156" t="inlineStr">
        <is>
          <t>Verde</t>
        </is>
      </c>
      <c r="Q33" s="156" t="inlineStr">
        <is>
          <t>Regular</t>
        </is>
      </c>
      <c r="R33" s="156" t="n"/>
      <c r="S33" s="156" t="inlineStr">
        <is>
          <t>100% Algodón</t>
        </is>
      </c>
      <c r="T33" s="156" t="inlineStr">
        <is>
          <t>Camisa Denver caballero estampado nopal en verde Regular</t>
        </is>
      </c>
      <c r="U33" s="156" t="inlineStr">
        <is>
          <t>México</t>
        </is>
      </c>
      <c r="V33" s="156" t="inlineStr">
        <is>
          <t>PZS</t>
        </is>
      </c>
      <c r="W33" s="51" t="inlineStr">
        <is>
          <t>53101602</t>
        </is>
      </c>
      <c r="X33" s="156" t="n"/>
      <c r="Y33" s="54" t="n">
        <v>419</v>
      </c>
      <c r="Z33" s="54" t="n">
        <v>947.4137931</v>
      </c>
      <c r="AA33" s="55">
        <f>IF(AND(A33="", B33="", E33=""), "", IF(AB33="", "Válido", IF((LEN(AB33)-LEN(SUBSTITUTE(AB33,"; ","")))/2+1&gt;(LEN(AB33)-LEN(SUBSTITUTE(AB33,"[Aviso]","")))/7, "Con Incidencias", "Válido")))</f>
        <v/>
      </c>
      <c r="AB33" s="56">
        <f>IF(AND(A33="", B33="", E33=""), "", TEXTJOIN("; ", TRUE, IF(OR(TRIM(A33&amp;"")="", ISNUMBER(SEARCH("FALTA", A33))), "UPC faltante/inválido", ""), IF(AND(A33&lt;&gt;"", IFERROR(_xlfn.XMATCH(A33,$A$2:$A$204,0,1)&lt;&gt;_xlfn.XMATCH(A33,$A$2:$A$204,0,-1),FALSE)), "Código de barras duplicado", ""), IF(AND(E33&lt;&gt;"", COUNTIF($E$2:$E$204, E33)&gt;1), "SKU duplicado", ""), IF(OR(J33="", J33=""), "[Aviso] División no capturada ()", IF(ISNA(MATCH(J33, Criterios!$A$123:$A$126, 0)), "División no válida", "")), IF(OR(K33="", K33=""), "[Aviso] Categoría no capturada ()", IF(ISNA(MATCH(K33, Criterios!$A$81:$A$120, 0)), "Categoría no válida", IF(AND(J33&lt;&gt;"", J33&lt;&gt;"", J33&lt;&gt;VLOOKUP(K33, Criterios!$A$81:$B$120, 2, FALSE)), "División no coincide con Categoría", ""))), IF(OR(L33="", L33=""), "[Aviso] Género no capturado ()", IF(ISNA(MATCH(L33, Criterios!$B$123:$B$127, 0)), "Género no válido", "")), IF(OR(N33="", N33=""), "[Aviso] Temporada no capturada ()", IF(ISNA(MATCH(N33, Criterios!$C$123:$C$128, 0)), "Temporada no válida", "")), IF(OR(O33="", O33=""), "[Aviso] Ciclo de vida no capturado ()", IF(ISNA(MATCH(O33, Criterios!$D$123:$D$124, 0)), "Ciclo de vida no válido", ""))))</f>
        <v/>
      </c>
      <c r="AC33" s="56" t="n"/>
      <c r="AD33" s="51" t="n">
        <v>0</v>
      </c>
      <c r="AE33" s="156" t="n"/>
      <c r="AF33" s="51" t="n">
        <v>0</v>
      </c>
      <c r="AG33" s="156" t="inlineStr">
        <is>
          <t>Nuevo – NetSuite sin existencia</t>
        </is>
      </c>
      <c r="AH33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33" s="156" t="inlineStr">
        <is>
          <t>No</t>
        </is>
      </c>
      <c r="AJ33" s="156" t="n"/>
      <c r="AK33" s="155" t="inlineStr">
        <is>
          <t>ProductosCatalogoEstandar907.xlsx: fila 12 [N,O,Q,S,U,Y]; G1522_Extraccion_Articulos_NetSuite_2026-09-30.xlsx: fila 56550 [P,V,Y,T] | Shopify WB: producto 8569956827321 / variante 47621316935865</t>
        </is>
      </c>
      <c r="AL33" s="58" t="n">
        <v>419</v>
      </c>
      <c r="AM33" s="58" t="n">
        <v>1099</v>
      </c>
      <c r="AN33" s="155" t="inlineStr">
        <is>
          <t>Shopify Western Brothers</t>
        </is>
      </c>
      <c r="AO33" s="59" t="n"/>
      <c r="AP33" s="59" t="n">
        <v>0</v>
      </c>
      <c r="AQ33" s="59" t="n"/>
      <c r="AR33" s="155" t="n"/>
    </row>
    <row r="34">
      <c r="A34" s="50" t="inlineStr">
        <is>
          <t>7506499531214</t>
        </is>
      </c>
      <c r="B34" s="51" t="inlineStr">
        <is>
          <t>108392</t>
        </is>
      </c>
      <c r="C34" s="156" t="inlineStr">
        <is>
          <t>Multimarca</t>
        </is>
      </c>
      <c r="D34" s="156" t="inlineStr">
        <is>
          <t>A-CHH185</t>
        </is>
      </c>
      <c r="E34" s="156" t="inlineStr">
        <is>
          <t>A-CHH185-XL</t>
        </is>
      </c>
      <c r="F34" s="156" t="inlineStr">
        <is>
          <t>XL</t>
        </is>
      </c>
      <c r="G34" s="156" t="inlineStr">
        <is>
          <t>XL</t>
        </is>
      </c>
      <c r="H34" s="156" t="inlineStr">
        <is>
          <t>Denver</t>
        </is>
      </c>
      <c r="I34" s="156" t="inlineStr">
        <is>
          <t>Camisa Denver caballero estampado nopal en verde</t>
        </is>
      </c>
      <c r="J34" s="156" t="inlineStr">
        <is>
          <t>Ropa</t>
        </is>
      </c>
      <c r="K34" s="156" t="inlineStr">
        <is>
          <t>Camisas</t>
        </is>
      </c>
      <c r="L34" s="156" t="inlineStr">
        <is>
          <t>Hombre</t>
        </is>
      </c>
      <c r="M34" s="156" t="inlineStr">
        <is>
          <t>Denver</t>
        </is>
      </c>
      <c r="N34" s="156" t="inlineStr">
        <is>
          <t>SS26</t>
        </is>
      </c>
      <c r="O34" s="156" t="inlineStr">
        <is>
          <t>Seasonal</t>
        </is>
      </c>
      <c r="P34" s="156" t="inlineStr">
        <is>
          <t>Verde</t>
        </is>
      </c>
      <c r="Q34" s="156" t="inlineStr">
        <is>
          <t>Regular</t>
        </is>
      </c>
      <c r="R34" s="156" t="n"/>
      <c r="S34" s="156" t="inlineStr">
        <is>
          <t>100% Algodón</t>
        </is>
      </c>
      <c r="T34" s="156" t="inlineStr">
        <is>
          <t>Camisa Denver caballero estampado nopal en verde Regular</t>
        </is>
      </c>
      <c r="U34" s="156" t="inlineStr">
        <is>
          <t>México</t>
        </is>
      </c>
      <c r="V34" s="156" t="inlineStr">
        <is>
          <t>PZS</t>
        </is>
      </c>
      <c r="W34" s="51" t="inlineStr">
        <is>
          <t>53101602</t>
        </is>
      </c>
      <c r="X34" s="156" t="n"/>
      <c r="Y34" s="54" t="n">
        <v>419</v>
      </c>
      <c r="Z34" s="54" t="n">
        <v>947.4137931</v>
      </c>
      <c r="AA34" s="55">
        <f>IF(AND(A34="", B34="", E34=""), "", IF(AB34="", "Válido", IF((LEN(AB34)-LEN(SUBSTITUTE(AB34,"; ","")))/2+1&gt;(LEN(AB34)-LEN(SUBSTITUTE(AB34,"[Aviso]","")))/7, "Con Incidencias", "Válido")))</f>
        <v/>
      </c>
      <c r="AB34" s="56">
        <f>IF(AND(A34="", B34="", E34=""), "", TEXTJOIN("; ", TRUE, IF(OR(TRIM(A34&amp;"")="", ISNUMBER(SEARCH("FALTA", A34))), "UPC faltante/inválido", ""), IF(AND(A34&lt;&gt;"", IFERROR(_xlfn.XMATCH(A34,$A$2:$A$204,0,1)&lt;&gt;_xlfn.XMATCH(A34,$A$2:$A$204,0,-1),FALSE)), "Código de barras duplicado", ""), IF(AND(E34&lt;&gt;"", COUNTIF($E$2:$E$204, E34)&gt;1), "SKU duplicado", ""), IF(OR(J34="", J34=""), "[Aviso] División no capturada ()", IF(ISNA(MATCH(J34, Criterios!$A$123:$A$126, 0)), "División no válida", "")), IF(OR(K34="", K34=""), "[Aviso] Categoría no capturada ()", IF(ISNA(MATCH(K34, Criterios!$A$81:$A$120, 0)), "Categoría no válida", IF(AND(J34&lt;&gt;"", J34&lt;&gt;"", J34&lt;&gt;VLOOKUP(K34, Criterios!$A$81:$B$120, 2, FALSE)), "División no coincide con Categoría", ""))), IF(OR(L34="", L34=""), "[Aviso] Género no capturado ()", IF(ISNA(MATCH(L34, Criterios!$B$123:$B$127, 0)), "Género no válido", "")), IF(OR(N34="", N34=""), "[Aviso] Temporada no capturada ()", IF(ISNA(MATCH(N34, Criterios!$C$123:$C$128, 0)), "Temporada no válida", "")), IF(OR(O34="", O34=""), "[Aviso] Ciclo de vida no capturado ()", IF(ISNA(MATCH(O34, Criterios!$D$123:$D$124, 0)), "Ciclo de vida no válido", ""))))</f>
        <v/>
      </c>
      <c r="AC34" s="56" t="n"/>
      <c r="AD34" s="51" t="n">
        <v>0</v>
      </c>
      <c r="AE34" s="156" t="n"/>
      <c r="AF34" s="51" t="n">
        <v>0</v>
      </c>
      <c r="AG34" s="156" t="inlineStr">
        <is>
          <t>Nuevo – NetSuite sin existencia</t>
        </is>
      </c>
      <c r="AH34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34" s="156" t="inlineStr">
        <is>
          <t>No</t>
        </is>
      </c>
      <c r="AJ34" s="156" t="n"/>
      <c r="AK34" s="155" t="inlineStr">
        <is>
          <t>ProductosCatalogoEstandar907.xlsx: fila 14 [N,O,Q,S,U,Y]; G1522_Extraccion_Articulos_NetSuite_2026-09-30.xlsx: fila 56551 [P,V,Y,T] | Shopify WB: producto 8569956827321 / variante 47621317001401</t>
        </is>
      </c>
      <c r="AL34" s="58" t="n">
        <v>419</v>
      </c>
      <c r="AM34" s="58" t="n">
        <v>1099</v>
      </c>
      <c r="AN34" s="155" t="inlineStr">
        <is>
          <t>Shopify Western Brothers</t>
        </is>
      </c>
      <c r="AO34" s="59" t="n"/>
      <c r="AP34" s="59" t="n">
        <v>0</v>
      </c>
      <c r="AQ34" s="59" t="n"/>
      <c r="AR34" s="155" t="n"/>
    </row>
    <row r="35">
      <c r="A35" s="50" t="inlineStr">
        <is>
          <t>7506499550376</t>
        </is>
      </c>
      <c r="B35" s="51" t="inlineStr">
        <is>
          <t>108393</t>
        </is>
      </c>
      <c r="C35" s="156" t="inlineStr">
        <is>
          <t>Multimarca</t>
        </is>
      </c>
      <c r="D35" s="156" t="inlineStr">
        <is>
          <t>A-CHH206</t>
        </is>
      </c>
      <c r="E35" s="156" t="inlineStr">
        <is>
          <t>A-CHH206-S</t>
        </is>
      </c>
      <c r="F35" s="156" t="inlineStr">
        <is>
          <t>S</t>
        </is>
      </c>
      <c r="G35" s="156" t="inlineStr">
        <is>
          <t>S</t>
        </is>
      </c>
      <c r="H35" s="156" t="inlineStr">
        <is>
          <t>Denver</t>
        </is>
      </c>
      <c r="I35" s="156" t="inlineStr">
        <is>
          <t>Camisa Denver caballero mosaico estrella en azul</t>
        </is>
      </c>
      <c r="J35" s="156" t="inlineStr">
        <is>
          <t>Ropa</t>
        </is>
      </c>
      <c r="K35" s="156" t="inlineStr">
        <is>
          <t>Camisas</t>
        </is>
      </c>
      <c r="L35" s="156" t="inlineStr">
        <is>
          <t>Hombre</t>
        </is>
      </c>
      <c r="M35" s="156" t="inlineStr">
        <is>
          <t>Denver</t>
        </is>
      </c>
      <c r="N35" s="156" t="inlineStr">
        <is>
          <t>SS26</t>
        </is>
      </c>
      <c r="O35" s="156" t="inlineStr">
        <is>
          <t>Seasonal</t>
        </is>
      </c>
      <c r="P35" s="156" t="inlineStr">
        <is>
          <t>Azul</t>
        </is>
      </c>
      <c r="Q35" s="156" t="inlineStr">
        <is>
          <t>Regular</t>
        </is>
      </c>
      <c r="R35" s="156" t="n"/>
      <c r="S35" s="156" t="inlineStr">
        <is>
          <t>100% Algodón</t>
        </is>
      </c>
      <c r="T35" s="156" t="inlineStr">
        <is>
          <t>Camisa Denver caballero mosaico estrella en azul Regular</t>
        </is>
      </c>
      <c r="U35" s="156" t="inlineStr">
        <is>
          <t>México</t>
        </is>
      </c>
      <c r="V35" s="156" t="inlineStr">
        <is>
          <t>PZS</t>
        </is>
      </c>
      <c r="W35" s="51" t="inlineStr">
        <is>
          <t>53101602</t>
        </is>
      </c>
      <c r="X35" s="156" t="n"/>
      <c r="Y35" s="54" t="n">
        <v>419</v>
      </c>
      <c r="Z35" s="54" t="n">
        <v>947.4137931</v>
      </c>
      <c r="AA35" s="55">
        <f>IF(AND(A35="", B35="", E35=""), "", IF(AB35="", "Válido", IF((LEN(AB35)-LEN(SUBSTITUTE(AB35,"; ","")))/2+1&gt;(LEN(AB35)-LEN(SUBSTITUTE(AB35,"[Aviso]","")))/7, "Con Incidencias", "Válido")))</f>
        <v/>
      </c>
      <c r="AB35" s="56">
        <f>IF(AND(A35="", B35="", E35=""), "", TEXTJOIN("; ", TRUE, IF(OR(TRIM(A35&amp;"")="", ISNUMBER(SEARCH("FALTA", A35))), "UPC faltante/inválido", ""), IF(AND(A35&lt;&gt;"", IFERROR(_xlfn.XMATCH(A35,$A$2:$A$204,0,1)&lt;&gt;_xlfn.XMATCH(A35,$A$2:$A$204,0,-1),FALSE)), "Código de barras duplicado", ""), IF(AND(E35&lt;&gt;"", COUNTIF($E$2:$E$204, E35)&gt;1), "SKU duplicado", ""), IF(OR(J35="", J35=""), "[Aviso] División no capturada ()", IF(ISNA(MATCH(J35, Criterios!$A$123:$A$126, 0)), "División no válida", "")), IF(OR(K35="", K35=""), "[Aviso] Categoría no capturada ()", IF(ISNA(MATCH(K35, Criterios!$A$81:$A$120, 0)), "Categoría no válida", IF(AND(J35&lt;&gt;"", J35&lt;&gt;"", J35&lt;&gt;VLOOKUP(K35, Criterios!$A$81:$B$120, 2, FALSE)), "División no coincide con Categoría", ""))), IF(OR(L35="", L35=""), "[Aviso] Género no capturado ()", IF(ISNA(MATCH(L35, Criterios!$B$123:$B$127, 0)), "Género no válido", "")), IF(OR(N35="", N35=""), "[Aviso] Temporada no capturada ()", IF(ISNA(MATCH(N35, Criterios!$C$123:$C$128, 0)), "Temporada no válida", "")), IF(OR(O35="", O35=""), "[Aviso] Ciclo de vida no capturado ()", IF(ISNA(MATCH(O35, Criterios!$D$123:$D$124, 0)), "Ciclo de vida no válido", ""))))</f>
        <v/>
      </c>
      <c r="AC35" s="56" t="n"/>
      <c r="AD35" s="51" t="n">
        <v>4</v>
      </c>
      <c r="AE35" s="156" t="inlineStr">
        <is>
          <t>WB OUTLET LERMA: 4</t>
        </is>
      </c>
      <c r="AF35" s="51" t="n">
        <v>4</v>
      </c>
      <c r="AG35" s="156" t="inlineStr">
        <is>
          <t>Nuevo – NetSuite con existencia</t>
        </is>
      </c>
      <c r="AH35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35" s="156" t="inlineStr">
        <is>
          <t>No</t>
        </is>
      </c>
      <c r="AJ35" s="156" t="n"/>
      <c r="AK35" s="155" t="inlineStr">
        <is>
          <t>ProductosCatalogoEstandar907.xlsx: fila 15 [N,O,Q,S,U,Y]; G1522_Extraccion_Articulos_NetSuite_2026-09-30.xlsx: fila 56552 [P,V,Y,T] | Shopify WB: producto 8569956991161 / variante 47621317165241</t>
        </is>
      </c>
      <c r="AL35" s="58" t="n">
        <v>419</v>
      </c>
      <c r="AM35" s="58" t="n">
        <v>1099</v>
      </c>
      <c r="AN35" s="155" t="inlineStr">
        <is>
          <t>Shopify Western Brothers</t>
        </is>
      </c>
      <c r="AO35" s="59" t="n"/>
      <c r="AP35" s="59" t="n">
        <v>4</v>
      </c>
      <c r="AQ35" s="59" t="n"/>
      <c r="AR35" s="155" t="inlineStr">
        <is>
          <t>Shopify Western Brothers › Western Brothers Outlet Lerma: 4</t>
        </is>
      </c>
    </row>
    <row r="36">
      <c r="A36" s="50" t="inlineStr">
        <is>
          <t>7506499550383</t>
        </is>
      </c>
      <c r="B36" s="51" t="inlineStr">
        <is>
          <t>108394</t>
        </is>
      </c>
      <c r="C36" s="156" t="inlineStr">
        <is>
          <t>Multimarca</t>
        </is>
      </c>
      <c r="D36" s="156" t="inlineStr">
        <is>
          <t>A-CHH206</t>
        </is>
      </c>
      <c r="E36" s="156" t="inlineStr">
        <is>
          <t>A-CHH206-M</t>
        </is>
      </c>
      <c r="F36" s="156" t="inlineStr">
        <is>
          <t>M</t>
        </is>
      </c>
      <c r="G36" s="156" t="inlineStr">
        <is>
          <t>M</t>
        </is>
      </c>
      <c r="H36" s="156" t="inlineStr">
        <is>
          <t>Denver</t>
        </is>
      </c>
      <c r="I36" s="156" t="inlineStr">
        <is>
          <t>Camisa Denver caballero mosaico estrella en azul</t>
        </is>
      </c>
      <c r="J36" s="156" t="inlineStr">
        <is>
          <t>Ropa</t>
        </is>
      </c>
      <c r="K36" s="156" t="inlineStr">
        <is>
          <t>Camisas</t>
        </is>
      </c>
      <c r="L36" s="156" t="inlineStr">
        <is>
          <t>Hombre</t>
        </is>
      </c>
      <c r="M36" s="156" t="inlineStr">
        <is>
          <t>Denver</t>
        </is>
      </c>
      <c r="N36" s="156" t="inlineStr">
        <is>
          <t>SS26</t>
        </is>
      </c>
      <c r="O36" s="156" t="inlineStr">
        <is>
          <t>Seasonal</t>
        </is>
      </c>
      <c r="P36" s="156" t="inlineStr">
        <is>
          <t>Azul</t>
        </is>
      </c>
      <c r="Q36" s="156" t="inlineStr">
        <is>
          <t>Regular</t>
        </is>
      </c>
      <c r="R36" s="156" t="n"/>
      <c r="S36" s="156" t="inlineStr">
        <is>
          <t>100% Algodón</t>
        </is>
      </c>
      <c r="T36" s="156" t="inlineStr">
        <is>
          <t>Camisa Denver caballero mosaico estrella en azul Regular</t>
        </is>
      </c>
      <c r="U36" s="156" t="inlineStr">
        <is>
          <t>México</t>
        </is>
      </c>
      <c r="V36" s="156" t="inlineStr">
        <is>
          <t>PZS</t>
        </is>
      </c>
      <c r="W36" s="51" t="inlineStr">
        <is>
          <t>53101602</t>
        </is>
      </c>
      <c r="X36" s="156" t="n"/>
      <c r="Y36" s="54" t="n">
        <v>419</v>
      </c>
      <c r="Z36" s="54" t="n">
        <v>947.4137931</v>
      </c>
      <c r="AA36" s="55">
        <f>IF(AND(A36="", B36="", E36=""), "", IF(AB36="", "Válido", IF((LEN(AB36)-LEN(SUBSTITUTE(AB36,"; ","")))/2+1&gt;(LEN(AB36)-LEN(SUBSTITUTE(AB36,"[Aviso]","")))/7, "Con Incidencias", "Válido")))</f>
        <v/>
      </c>
      <c r="AB36" s="56">
        <f>IF(AND(A36="", B36="", E36=""), "", TEXTJOIN("; ", TRUE, IF(OR(TRIM(A36&amp;"")="", ISNUMBER(SEARCH("FALTA", A36))), "UPC faltante/inválido", ""), IF(AND(A36&lt;&gt;"", IFERROR(_xlfn.XMATCH(A36,$A$2:$A$204,0,1)&lt;&gt;_xlfn.XMATCH(A36,$A$2:$A$204,0,-1),FALSE)), "Código de barras duplicado", ""), IF(AND(E36&lt;&gt;"", COUNTIF($E$2:$E$204, E36)&gt;1), "SKU duplicado", ""), IF(OR(J36="", J36=""), "[Aviso] División no capturada ()", IF(ISNA(MATCH(J36, Criterios!$A$123:$A$126, 0)), "División no válida", "")), IF(OR(K36="", K36=""), "[Aviso] Categoría no capturada ()", IF(ISNA(MATCH(K36, Criterios!$A$81:$A$120, 0)), "Categoría no válida", IF(AND(J36&lt;&gt;"", J36&lt;&gt;"", J36&lt;&gt;VLOOKUP(K36, Criterios!$A$81:$B$120, 2, FALSE)), "División no coincide con Categoría", ""))), IF(OR(L36="", L36=""), "[Aviso] Género no capturado ()", IF(ISNA(MATCH(L36, Criterios!$B$123:$B$127, 0)), "Género no válido", "")), IF(OR(N36="", N36=""), "[Aviso] Temporada no capturada ()", IF(ISNA(MATCH(N36, Criterios!$C$123:$C$128, 0)), "Temporada no válida", "")), IF(OR(O36="", O36=""), "[Aviso] Ciclo de vida no capturado ()", IF(ISNA(MATCH(O36, Criterios!$D$123:$D$124, 0)), "Ciclo de vida no válido", ""))))</f>
        <v/>
      </c>
      <c r="AC36" s="56" t="n"/>
      <c r="AD36" s="51" t="n">
        <v>4</v>
      </c>
      <c r="AE36" s="156" t="inlineStr">
        <is>
          <t>WB OUTLET LERMA: 4</t>
        </is>
      </c>
      <c r="AF36" s="51" t="n">
        <v>4</v>
      </c>
      <c r="AG36" s="156" t="inlineStr">
        <is>
          <t>Nuevo – NetSuite con existencia</t>
        </is>
      </c>
      <c r="AH36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36" s="156" t="inlineStr">
        <is>
          <t>No</t>
        </is>
      </c>
      <c r="AJ36" s="156" t="n"/>
      <c r="AK36" s="155" t="inlineStr">
        <is>
          <t>ProductosCatalogoEstandar907.xlsx: fila 16 [N,O,Q,S,U,Y]; G1522_Extraccion_Articulos_NetSuite_2026-09-30.xlsx: fila 56553 [P,V,Y,T] | Shopify WB: producto 8569956991161 / variante 47621317198009</t>
        </is>
      </c>
      <c r="AL36" s="58" t="n">
        <v>419</v>
      </c>
      <c r="AM36" s="58" t="n">
        <v>1099</v>
      </c>
      <c r="AN36" s="155" t="inlineStr">
        <is>
          <t>Shopify Western Brothers</t>
        </is>
      </c>
      <c r="AO36" s="59" t="n"/>
      <c r="AP36" s="59" t="n">
        <v>4</v>
      </c>
      <c r="AQ36" s="59" t="n"/>
      <c r="AR36" s="155" t="inlineStr">
        <is>
          <t>Shopify Western Brothers › Western Brothers Outlet Lerma: 4</t>
        </is>
      </c>
    </row>
    <row r="37">
      <c r="A37" s="50" t="inlineStr">
        <is>
          <t>7506499550390</t>
        </is>
      </c>
      <c r="B37" s="51" t="inlineStr">
        <is>
          <t>108395</t>
        </is>
      </c>
      <c r="C37" s="156" t="inlineStr">
        <is>
          <t>Multimarca</t>
        </is>
      </c>
      <c r="D37" s="156" t="inlineStr">
        <is>
          <t>A-CHH206</t>
        </is>
      </c>
      <c r="E37" s="156" t="inlineStr">
        <is>
          <t>A-CHH206-L</t>
        </is>
      </c>
      <c r="F37" s="156" t="inlineStr">
        <is>
          <t>L</t>
        </is>
      </c>
      <c r="G37" s="156" t="inlineStr">
        <is>
          <t>L</t>
        </is>
      </c>
      <c r="H37" s="156" t="inlineStr">
        <is>
          <t>Denver</t>
        </is>
      </c>
      <c r="I37" s="156" t="inlineStr">
        <is>
          <t>Camisa Denver caballero mosaico estrella en azul</t>
        </is>
      </c>
      <c r="J37" s="156" t="inlineStr">
        <is>
          <t>Ropa</t>
        </is>
      </c>
      <c r="K37" s="156" t="inlineStr">
        <is>
          <t>Camisas</t>
        </is>
      </c>
      <c r="L37" s="156" t="inlineStr">
        <is>
          <t>Hombre</t>
        </is>
      </c>
      <c r="M37" s="156" t="inlineStr">
        <is>
          <t>Denver</t>
        </is>
      </c>
      <c r="N37" s="156" t="inlineStr">
        <is>
          <t>SS26</t>
        </is>
      </c>
      <c r="O37" s="156" t="inlineStr">
        <is>
          <t>Seasonal</t>
        </is>
      </c>
      <c r="P37" s="156" t="inlineStr">
        <is>
          <t>Azul</t>
        </is>
      </c>
      <c r="Q37" s="156" t="inlineStr">
        <is>
          <t>Regular</t>
        </is>
      </c>
      <c r="R37" s="156" t="n"/>
      <c r="S37" s="156" t="inlineStr">
        <is>
          <t>100% Algodón</t>
        </is>
      </c>
      <c r="T37" s="156" t="inlineStr">
        <is>
          <t>Camisa Denver caballero mosaico estrella en azul Regular</t>
        </is>
      </c>
      <c r="U37" s="156" t="inlineStr">
        <is>
          <t>México</t>
        </is>
      </c>
      <c r="V37" s="156" t="inlineStr">
        <is>
          <t>PZS</t>
        </is>
      </c>
      <c r="W37" s="51" t="inlineStr">
        <is>
          <t>53101602</t>
        </is>
      </c>
      <c r="X37" s="156" t="n"/>
      <c r="Y37" s="54" t="n">
        <v>419</v>
      </c>
      <c r="Z37" s="54" t="n">
        <v>947.4137931</v>
      </c>
      <c r="AA37" s="55">
        <f>IF(AND(A37="", B37="", E37=""), "", IF(AB37="", "Válido", IF((LEN(AB37)-LEN(SUBSTITUTE(AB37,"; ","")))/2+1&gt;(LEN(AB37)-LEN(SUBSTITUTE(AB37,"[Aviso]","")))/7, "Con Incidencias", "Válido")))</f>
        <v/>
      </c>
      <c r="AB37" s="56">
        <f>IF(AND(A37="", B37="", E37=""), "", TEXTJOIN("; ", TRUE, IF(OR(TRIM(A37&amp;"")="", ISNUMBER(SEARCH("FALTA", A37))), "UPC faltante/inválido", ""), IF(AND(A37&lt;&gt;"", IFERROR(_xlfn.XMATCH(A37,$A$2:$A$204,0,1)&lt;&gt;_xlfn.XMATCH(A37,$A$2:$A$204,0,-1),FALSE)), "Código de barras duplicado", ""), IF(AND(E37&lt;&gt;"", COUNTIF($E$2:$E$204, E37)&gt;1), "SKU duplicado", ""), IF(OR(J37="", J37=""), "[Aviso] División no capturada ()", IF(ISNA(MATCH(J37, Criterios!$A$123:$A$126, 0)), "División no válida", "")), IF(OR(K37="", K37=""), "[Aviso] Categoría no capturada ()", IF(ISNA(MATCH(K37, Criterios!$A$81:$A$120, 0)), "Categoría no válida", IF(AND(J37&lt;&gt;"", J37&lt;&gt;"", J37&lt;&gt;VLOOKUP(K37, Criterios!$A$81:$B$120, 2, FALSE)), "División no coincide con Categoría", ""))), IF(OR(L37="", L37=""), "[Aviso] Género no capturado ()", IF(ISNA(MATCH(L37, Criterios!$B$123:$B$127, 0)), "Género no válido", "")), IF(OR(N37="", N37=""), "[Aviso] Temporada no capturada ()", IF(ISNA(MATCH(N37, Criterios!$C$123:$C$128, 0)), "Temporada no válida", "")), IF(OR(O37="", O37=""), "[Aviso] Ciclo de vida no capturado ()", IF(ISNA(MATCH(O37, Criterios!$D$123:$D$124, 0)), "Ciclo de vida no válido", ""))))</f>
        <v/>
      </c>
      <c r="AC37" s="56" t="n"/>
      <c r="AD37" s="51" t="n">
        <v>2</v>
      </c>
      <c r="AE37" s="156" t="inlineStr">
        <is>
          <t>WB OUTLET LERMA: 2</t>
        </is>
      </c>
      <c r="AF37" s="51" t="n">
        <v>2</v>
      </c>
      <c r="AG37" s="156" t="inlineStr">
        <is>
          <t>Nuevo – NetSuite con existencia</t>
        </is>
      </c>
      <c r="AH37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37" s="156" t="inlineStr">
        <is>
          <t>No</t>
        </is>
      </c>
      <c r="AJ37" s="156" t="n"/>
      <c r="AK37" s="155" t="inlineStr">
        <is>
          <t>ProductosCatalogoEstandar907.xlsx: fila 17 [N,O,Q,S,U,Y]; G1522_Extraccion_Articulos_NetSuite_2026-09-30.xlsx: fila 56554 [P,V,Y,T] | Shopify WB: producto 8569956991161 / variante 47621317230777</t>
        </is>
      </c>
      <c r="AL37" s="58" t="n">
        <v>419</v>
      </c>
      <c r="AM37" s="58" t="n">
        <v>1099</v>
      </c>
      <c r="AN37" s="155" t="inlineStr">
        <is>
          <t>Shopify Western Brothers</t>
        </is>
      </c>
      <c r="AO37" s="59" t="n"/>
      <c r="AP37" s="59" t="n">
        <v>3</v>
      </c>
      <c r="AQ37" s="59" t="n"/>
      <c r="AR37" s="155" t="inlineStr">
        <is>
          <t>Shopify Western Brothers › Western Brothers Outlet Lerma: 3</t>
        </is>
      </c>
    </row>
    <row r="38">
      <c r="A38" s="50" t="inlineStr">
        <is>
          <t>7506499550406</t>
        </is>
      </c>
      <c r="B38" s="51" t="inlineStr">
        <is>
          <t>108396</t>
        </is>
      </c>
      <c r="C38" s="156" t="inlineStr">
        <is>
          <t>Multimarca</t>
        </is>
      </c>
      <c r="D38" s="156" t="inlineStr">
        <is>
          <t>A-CHH206</t>
        </is>
      </c>
      <c r="E38" s="156" t="inlineStr">
        <is>
          <t>A-CHH206-XL</t>
        </is>
      </c>
      <c r="F38" s="156" t="inlineStr">
        <is>
          <t>XL</t>
        </is>
      </c>
      <c r="G38" s="156" t="inlineStr">
        <is>
          <t>XL</t>
        </is>
      </c>
      <c r="H38" s="156" t="inlineStr">
        <is>
          <t>Denver</t>
        </is>
      </c>
      <c r="I38" s="156" t="inlineStr">
        <is>
          <t>Camisa Denver caballero mosaico estrella en azul</t>
        </is>
      </c>
      <c r="J38" s="156" t="inlineStr">
        <is>
          <t>Ropa</t>
        </is>
      </c>
      <c r="K38" s="156" t="inlineStr">
        <is>
          <t>Camisas</t>
        </is>
      </c>
      <c r="L38" s="156" t="inlineStr">
        <is>
          <t>Hombre</t>
        </is>
      </c>
      <c r="M38" s="156" t="inlineStr">
        <is>
          <t>Denver</t>
        </is>
      </c>
      <c r="N38" s="156" t="inlineStr">
        <is>
          <t>SS26</t>
        </is>
      </c>
      <c r="O38" s="156" t="inlineStr">
        <is>
          <t>Seasonal</t>
        </is>
      </c>
      <c r="P38" s="156" t="inlineStr">
        <is>
          <t>Azul</t>
        </is>
      </c>
      <c r="Q38" s="156" t="inlineStr">
        <is>
          <t>Regular</t>
        </is>
      </c>
      <c r="R38" s="156" t="n"/>
      <c r="S38" s="156" t="inlineStr">
        <is>
          <t>100% Algodón</t>
        </is>
      </c>
      <c r="T38" s="156" t="inlineStr">
        <is>
          <t>Camisa Denver caballero mosaico estrella en azul Regular</t>
        </is>
      </c>
      <c r="U38" s="156" t="inlineStr">
        <is>
          <t>México</t>
        </is>
      </c>
      <c r="V38" s="156" t="inlineStr">
        <is>
          <t>PZS</t>
        </is>
      </c>
      <c r="W38" s="51" t="inlineStr">
        <is>
          <t>53101602</t>
        </is>
      </c>
      <c r="X38" s="156" t="n"/>
      <c r="Y38" s="54" t="n">
        <v>419</v>
      </c>
      <c r="Z38" s="54" t="n">
        <v>947.4137931</v>
      </c>
      <c r="AA38" s="55">
        <f>IF(AND(A38="", B38="", E38=""), "", IF(AB38="", "Válido", IF((LEN(AB38)-LEN(SUBSTITUTE(AB38,"; ","")))/2+1&gt;(LEN(AB38)-LEN(SUBSTITUTE(AB38,"[Aviso]","")))/7, "Con Incidencias", "Válido")))</f>
        <v/>
      </c>
      <c r="AB38" s="56">
        <f>IF(AND(A38="", B38="", E38=""), "", TEXTJOIN("; ", TRUE, IF(OR(TRIM(A38&amp;"")="", ISNUMBER(SEARCH("FALTA", A38))), "UPC faltante/inválido", ""), IF(AND(A38&lt;&gt;"", IFERROR(_xlfn.XMATCH(A38,$A$2:$A$204,0,1)&lt;&gt;_xlfn.XMATCH(A38,$A$2:$A$204,0,-1),FALSE)), "Código de barras duplicado", ""), IF(AND(E38&lt;&gt;"", COUNTIF($E$2:$E$204, E38)&gt;1), "SKU duplicado", ""), IF(OR(J38="", J38=""), "[Aviso] División no capturada ()", IF(ISNA(MATCH(J38, Criterios!$A$123:$A$126, 0)), "División no válida", "")), IF(OR(K38="", K38=""), "[Aviso] Categoría no capturada ()", IF(ISNA(MATCH(K38, Criterios!$A$81:$A$120, 0)), "Categoría no válida", IF(AND(J38&lt;&gt;"", J38&lt;&gt;"", J38&lt;&gt;VLOOKUP(K38, Criterios!$A$81:$B$120, 2, FALSE)), "División no coincide con Categoría", ""))), IF(OR(L38="", L38=""), "[Aviso] Género no capturado ()", IF(ISNA(MATCH(L38, Criterios!$B$123:$B$127, 0)), "Género no válido", "")), IF(OR(N38="", N38=""), "[Aviso] Temporada no capturada ()", IF(ISNA(MATCH(N38, Criterios!$C$123:$C$128, 0)), "Temporada no válida", "")), IF(OR(O38="", O38=""), "[Aviso] Ciclo de vida no capturado ()", IF(ISNA(MATCH(O38, Criterios!$D$123:$D$124, 0)), "Ciclo de vida no válido", ""))))</f>
        <v/>
      </c>
      <c r="AC38" s="56" t="n"/>
      <c r="AD38" s="51" t="n">
        <v>2</v>
      </c>
      <c r="AE38" s="156" t="inlineStr">
        <is>
          <t>WB OUTLET LERMA: 2</t>
        </is>
      </c>
      <c r="AF38" s="51" t="n">
        <v>2</v>
      </c>
      <c r="AG38" s="156" t="inlineStr">
        <is>
          <t>Nuevo – NetSuite con existencia</t>
        </is>
      </c>
      <c r="AH38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38" s="156" t="inlineStr">
        <is>
          <t>No</t>
        </is>
      </c>
      <c r="AJ38" s="156" t="n"/>
      <c r="AK38" s="155" t="inlineStr">
        <is>
          <t>ProductosCatalogoEstandar907.xlsx: fila 18 [N,O,Q,S,U,Y]; G1522_Extraccion_Articulos_NetSuite_2026-09-30.xlsx: fila 56555 [P,V,Y,T] | Shopify WB: producto 8569956991161 / variante 47621317263545</t>
        </is>
      </c>
      <c r="AL38" s="58" t="n">
        <v>419</v>
      </c>
      <c r="AM38" s="58" t="n">
        <v>1099</v>
      </c>
      <c r="AN38" s="155" t="inlineStr">
        <is>
          <t>Shopify Western Brothers</t>
        </is>
      </c>
      <c r="AO38" s="59" t="n"/>
      <c r="AP38" s="59" t="n">
        <v>2</v>
      </c>
      <c r="AQ38" s="59" t="n"/>
      <c r="AR38" s="155" t="inlineStr">
        <is>
          <t>Shopify Western Brothers › Western Brothers Outlet Lerma: 2</t>
        </is>
      </c>
    </row>
    <row r="39">
      <c r="A39" s="50" t="inlineStr">
        <is>
          <t>7506499526456</t>
        </is>
      </c>
      <c r="B39" s="51" t="inlineStr">
        <is>
          <t>108397</t>
        </is>
      </c>
      <c r="C39" s="156" t="inlineStr">
        <is>
          <t>Multimarca</t>
        </is>
      </c>
      <c r="D39" s="156" t="inlineStr">
        <is>
          <t>A-CM126</t>
        </is>
      </c>
      <c r="E39" s="156" t="inlineStr">
        <is>
          <t>A-CM126-XS</t>
        </is>
      </c>
      <c r="F39" s="156" t="inlineStr">
        <is>
          <t>XS</t>
        </is>
      </c>
      <c r="G39" s="156" t="inlineStr">
        <is>
          <t>XS</t>
        </is>
      </c>
      <c r="H39" s="156" t="inlineStr">
        <is>
          <t>Denver</t>
        </is>
      </c>
      <c r="I39" s="156" t="inlineStr">
        <is>
          <t>Camisa Denver dama flores amarillo</t>
        </is>
      </c>
      <c r="J39" s="156" t="inlineStr">
        <is>
          <t>Ropa</t>
        </is>
      </c>
      <c r="K39" s="156" t="inlineStr">
        <is>
          <t>Camisas</t>
        </is>
      </c>
      <c r="L39" s="156" t="inlineStr">
        <is>
          <t>Mujer</t>
        </is>
      </c>
      <c r="M39" s="156" t="inlineStr">
        <is>
          <t>Denver</t>
        </is>
      </c>
      <c r="N39" s="156" t="inlineStr">
        <is>
          <t>SS26</t>
        </is>
      </c>
      <c r="O39" s="156" t="inlineStr">
        <is>
          <t>Seasonal</t>
        </is>
      </c>
      <c r="P39" s="156" t="inlineStr">
        <is>
          <t>Amarillo</t>
        </is>
      </c>
      <c r="Q39" s="156" t="inlineStr">
        <is>
          <t>Regular</t>
        </is>
      </c>
      <c r="R39" s="156" t="n"/>
      <c r="S39" s="156" t="inlineStr">
        <is>
          <t>100% Rayón</t>
        </is>
      </c>
      <c r="T39" s="156" t="inlineStr">
        <is>
          <t>Camisa Denver dama flores amarillo Regular</t>
        </is>
      </c>
      <c r="U39" s="156" t="inlineStr">
        <is>
          <t>México</t>
        </is>
      </c>
      <c r="V39" s="156" t="inlineStr">
        <is>
          <t>PZS</t>
        </is>
      </c>
      <c r="W39" s="51" t="inlineStr">
        <is>
          <t>53101604</t>
        </is>
      </c>
      <c r="X39" s="156" t="n"/>
      <c r="Y39" s="54" t="n">
        <v>336</v>
      </c>
      <c r="Z39" s="54" t="n">
        <v>775</v>
      </c>
      <c r="AA39" s="55">
        <f>IF(AND(A39="", B39="", E39=""), "", IF(AB39="", "Válido", IF((LEN(AB39)-LEN(SUBSTITUTE(AB39,"; ","")))/2+1&gt;(LEN(AB39)-LEN(SUBSTITUTE(AB39,"[Aviso]","")))/7, "Con Incidencias", "Válido")))</f>
        <v/>
      </c>
      <c r="AB39" s="56">
        <f>IF(AND(A39="", B39="", E39=""), "", TEXTJOIN("; ", TRUE, IF(OR(TRIM(A39&amp;"")="", ISNUMBER(SEARCH("FALTA", A39))), "UPC faltante/inválido", ""), IF(AND(A39&lt;&gt;"", IFERROR(_xlfn.XMATCH(A39,$A$2:$A$204,0,1)&lt;&gt;_xlfn.XMATCH(A39,$A$2:$A$204,0,-1),FALSE)), "Código de barras duplicado", ""), IF(AND(E39&lt;&gt;"", COUNTIF($E$2:$E$204, E39)&gt;1), "SKU duplicado", ""), IF(OR(J39="", J39=""), "[Aviso] División no capturada ()", IF(ISNA(MATCH(J39, Criterios!$A$123:$A$126, 0)), "División no válida", "")), IF(OR(K39="", K39=""), "[Aviso] Categoría no capturada ()", IF(ISNA(MATCH(K39, Criterios!$A$81:$A$120, 0)), "Categoría no válida", IF(AND(J39&lt;&gt;"", J39&lt;&gt;"", J39&lt;&gt;VLOOKUP(K39, Criterios!$A$81:$B$120, 2, FALSE)), "División no coincide con Categoría", ""))), IF(OR(L39="", L39=""), "[Aviso] Género no capturado ()", IF(ISNA(MATCH(L39, Criterios!$B$123:$B$127, 0)), "Género no válido", "")), IF(OR(N39="", N39=""), "[Aviso] Temporada no capturada ()", IF(ISNA(MATCH(N39, Criterios!$C$123:$C$128, 0)), "Temporada no válida", "")), IF(OR(O39="", O39=""), "[Aviso] Ciclo de vida no capturado ()", IF(ISNA(MATCH(O39, Criterios!$D$123:$D$124, 0)), "Ciclo de vida no válido", ""))))</f>
        <v/>
      </c>
      <c r="AC39" s="56" t="n"/>
      <c r="AD39" s="51" t="n">
        <v>4</v>
      </c>
      <c r="AE39" s="156" t="inlineStr">
        <is>
          <t>WB OUTLET LERMA: 4</t>
        </is>
      </c>
      <c r="AF39" s="51" t="n">
        <v>4</v>
      </c>
      <c r="AG39" s="156" t="inlineStr">
        <is>
          <t>Nuevo – NetSuite con existencia</t>
        </is>
      </c>
      <c r="AH39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39" s="156" t="inlineStr">
        <is>
          <t>No</t>
        </is>
      </c>
      <c r="AJ39" s="156" t="n"/>
      <c r="AK39" s="155" t="inlineStr">
        <is>
          <t>ProductosCatalogoEstandar907.xlsx: fila 19 [N,O,Q,S,U,Y]; G1522_Extraccion_Articulos_NetSuite_2026-09-30.xlsx: fila 56556 [P,V,Y,T] | Shopify WB: producto 8569957286073 / variante 47621317623993</t>
        </is>
      </c>
      <c r="AL39" s="58" t="n">
        <v>336</v>
      </c>
      <c r="AM39" s="58" t="n">
        <v>899</v>
      </c>
      <c r="AN39" s="155" t="inlineStr">
        <is>
          <t>Shopify Western Brothers</t>
        </is>
      </c>
      <c r="AO39" s="59" t="n"/>
      <c r="AP39" s="59" t="n">
        <v>4</v>
      </c>
      <c r="AQ39" s="59" t="n"/>
      <c r="AR39" s="155" t="inlineStr">
        <is>
          <t>Shopify Western Brothers › Western Brothers Outlet Lerma: 4</t>
        </is>
      </c>
    </row>
    <row r="40">
      <c r="A40" s="50" t="inlineStr">
        <is>
          <t>7506499526463</t>
        </is>
      </c>
      <c r="B40" s="51" t="inlineStr">
        <is>
          <t>108398</t>
        </is>
      </c>
      <c r="C40" s="156" t="inlineStr">
        <is>
          <t>Multimarca</t>
        </is>
      </c>
      <c r="D40" s="156" t="inlineStr">
        <is>
          <t>A-CM126</t>
        </is>
      </c>
      <c r="E40" s="156" t="inlineStr">
        <is>
          <t>A-CM126-S</t>
        </is>
      </c>
      <c r="F40" s="156" t="inlineStr">
        <is>
          <t>S</t>
        </is>
      </c>
      <c r="G40" s="156" t="inlineStr">
        <is>
          <t>S</t>
        </is>
      </c>
      <c r="H40" s="156" t="inlineStr">
        <is>
          <t>Denver</t>
        </is>
      </c>
      <c r="I40" s="156" t="inlineStr">
        <is>
          <t>Camisa Denver dama flores amarillo</t>
        </is>
      </c>
      <c r="J40" s="156" t="inlineStr">
        <is>
          <t>Ropa</t>
        </is>
      </c>
      <c r="K40" s="156" t="inlineStr">
        <is>
          <t>Camisas</t>
        </is>
      </c>
      <c r="L40" s="156" t="inlineStr">
        <is>
          <t>Mujer</t>
        </is>
      </c>
      <c r="M40" s="156" t="inlineStr">
        <is>
          <t>Denver</t>
        </is>
      </c>
      <c r="N40" s="156" t="inlineStr">
        <is>
          <t>SS26</t>
        </is>
      </c>
      <c r="O40" s="156" t="inlineStr">
        <is>
          <t>Seasonal</t>
        </is>
      </c>
      <c r="P40" s="156" t="inlineStr">
        <is>
          <t>Amarillo</t>
        </is>
      </c>
      <c r="Q40" s="156" t="inlineStr">
        <is>
          <t>Regular</t>
        </is>
      </c>
      <c r="R40" s="156" t="n"/>
      <c r="S40" s="156" t="inlineStr">
        <is>
          <t>100% Rayón</t>
        </is>
      </c>
      <c r="T40" s="156" t="inlineStr">
        <is>
          <t>Camisa Denver dama flores amarillo Regular</t>
        </is>
      </c>
      <c r="U40" s="156" t="inlineStr">
        <is>
          <t>México</t>
        </is>
      </c>
      <c r="V40" s="156" t="inlineStr">
        <is>
          <t>PZS</t>
        </is>
      </c>
      <c r="W40" s="51" t="inlineStr">
        <is>
          <t>53101604</t>
        </is>
      </c>
      <c r="X40" s="156" t="n"/>
      <c r="Y40" s="54" t="n">
        <v>336</v>
      </c>
      <c r="Z40" s="54" t="n">
        <v>775</v>
      </c>
      <c r="AA40" s="55">
        <f>IF(AND(A40="", B40="", E40=""), "", IF(AB40="", "Válido", IF((LEN(AB40)-LEN(SUBSTITUTE(AB40,"; ","")))/2+1&gt;(LEN(AB40)-LEN(SUBSTITUTE(AB40,"[Aviso]","")))/7, "Con Incidencias", "Válido")))</f>
        <v/>
      </c>
      <c r="AB40" s="56">
        <f>IF(AND(A40="", B40="", E40=""), "", TEXTJOIN("; ", TRUE, IF(OR(TRIM(A40&amp;"")="", ISNUMBER(SEARCH("FALTA", A40))), "UPC faltante/inválido", ""), IF(AND(A40&lt;&gt;"", IFERROR(_xlfn.XMATCH(A40,$A$2:$A$204,0,1)&lt;&gt;_xlfn.XMATCH(A40,$A$2:$A$204,0,-1),FALSE)), "Código de barras duplicado", ""), IF(AND(E40&lt;&gt;"", COUNTIF($E$2:$E$204, E40)&gt;1), "SKU duplicado", ""), IF(OR(J40="", J40=""), "[Aviso] División no capturada ()", IF(ISNA(MATCH(J40, Criterios!$A$123:$A$126, 0)), "División no válida", "")), IF(OR(K40="", K40=""), "[Aviso] Categoría no capturada ()", IF(ISNA(MATCH(K40, Criterios!$A$81:$A$120, 0)), "Categoría no válida", IF(AND(J40&lt;&gt;"", J40&lt;&gt;"", J40&lt;&gt;VLOOKUP(K40, Criterios!$A$81:$B$120, 2, FALSE)), "División no coincide con Categoría", ""))), IF(OR(L40="", L40=""), "[Aviso] Género no capturado ()", IF(ISNA(MATCH(L40, Criterios!$B$123:$B$127, 0)), "Género no válido", "")), IF(OR(N40="", N40=""), "[Aviso] Temporada no capturada ()", IF(ISNA(MATCH(N40, Criterios!$C$123:$C$128, 0)), "Temporada no válida", "")), IF(OR(O40="", O40=""), "[Aviso] Ciclo de vida no capturado ()", IF(ISNA(MATCH(O40, Criterios!$D$123:$D$124, 0)), "Ciclo de vida no válido", ""))))</f>
        <v/>
      </c>
      <c r="AC40" s="56" t="n"/>
      <c r="AD40" s="51" t="n">
        <v>3</v>
      </c>
      <c r="AE40" s="156" t="inlineStr">
        <is>
          <t>WB OUTLET LERMA: 3</t>
        </is>
      </c>
      <c r="AF40" s="51" t="n">
        <v>3</v>
      </c>
      <c r="AG40" s="156" t="inlineStr">
        <is>
          <t>Nuevo – NetSuite con existencia</t>
        </is>
      </c>
      <c r="AH40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40" s="156" t="inlineStr">
        <is>
          <t>No</t>
        </is>
      </c>
      <c r="AJ40" s="156" t="n"/>
      <c r="AK40" s="155" t="inlineStr">
        <is>
          <t>ProductosCatalogoEstandar907.xlsx: fila 20 [N,O,Q,S,U,Y]; G1522_Extraccion_Articulos_NetSuite_2026-09-30.xlsx: fila 56557 [P,V,Y,T] | Shopify WB: producto 8569957286073 / variante 47621317656761</t>
        </is>
      </c>
      <c r="AL40" s="58" t="n">
        <v>336</v>
      </c>
      <c r="AM40" s="58" t="n">
        <v>899</v>
      </c>
      <c r="AN40" s="155" t="inlineStr">
        <is>
          <t>Shopify Western Brothers</t>
        </is>
      </c>
      <c r="AO40" s="59" t="n"/>
      <c r="AP40" s="59" t="n">
        <v>3</v>
      </c>
      <c r="AQ40" s="59" t="n"/>
      <c r="AR40" s="155" t="inlineStr">
        <is>
          <t>Shopify Western Brothers › Western Brothers Outlet Lerma: 3</t>
        </is>
      </c>
    </row>
    <row r="41">
      <c r="A41" s="50" t="inlineStr">
        <is>
          <t>7506499526470</t>
        </is>
      </c>
      <c r="B41" s="51" t="inlineStr">
        <is>
          <t>108399</t>
        </is>
      </c>
      <c r="C41" s="156" t="inlineStr">
        <is>
          <t>Multimarca</t>
        </is>
      </c>
      <c r="D41" s="156" t="inlineStr">
        <is>
          <t>A-CM126</t>
        </is>
      </c>
      <c r="E41" s="156" t="inlineStr">
        <is>
          <t>A-CM126-M</t>
        </is>
      </c>
      <c r="F41" s="156" t="inlineStr">
        <is>
          <t>M</t>
        </is>
      </c>
      <c r="G41" s="156" t="inlineStr">
        <is>
          <t>M</t>
        </is>
      </c>
      <c r="H41" s="156" t="inlineStr">
        <is>
          <t>Denver</t>
        </is>
      </c>
      <c r="I41" s="156" t="inlineStr">
        <is>
          <t>Camisa Denver dama flores amarillo</t>
        </is>
      </c>
      <c r="J41" s="156" t="inlineStr">
        <is>
          <t>Ropa</t>
        </is>
      </c>
      <c r="K41" s="156" t="inlineStr">
        <is>
          <t>Camisas</t>
        </is>
      </c>
      <c r="L41" s="156" t="inlineStr">
        <is>
          <t>Mujer</t>
        </is>
      </c>
      <c r="M41" s="156" t="inlineStr">
        <is>
          <t>Denver</t>
        </is>
      </c>
      <c r="N41" s="156" t="inlineStr">
        <is>
          <t>SS26</t>
        </is>
      </c>
      <c r="O41" s="156" t="inlineStr">
        <is>
          <t>Seasonal</t>
        </is>
      </c>
      <c r="P41" s="156" t="inlineStr">
        <is>
          <t>Amarillo</t>
        </is>
      </c>
      <c r="Q41" s="156" t="inlineStr">
        <is>
          <t>Regular</t>
        </is>
      </c>
      <c r="R41" s="156" t="n"/>
      <c r="S41" s="156" t="inlineStr">
        <is>
          <t>100% Rayón</t>
        </is>
      </c>
      <c r="T41" s="156" t="inlineStr">
        <is>
          <t>Camisa Denver dama flores amarillo Regular</t>
        </is>
      </c>
      <c r="U41" s="156" t="inlineStr">
        <is>
          <t>México</t>
        </is>
      </c>
      <c r="V41" s="156" t="inlineStr">
        <is>
          <t>PZS</t>
        </is>
      </c>
      <c r="W41" s="51" t="inlineStr">
        <is>
          <t>53101604</t>
        </is>
      </c>
      <c r="X41" s="156" t="n"/>
      <c r="Y41" s="54" t="n">
        <v>336</v>
      </c>
      <c r="Z41" s="54" t="n">
        <v>775</v>
      </c>
      <c r="AA41" s="55">
        <f>IF(AND(A41="", B41="", E41=""), "", IF(AB41="", "Válido", IF((LEN(AB41)-LEN(SUBSTITUTE(AB41,"; ","")))/2+1&gt;(LEN(AB41)-LEN(SUBSTITUTE(AB41,"[Aviso]","")))/7, "Con Incidencias", "Válido")))</f>
        <v/>
      </c>
      <c r="AB41" s="56">
        <f>IF(AND(A41="", B41="", E41=""), "", TEXTJOIN("; ", TRUE, IF(OR(TRIM(A41&amp;"")="", ISNUMBER(SEARCH("FALTA", A41))), "UPC faltante/inválido", ""), IF(AND(A41&lt;&gt;"", IFERROR(_xlfn.XMATCH(A41,$A$2:$A$204,0,1)&lt;&gt;_xlfn.XMATCH(A41,$A$2:$A$204,0,-1),FALSE)), "Código de barras duplicado", ""), IF(AND(E41&lt;&gt;"", COUNTIF($E$2:$E$204, E41)&gt;1), "SKU duplicado", ""), IF(OR(J41="", J41=""), "[Aviso] División no capturada ()", IF(ISNA(MATCH(J41, Criterios!$A$123:$A$126, 0)), "División no válida", "")), IF(OR(K41="", K41=""), "[Aviso] Categoría no capturada ()", IF(ISNA(MATCH(K41, Criterios!$A$81:$A$120, 0)), "Categoría no válida", IF(AND(J41&lt;&gt;"", J41&lt;&gt;"", J41&lt;&gt;VLOOKUP(K41, Criterios!$A$81:$B$120, 2, FALSE)), "División no coincide con Categoría", ""))), IF(OR(L41="", L41=""), "[Aviso] Género no capturado ()", IF(ISNA(MATCH(L41, Criterios!$B$123:$B$127, 0)), "Género no válido", "")), IF(OR(N41="", N41=""), "[Aviso] Temporada no capturada ()", IF(ISNA(MATCH(N41, Criterios!$C$123:$C$128, 0)), "Temporada no válida", "")), IF(OR(O41="", O41=""), "[Aviso] Ciclo de vida no capturado ()", IF(ISNA(MATCH(O41, Criterios!$D$123:$D$124, 0)), "Ciclo de vida no válido", ""))))</f>
        <v/>
      </c>
      <c r="AC41" s="56" t="n"/>
      <c r="AD41" s="51" t="n">
        <v>1</v>
      </c>
      <c r="AE41" s="156" t="inlineStr">
        <is>
          <t>WB OUTLET LERMA: 1</t>
        </is>
      </c>
      <c r="AF41" s="51" t="n">
        <v>1</v>
      </c>
      <c r="AG41" s="156" t="inlineStr">
        <is>
          <t>Nuevo – NetSuite con existencia</t>
        </is>
      </c>
      <c r="AH41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41" s="156" t="inlineStr">
        <is>
          <t>No</t>
        </is>
      </c>
      <c r="AJ41" s="156" t="n"/>
      <c r="AK41" s="155" t="inlineStr">
        <is>
          <t>ProductosCatalogoEstandar907.xlsx: fila 21 [N,O,Q,S,U,Y]; G1522_Extraccion_Articulos_NetSuite_2026-09-30.xlsx: fila 56558 [P,V,Y,T] | Shopify WB: producto 8569957286073 / variante 47621317689529</t>
        </is>
      </c>
      <c r="AL41" s="58" t="n">
        <v>336</v>
      </c>
      <c r="AM41" s="58" t="n">
        <v>899</v>
      </c>
      <c r="AN41" s="155" t="inlineStr">
        <is>
          <t>Shopify Western Brothers</t>
        </is>
      </c>
      <c r="AO41" s="59" t="n"/>
      <c r="AP41" s="59" t="n">
        <v>1</v>
      </c>
      <c r="AQ41" s="59" t="n"/>
      <c r="AR41" s="155" t="inlineStr">
        <is>
          <t>Shopify Western Brothers › Western Brothers Outlet Lerma: 1</t>
        </is>
      </c>
    </row>
    <row r="42">
      <c r="A42" s="50" t="inlineStr">
        <is>
          <t>7506499526487</t>
        </is>
      </c>
      <c r="B42" s="51" t="inlineStr">
        <is>
          <t>108400</t>
        </is>
      </c>
      <c r="C42" s="156" t="inlineStr">
        <is>
          <t>Multimarca</t>
        </is>
      </c>
      <c r="D42" s="156" t="inlineStr">
        <is>
          <t>A-CM126</t>
        </is>
      </c>
      <c r="E42" s="156" t="inlineStr">
        <is>
          <t>A-CM126-L</t>
        </is>
      </c>
      <c r="F42" s="156" t="inlineStr">
        <is>
          <t>L</t>
        </is>
      </c>
      <c r="G42" s="156" t="inlineStr">
        <is>
          <t>L</t>
        </is>
      </c>
      <c r="H42" s="156" t="inlineStr">
        <is>
          <t>Denver</t>
        </is>
      </c>
      <c r="I42" s="156" t="inlineStr">
        <is>
          <t>Camisa Denver dama flores amarillo</t>
        </is>
      </c>
      <c r="J42" s="156" t="inlineStr">
        <is>
          <t>Ropa</t>
        </is>
      </c>
      <c r="K42" s="156" t="inlineStr">
        <is>
          <t>Camisas</t>
        </is>
      </c>
      <c r="L42" s="156" t="inlineStr">
        <is>
          <t>Mujer</t>
        </is>
      </c>
      <c r="M42" s="156" t="inlineStr">
        <is>
          <t>Denver</t>
        </is>
      </c>
      <c r="N42" s="156" t="inlineStr">
        <is>
          <t>SS26</t>
        </is>
      </c>
      <c r="O42" s="156" t="inlineStr">
        <is>
          <t>Seasonal</t>
        </is>
      </c>
      <c r="P42" s="156" t="inlineStr">
        <is>
          <t>Amarillo</t>
        </is>
      </c>
      <c r="Q42" s="156" t="inlineStr">
        <is>
          <t>Regular</t>
        </is>
      </c>
      <c r="R42" s="156" t="n"/>
      <c r="S42" s="156" t="inlineStr">
        <is>
          <t>100% Rayón</t>
        </is>
      </c>
      <c r="T42" s="156" t="inlineStr">
        <is>
          <t>Camisa Denver dama flores amarillo Regular</t>
        </is>
      </c>
      <c r="U42" s="156" t="inlineStr">
        <is>
          <t>México</t>
        </is>
      </c>
      <c r="V42" s="156" t="inlineStr">
        <is>
          <t>PZS</t>
        </is>
      </c>
      <c r="W42" s="51" t="inlineStr">
        <is>
          <t>53101604</t>
        </is>
      </c>
      <c r="X42" s="156" t="n"/>
      <c r="Y42" s="54" t="n">
        <v>336</v>
      </c>
      <c r="Z42" s="54" t="n">
        <v>775</v>
      </c>
      <c r="AA42" s="55">
        <f>IF(AND(A42="", B42="", E42=""), "", IF(AB42="", "Válido", IF((LEN(AB42)-LEN(SUBSTITUTE(AB42,"; ","")))/2+1&gt;(LEN(AB42)-LEN(SUBSTITUTE(AB42,"[Aviso]","")))/7, "Con Incidencias", "Válido")))</f>
        <v/>
      </c>
      <c r="AB42" s="56">
        <f>IF(AND(A42="", B42="", E42=""), "", TEXTJOIN("; ", TRUE, IF(OR(TRIM(A42&amp;"")="", ISNUMBER(SEARCH("FALTA", A42))), "UPC faltante/inválido", ""), IF(AND(A42&lt;&gt;"", IFERROR(_xlfn.XMATCH(A42,$A$2:$A$204,0,1)&lt;&gt;_xlfn.XMATCH(A42,$A$2:$A$204,0,-1),FALSE)), "Código de barras duplicado", ""), IF(AND(E42&lt;&gt;"", COUNTIF($E$2:$E$204, E42)&gt;1), "SKU duplicado", ""), IF(OR(J42="", J42=""), "[Aviso] División no capturada ()", IF(ISNA(MATCH(J42, Criterios!$A$123:$A$126, 0)), "División no válida", "")), IF(OR(K42="", K42=""), "[Aviso] Categoría no capturada ()", IF(ISNA(MATCH(K42, Criterios!$A$81:$A$120, 0)), "Categoría no válida", IF(AND(J42&lt;&gt;"", J42&lt;&gt;"", J42&lt;&gt;VLOOKUP(K42, Criterios!$A$81:$B$120, 2, FALSE)), "División no coincide con Categoría", ""))), IF(OR(L42="", L42=""), "[Aviso] Género no capturado ()", IF(ISNA(MATCH(L42, Criterios!$B$123:$B$127, 0)), "Género no válido", "")), IF(OR(N42="", N42=""), "[Aviso] Temporada no capturada ()", IF(ISNA(MATCH(N42, Criterios!$C$123:$C$128, 0)), "Temporada no válida", "")), IF(OR(O42="", O42=""), "[Aviso] Ciclo de vida no capturado ()", IF(ISNA(MATCH(O42, Criterios!$D$123:$D$124, 0)), "Ciclo de vida no válido", ""))))</f>
        <v/>
      </c>
      <c r="AC42" s="56" t="n"/>
      <c r="AD42" s="51" t="n">
        <v>2</v>
      </c>
      <c r="AE42" s="156" t="inlineStr">
        <is>
          <t>WB OUTLET LERMA: 2</t>
        </is>
      </c>
      <c r="AF42" s="51" t="n">
        <v>2</v>
      </c>
      <c r="AG42" s="156" t="inlineStr">
        <is>
          <t>Nuevo – NetSuite con existencia</t>
        </is>
      </c>
      <c r="AH42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42" s="156" t="inlineStr">
        <is>
          <t>No</t>
        </is>
      </c>
      <c r="AJ42" s="156" t="n"/>
      <c r="AK42" s="155" t="inlineStr">
        <is>
          <t>ProductosCatalogoEstandar907.xlsx: fila 22 [N,O,Q,S,U,Y]; G1522_Extraccion_Articulos_NetSuite_2026-09-30.xlsx: fila 56559 [P,V,Y,T] | Shopify WB: producto 8569957286073 / variante 47621317722297</t>
        </is>
      </c>
      <c r="AL42" s="58" t="n">
        <v>336</v>
      </c>
      <c r="AM42" s="58" t="n">
        <v>899</v>
      </c>
      <c r="AN42" s="155" t="inlineStr">
        <is>
          <t>Shopify Western Brothers</t>
        </is>
      </c>
      <c r="AO42" s="59" t="n"/>
      <c r="AP42" s="59" t="n">
        <v>2</v>
      </c>
      <c r="AQ42" s="59" t="n"/>
      <c r="AR42" s="155" t="inlineStr">
        <is>
          <t>Shopify Western Brothers › Western Brothers Outlet Lerma: 2</t>
        </is>
      </c>
    </row>
    <row r="43">
      <c r="A43" s="50" t="inlineStr">
        <is>
          <t>7506499526494</t>
        </is>
      </c>
      <c r="B43" s="51" t="inlineStr">
        <is>
          <t>108401</t>
        </is>
      </c>
      <c r="C43" s="156" t="inlineStr">
        <is>
          <t>Multimarca</t>
        </is>
      </c>
      <c r="D43" s="156" t="inlineStr">
        <is>
          <t>A-CM126</t>
        </is>
      </c>
      <c r="E43" s="156" t="inlineStr">
        <is>
          <t>A-CM126-XL</t>
        </is>
      </c>
      <c r="F43" s="156" t="inlineStr">
        <is>
          <t>XL</t>
        </is>
      </c>
      <c r="G43" s="156" t="inlineStr">
        <is>
          <t>XL</t>
        </is>
      </c>
      <c r="H43" s="156" t="inlineStr">
        <is>
          <t>Denver</t>
        </is>
      </c>
      <c r="I43" s="156" t="inlineStr">
        <is>
          <t>Camisa Denver dama flores amarillo</t>
        </is>
      </c>
      <c r="J43" s="156" t="inlineStr">
        <is>
          <t>Ropa</t>
        </is>
      </c>
      <c r="K43" s="156" t="inlineStr">
        <is>
          <t>Camisas</t>
        </is>
      </c>
      <c r="L43" s="156" t="inlineStr">
        <is>
          <t>Mujer</t>
        </is>
      </c>
      <c r="M43" s="156" t="inlineStr">
        <is>
          <t>Denver</t>
        </is>
      </c>
      <c r="N43" s="156" t="inlineStr">
        <is>
          <t>SS26</t>
        </is>
      </c>
      <c r="O43" s="156" t="inlineStr">
        <is>
          <t>Seasonal</t>
        </is>
      </c>
      <c r="P43" s="156" t="inlineStr">
        <is>
          <t>Amarillo</t>
        </is>
      </c>
      <c r="Q43" s="156" t="inlineStr">
        <is>
          <t>Regular</t>
        </is>
      </c>
      <c r="R43" s="156" t="n"/>
      <c r="S43" s="156" t="inlineStr">
        <is>
          <t>100% Rayón</t>
        </is>
      </c>
      <c r="T43" s="156" t="inlineStr">
        <is>
          <t>Camisa Denver dama flores amarillo Regular</t>
        </is>
      </c>
      <c r="U43" s="156" t="inlineStr">
        <is>
          <t>México</t>
        </is>
      </c>
      <c r="V43" s="156" t="inlineStr">
        <is>
          <t>PZS</t>
        </is>
      </c>
      <c r="W43" s="51" t="inlineStr">
        <is>
          <t>53101604</t>
        </is>
      </c>
      <c r="X43" s="156" t="n"/>
      <c r="Y43" s="54" t="n">
        <v>336</v>
      </c>
      <c r="Z43" s="54" t="n">
        <v>775</v>
      </c>
      <c r="AA43" s="55">
        <f>IF(AND(A43="", B43="", E43=""), "", IF(AB43="", "Válido", IF((LEN(AB43)-LEN(SUBSTITUTE(AB43,"; ","")))/2+1&gt;(LEN(AB43)-LEN(SUBSTITUTE(AB43,"[Aviso]","")))/7, "Con Incidencias", "Válido")))</f>
        <v/>
      </c>
      <c r="AB43" s="56">
        <f>IF(AND(A43="", B43="", E43=""), "", TEXTJOIN("; ", TRUE, IF(OR(TRIM(A43&amp;"")="", ISNUMBER(SEARCH("FALTA", A43))), "UPC faltante/inválido", ""), IF(AND(A43&lt;&gt;"", IFERROR(_xlfn.XMATCH(A43,$A$2:$A$204,0,1)&lt;&gt;_xlfn.XMATCH(A43,$A$2:$A$204,0,-1),FALSE)), "Código de barras duplicado", ""), IF(AND(E43&lt;&gt;"", COUNTIF($E$2:$E$204, E43)&gt;1), "SKU duplicado", ""), IF(OR(J43="", J43=""), "[Aviso] División no capturada ()", IF(ISNA(MATCH(J43, Criterios!$A$123:$A$126, 0)), "División no válida", "")), IF(OR(K43="", K43=""), "[Aviso] Categoría no capturada ()", IF(ISNA(MATCH(K43, Criterios!$A$81:$A$120, 0)), "Categoría no válida", IF(AND(J43&lt;&gt;"", J43&lt;&gt;"", J43&lt;&gt;VLOOKUP(K43, Criterios!$A$81:$B$120, 2, FALSE)), "División no coincide con Categoría", ""))), IF(OR(L43="", L43=""), "[Aviso] Género no capturado ()", IF(ISNA(MATCH(L43, Criterios!$B$123:$B$127, 0)), "Género no válido", "")), IF(OR(N43="", N43=""), "[Aviso] Temporada no capturada ()", IF(ISNA(MATCH(N43, Criterios!$C$123:$C$128, 0)), "Temporada no válida", "")), IF(OR(O43="", O43=""), "[Aviso] Ciclo de vida no capturado ()", IF(ISNA(MATCH(O43, Criterios!$D$123:$D$124, 0)), "Ciclo de vida no válido", ""))))</f>
        <v/>
      </c>
      <c r="AC43" s="56" t="n"/>
      <c r="AD43" s="51" t="n">
        <v>3</v>
      </c>
      <c r="AE43" s="156" t="inlineStr">
        <is>
          <t>WB OUTLET LERMA: 3</t>
        </is>
      </c>
      <c r="AF43" s="51" t="n">
        <v>3</v>
      </c>
      <c r="AG43" s="156" t="inlineStr">
        <is>
          <t>Nuevo – NetSuite con existencia</t>
        </is>
      </c>
      <c r="AH43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43" s="156" t="inlineStr">
        <is>
          <t>No</t>
        </is>
      </c>
      <c r="AJ43" s="156" t="n"/>
      <c r="AK43" s="155" t="inlineStr">
        <is>
          <t>ProductosCatalogoEstandar907.xlsx: fila 23 [N,O,Q,S,U,Y]; G1522_Extraccion_Articulos_NetSuite_2026-09-30.xlsx: fila 56560 [P,V,Y,T] | Shopify WB: producto 8569957286073 / variante 47621317755065</t>
        </is>
      </c>
      <c r="AL43" s="58" t="n">
        <v>336</v>
      </c>
      <c r="AM43" s="58" t="n">
        <v>899</v>
      </c>
      <c r="AN43" s="155" t="inlineStr">
        <is>
          <t>Shopify Western Brothers</t>
        </is>
      </c>
      <c r="AO43" s="59" t="n"/>
      <c r="AP43" s="59" t="n">
        <v>3</v>
      </c>
      <c r="AQ43" s="59" t="n"/>
      <c r="AR43" s="155" t="inlineStr">
        <is>
          <t>Shopify Western Brothers › Western Brothers Outlet Lerma: 3</t>
        </is>
      </c>
    </row>
    <row r="44">
      <c r="A44" s="50" t="inlineStr">
        <is>
          <t>7506499529587</t>
        </is>
      </c>
      <c r="B44" s="51" t="inlineStr">
        <is>
          <t>108402</t>
        </is>
      </c>
      <c r="C44" s="156" t="inlineStr">
        <is>
          <t>Multimarca</t>
        </is>
      </c>
      <c r="D44" s="156" t="inlineStr">
        <is>
          <t>A-CM128</t>
        </is>
      </c>
      <c r="E44" s="156" t="inlineStr">
        <is>
          <t>A-CM128-XS</t>
        </is>
      </c>
      <c r="F44" s="156" t="inlineStr">
        <is>
          <t>XS</t>
        </is>
      </c>
      <c r="G44" s="156" t="inlineStr">
        <is>
          <t>XS</t>
        </is>
      </c>
      <c r="H44" s="156" t="inlineStr">
        <is>
          <t>Denver</t>
        </is>
      </c>
      <c r="I44" s="156" t="inlineStr">
        <is>
          <t>Camisa Denver de dama verde</t>
        </is>
      </c>
      <c r="J44" s="156" t="inlineStr">
        <is>
          <t>Ropa</t>
        </is>
      </c>
      <c r="K44" s="156" t="inlineStr">
        <is>
          <t>Camisas</t>
        </is>
      </c>
      <c r="L44" s="156" t="inlineStr">
        <is>
          <t>Mujer</t>
        </is>
      </c>
      <c r="M44" s="156" t="inlineStr">
        <is>
          <t>Denver</t>
        </is>
      </c>
      <c r="N44" s="156" t="inlineStr">
        <is>
          <t>SS26</t>
        </is>
      </c>
      <c r="O44" s="156" t="inlineStr">
        <is>
          <t>Seasonal</t>
        </is>
      </c>
      <c r="P44" s="156" t="inlineStr">
        <is>
          <t>Verde</t>
        </is>
      </c>
      <c r="Q44" s="156" t="inlineStr">
        <is>
          <t>Regular</t>
        </is>
      </c>
      <c r="R44" s="156" t="n"/>
      <c r="S44" s="156" t="inlineStr">
        <is>
          <t>100% Rayón</t>
        </is>
      </c>
      <c r="T44" s="156" t="inlineStr">
        <is>
          <t>Camisa Denver de dama verde Regular</t>
        </is>
      </c>
      <c r="U44" s="156" t="inlineStr">
        <is>
          <t>México</t>
        </is>
      </c>
      <c r="V44" s="156" t="inlineStr">
        <is>
          <t>PZS</t>
        </is>
      </c>
      <c r="W44" s="51" t="inlineStr">
        <is>
          <t>53101604</t>
        </is>
      </c>
      <c r="X44" s="156" t="n"/>
      <c r="Y44" s="54" t="n">
        <v>336</v>
      </c>
      <c r="Z44" s="54" t="n">
        <v>775</v>
      </c>
      <c r="AA44" s="55">
        <f>IF(AND(A44="", B44="", E44=""), "", IF(AB44="", "Válido", IF((LEN(AB44)-LEN(SUBSTITUTE(AB44,"; ","")))/2+1&gt;(LEN(AB44)-LEN(SUBSTITUTE(AB44,"[Aviso]","")))/7, "Con Incidencias", "Válido")))</f>
        <v/>
      </c>
      <c r="AB44" s="56">
        <f>IF(AND(A44="", B44="", E44=""), "", TEXTJOIN("; ", TRUE, IF(OR(TRIM(A44&amp;"")="", ISNUMBER(SEARCH("FALTA", A44))), "UPC faltante/inválido", ""), IF(AND(A44&lt;&gt;"", IFERROR(_xlfn.XMATCH(A44,$A$2:$A$204,0,1)&lt;&gt;_xlfn.XMATCH(A44,$A$2:$A$204,0,-1),FALSE)), "Código de barras duplicado", ""), IF(AND(E44&lt;&gt;"", COUNTIF($E$2:$E$204, E44)&gt;1), "SKU duplicado", ""), IF(OR(J44="", J44=""), "[Aviso] División no capturada ()", IF(ISNA(MATCH(J44, Criterios!$A$123:$A$126, 0)), "División no válida", "")), IF(OR(K44="", K44=""), "[Aviso] Categoría no capturada ()", IF(ISNA(MATCH(K44, Criterios!$A$81:$A$120, 0)), "Categoría no válida", IF(AND(J44&lt;&gt;"", J44&lt;&gt;"", J44&lt;&gt;VLOOKUP(K44, Criterios!$A$81:$B$120, 2, FALSE)), "División no coincide con Categoría", ""))), IF(OR(L44="", L44=""), "[Aviso] Género no capturado ()", IF(ISNA(MATCH(L44, Criterios!$B$123:$B$127, 0)), "Género no válido", "")), IF(OR(N44="", N44=""), "[Aviso] Temporada no capturada ()", IF(ISNA(MATCH(N44, Criterios!$C$123:$C$128, 0)), "Temporada no válida", "")), IF(OR(O44="", O44=""), "[Aviso] Ciclo de vida no capturado ()", IF(ISNA(MATCH(O44, Criterios!$D$123:$D$124, 0)), "Ciclo de vida no válido", ""))))</f>
        <v/>
      </c>
      <c r="AC44" s="56" t="n"/>
      <c r="AD44" s="51" t="n">
        <v>0</v>
      </c>
      <c r="AE44" s="156" t="n"/>
      <c r="AF44" s="51" t="n">
        <v>0</v>
      </c>
      <c r="AG44" s="156" t="inlineStr">
        <is>
          <t>Nuevo – NetSuite sin existencia</t>
        </is>
      </c>
      <c r="AH44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44" s="156" t="inlineStr">
        <is>
          <t>No</t>
        </is>
      </c>
      <c r="AJ44" s="156" t="n"/>
      <c r="AK44" s="155" t="inlineStr">
        <is>
          <t>ProductosCatalogoEstandar907.xlsx: fila 24 [N,O,Q,S,U,Y]; G1522_Extraccion_Articulos_NetSuite_2026-09-30.xlsx: fila 56561 [P,V,Y,T] | Shopify WB: producto 8569957417145 / variante 47621317984441</t>
        </is>
      </c>
      <c r="AL44" s="58" t="n">
        <v>336</v>
      </c>
      <c r="AM44" s="58" t="n">
        <v>899</v>
      </c>
      <c r="AN44" s="155" t="inlineStr">
        <is>
          <t>Shopify Western Brothers</t>
        </is>
      </c>
      <c r="AO44" s="59" t="n"/>
      <c r="AP44" s="59" t="n">
        <v>0</v>
      </c>
      <c r="AQ44" s="59" t="n"/>
      <c r="AR44" s="155" t="n"/>
    </row>
    <row r="45">
      <c r="A45" s="50" t="inlineStr">
        <is>
          <t>7506499529594</t>
        </is>
      </c>
      <c r="B45" s="51" t="inlineStr">
        <is>
          <t>108403</t>
        </is>
      </c>
      <c r="C45" s="156" t="inlineStr">
        <is>
          <t>Multimarca</t>
        </is>
      </c>
      <c r="D45" s="156" t="inlineStr">
        <is>
          <t>A-CM128</t>
        </is>
      </c>
      <c r="E45" s="156" t="inlineStr">
        <is>
          <t>A-CM128-S</t>
        </is>
      </c>
      <c r="F45" s="156" t="inlineStr">
        <is>
          <t>S</t>
        </is>
      </c>
      <c r="G45" s="156" t="inlineStr">
        <is>
          <t>S</t>
        </is>
      </c>
      <c r="H45" s="156" t="inlineStr">
        <is>
          <t>Denver</t>
        </is>
      </c>
      <c r="I45" s="156" t="inlineStr">
        <is>
          <t>Camisa Denver de dama verde</t>
        </is>
      </c>
      <c r="J45" s="156" t="inlineStr">
        <is>
          <t>Ropa</t>
        </is>
      </c>
      <c r="K45" s="156" t="inlineStr">
        <is>
          <t>Camisas</t>
        </is>
      </c>
      <c r="L45" s="156" t="inlineStr">
        <is>
          <t>Mujer</t>
        </is>
      </c>
      <c r="M45" s="156" t="inlineStr">
        <is>
          <t>Denver</t>
        </is>
      </c>
      <c r="N45" s="156" t="inlineStr">
        <is>
          <t>SS26</t>
        </is>
      </c>
      <c r="O45" s="156" t="inlineStr">
        <is>
          <t>Seasonal</t>
        </is>
      </c>
      <c r="P45" s="156" t="inlineStr">
        <is>
          <t>Verde</t>
        </is>
      </c>
      <c r="Q45" s="156" t="inlineStr">
        <is>
          <t>Regular</t>
        </is>
      </c>
      <c r="R45" s="156" t="n"/>
      <c r="S45" s="156" t="inlineStr">
        <is>
          <t>100% Rayón</t>
        </is>
      </c>
      <c r="T45" s="156" t="inlineStr">
        <is>
          <t>Camisa Denver de dama verde Regular</t>
        </is>
      </c>
      <c r="U45" s="156" t="inlineStr">
        <is>
          <t>México</t>
        </is>
      </c>
      <c r="V45" s="156" t="inlineStr">
        <is>
          <t>PZS</t>
        </is>
      </c>
      <c r="W45" s="51" t="inlineStr">
        <is>
          <t>53101604</t>
        </is>
      </c>
      <c r="X45" s="156" t="n"/>
      <c r="Y45" s="54" t="n">
        <v>336</v>
      </c>
      <c r="Z45" s="54" t="n">
        <v>775</v>
      </c>
      <c r="AA45" s="55">
        <f>IF(AND(A45="", B45="", E45=""), "", IF(AB45="", "Válido", IF((LEN(AB45)-LEN(SUBSTITUTE(AB45,"; ","")))/2+1&gt;(LEN(AB45)-LEN(SUBSTITUTE(AB45,"[Aviso]","")))/7, "Con Incidencias", "Válido")))</f>
        <v/>
      </c>
      <c r="AB45" s="56">
        <f>IF(AND(A45="", B45="", E45=""), "", TEXTJOIN("; ", TRUE, IF(OR(TRIM(A45&amp;"")="", ISNUMBER(SEARCH("FALTA", A45))), "UPC faltante/inválido", ""), IF(AND(A45&lt;&gt;"", IFERROR(_xlfn.XMATCH(A45,$A$2:$A$204,0,1)&lt;&gt;_xlfn.XMATCH(A45,$A$2:$A$204,0,-1),FALSE)), "Código de barras duplicado", ""), IF(AND(E45&lt;&gt;"", COUNTIF($E$2:$E$204, E45)&gt;1), "SKU duplicado", ""), IF(OR(J45="", J45=""), "[Aviso] División no capturada ()", IF(ISNA(MATCH(J45, Criterios!$A$123:$A$126, 0)), "División no válida", "")), IF(OR(K45="", K45=""), "[Aviso] Categoría no capturada ()", IF(ISNA(MATCH(K45, Criterios!$A$81:$A$120, 0)), "Categoría no válida", IF(AND(J45&lt;&gt;"", J45&lt;&gt;"", J45&lt;&gt;VLOOKUP(K45, Criterios!$A$81:$B$120, 2, FALSE)), "División no coincide con Categoría", ""))), IF(OR(L45="", L45=""), "[Aviso] Género no capturado ()", IF(ISNA(MATCH(L45, Criterios!$B$123:$B$127, 0)), "Género no válido", "")), IF(OR(N45="", N45=""), "[Aviso] Temporada no capturada ()", IF(ISNA(MATCH(N45, Criterios!$C$123:$C$128, 0)), "Temporada no válida", "")), IF(OR(O45="", O45=""), "[Aviso] Ciclo de vida no capturado ()", IF(ISNA(MATCH(O45, Criterios!$D$123:$D$124, 0)), "Ciclo de vida no válido", ""))))</f>
        <v/>
      </c>
      <c r="AC45" s="56" t="n"/>
      <c r="AD45" s="51" t="n">
        <v>0</v>
      </c>
      <c r="AE45" s="156" t="n"/>
      <c r="AF45" s="51" t="n">
        <v>0</v>
      </c>
      <c r="AG45" s="156" t="inlineStr">
        <is>
          <t>Nuevo – NetSuite sin existencia</t>
        </is>
      </c>
      <c r="AH45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45" s="156" t="inlineStr">
        <is>
          <t>No</t>
        </is>
      </c>
      <c r="AJ45" s="156" t="n"/>
      <c r="AK45" s="155" t="inlineStr">
        <is>
          <t>ProductosCatalogoEstandar907.xlsx: fila 25 [N,O,Q,S,U,Y]; G1522_Extraccion_Articulos_NetSuite_2026-09-30.xlsx: fila 56562 [P,V,Y,T] | Shopify WB: producto 8569957417145 / variante 47621318017209</t>
        </is>
      </c>
      <c r="AL45" s="58" t="n">
        <v>336</v>
      </c>
      <c r="AM45" s="58" t="n">
        <v>899</v>
      </c>
      <c r="AN45" s="155" t="inlineStr">
        <is>
          <t>Shopify Western Brothers</t>
        </is>
      </c>
      <c r="AO45" s="59" t="n"/>
      <c r="AP45" s="59" t="n">
        <v>0</v>
      </c>
      <c r="AQ45" s="59" t="n"/>
      <c r="AR45" s="155" t="n"/>
    </row>
    <row r="46">
      <c r="A46" s="50" t="inlineStr">
        <is>
          <t>7506499529617</t>
        </is>
      </c>
      <c r="B46" s="51" t="inlineStr">
        <is>
          <t>108404</t>
        </is>
      </c>
      <c r="C46" s="156" t="inlineStr">
        <is>
          <t>Multimarca</t>
        </is>
      </c>
      <c r="D46" s="156" t="inlineStr">
        <is>
          <t>A-CM128</t>
        </is>
      </c>
      <c r="E46" s="156" t="inlineStr">
        <is>
          <t>A-CM128-L</t>
        </is>
      </c>
      <c r="F46" s="156" t="inlineStr">
        <is>
          <t>L</t>
        </is>
      </c>
      <c r="G46" s="156" t="inlineStr">
        <is>
          <t>L</t>
        </is>
      </c>
      <c r="H46" s="156" t="inlineStr">
        <is>
          <t>Denver</t>
        </is>
      </c>
      <c r="I46" s="156" t="inlineStr">
        <is>
          <t>Camisa Denver de dama verde</t>
        </is>
      </c>
      <c r="J46" s="156" t="inlineStr">
        <is>
          <t>Ropa</t>
        </is>
      </c>
      <c r="K46" s="156" t="inlineStr">
        <is>
          <t>Camisas</t>
        </is>
      </c>
      <c r="L46" s="156" t="inlineStr">
        <is>
          <t>Mujer</t>
        </is>
      </c>
      <c r="M46" s="156" t="inlineStr">
        <is>
          <t>Denver</t>
        </is>
      </c>
      <c r="N46" s="156" t="inlineStr">
        <is>
          <t>SS26</t>
        </is>
      </c>
      <c r="O46" s="156" t="inlineStr">
        <is>
          <t>Seasonal</t>
        </is>
      </c>
      <c r="P46" s="156" t="inlineStr">
        <is>
          <t>Verde</t>
        </is>
      </c>
      <c r="Q46" s="156" t="inlineStr">
        <is>
          <t>Regular</t>
        </is>
      </c>
      <c r="R46" s="156" t="n"/>
      <c r="S46" s="156" t="inlineStr">
        <is>
          <t>100% Rayón</t>
        </is>
      </c>
      <c r="T46" s="156" t="inlineStr">
        <is>
          <t>Camisa Denver de dama verde Regular</t>
        </is>
      </c>
      <c r="U46" s="156" t="inlineStr">
        <is>
          <t>México</t>
        </is>
      </c>
      <c r="V46" s="156" t="inlineStr">
        <is>
          <t>PZS</t>
        </is>
      </c>
      <c r="W46" s="51" t="inlineStr">
        <is>
          <t>53101604</t>
        </is>
      </c>
      <c r="X46" s="156" t="n"/>
      <c r="Y46" s="54" t="n">
        <v>336</v>
      </c>
      <c r="Z46" s="54" t="n">
        <v>775</v>
      </c>
      <c r="AA46" s="55">
        <f>IF(AND(A46="", B46="", E46=""), "", IF(AB46="", "Válido", IF((LEN(AB46)-LEN(SUBSTITUTE(AB46,"; ","")))/2+1&gt;(LEN(AB46)-LEN(SUBSTITUTE(AB46,"[Aviso]","")))/7, "Con Incidencias", "Válido")))</f>
        <v/>
      </c>
      <c r="AB46" s="56">
        <f>IF(AND(A46="", B46="", E46=""), "", TEXTJOIN("; ", TRUE, IF(OR(TRIM(A46&amp;"")="", ISNUMBER(SEARCH("FALTA", A46))), "UPC faltante/inválido", ""), IF(AND(A46&lt;&gt;"", IFERROR(_xlfn.XMATCH(A46,$A$2:$A$204,0,1)&lt;&gt;_xlfn.XMATCH(A46,$A$2:$A$204,0,-1),FALSE)), "Código de barras duplicado", ""), IF(AND(E46&lt;&gt;"", COUNTIF($E$2:$E$204, E46)&gt;1), "SKU duplicado", ""), IF(OR(J46="", J46=""), "[Aviso] División no capturada ()", IF(ISNA(MATCH(J46, Criterios!$A$123:$A$126, 0)), "División no válida", "")), IF(OR(K46="", K46=""), "[Aviso] Categoría no capturada ()", IF(ISNA(MATCH(K46, Criterios!$A$81:$A$120, 0)), "Categoría no válida", IF(AND(J46&lt;&gt;"", J46&lt;&gt;"", J46&lt;&gt;VLOOKUP(K46, Criterios!$A$81:$B$120, 2, FALSE)), "División no coincide con Categoría", ""))), IF(OR(L46="", L46=""), "[Aviso] Género no capturado ()", IF(ISNA(MATCH(L46, Criterios!$B$123:$B$127, 0)), "Género no válido", "")), IF(OR(N46="", N46=""), "[Aviso] Temporada no capturada ()", IF(ISNA(MATCH(N46, Criterios!$C$123:$C$128, 0)), "Temporada no válida", "")), IF(OR(O46="", O46=""), "[Aviso] Ciclo de vida no capturado ()", IF(ISNA(MATCH(O46, Criterios!$D$123:$D$124, 0)), "Ciclo de vida no válido", ""))))</f>
        <v/>
      </c>
      <c r="AC46" s="56" t="n"/>
      <c r="AD46" s="51" t="n">
        <v>4</v>
      </c>
      <c r="AE46" s="156" t="inlineStr">
        <is>
          <t>WB OUTLET LERMA: 4</t>
        </is>
      </c>
      <c r="AF46" s="51" t="n">
        <v>4</v>
      </c>
      <c r="AG46" s="156" t="inlineStr">
        <is>
          <t>Nuevo – NetSuite con existencia</t>
        </is>
      </c>
      <c r="AH46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46" s="156" t="inlineStr">
        <is>
          <t>No</t>
        </is>
      </c>
      <c r="AJ46" s="156" t="n"/>
      <c r="AK46" s="155" t="inlineStr">
        <is>
          <t>ProductosCatalogoEstandar907.xlsx: fila 26 [N,O,Q,S,U,Y]; G1522_Extraccion_Articulos_NetSuite_2026-09-30.xlsx: fila 56563 [P,V,Y,T] | Shopify WB: producto 8569957417145 / variante 47621318049977</t>
        </is>
      </c>
      <c r="AL46" s="58" t="n">
        <v>336</v>
      </c>
      <c r="AM46" s="58" t="n">
        <v>899</v>
      </c>
      <c r="AN46" s="155" t="inlineStr">
        <is>
          <t>Shopify Western Brothers</t>
        </is>
      </c>
      <c r="AO46" s="59" t="n"/>
      <c r="AP46" s="59" t="n">
        <v>4</v>
      </c>
      <c r="AQ46" s="59" t="n"/>
      <c r="AR46" s="155" t="inlineStr">
        <is>
          <t>Shopify Western Brothers › Western Brothers Outlet Lerma: 4</t>
        </is>
      </c>
    </row>
    <row r="47">
      <c r="A47" s="50" t="inlineStr">
        <is>
          <t>7506499529785</t>
        </is>
      </c>
      <c r="B47" s="51" t="inlineStr">
        <is>
          <t>108405</t>
        </is>
      </c>
      <c r="C47" s="156" t="inlineStr">
        <is>
          <t>Multimarca</t>
        </is>
      </c>
      <c r="D47" s="156" t="inlineStr">
        <is>
          <t>A-CM132</t>
        </is>
      </c>
      <c r="E47" s="156" t="inlineStr">
        <is>
          <t>A-CM132-XS</t>
        </is>
      </c>
      <c r="F47" s="156" t="inlineStr">
        <is>
          <t>XS</t>
        </is>
      </c>
      <c r="G47" s="156" t="inlineStr">
        <is>
          <t>XS</t>
        </is>
      </c>
      <c r="H47" s="156" t="inlineStr">
        <is>
          <t>Denver</t>
        </is>
      </c>
      <c r="I47" s="156" t="inlineStr">
        <is>
          <t>Camisa Denver dama estampado bisnaga naranja</t>
        </is>
      </c>
      <c r="J47" s="156" t="inlineStr">
        <is>
          <t>Ropa</t>
        </is>
      </c>
      <c r="K47" s="156" t="inlineStr">
        <is>
          <t>Camisas</t>
        </is>
      </c>
      <c r="L47" s="156" t="inlineStr">
        <is>
          <t>Mujer</t>
        </is>
      </c>
      <c r="M47" s="156" t="inlineStr">
        <is>
          <t>Denver</t>
        </is>
      </c>
      <c r="N47" s="156" t="inlineStr">
        <is>
          <t>SS26</t>
        </is>
      </c>
      <c r="O47" s="156" t="inlineStr">
        <is>
          <t>Seasonal</t>
        </is>
      </c>
      <c r="P47" s="156" t="inlineStr">
        <is>
          <t>Naranja</t>
        </is>
      </c>
      <c r="Q47" s="156" t="inlineStr">
        <is>
          <t>Regular</t>
        </is>
      </c>
      <c r="R47" s="156" t="n"/>
      <c r="S47" s="156" t="inlineStr">
        <is>
          <t>100% Rayón</t>
        </is>
      </c>
      <c r="T47" s="156" t="inlineStr">
        <is>
          <t>Camisa Denver dama estampado bisnaga naranja Regular</t>
        </is>
      </c>
      <c r="U47" s="156" t="inlineStr">
        <is>
          <t>México</t>
        </is>
      </c>
      <c r="V47" s="156" t="inlineStr">
        <is>
          <t>PZS</t>
        </is>
      </c>
      <c r="W47" s="51" t="inlineStr">
        <is>
          <t>53101604</t>
        </is>
      </c>
      <c r="X47" s="156" t="n"/>
      <c r="Y47" s="54" t="n">
        <v>336</v>
      </c>
      <c r="Z47" s="54" t="n">
        <v>775</v>
      </c>
      <c r="AA47" s="55">
        <f>IF(AND(A47="", B47="", E47=""), "", IF(AB47="", "Válido", IF((LEN(AB47)-LEN(SUBSTITUTE(AB47,"; ","")))/2+1&gt;(LEN(AB47)-LEN(SUBSTITUTE(AB47,"[Aviso]","")))/7, "Con Incidencias", "Válido")))</f>
        <v/>
      </c>
      <c r="AB47" s="56">
        <f>IF(AND(A47="", B47="", E47=""), "", TEXTJOIN("; ", TRUE, IF(OR(TRIM(A47&amp;"")="", ISNUMBER(SEARCH("FALTA", A47))), "UPC faltante/inválido", ""), IF(AND(A47&lt;&gt;"", IFERROR(_xlfn.XMATCH(A47,$A$2:$A$204,0,1)&lt;&gt;_xlfn.XMATCH(A47,$A$2:$A$204,0,-1),FALSE)), "Código de barras duplicado", ""), IF(AND(E47&lt;&gt;"", COUNTIF($E$2:$E$204, E47)&gt;1), "SKU duplicado", ""), IF(OR(J47="", J47=""), "[Aviso] División no capturada ()", IF(ISNA(MATCH(J47, Criterios!$A$123:$A$126, 0)), "División no válida", "")), IF(OR(K47="", K47=""), "[Aviso] Categoría no capturada ()", IF(ISNA(MATCH(K47, Criterios!$A$81:$A$120, 0)), "Categoría no válida", IF(AND(J47&lt;&gt;"", J47&lt;&gt;"", J47&lt;&gt;VLOOKUP(K47, Criterios!$A$81:$B$120, 2, FALSE)), "División no coincide con Categoría", ""))), IF(OR(L47="", L47=""), "[Aviso] Género no capturado ()", IF(ISNA(MATCH(L47, Criterios!$B$123:$B$127, 0)), "Género no válido", "")), IF(OR(N47="", N47=""), "[Aviso] Temporada no capturada ()", IF(ISNA(MATCH(N47, Criterios!$C$123:$C$128, 0)), "Temporada no válida", "")), IF(OR(O47="", O47=""), "[Aviso] Ciclo de vida no capturado ()", IF(ISNA(MATCH(O47, Criterios!$D$123:$D$124, 0)), "Ciclo de vida no válido", ""))))</f>
        <v/>
      </c>
      <c r="AC47" s="56" t="n"/>
      <c r="AD47" s="51" t="n">
        <v>3</v>
      </c>
      <c r="AE47" s="156" t="inlineStr">
        <is>
          <t>WB OUTLET LERMA: 3</t>
        </is>
      </c>
      <c r="AF47" s="51" t="n">
        <v>3</v>
      </c>
      <c r="AG47" s="156" t="inlineStr">
        <is>
          <t>Nuevo – NetSuite con existencia</t>
        </is>
      </c>
      <c r="AH47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47" s="156" t="inlineStr">
        <is>
          <t>No</t>
        </is>
      </c>
      <c r="AJ47" s="156" t="n"/>
      <c r="AK47" s="155" t="inlineStr">
        <is>
          <t>ProductosCatalogoEstandar907.xlsx: fila 27 [N,O,Q,S,U,Y]; G1522_Extraccion_Articulos_NetSuite_2026-09-30.xlsx: fila 56564 [P,V,Y,T] | Shopify WB: producto 8569957580985 / variante 47621318279353</t>
        </is>
      </c>
      <c r="AL47" s="58" t="n">
        <v>336</v>
      </c>
      <c r="AM47" s="58" t="n">
        <v>899</v>
      </c>
      <c r="AN47" s="155" t="inlineStr">
        <is>
          <t>Shopify Western Brothers</t>
        </is>
      </c>
      <c r="AO47" s="59" t="n"/>
      <c r="AP47" s="59" t="n">
        <v>3</v>
      </c>
      <c r="AQ47" s="59" t="n"/>
      <c r="AR47" s="155" t="inlineStr">
        <is>
          <t>Shopify Western Brothers › Western Brothers Outlet Lerma: 3</t>
        </is>
      </c>
    </row>
    <row r="48">
      <c r="A48" s="50" t="inlineStr">
        <is>
          <t>7506499529792</t>
        </is>
      </c>
      <c r="B48" s="51" t="inlineStr">
        <is>
          <t>108406</t>
        </is>
      </c>
      <c r="C48" s="156" t="inlineStr">
        <is>
          <t>Multimarca</t>
        </is>
      </c>
      <c r="D48" s="156" t="inlineStr">
        <is>
          <t>A-CM132</t>
        </is>
      </c>
      <c r="E48" s="156" t="inlineStr">
        <is>
          <t>A-CM132-S</t>
        </is>
      </c>
      <c r="F48" s="156" t="inlineStr">
        <is>
          <t>S</t>
        </is>
      </c>
      <c r="G48" s="156" t="inlineStr">
        <is>
          <t>S</t>
        </is>
      </c>
      <c r="H48" s="156" t="inlineStr">
        <is>
          <t>Denver</t>
        </is>
      </c>
      <c r="I48" s="156" t="inlineStr">
        <is>
          <t>Camisa Denver dama estampado bisnaga naranja</t>
        </is>
      </c>
      <c r="J48" s="156" t="inlineStr">
        <is>
          <t>Ropa</t>
        </is>
      </c>
      <c r="K48" s="156" t="inlineStr">
        <is>
          <t>Camisas</t>
        </is>
      </c>
      <c r="L48" s="156" t="inlineStr">
        <is>
          <t>Mujer</t>
        </is>
      </c>
      <c r="M48" s="156" t="inlineStr">
        <is>
          <t>Denver</t>
        </is>
      </c>
      <c r="N48" s="156" t="inlineStr">
        <is>
          <t>SS26</t>
        </is>
      </c>
      <c r="O48" s="156" t="inlineStr">
        <is>
          <t>Seasonal</t>
        </is>
      </c>
      <c r="P48" s="156" t="inlineStr">
        <is>
          <t>Naranja</t>
        </is>
      </c>
      <c r="Q48" s="156" t="inlineStr">
        <is>
          <t>Regular</t>
        </is>
      </c>
      <c r="R48" s="156" t="n"/>
      <c r="S48" s="156" t="inlineStr">
        <is>
          <t>100% Rayón</t>
        </is>
      </c>
      <c r="T48" s="156" t="inlineStr">
        <is>
          <t>Camisa Denver dama estampado bisnaga naranja Regular</t>
        </is>
      </c>
      <c r="U48" s="156" t="inlineStr">
        <is>
          <t>México</t>
        </is>
      </c>
      <c r="V48" s="156" t="inlineStr">
        <is>
          <t>PZS</t>
        </is>
      </c>
      <c r="W48" s="51" t="inlineStr">
        <is>
          <t>53101604</t>
        </is>
      </c>
      <c r="X48" s="156" t="n"/>
      <c r="Y48" s="54" t="n">
        <v>336</v>
      </c>
      <c r="Z48" s="54" t="n">
        <v>775</v>
      </c>
      <c r="AA48" s="55">
        <f>IF(AND(A48="", B48="", E48=""), "", IF(AB48="", "Válido", IF((LEN(AB48)-LEN(SUBSTITUTE(AB48,"; ","")))/2+1&gt;(LEN(AB48)-LEN(SUBSTITUTE(AB48,"[Aviso]","")))/7, "Con Incidencias", "Válido")))</f>
        <v/>
      </c>
      <c r="AB48" s="56">
        <f>IF(AND(A48="", B48="", E48=""), "", TEXTJOIN("; ", TRUE, IF(OR(TRIM(A48&amp;"")="", ISNUMBER(SEARCH("FALTA", A48))), "UPC faltante/inválido", ""), IF(AND(A48&lt;&gt;"", IFERROR(_xlfn.XMATCH(A48,$A$2:$A$204,0,1)&lt;&gt;_xlfn.XMATCH(A48,$A$2:$A$204,0,-1),FALSE)), "Código de barras duplicado", ""), IF(AND(E48&lt;&gt;"", COUNTIF($E$2:$E$204, E48)&gt;1), "SKU duplicado", ""), IF(OR(J48="", J48=""), "[Aviso] División no capturada ()", IF(ISNA(MATCH(J48, Criterios!$A$123:$A$126, 0)), "División no válida", "")), IF(OR(K48="", K48=""), "[Aviso] Categoría no capturada ()", IF(ISNA(MATCH(K48, Criterios!$A$81:$A$120, 0)), "Categoría no válida", IF(AND(J48&lt;&gt;"", J48&lt;&gt;"", J48&lt;&gt;VLOOKUP(K48, Criterios!$A$81:$B$120, 2, FALSE)), "División no coincide con Categoría", ""))), IF(OR(L48="", L48=""), "[Aviso] Género no capturado ()", IF(ISNA(MATCH(L48, Criterios!$B$123:$B$127, 0)), "Género no válido", "")), IF(OR(N48="", N48=""), "[Aviso] Temporada no capturada ()", IF(ISNA(MATCH(N48, Criterios!$C$123:$C$128, 0)), "Temporada no válida", "")), IF(OR(O48="", O48=""), "[Aviso] Ciclo de vida no capturado ()", IF(ISNA(MATCH(O48, Criterios!$D$123:$D$124, 0)), "Ciclo de vida no válido", ""))))</f>
        <v/>
      </c>
      <c r="AC48" s="56" t="n"/>
      <c r="AD48" s="51" t="n">
        <v>0</v>
      </c>
      <c r="AE48" s="156" t="n"/>
      <c r="AF48" s="51" t="n">
        <v>0</v>
      </c>
      <c r="AG48" s="156" t="inlineStr">
        <is>
          <t>Nuevo – NetSuite sin existencia</t>
        </is>
      </c>
      <c r="AH48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48" s="156" t="inlineStr">
        <is>
          <t>No</t>
        </is>
      </c>
      <c r="AJ48" s="156" t="n"/>
      <c r="AK48" s="155" t="inlineStr">
        <is>
          <t>ProductosCatalogoEstandar907.xlsx: fila 28 [N,O,Q,S,U,Y]; G1522_Extraccion_Articulos_NetSuite_2026-09-30.xlsx: fila 56565 [P,V,Y,T] | Shopify WB: producto 8569957580985 / variante 47621318312121</t>
        </is>
      </c>
      <c r="AL48" s="58" t="n">
        <v>336</v>
      </c>
      <c r="AM48" s="58" t="n">
        <v>899</v>
      </c>
      <c r="AN48" s="155" t="inlineStr">
        <is>
          <t>Shopify Western Brothers</t>
        </is>
      </c>
      <c r="AO48" s="59" t="n"/>
      <c r="AP48" s="59" t="n">
        <v>0</v>
      </c>
      <c r="AQ48" s="59" t="n"/>
      <c r="AR48" s="155" t="n"/>
    </row>
    <row r="49">
      <c r="A49" s="50" t="inlineStr">
        <is>
          <t>7506499529808</t>
        </is>
      </c>
      <c r="B49" s="51" t="inlineStr">
        <is>
          <t>108407</t>
        </is>
      </c>
      <c r="C49" s="156" t="inlineStr">
        <is>
          <t>Multimarca</t>
        </is>
      </c>
      <c r="D49" s="156" t="inlineStr">
        <is>
          <t>A-CM132</t>
        </is>
      </c>
      <c r="E49" s="156" t="inlineStr">
        <is>
          <t>A-CM132-L</t>
        </is>
      </c>
      <c r="F49" s="156" t="inlineStr">
        <is>
          <t>L</t>
        </is>
      </c>
      <c r="G49" s="156" t="inlineStr">
        <is>
          <t>L</t>
        </is>
      </c>
      <c r="H49" s="156" t="inlineStr">
        <is>
          <t>Denver</t>
        </is>
      </c>
      <c r="I49" s="156" t="inlineStr">
        <is>
          <t>Camisa Denver dama estampado bisnaga naranja</t>
        </is>
      </c>
      <c r="J49" s="156" t="inlineStr">
        <is>
          <t>Ropa</t>
        </is>
      </c>
      <c r="K49" s="156" t="inlineStr">
        <is>
          <t>Camisas</t>
        </is>
      </c>
      <c r="L49" s="156" t="inlineStr">
        <is>
          <t>Mujer</t>
        </is>
      </c>
      <c r="M49" s="156" t="inlineStr">
        <is>
          <t>Denver</t>
        </is>
      </c>
      <c r="N49" s="156" t="inlineStr">
        <is>
          <t>SS26</t>
        </is>
      </c>
      <c r="O49" s="156" t="inlineStr">
        <is>
          <t>Seasonal</t>
        </is>
      </c>
      <c r="P49" s="156" t="inlineStr">
        <is>
          <t>Naranja</t>
        </is>
      </c>
      <c r="Q49" s="156" t="inlineStr">
        <is>
          <t>Regular</t>
        </is>
      </c>
      <c r="R49" s="156" t="n"/>
      <c r="S49" s="156" t="inlineStr">
        <is>
          <t>100% Rayón</t>
        </is>
      </c>
      <c r="T49" s="156" t="inlineStr">
        <is>
          <t>Camisa Denver dama estampado bisnaga naranja Regular</t>
        </is>
      </c>
      <c r="U49" s="156" t="inlineStr">
        <is>
          <t>México</t>
        </is>
      </c>
      <c r="V49" s="156" t="inlineStr">
        <is>
          <t>PZS</t>
        </is>
      </c>
      <c r="W49" s="51" t="inlineStr">
        <is>
          <t>53101604</t>
        </is>
      </c>
      <c r="X49" s="156" t="n"/>
      <c r="Y49" s="54" t="n">
        <v>336</v>
      </c>
      <c r="Z49" s="54" t="n">
        <v>775</v>
      </c>
      <c r="AA49" s="55">
        <f>IF(AND(A49="", B49="", E49=""), "", IF(AB49="", "Válido", IF((LEN(AB49)-LEN(SUBSTITUTE(AB49,"; ","")))/2+1&gt;(LEN(AB49)-LEN(SUBSTITUTE(AB49,"[Aviso]","")))/7, "Con Incidencias", "Válido")))</f>
        <v/>
      </c>
      <c r="AB49" s="56">
        <f>IF(AND(A49="", B49="", E49=""), "", TEXTJOIN("; ", TRUE, IF(OR(TRIM(A49&amp;"")="", ISNUMBER(SEARCH("FALTA", A49))), "UPC faltante/inválido", ""), IF(AND(A49&lt;&gt;"", IFERROR(_xlfn.XMATCH(A49,$A$2:$A$204,0,1)&lt;&gt;_xlfn.XMATCH(A49,$A$2:$A$204,0,-1),FALSE)), "Código de barras duplicado", ""), IF(AND(E49&lt;&gt;"", COUNTIF($E$2:$E$204, E49)&gt;1), "SKU duplicado", ""), IF(OR(J49="", J49=""), "[Aviso] División no capturada ()", IF(ISNA(MATCH(J49, Criterios!$A$123:$A$126, 0)), "División no válida", "")), IF(OR(K49="", K49=""), "[Aviso] Categoría no capturada ()", IF(ISNA(MATCH(K49, Criterios!$A$81:$A$120, 0)), "Categoría no válida", IF(AND(J49&lt;&gt;"", J49&lt;&gt;"", J49&lt;&gt;VLOOKUP(K49, Criterios!$A$81:$B$120, 2, FALSE)), "División no coincide con Categoría", ""))), IF(OR(L49="", L49=""), "[Aviso] Género no capturado ()", IF(ISNA(MATCH(L49, Criterios!$B$123:$B$127, 0)), "Género no válido", "")), IF(OR(N49="", N49=""), "[Aviso] Temporada no capturada ()", IF(ISNA(MATCH(N49, Criterios!$C$123:$C$128, 0)), "Temporada no válida", "")), IF(OR(O49="", O49=""), "[Aviso] Ciclo de vida no capturado ()", IF(ISNA(MATCH(O49, Criterios!$D$123:$D$124, 0)), "Ciclo de vida no válido", ""))))</f>
        <v/>
      </c>
      <c r="AC49" s="56" t="n"/>
      <c r="AD49" s="51" t="n">
        <v>0</v>
      </c>
      <c r="AE49" s="156" t="n"/>
      <c r="AF49" s="51" t="n">
        <v>0</v>
      </c>
      <c r="AG49" s="156" t="inlineStr">
        <is>
          <t>Nuevo – NetSuite sin existencia</t>
        </is>
      </c>
      <c r="AH49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49" s="156" t="inlineStr">
        <is>
          <t>No</t>
        </is>
      </c>
      <c r="AJ49" s="156" t="n"/>
      <c r="AK49" s="155" t="inlineStr">
        <is>
          <t>ProductosCatalogoEstandar907.xlsx: fila 29 [N,O,Q,S,U,Y]; G1522_Extraccion_Articulos_NetSuite_2026-09-30.xlsx: fila 56566 [P,V,Y,T] | Shopify WB: producto 8569957580985 / variante 47621318344889</t>
        </is>
      </c>
      <c r="AL49" s="58" t="n">
        <v>336</v>
      </c>
      <c r="AM49" s="58" t="n">
        <v>899</v>
      </c>
      <c r="AN49" s="155" t="inlineStr">
        <is>
          <t>Shopify Western Brothers</t>
        </is>
      </c>
      <c r="AO49" s="59" t="n"/>
      <c r="AP49" s="59" t="n">
        <v>0</v>
      </c>
      <c r="AQ49" s="59" t="n"/>
      <c r="AR49" s="155" t="n"/>
    </row>
    <row r="50">
      <c r="A50" s="50" t="inlineStr">
        <is>
          <t>7506499529884</t>
        </is>
      </c>
      <c r="B50" s="51" t="inlineStr">
        <is>
          <t>108408</t>
        </is>
      </c>
      <c r="C50" s="156" t="inlineStr">
        <is>
          <t>Multimarca</t>
        </is>
      </c>
      <c r="D50" s="156" t="inlineStr">
        <is>
          <t>A-CM134</t>
        </is>
      </c>
      <c r="E50" s="156" t="inlineStr">
        <is>
          <t>A-CM134-XS</t>
        </is>
      </c>
      <c r="F50" s="156" t="inlineStr">
        <is>
          <t>XS</t>
        </is>
      </c>
      <c r="G50" s="156" t="inlineStr">
        <is>
          <t>XS</t>
        </is>
      </c>
      <c r="H50" s="156" t="inlineStr">
        <is>
          <t>Denver</t>
        </is>
      </c>
      <c r="I50" s="156" t="inlineStr">
        <is>
          <t>Camisa Denver dama estampado dalia durazno</t>
        </is>
      </c>
      <c r="J50" s="156" t="inlineStr">
        <is>
          <t>Ropa</t>
        </is>
      </c>
      <c r="K50" s="156" t="inlineStr">
        <is>
          <t>Camisas</t>
        </is>
      </c>
      <c r="L50" s="156" t="inlineStr">
        <is>
          <t>Mujer</t>
        </is>
      </c>
      <c r="M50" s="156" t="inlineStr">
        <is>
          <t>Denver</t>
        </is>
      </c>
      <c r="N50" s="156" t="inlineStr">
        <is>
          <t>SS26</t>
        </is>
      </c>
      <c r="O50" s="156" t="inlineStr">
        <is>
          <t>Seasonal</t>
        </is>
      </c>
      <c r="P50" s="156" t="inlineStr">
        <is>
          <t>Naranja</t>
        </is>
      </c>
      <c r="Q50" s="156" t="inlineStr">
        <is>
          <t>Regular</t>
        </is>
      </c>
      <c r="R50" s="156" t="n"/>
      <c r="S50" s="156" t="inlineStr">
        <is>
          <t>100% Rayón</t>
        </is>
      </c>
      <c r="T50" s="156" t="inlineStr">
        <is>
          <t>Camisa Denver dama estampado dalia durazno Regular</t>
        </is>
      </c>
      <c r="U50" s="156" t="inlineStr">
        <is>
          <t>México</t>
        </is>
      </c>
      <c r="V50" s="156" t="inlineStr">
        <is>
          <t>PZS</t>
        </is>
      </c>
      <c r="W50" s="51" t="inlineStr">
        <is>
          <t>53101604</t>
        </is>
      </c>
      <c r="X50" s="156" t="n"/>
      <c r="Y50" s="54" t="n">
        <v>336</v>
      </c>
      <c r="Z50" s="54" t="n">
        <v>775</v>
      </c>
      <c r="AA50" s="55">
        <f>IF(AND(A50="", B50="", E50=""), "", IF(AB50="", "Válido", IF((LEN(AB50)-LEN(SUBSTITUTE(AB50,"; ","")))/2+1&gt;(LEN(AB50)-LEN(SUBSTITUTE(AB50,"[Aviso]","")))/7, "Con Incidencias", "Válido")))</f>
        <v/>
      </c>
      <c r="AB50" s="56">
        <f>IF(AND(A50="", B50="", E50=""), "", TEXTJOIN("; ", TRUE, IF(OR(TRIM(A50&amp;"")="", ISNUMBER(SEARCH("FALTA", A50))), "UPC faltante/inválido", ""), IF(AND(A50&lt;&gt;"", IFERROR(_xlfn.XMATCH(A50,$A$2:$A$204,0,1)&lt;&gt;_xlfn.XMATCH(A50,$A$2:$A$204,0,-1),FALSE)), "Código de barras duplicado", ""), IF(AND(E50&lt;&gt;"", COUNTIF($E$2:$E$204, E50)&gt;1), "SKU duplicado", ""), IF(OR(J50="", J50=""), "[Aviso] División no capturada ()", IF(ISNA(MATCH(J50, Criterios!$A$123:$A$126, 0)), "División no válida", "")), IF(OR(K50="", K50=""), "[Aviso] Categoría no capturada ()", IF(ISNA(MATCH(K50, Criterios!$A$81:$A$120, 0)), "Categoría no válida", IF(AND(J50&lt;&gt;"", J50&lt;&gt;"", J50&lt;&gt;VLOOKUP(K50, Criterios!$A$81:$B$120, 2, FALSE)), "División no coincide con Categoría", ""))), IF(OR(L50="", L50=""), "[Aviso] Género no capturado ()", IF(ISNA(MATCH(L50, Criterios!$B$123:$B$127, 0)), "Género no válido", "")), IF(OR(N50="", N50=""), "[Aviso] Temporada no capturada ()", IF(ISNA(MATCH(N50, Criterios!$C$123:$C$128, 0)), "Temporada no válida", "")), IF(OR(O50="", O50=""), "[Aviso] Ciclo de vida no capturado ()", IF(ISNA(MATCH(O50, Criterios!$D$123:$D$124, 0)), "Ciclo de vida no válido", ""))))</f>
        <v/>
      </c>
      <c r="AC50" s="56" t="n"/>
      <c r="AD50" s="51" t="n">
        <v>0</v>
      </c>
      <c r="AE50" s="156" t="n"/>
      <c r="AF50" s="51" t="n">
        <v>0</v>
      </c>
      <c r="AG50" s="156" t="inlineStr">
        <is>
          <t>Nuevo – NetSuite sin existencia</t>
        </is>
      </c>
      <c r="AH50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50" s="156" t="inlineStr">
        <is>
          <t>No</t>
        </is>
      </c>
      <c r="AJ50" s="156" t="n"/>
      <c r="AK50" s="155" t="inlineStr">
        <is>
          <t>ProductosCatalogoEstandar907.xlsx: fila 30 [N,O,Q,S,U,Y]; G1522_Extraccion_Articulos_NetSuite_2026-09-30.xlsx: fila 56567 [P,V,Y,T] | Shopify WB: producto 8569957712057 / variante 47621318541497</t>
        </is>
      </c>
      <c r="AL50" s="58" t="n">
        <v>336</v>
      </c>
      <c r="AM50" s="58" t="n">
        <v>899</v>
      </c>
      <c r="AN50" s="155" t="inlineStr">
        <is>
          <t>Shopify Western Brothers</t>
        </is>
      </c>
      <c r="AO50" s="59" t="n"/>
      <c r="AP50" s="59" t="n">
        <v>0</v>
      </c>
      <c r="AQ50" s="59" t="n"/>
      <c r="AR50" s="155" t="n"/>
    </row>
    <row r="51">
      <c r="A51" s="50" t="inlineStr">
        <is>
          <t>7506499529891</t>
        </is>
      </c>
      <c r="B51" s="51" t="inlineStr">
        <is>
          <t>108409</t>
        </is>
      </c>
      <c r="C51" s="156" t="inlineStr">
        <is>
          <t>Multimarca</t>
        </is>
      </c>
      <c r="D51" s="156" t="inlineStr">
        <is>
          <t>A-CM134</t>
        </is>
      </c>
      <c r="E51" s="156" t="inlineStr">
        <is>
          <t>A-CM134-S</t>
        </is>
      </c>
      <c r="F51" s="156" t="inlineStr">
        <is>
          <t>S</t>
        </is>
      </c>
      <c r="G51" s="156" t="inlineStr">
        <is>
          <t>S</t>
        </is>
      </c>
      <c r="H51" s="156" t="inlineStr">
        <is>
          <t>Denver</t>
        </is>
      </c>
      <c r="I51" s="156" t="inlineStr">
        <is>
          <t>Camisa Denver dama estampado dalia durazno</t>
        </is>
      </c>
      <c r="J51" s="156" t="inlineStr">
        <is>
          <t>Ropa</t>
        </is>
      </c>
      <c r="K51" s="156" t="inlineStr">
        <is>
          <t>Camisas</t>
        </is>
      </c>
      <c r="L51" s="156" t="inlineStr">
        <is>
          <t>Mujer</t>
        </is>
      </c>
      <c r="M51" s="156" t="inlineStr">
        <is>
          <t>Denver</t>
        </is>
      </c>
      <c r="N51" s="156" t="inlineStr">
        <is>
          <t>SS26</t>
        </is>
      </c>
      <c r="O51" s="156" t="inlineStr">
        <is>
          <t>Seasonal</t>
        </is>
      </c>
      <c r="P51" s="156" t="inlineStr">
        <is>
          <t>Naranja</t>
        </is>
      </c>
      <c r="Q51" s="156" t="inlineStr">
        <is>
          <t>Regular</t>
        </is>
      </c>
      <c r="R51" s="156" t="n"/>
      <c r="S51" s="156" t="inlineStr">
        <is>
          <t>100% Rayón</t>
        </is>
      </c>
      <c r="T51" s="156" t="inlineStr">
        <is>
          <t>Camisa Denver dama estampado dalia durazno Regular</t>
        </is>
      </c>
      <c r="U51" s="156" t="inlineStr">
        <is>
          <t>México</t>
        </is>
      </c>
      <c r="V51" s="156" t="inlineStr">
        <is>
          <t>PZS</t>
        </is>
      </c>
      <c r="W51" s="51" t="inlineStr">
        <is>
          <t>53101604</t>
        </is>
      </c>
      <c r="X51" s="156" t="n"/>
      <c r="Y51" s="54" t="n">
        <v>336</v>
      </c>
      <c r="Z51" s="54" t="n">
        <v>775</v>
      </c>
      <c r="AA51" s="55">
        <f>IF(AND(A51="", B51="", E51=""), "", IF(AB51="", "Válido", IF((LEN(AB51)-LEN(SUBSTITUTE(AB51,"; ","")))/2+1&gt;(LEN(AB51)-LEN(SUBSTITUTE(AB51,"[Aviso]","")))/7, "Con Incidencias", "Válido")))</f>
        <v/>
      </c>
      <c r="AB51" s="56">
        <f>IF(AND(A51="", B51="", E51=""), "", TEXTJOIN("; ", TRUE, IF(OR(TRIM(A51&amp;"")="", ISNUMBER(SEARCH("FALTA", A51))), "UPC faltante/inválido", ""), IF(AND(A51&lt;&gt;"", IFERROR(_xlfn.XMATCH(A51,$A$2:$A$204,0,1)&lt;&gt;_xlfn.XMATCH(A51,$A$2:$A$204,0,-1),FALSE)), "Código de barras duplicado", ""), IF(AND(E51&lt;&gt;"", COUNTIF($E$2:$E$204, E51)&gt;1), "SKU duplicado", ""), IF(OR(J51="", J51=""), "[Aviso] División no capturada ()", IF(ISNA(MATCH(J51, Criterios!$A$123:$A$126, 0)), "División no válida", "")), IF(OR(K51="", K51=""), "[Aviso] Categoría no capturada ()", IF(ISNA(MATCH(K51, Criterios!$A$81:$A$120, 0)), "Categoría no válida", IF(AND(J51&lt;&gt;"", J51&lt;&gt;"", J51&lt;&gt;VLOOKUP(K51, Criterios!$A$81:$B$120, 2, FALSE)), "División no coincide con Categoría", ""))), IF(OR(L51="", L51=""), "[Aviso] Género no capturado ()", IF(ISNA(MATCH(L51, Criterios!$B$123:$B$127, 0)), "Género no válido", "")), IF(OR(N51="", N51=""), "[Aviso] Temporada no capturada ()", IF(ISNA(MATCH(N51, Criterios!$C$123:$C$128, 0)), "Temporada no válida", "")), IF(OR(O51="", O51=""), "[Aviso] Ciclo de vida no capturado ()", IF(ISNA(MATCH(O51, Criterios!$D$123:$D$124, 0)), "Ciclo de vida no válido", ""))))</f>
        <v/>
      </c>
      <c r="AC51" s="56" t="n"/>
      <c r="AD51" s="51" t="n">
        <v>4</v>
      </c>
      <c r="AE51" s="156" t="inlineStr">
        <is>
          <t>WB OUTLET LERMA: 4</t>
        </is>
      </c>
      <c r="AF51" s="51" t="n">
        <v>4</v>
      </c>
      <c r="AG51" s="156" t="inlineStr">
        <is>
          <t>Nuevo – NetSuite con existencia</t>
        </is>
      </c>
      <c r="AH51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51" s="156" t="inlineStr">
        <is>
          <t>No</t>
        </is>
      </c>
      <c r="AJ51" s="156" t="n"/>
      <c r="AK51" s="155" t="inlineStr">
        <is>
          <t>ProductosCatalogoEstandar907.xlsx: fila 31 [N,O,Q,S,U,Y]; G1522_Extraccion_Articulos_NetSuite_2026-09-30.xlsx: fila 56568 [P,V,Y,T] | Shopify WB: producto 8569957712057 / variante 47621318574265</t>
        </is>
      </c>
      <c r="AL51" s="58" t="n">
        <v>336</v>
      </c>
      <c r="AM51" s="58" t="n">
        <v>899</v>
      </c>
      <c r="AN51" s="155" t="inlineStr">
        <is>
          <t>Shopify Western Brothers</t>
        </is>
      </c>
      <c r="AO51" s="59" t="n"/>
      <c r="AP51" s="59" t="n">
        <v>4</v>
      </c>
      <c r="AQ51" s="59" t="n"/>
      <c r="AR51" s="155" t="inlineStr">
        <is>
          <t>Shopify Western Brothers › Western Brothers Outlet Lerma: 4</t>
        </is>
      </c>
    </row>
    <row r="52">
      <c r="A52" s="50" t="inlineStr">
        <is>
          <t>7506499529914</t>
        </is>
      </c>
      <c r="B52" s="51" t="inlineStr">
        <is>
          <t>108410</t>
        </is>
      </c>
      <c r="C52" s="156" t="inlineStr">
        <is>
          <t>Multimarca</t>
        </is>
      </c>
      <c r="D52" s="156" t="inlineStr">
        <is>
          <t>A-CM134</t>
        </is>
      </c>
      <c r="E52" s="156" t="inlineStr">
        <is>
          <t>A-CM134-L</t>
        </is>
      </c>
      <c r="F52" s="156" t="inlineStr">
        <is>
          <t>L</t>
        </is>
      </c>
      <c r="G52" s="156" t="inlineStr">
        <is>
          <t>L</t>
        </is>
      </c>
      <c r="H52" s="156" t="inlineStr">
        <is>
          <t>Denver</t>
        </is>
      </c>
      <c r="I52" s="156" t="inlineStr">
        <is>
          <t>Camisa Denver dama estampado dalia durazno</t>
        </is>
      </c>
      <c r="J52" s="156" t="inlineStr">
        <is>
          <t>Ropa</t>
        </is>
      </c>
      <c r="K52" s="156" t="inlineStr">
        <is>
          <t>Camisas</t>
        </is>
      </c>
      <c r="L52" s="156" t="inlineStr">
        <is>
          <t>Mujer</t>
        </is>
      </c>
      <c r="M52" s="156" t="inlineStr">
        <is>
          <t>Denver</t>
        </is>
      </c>
      <c r="N52" s="156" t="inlineStr">
        <is>
          <t>SS26</t>
        </is>
      </c>
      <c r="O52" s="156" t="inlineStr">
        <is>
          <t>Seasonal</t>
        </is>
      </c>
      <c r="P52" s="156" t="inlineStr">
        <is>
          <t>Naranja</t>
        </is>
      </c>
      <c r="Q52" s="156" t="inlineStr">
        <is>
          <t>Regular</t>
        </is>
      </c>
      <c r="R52" s="156" t="n"/>
      <c r="S52" s="156" t="inlineStr">
        <is>
          <t>100% Rayón</t>
        </is>
      </c>
      <c r="T52" s="156" t="inlineStr">
        <is>
          <t>Camisa Denver dama estampado dalia durazno Regular</t>
        </is>
      </c>
      <c r="U52" s="156" t="inlineStr">
        <is>
          <t>México</t>
        </is>
      </c>
      <c r="V52" s="156" t="inlineStr">
        <is>
          <t>PZS</t>
        </is>
      </c>
      <c r="W52" s="51" t="inlineStr">
        <is>
          <t>53101604</t>
        </is>
      </c>
      <c r="X52" s="156" t="n"/>
      <c r="Y52" s="54" t="n">
        <v>336</v>
      </c>
      <c r="Z52" s="54" t="n">
        <v>775</v>
      </c>
      <c r="AA52" s="55">
        <f>IF(AND(A52="", B52="", E52=""), "", IF(AB52="", "Válido", IF((LEN(AB52)-LEN(SUBSTITUTE(AB52,"; ","")))/2+1&gt;(LEN(AB52)-LEN(SUBSTITUTE(AB52,"[Aviso]","")))/7, "Con Incidencias", "Válido")))</f>
        <v/>
      </c>
      <c r="AB52" s="56">
        <f>IF(AND(A52="", B52="", E52=""), "", TEXTJOIN("; ", TRUE, IF(OR(TRIM(A52&amp;"")="", ISNUMBER(SEARCH("FALTA", A52))), "UPC faltante/inválido", ""), IF(AND(A52&lt;&gt;"", IFERROR(_xlfn.XMATCH(A52,$A$2:$A$204,0,1)&lt;&gt;_xlfn.XMATCH(A52,$A$2:$A$204,0,-1),FALSE)), "Código de barras duplicado", ""), IF(AND(E52&lt;&gt;"", COUNTIF($E$2:$E$204, E52)&gt;1), "SKU duplicado", ""), IF(OR(J52="", J52=""), "[Aviso] División no capturada ()", IF(ISNA(MATCH(J52, Criterios!$A$123:$A$126, 0)), "División no válida", "")), IF(OR(K52="", K52=""), "[Aviso] Categoría no capturada ()", IF(ISNA(MATCH(K52, Criterios!$A$81:$A$120, 0)), "Categoría no válida", IF(AND(J52&lt;&gt;"", J52&lt;&gt;"", J52&lt;&gt;VLOOKUP(K52, Criterios!$A$81:$B$120, 2, FALSE)), "División no coincide con Categoría", ""))), IF(OR(L52="", L52=""), "[Aviso] Género no capturado ()", IF(ISNA(MATCH(L52, Criterios!$B$123:$B$127, 0)), "Género no válido", "")), IF(OR(N52="", N52=""), "[Aviso] Temporada no capturada ()", IF(ISNA(MATCH(N52, Criterios!$C$123:$C$128, 0)), "Temporada no válida", "")), IF(OR(O52="", O52=""), "[Aviso] Ciclo de vida no capturado ()", IF(ISNA(MATCH(O52, Criterios!$D$123:$D$124, 0)), "Ciclo de vida no válido", ""))))</f>
        <v/>
      </c>
      <c r="AC52" s="56" t="n"/>
      <c r="AD52" s="51" t="n">
        <v>1</v>
      </c>
      <c r="AE52" s="156" t="inlineStr">
        <is>
          <t>WB OUTLET LERMA: 1</t>
        </is>
      </c>
      <c r="AF52" s="51" t="n">
        <v>1</v>
      </c>
      <c r="AG52" s="156" t="inlineStr">
        <is>
          <t>Nuevo – NetSuite con existencia</t>
        </is>
      </c>
      <c r="AH52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52" s="156" t="inlineStr">
        <is>
          <t>No</t>
        </is>
      </c>
      <c r="AJ52" s="156" t="n"/>
      <c r="AK52" s="155" t="inlineStr">
        <is>
          <t>ProductosCatalogoEstandar907.xlsx: fila 32 [N,O,Q,S,U,Y]; G1522_Extraccion_Articulos_NetSuite_2026-09-30.xlsx: fila 56569 [P,V,Y,T] | Shopify WB: producto 8569957712057 / variante 47621318607033</t>
        </is>
      </c>
      <c r="AL52" s="58" t="n">
        <v>336</v>
      </c>
      <c r="AM52" s="58" t="n">
        <v>899</v>
      </c>
      <c r="AN52" s="155" t="inlineStr">
        <is>
          <t>Shopify Western Brothers</t>
        </is>
      </c>
      <c r="AO52" s="59" t="n"/>
      <c r="AP52" s="59" t="n">
        <v>1</v>
      </c>
      <c r="AQ52" s="59" t="n"/>
      <c r="AR52" s="155" t="inlineStr">
        <is>
          <t>Shopify Western Brothers › Western Brothers Outlet Lerma: 1</t>
        </is>
      </c>
    </row>
    <row r="53">
      <c r="A53" s="50" t="inlineStr">
        <is>
          <t>7506499551069</t>
        </is>
      </c>
      <c r="B53" s="51" t="inlineStr">
        <is>
          <t>108411</t>
        </is>
      </c>
      <c r="C53" s="156" t="inlineStr">
        <is>
          <t>Multimarca</t>
        </is>
      </c>
      <c r="D53" s="156" t="inlineStr">
        <is>
          <t>A-CM152</t>
        </is>
      </c>
      <c r="E53" s="156" t="inlineStr">
        <is>
          <t>A-CM152-M</t>
        </is>
      </c>
      <c r="F53" s="156" t="inlineStr">
        <is>
          <t>M</t>
        </is>
      </c>
      <c r="G53" s="156" t="inlineStr">
        <is>
          <t>M</t>
        </is>
      </c>
      <c r="H53" s="156" t="inlineStr">
        <is>
          <t>Denver</t>
        </is>
      </c>
      <c r="I53" s="156" t="inlineStr">
        <is>
          <t>Camisa Denver vaqueras</t>
        </is>
      </c>
      <c r="J53" s="156" t="inlineStr">
        <is>
          <t>Ropa</t>
        </is>
      </c>
      <c r="K53" s="156" t="inlineStr">
        <is>
          <t>Camisas</t>
        </is>
      </c>
      <c r="L53" s="156" t="inlineStr">
        <is>
          <t>Mujer</t>
        </is>
      </c>
      <c r="M53" s="156" t="inlineStr">
        <is>
          <t>Denver</t>
        </is>
      </c>
      <c r="N53" s="156" t="inlineStr">
        <is>
          <t>SS26</t>
        </is>
      </c>
      <c r="O53" s="156" t="inlineStr">
        <is>
          <t>Seasonal</t>
        </is>
      </c>
      <c r="P53" s="156" t="inlineStr">
        <is>
          <t>Naranja</t>
        </is>
      </c>
      <c r="Q53" s="156" t="inlineStr">
        <is>
          <t>Regular</t>
        </is>
      </c>
      <c r="R53" s="156" t="n"/>
      <c r="S53" s="156" t="inlineStr">
        <is>
          <t>100% Rayón</t>
        </is>
      </c>
      <c r="T53" s="156" t="inlineStr">
        <is>
          <t>Camisa Denver vaqueras Regular</t>
        </is>
      </c>
      <c r="U53" s="156" t="inlineStr">
        <is>
          <t>México</t>
        </is>
      </c>
      <c r="V53" s="156" t="inlineStr">
        <is>
          <t>PZS</t>
        </is>
      </c>
      <c r="W53" s="51" t="inlineStr">
        <is>
          <t>53101600</t>
        </is>
      </c>
      <c r="X53" s="156" t="n"/>
      <c r="Y53" s="54" t="n">
        <v>336</v>
      </c>
      <c r="Z53" s="54" t="n">
        <v>775</v>
      </c>
      <c r="AA53" s="55">
        <f>IF(AND(A53="", B53="", E53=""), "", IF(AB53="", "Válido", IF((LEN(AB53)-LEN(SUBSTITUTE(AB53,"; ","")))/2+1&gt;(LEN(AB53)-LEN(SUBSTITUTE(AB53,"[Aviso]","")))/7, "Con Incidencias", "Válido")))</f>
        <v/>
      </c>
      <c r="AB53" s="56">
        <f>IF(AND(A53="", B53="", E53=""), "", TEXTJOIN("; ", TRUE, IF(OR(TRIM(A53&amp;"")="", ISNUMBER(SEARCH("FALTA", A53))), "UPC faltante/inválido", ""), IF(AND(A53&lt;&gt;"", IFERROR(_xlfn.XMATCH(A53,$A$2:$A$204,0,1)&lt;&gt;_xlfn.XMATCH(A53,$A$2:$A$204,0,-1),FALSE)), "Código de barras duplicado", ""), IF(AND(E53&lt;&gt;"", COUNTIF($E$2:$E$204, E53)&gt;1), "SKU duplicado", ""), IF(OR(J53="", J53=""), "[Aviso] División no capturada ()", IF(ISNA(MATCH(J53, Criterios!$A$123:$A$126, 0)), "División no válida", "")), IF(OR(K53="", K53=""), "[Aviso] Categoría no capturada ()", IF(ISNA(MATCH(K53, Criterios!$A$81:$A$120, 0)), "Categoría no válida", IF(AND(J53&lt;&gt;"", J53&lt;&gt;"", J53&lt;&gt;VLOOKUP(K53, Criterios!$A$81:$B$120, 2, FALSE)), "División no coincide con Categoría", ""))), IF(OR(L53="", L53=""), "[Aviso] Género no capturado ()", IF(ISNA(MATCH(L53, Criterios!$B$123:$B$127, 0)), "Género no válido", "")), IF(OR(N53="", N53=""), "[Aviso] Temporada no capturada ()", IF(ISNA(MATCH(N53, Criterios!$C$123:$C$128, 0)), "Temporada no válida", "")), IF(OR(O53="", O53=""), "[Aviso] Ciclo de vida no capturado ()", IF(ISNA(MATCH(O53, Criterios!$D$123:$D$124, 0)), "Ciclo de vida no válido", ""))))</f>
        <v/>
      </c>
      <c r="AC53" s="56" t="n"/>
      <c r="AD53" s="51" t="n">
        <v>3</v>
      </c>
      <c r="AE53" s="156" t="inlineStr">
        <is>
          <t>WB OUTLET LERMA: 3</t>
        </is>
      </c>
      <c r="AF53" s="51" t="n">
        <v>3</v>
      </c>
      <c r="AG53" s="156" t="inlineStr">
        <is>
          <t>Nuevo – NetSuite con existencia</t>
        </is>
      </c>
      <c r="AH53" s="156" t="inlineStr">
        <is>
          <t>Color por validar; Género por validar | Revisión 29/09/2026: Campos sin respaldo: X; Auditoría NetSuite 30/09/2026: llenado desde NetSuite [M,V,Y,T] | 01/10/2026: complementado desde Shopify Western Brothers (match por código de barras): WB Silueta</t>
        </is>
      </c>
      <c r="AI53" s="156" t="inlineStr">
        <is>
          <t>No</t>
        </is>
      </c>
      <c r="AJ53" s="156" t="n"/>
      <c r="AK53" s="155" t="inlineStr">
        <is>
          <t>ProductosCatalogoEstandar907.xlsx: fila 33 [L,N,O,P,Q,S,U,Y]; G1522_Extraccion_Articulos_NetSuite_2026-09-30.xlsx: fila 56570 [M,V,Y,T] | Shopify WB: producto 8569957843129 / variante 47621318770873</t>
        </is>
      </c>
      <c r="AL53" s="58" t="n">
        <v>336</v>
      </c>
      <c r="AM53" s="58" t="n">
        <v>899</v>
      </c>
      <c r="AN53" s="155" t="inlineStr">
        <is>
          <t>Shopify Western Brothers</t>
        </is>
      </c>
      <c r="AO53" s="59" t="n"/>
      <c r="AP53" s="59" t="n">
        <v>3</v>
      </c>
      <c r="AQ53" s="59" t="n"/>
      <c r="AR53" s="155" t="inlineStr">
        <is>
          <t>Shopify Western Brothers › Western Brothers Outlet Lerma: 3</t>
        </is>
      </c>
    </row>
    <row r="54">
      <c r="A54" s="50" t="inlineStr">
        <is>
          <t>7506499551076</t>
        </is>
      </c>
      <c r="B54" s="51" t="inlineStr">
        <is>
          <t>108412</t>
        </is>
      </c>
      <c r="C54" s="156" t="inlineStr">
        <is>
          <t>Multimarca</t>
        </is>
      </c>
      <c r="D54" s="156" t="inlineStr">
        <is>
          <t>A-CM152</t>
        </is>
      </c>
      <c r="E54" s="156" t="inlineStr">
        <is>
          <t>A-CM152-L</t>
        </is>
      </c>
      <c r="F54" s="156" t="inlineStr">
        <is>
          <t>L</t>
        </is>
      </c>
      <c r="G54" s="156" t="inlineStr">
        <is>
          <t>L</t>
        </is>
      </c>
      <c r="H54" s="156" t="inlineStr">
        <is>
          <t>Denver</t>
        </is>
      </c>
      <c r="I54" s="156" t="inlineStr">
        <is>
          <t>Camisa Denver vaqueras</t>
        </is>
      </c>
      <c r="J54" s="156" t="inlineStr">
        <is>
          <t>Ropa</t>
        </is>
      </c>
      <c r="K54" s="156" t="inlineStr">
        <is>
          <t>Camisas</t>
        </is>
      </c>
      <c r="L54" s="156" t="inlineStr">
        <is>
          <t>Mujer</t>
        </is>
      </c>
      <c r="M54" s="156" t="inlineStr">
        <is>
          <t>Denver</t>
        </is>
      </c>
      <c r="N54" s="156" t="inlineStr">
        <is>
          <t>SS26</t>
        </is>
      </c>
      <c r="O54" s="156" t="inlineStr">
        <is>
          <t>Seasonal</t>
        </is>
      </c>
      <c r="P54" s="156" t="inlineStr">
        <is>
          <t>Naranja</t>
        </is>
      </c>
      <c r="Q54" s="156" t="inlineStr">
        <is>
          <t>Regular</t>
        </is>
      </c>
      <c r="R54" s="156" t="n"/>
      <c r="S54" s="156" t="inlineStr">
        <is>
          <t>100% Rayón</t>
        </is>
      </c>
      <c r="T54" s="156" t="inlineStr">
        <is>
          <t>Camisa Denver vaqueras Regular</t>
        </is>
      </c>
      <c r="U54" s="156" t="inlineStr">
        <is>
          <t>México</t>
        </is>
      </c>
      <c r="V54" s="156" t="inlineStr">
        <is>
          <t>PZS</t>
        </is>
      </c>
      <c r="W54" s="51" t="inlineStr">
        <is>
          <t>53101600</t>
        </is>
      </c>
      <c r="X54" s="156" t="n"/>
      <c r="Y54" s="54" t="n">
        <v>336</v>
      </c>
      <c r="Z54" s="54" t="n">
        <v>775</v>
      </c>
      <c r="AA54" s="55">
        <f>IF(AND(A54="", B54="", E54=""), "", IF(AB54="", "Válido", IF((LEN(AB54)-LEN(SUBSTITUTE(AB54,"; ","")))/2+1&gt;(LEN(AB54)-LEN(SUBSTITUTE(AB54,"[Aviso]","")))/7, "Con Incidencias", "Válido")))</f>
        <v/>
      </c>
      <c r="AB54" s="56">
        <f>IF(AND(A54="", B54="", E54=""), "", TEXTJOIN("; ", TRUE, IF(OR(TRIM(A54&amp;"")="", ISNUMBER(SEARCH("FALTA", A54))), "UPC faltante/inválido", ""), IF(AND(A54&lt;&gt;"", IFERROR(_xlfn.XMATCH(A54,$A$2:$A$204,0,1)&lt;&gt;_xlfn.XMATCH(A54,$A$2:$A$204,0,-1),FALSE)), "Código de barras duplicado", ""), IF(AND(E54&lt;&gt;"", COUNTIF($E$2:$E$204, E54)&gt;1), "SKU duplicado", ""), IF(OR(J54="", J54=""), "[Aviso] División no capturada ()", IF(ISNA(MATCH(J54, Criterios!$A$123:$A$126, 0)), "División no válida", "")), IF(OR(K54="", K54=""), "[Aviso] Categoría no capturada ()", IF(ISNA(MATCH(K54, Criterios!$A$81:$A$120, 0)), "Categoría no válida", IF(AND(J54&lt;&gt;"", J54&lt;&gt;"", J54&lt;&gt;VLOOKUP(K54, Criterios!$A$81:$B$120, 2, FALSE)), "División no coincide con Categoría", ""))), IF(OR(L54="", L54=""), "[Aviso] Género no capturado ()", IF(ISNA(MATCH(L54, Criterios!$B$123:$B$127, 0)), "Género no válido", "")), IF(OR(N54="", N54=""), "[Aviso] Temporada no capturada ()", IF(ISNA(MATCH(N54, Criterios!$C$123:$C$128, 0)), "Temporada no válida", "")), IF(OR(O54="", O54=""), "[Aviso] Ciclo de vida no capturado ()", IF(ISNA(MATCH(O54, Criterios!$D$123:$D$124, 0)), "Ciclo de vida no válido", ""))))</f>
        <v/>
      </c>
      <c r="AC54" s="56" t="n"/>
      <c r="AD54" s="51" t="n">
        <v>1</v>
      </c>
      <c r="AE54" s="156" t="inlineStr">
        <is>
          <t>WB OUTLET LERMA: 1</t>
        </is>
      </c>
      <c r="AF54" s="51" t="n">
        <v>1</v>
      </c>
      <c r="AG54" s="156" t="inlineStr">
        <is>
          <t>Nuevo – NetSuite con existencia</t>
        </is>
      </c>
      <c r="AH54" s="156" t="inlineStr">
        <is>
          <t>Color por validar; Género por validar | Revisión 29/09/2026: Campos sin respaldo: X; Auditoría NetSuite 30/09/2026: llenado desde NetSuite [M,V,Y,T] | 01/10/2026: complementado desde Shopify Western Brothers (match por código de barras): WB Silueta</t>
        </is>
      </c>
      <c r="AI54" s="156" t="inlineStr">
        <is>
          <t>No</t>
        </is>
      </c>
      <c r="AJ54" s="156" t="n"/>
      <c r="AK54" s="155" t="inlineStr">
        <is>
          <t>ProductosCatalogoEstandar907.xlsx: fila 34 [L,N,O,P,Q,S,U,Y]; G1522_Extraccion_Articulos_NetSuite_2026-09-30.xlsx: fila 56571 [M,V,Y,T] | Shopify WB: producto 8569957843129 / variante 47621318803641</t>
        </is>
      </c>
      <c r="AL54" s="58" t="n">
        <v>336</v>
      </c>
      <c r="AM54" s="58" t="n">
        <v>899</v>
      </c>
      <c r="AN54" s="155" t="inlineStr">
        <is>
          <t>Shopify Western Brothers</t>
        </is>
      </c>
      <c r="AO54" s="59" t="n"/>
      <c r="AP54" s="59" t="n">
        <v>1</v>
      </c>
      <c r="AQ54" s="59" t="n"/>
      <c r="AR54" s="155" t="inlineStr">
        <is>
          <t>Shopify Western Brothers › Western Brothers Outlet Lerma: 1</t>
        </is>
      </c>
    </row>
    <row r="55">
      <c r="A55" s="50" t="inlineStr">
        <is>
          <t>7506499551090</t>
        </is>
      </c>
      <c r="B55" s="51" t="inlineStr">
        <is>
          <t>108413</t>
        </is>
      </c>
      <c r="C55" s="156" t="inlineStr">
        <is>
          <t>Multimarca</t>
        </is>
      </c>
      <c r="D55" s="156" t="inlineStr">
        <is>
          <t>A-CM152</t>
        </is>
      </c>
      <c r="E55" s="156" t="inlineStr">
        <is>
          <t>A-CM152-XXL</t>
        </is>
      </c>
      <c r="F55" s="156" t="inlineStr">
        <is>
          <t>XXL</t>
        </is>
      </c>
      <c r="G55" s="156" t="inlineStr">
        <is>
          <t>XXL</t>
        </is>
      </c>
      <c r="H55" s="156" t="inlineStr">
        <is>
          <t>Denver</t>
        </is>
      </c>
      <c r="I55" s="156" t="inlineStr">
        <is>
          <t>Camisa Denver vaqueras</t>
        </is>
      </c>
      <c r="J55" s="156" t="inlineStr">
        <is>
          <t>Ropa</t>
        </is>
      </c>
      <c r="K55" s="156" t="inlineStr">
        <is>
          <t>Camisas</t>
        </is>
      </c>
      <c r="L55" s="156" t="inlineStr">
        <is>
          <t>Mujer</t>
        </is>
      </c>
      <c r="M55" s="156" t="inlineStr">
        <is>
          <t>Denver</t>
        </is>
      </c>
      <c r="N55" s="156" t="inlineStr">
        <is>
          <t>SS26</t>
        </is>
      </c>
      <c r="O55" s="156" t="inlineStr">
        <is>
          <t>Seasonal</t>
        </is>
      </c>
      <c r="P55" s="156" t="inlineStr">
        <is>
          <t>Naranja</t>
        </is>
      </c>
      <c r="Q55" s="156" t="inlineStr">
        <is>
          <t>Regular</t>
        </is>
      </c>
      <c r="R55" s="156" t="n"/>
      <c r="S55" s="156" t="inlineStr">
        <is>
          <t>100% Rayón</t>
        </is>
      </c>
      <c r="T55" s="156" t="inlineStr">
        <is>
          <t>Camisa Denver vaqueras Regular</t>
        </is>
      </c>
      <c r="U55" s="156" t="inlineStr">
        <is>
          <t>México</t>
        </is>
      </c>
      <c r="V55" s="156" t="inlineStr">
        <is>
          <t>PZS</t>
        </is>
      </c>
      <c r="W55" s="51" t="inlineStr">
        <is>
          <t>53101600</t>
        </is>
      </c>
      <c r="X55" s="156" t="n"/>
      <c r="Y55" s="54" t="n">
        <v>336</v>
      </c>
      <c r="Z55" s="54" t="n">
        <v>775</v>
      </c>
      <c r="AA55" s="55">
        <f>IF(AND(A55="", B55="", E55=""), "", IF(AB55="", "Válido", IF((LEN(AB55)-LEN(SUBSTITUTE(AB55,"; ","")))/2+1&gt;(LEN(AB55)-LEN(SUBSTITUTE(AB55,"[Aviso]","")))/7, "Con Incidencias", "Válido")))</f>
        <v/>
      </c>
      <c r="AB55" s="56">
        <f>IF(AND(A55="", B55="", E55=""), "", TEXTJOIN("; ", TRUE, IF(OR(TRIM(A55&amp;"")="", ISNUMBER(SEARCH("FALTA", A55))), "UPC faltante/inválido", ""), IF(AND(A55&lt;&gt;"", IFERROR(_xlfn.XMATCH(A55,$A$2:$A$204,0,1)&lt;&gt;_xlfn.XMATCH(A55,$A$2:$A$204,0,-1),FALSE)), "Código de barras duplicado", ""), IF(AND(E55&lt;&gt;"", COUNTIF($E$2:$E$204, E55)&gt;1), "SKU duplicado", ""), IF(OR(J55="", J55=""), "[Aviso] División no capturada ()", IF(ISNA(MATCH(J55, Criterios!$A$123:$A$126, 0)), "División no válida", "")), IF(OR(K55="", K55=""), "[Aviso] Categoría no capturada ()", IF(ISNA(MATCH(K55, Criterios!$A$81:$A$120, 0)), "Categoría no válida", IF(AND(J55&lt;&gt;"", J55&lt;&gt;"", J55&lt;&gt;VLOOKUP(K55, Criterios!$A$81:$B$120, 2, FALSE)), "División no coincide con Categoría", ""))), IF(OR(L55="", L55=""), "[Aviso] Género no capturado ()", IF(ISNA(MATCH(L55, Criterios!$B$123:$B$127, 0)), "Género no válido", "")), IF(OR(N55="", N55=""), "[Aviso] Temporada no capturada ()", IF(ISNA(MATCH(N55, Criterios!$C$123:$C$128, 0)), "Temporada no válida", "")), IF(OR(O55="", O55=""), "[Aviso] Ciclo de vida no capturado ()", IF(ISNA(MATCH(O55, Criterios!$D$123:$D$124, 0)), "Ciclo de vida no válido", ""))))</f>
        <v/>
      </c>
      <c r="AC55" s="56" t="n"/>
      <c r="AD55" s="51" t="n">
        <v>3</v>
      </c>
      <c r="AE55" s="156" t="inlineStr">
        <is>
          <t>WB OUTLET LERMA: 3</t>
        </is>
      </c>
      <c r="AF55" s="51" t="n">
        <v>3</v>
      </c>
      <c r="AG55" s="156" t="inlineStr">
        <is>
          <t>Nuevo – NetSuite con existencia</t>
        </is>
      </c>
      <c r="AH55" s="156" t="inlineStr">
        <is>
          <t>Color por validar; Género por validar | Revisión 29/09/2026: Campos sin respaldo: X; Auditoría NetSuite 30/09/2026: llenado desde NetSuite [M,V,Y,T] | 01/10/2026: complementado desde Shopify Western Brothers (match por código de barras): WB Silueta</t>
        </is>
      </c>
      <c r="AI55" s="156" t="inlineStr">
        <is>
          <t>No</t>
        </is>
      </c>
      <c r="AJ55" s="156" t="n"/>
      <c r="AK55" s="155" t="inlineStr">
        <is>
          <t>ProductosCatalogoEstandar907.xlsx: fila 35 [L,N,O,P,Q,S,U,Y]; G1522_Extraccion_Articulos_NetSuite_2026-09-30.xlsx: fila 56572 [M,V,Y,T] | Shopify WB: producto 8569957843129 / variante 47621318836409</t>
        </is>
      </c>
      <c r="AL55" s="58" t="n">
        <v>336</v>
      </c>
      <c r="AM55" s="58" t="n">
        <v>899</v>
      </c>
      <c r="AN55" s="155" t="inlineStr">
        <is>
          <t>Shopify Western Brothers</t>
        </is>
      </c>
      <c r="AO55" s="59" t="n"/>
      <c r="AP55" s="59" t="n">
        <v>3</v>
      </c>
      <c r="AQ55" s="59" t="n"/>
      <c r="AR55" s="155" t="inlineStr">
        <is>
          <t>Shopify Western Brothers › Western Brothers Outlet Lerma: 3</t>
        </is>
      </c>
    </row>
    <row r="56">
      <c r="A56" s="50" t="inlineStr">
        <is>
          <t>7506499530088</t>
        </is>
      </c>
      <c r="B56" s="51" t="inlineStr">
        <is>
          <t>108414</t>
        </is>
      </c>
      <c r="C56" s="156" t="inlineStr">
        <is>
          <t>Multimarca</t>
        </is>
      </c>
      <c r="D56" s="156" t="inlineStr">
        <is>
          <t>C-CM128</t>
        </is>
      </c>
      <c r="E56" s="156" t="inlineStr">
        <is>
          <t>C-CM128-XS</t>
        </is>
      </c>
      <c r="F56" s="156" t="inlineStr">
        <is>
          <t>XS</t>
        </is>
      </c>
      <c r="G56" s="156" t="inlineStr">
        <is>
          <t>XS</t>
        </is>
      </c>
      <c r="H56" s="156" t="inlineStr">
        <is>
          <t>Denver</t>
        </is>
      </c>
      <c r="I56" s="156" t="inlineStr">
        <is>
          <t>Camisa Denver dama estampado flor de yuca verde</t>
        </is>
      </c>
      <c r="J56" s="156" t="inlineStr">
        <is>
          <t>Ropa</t>
        </is>
      </c>
      <c r="K56" s="156" t="inlineStr">
        <is>
          <t>Camisas</t>
        </is>
      </c>
      <c r="L56" s="156" t="inlineStr">
        <is>
          <t>Mujer</t>
        </is>
      </c>
      <c r="M56" s="156" t="inlineStr">
        <is>
          <t>Denver</t>
        </is>
      </c>
      <c r="N56" s="156" t="inlineStr">
        <is>
          <t>SS26</t>
        </is>
      </c>
      <c r="O56" s="156" t="inlineStr">
        <is>
          <t>Seasonal</t>
        </is>
      </c>
      <c r="P56" s="156" t="inlineStr">
        <is>
          <t>Verde</t>
        </is>
      </c>
      <c r="Q56" s="156" t="inlineStr">
        <is>
          <t>Regular</t>
        </is>
      </c>
      <c r="R56" s="156" t="n"/>
      <c r="S56" s="156" t="inlineStr">
        <is>
          <t>100% Rayón</t>
        </is>
      </c>
      <c r="T56" s="156" t="inlineStr">
        <is>
          <t>Camisa Denver dama estampado flor de yuca verde Regular</t>
        </is>
      </c>
      <c r="U56" s="156" t="inlineStr">
        <is>
          <t>México</t>
        </is>
      </c>
      <c r="V56" s="156" t="inlineStr">
        <is>
          <t>PZS</t>
        </is>
      </c>
      <c r="W56" s="51" t="inlineStr">
        <is>
          <t>53101604</t>
        </is>
      </c>
      <c r="X56" s="156" t="n"/>
      <c r="Y56" s="54" t="n">
        <v>336</v>
      </c>
      <c r="Z56" s="54" t="n">
        <v>775</v>
      </c>
      <c r="AA56" s="55">
        <f>IF(AND(A56="", B56="", E56=""), "", IF(AB56="", "Válido", IF((LEN(AB56)-LEN(SUBSTITUTE(AB56,"; ","")))/2+1&gt;(LEN(AB56)-LEN(SUBSTITUTE(AB56,"[Aviso]","")))/7, "Con Incidencias", "Válido")))</f>
        <v/>
      </c>
      <c r="AB56" s="56">
        <f>IF(AND(A56="", B56="", E56=""), "", TEXTJOIN("; ", TRUE, IF(OR(TRIM(A56&amp;"")="", ISNUMBER(SEARCH("FALTA", A56))), "UPC faltante/inválido", ""), IF(AND(A56&lt;&gt;"", IFERROR(_xlfn.XMATCH(A56,$A$2:$A$204,0,1)&lt;&gt;_xlfn.XMATCH(A56,$A$2:$A$204,0,-1),FALSE)), "Código de barras duplicado", ""), IF(AND(E56&lt;&gt;"", COUNTIF($E$2:$E$204, E56)&gt;1), "SKU duplicado", ""), IF(OR(J56="", J56=""), "[Aviso] División no capturada ()", IF(ISNA(MATCH(J56, Criterios!$A$123:$A$126, 0)), "División no válida", "")), IF(OR(K56="", K56=""), "[Aviso] Categoría no capturada ()", IF(ISNA(MATCH(K56, Criterios!$A$81:$A$120, 0)), "Categoría no válida", IF(AND(J56&lt;&gt;"", J56&lt;&gt;"", J56&lt;&gt;VLOOKUP(K56, Criterios!$A$81:$B$120, 2, FALSE)), "División no coincide con Categoría", ""))), IF(OR(L56="", L56=""), "[Aviso] Género no capturado ()", IF(ISNA(MATCH(L56, Criterios!$B$123:$B$127, 0)), "Género no válido", "")), IF(OR(N56="", N56=""), "[Aviso] Temporada no capturada ()", IF(ISNA(MATCH(N56, Criterios!$C$123:$C$128, 0)), "Temporada no válida", "")), IF(OR(O56="", O56=""), "[Aviso] Ciclo de vida no capturado ()", IF(ISNA(MATCH(O56, Criterios!$D$123:$D$124, 0)), "Ciclo de vida no válido", ""))))</f>
        <v/>
      </c>
      <c r="AC56" s="56" t="n"/>
      <c r="AD56" s="51" t="n">
        <v>4</v>
      </c>
      <c r="AE56" s="156" t="inlineStr">
        <is>
          <t>WB OUTLET LERMA: 4</t>
        </is>
      </c>
      <c r="AF56" s="51" t="n">
        <v>4</v>
      </c>
      <c r="AG56" s="156" t="inlineStr">
        <is>
          <t>Nuevo – NetSuite con existencia</t>
        </is>
      </c>
      <c r="AH56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56" s="156" t="inlineStr">
        <is>
          <t>No</t>
        </is>
      </c>
      <c r="AJ56" s="156" t="n"/>
      <c r="AK56" s="155" t="inlineStr">
        <is>
          <t>ProductosCatalogoEstandar907.xlsx: fila 5105 [N,O,Q,S,U,Y]; G1522_Extraccion_Articulos_NetSuite_2026-09-30.xlsx: fila 56573 [P,V,Y,T] | Shopify WB: producto 8569958039737 / variante 47621319033017</t>
        </is>
      </c>
      <c r="AL56" s="58" t="n">
        <v>336</v>
      </c>
      <c r="AM56" s="58" t="n">
        <v>899</v>
      </c>
      <c r="AN56" s="155" t="inlineStr">
        <is>
          <t>Shopify Western Brothers</t>
        </is>
      </c>
      <c r="AO56" s="59" t="n"/>
      <c r="AP56" s="59" t="n">
        <v>4</v>
      </c>
      <c r="AQ56" s="59" t="n"/>
      <c r="AR56" s="155" t="inlineStr">
        <is>
          <t>Shopify Western Brothers › Western Brothers Outlet Lerma: 4</t>
        </is>
      </c>
    </row>
    <row r="57">
      <c r="A57" s="50" t="inlineStr">
        <is>
          <t>7506499530095</t>
        </is>
      </c>
      <c r="B57" s="51" t="inlineStr">
        <is>
          <t>108415</t>
        </is>
      </c>
      <c r="C57" s="156" t="inlineStr">
        <is>
          <t>Multimarca</t>
        </is>
      </c>
      <c r="D57" s="156" t="inlineStr">
        <is>
          <t>C-CM128</t>
        </is>
      </c>
      <c r="E57" s="156" t="inlineStr">
        <is>
          <t>C-CM128-S</t>
        </is>
      </c>
      <c r="F57" s="156" t="inlineStr">
        <is>
          <t>S</t>
        </is>
      </c>
      <c r="G57" s="156" t="inlineStr">
        <is>
          <t>S</t>
        </is>
      </c>
      <c r="H57" s="156" t="inlineStr">
        <is>
          <t>Denver</t>
        </is>
      </c>
      <c r="I57" s="156" t="inlineStr">
        <is>
          <t>Camisa Denver dama estampado flor de yuca verde</t>
        </is>
      </c>
      <c r="J57" s="156" t="inlineStr">
        <is>
          <t>Ropa</t>
        </is>
      </c>
      <c r="K57" s="156" t="inlineStr">
        <is>
          <t>Camisas</t>
        </is>
      </c>
      <c r="L57" s="156" t="inlineStr">
        <is>
          <t>Mujer</t>
        </is>
      </c>
      <c r="M57" s="156" t="inlineStr">
        <is>
          <t>Denver</t>
        </is>
      </c>
      <c r="N57" s="156" t="inlineStr">
        <is>
          <t>SS26</t>
        </is>
      </c>
      <c r="O57" s="156" t="inlineStr">
        <is>
          <t>Seasonal</t>
        </is>
      </c>
      <c r="P57" s="156" t="inlineStr">
        <is>
          <t>Verde</t>
        </is>
      </c>
      <c r="Q57" s="156" t="inlineStr">
        <is>
          <t>Regular</t>
        </is>
      </c>
      <c r="R57" s="156" t="n"/>
      <c r="S57" s="156" t="inlineStr">
        <is>
          <t>100% Rayón</t>
        </is>
      </c>
      <c r="T57" s="156" t="inlineStr">
        <is>
          <t>Camisa Denver dama estampado flor de yuca verde Regular</t>
        </is>
      </c>
      <c r="U57" s="156" t="inlineStr">
        <is>
          <t>México</t>
        </is>
      </c>
      <c r="V57" s="156" t="inlineStr">
        <is>
          <t>PZS</t>
        </is>
      </c>
      <c r="W57" s="51" t="inlineStr">
        <is>
          <t>53101604</t>
        </is>
      </c>
      <c r="X57" s="156" t="n"/>
      <c r="Y57" s="54" t="n">
        <v>336</v>
      </c>
      <c r="Z57" s="54" t="n">
        <v>775</v>
      </c>
      <c r="AA57" s="55">
        <f>IF(AND(A57="", B57="", E57=""), "", IF(AB57="", "Válido", IF((LEN(AB57)-LEN(SUBSTITUTE(AB57,"; ","")))/2+1&gt;(LEN(AB57)-LEN(SUBSTITUTE(AB57,"[Aviso]","")))/7, "Con Incidencias", "Válido")))</f>
        <v/>
      </c>
      <c r="AB57" s="56">
        <f>IF(AND(A57="", B57="", E57=""), "", TEXTJOIN("; ", TRUE, IF(OR(TRIM(A57&amp;"")="", ISNUMBER(SEARCH("FALTA", A57))), "UPC faltante/inválido", ""), IF(AND(A57&lt;&gt;"", IFERROR(_xlfn.XMATCH(A57,$A$2:$A$204,0,1)&lt;&gt;_xlfn.XMATCH(A57,$A$2:$A$204,0,-1),FALSE)), "Código de barras duplicado", ""), IF(AND(E57&lt;&gt;"", COUNTIF($E$2:$E$204, E57)&gt;1), "SKU duplicado", ""), IF(OR(J57="", J57=""), "[Aviso] División no capturada ()", IF(ISNA(MATCH(J57, Criterios!$A$123:$A$126, 0)), "División no válida", "")), IF(OR(K57="", K57=""), "[Aviso] Categoría no capturada ()", IF(ISNA(MATCH(K57, Criterios!$A$81:$A$120, 0)), "Categoría no válida", IF(AND(J57&lt;&gt;"", J57&lt;&gt;"", J57&lt;&gt;VLOOKUP(K57, Criterios!$A$81:$B$120, 2, FALSE)), "División no coincide con Categoría", ""))), IF(OR(L57="", L57=""), "[Aviso] Género no capturado ()", IF(ISNA(MATCH(L57, Criterios!$B$123:$B$127, 0)), "Género no válido", "")), IF(OR(N57="", N57=""), "[Aviso] Temporada no capturada ()", IF(ISNA(MATCH(N57, Criterios!$C$123:$C$128, 0)), "Temporada no válida", "")), IF(OR(O57="", O57=""), "[Aviso] Ciclo de vida no capturado ()", IF(ISNA(MATCH(O57, Criterios!$D$123:$D$124, 0)), "Ciclo de vida no válido", ""))))</f>
        <v/>
      </c>
      <c r="AC57" s="56" t="n"/>
      <c r="AD57" s="51" t="n">
        <v>4</v>
      </c>
      <c r="AE57" s="156" t="inlineStr">
        <is>
          <t>WB OUTLET LERMA: 4</t>
        </is>
      </c>
      <c r="AF57" s="51" t="n">
        <v>4</v>
      </c>
      <c r="AG57" s="156" t="inlineStr">
        <is>
          <t>Nuevo – NetSuite con existencia</t>
        </is>
      </c>
      <c r="AH57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57" s="156" t="inlineStr">
        <is>
          <t>No</t>
        </is>
      </c>
      <c r="AJ57" s="156" t="n"/>
      <c r="AK57" s="155" t="inlineStr">
        <is>
          <t>ProductosCatalogoEstandar907.xlsx: fila 5106 [N,O,Q,S,U,Y]; G1522_Extraccion_Articulos_NetSuite_2026-09-30.xlsx: fila 56574 [P,V,Y,T] | Shopify WB: producto 8569958039737 / variante 47621319065785</t>
        </is>
      </c>
      <c r="AL57" s="58" t="n">
        <v>336</v>
      </c>
      <c r="AM57" s="58" t="n">
        <v>899</v>
      </c>
      <c r="AN57" s="155" t="inlineStr">
        <is>
          <t>Shopify Western Brothers</t>
        </is>
      </c>
      <c r="AO57" s="59" t="n"/>
      <c r="AP57" s="59" t="n">
        <v>4</v>
      </c>
      <c r="AQ57" s="59" t="n"/>
      <c r="AR57" s="155" t="inlineStr">
        <is>
          <t>Shopify Western Brothers › Western Brothers Outlet Lerma: 4</t>
        </is>
      </c>
    </row>
    <row r="58">
      <c r="A58" s="50" t="inlineStr">
        <is>
          <t>7506499530101</t>
        </is>
      </c>
      <c r="B58" s="51" t="inlineStr">
        <is>
          <t>108416</t>
        </is>
      </c>
      <c r="C58" s="156" t="inlineStr">
        <is>
          <t>Multimarca</t>
        </is>
      </c>
      <c r="D58" s="156" t="inlineStr">
        <is>
          <t>C-CM128</t>
        </is>
      </c>
      <c r="E58" s="156" t="inlineStr">
        <is>
          <t>C-CM128-M</t>
        </is>
      </c>
      <c r="F58" s="156" t="inlineStr">
        <is>
          <t>M</t>
        </is>
      </c>
      <c r="G58" s="156" t="inlineStr">
        <is>
          <t>M</t>
        </is>
      </c>
      <c r="H58" s="156" t="inlineStr">
        <is>
          <t>Denver</t>
        </is>
      </c>
      <c r="I58" s="156" t="inlineStr">
        <is>
          <t>Camisa Denver dama estampado flor de yuca verde</t>
        </is>
      </c>
      <c r="J58" s="156" t="inlineStr">
        <is>
          <t>Ropa</t>
        </is>
      </c>
      <c r="K58" s="156" t="inlineStr">
        <is>
          <t>Camisas</t>
        </is>
      </c>
      <c r="L58" s="156" t="inlineStr">
        <is>
          <t>Mujer</t>
        </is>
      </c>
      <c r="M58" s="156" t="inlineStr">
        <is>
          <t>Denver</t>
        </is>
      </c>
      <c r="N58" s="156" t="inlineStr">
        <is>
          <t>SS26</t>
        </is>
      </c>
      <c r="O58" s="156" t="inlineStr">
        <is>
          <t>Seasonal</t>
        </is>
      </c>
      <c r="P58" s="156" t="inlineStr">
        <is>
          <t>Verde</t>
        </is>
      </c>
      <c r="Q58" s="156" t="inlineStr">
        <is>
          <t>Regular</t>
        </is>
      </c>
      <c r="R58" s="156" t="n"/>
      <c r="S58" s="156" t="inlineStr">
        <is>
          <t>100% Rayón</t>
        </is>
      </c>
      <c r="T58" s="156" t="inlineStr">
        <is>
          <t>Camisa Denver dama estampado flor de yuca verde Regular</t>
        </is>
      </c>
      <c r="U58" s="156" t="inlineStr">
        <is>
          <t>México</t>
        </is>
      </c>
      <c r="V58" s="156" t="inlineStr">
        <is>
          <t>PZS</t>
        </is>
      </c>
      <c r="W58" s="51" t="inlineStr">
        <is>
          <t>53101604</t>
        </is>
      </c>
      <c r="X58" s="156" t="n"/>
      <c r="Y58" s="54" t="n">
        <v>336</v>
      </c>
      <c r="Z58" s="54" t="n">
        <v>775</v>
      </c>
      <c r="AA58" s="55">
        <f>IF(AND(A58="", B58="", E58=""), "", IF(AB58="", "Válido", IF((LEN(AB58)-LEN(SUBSTITUTE(AB58,"; ","")))/2+1&gt;(LEN(AB58)-LEN(SUBSTITUTE(AB58,"[Aviso]","")))/7, "Con Incidencias", "Válido")))</f>
        <v/>
      </c>
      <c r="AB58" s="56">
        <f>IF(AND(A58="", B58="", E58=""), "", TEXTJOIN("; ", TRUE, IF(OR(TRIM(A58&amp;"")="", ISNUMBER(SEARCH("FALTA", A58))), "UPC faltante/inválido", ""), IF(AND(A58&lt;&gt;"", IFERROR(_xlfn.XMATCH(A58,$A$2:$A$204,0,1)&lt;&gt;_xlfn.XMATCH(A58,$A$2:$A$204,0,-1),FALSE)), "Código de barras duplicado", ""), IF(AND(E58&lt;&gt;"", COUNTIF($E$2:$E$204, E58)&gt;1), "SKU duplicado", ""), IF(OR(J58="", J58=""), "[Aviso] División no capturada ()", IF(ISNA(MATCH(J58, Criterios!$A$123:$A$126, 0)), "División no válida", "")), IF(OR(K58="", K58=""), "[Aviso] Categoría no capturada ()", IF(ISNA(MATCH(K58, Criterios!$A$81:$A$120, 0)), "Categoría no válida", IF(AND(J58&lt;&gt;"", J58&lt;&gt;"", J58&lt;&gt;VLOOKUP(K58, Criterios!$A$81:$B$120, 2, FALSE)), "División no coincide con Categoría", ""))), IF(OR(L58="", L58=""), "[Aviso] Género no capturado ()", IF(ISNA(MATCH(L58, Criterios!$B$123:$B$127, 0)), "Género no válido", "")), IF(OR(N58="", N58=""), "[Aviso] Temporada no capturada ()", IF(ISNA(MATCH(N58, Criterios!$C$123:$C$128, 0)), "Temporada no válida", "")), IF(OR(O58="", O58=""), "[Aviso] Ciclo de vida no capturado ()", IF(ISNA(MATCH(O58, Criterios!$D$123:$D$124, 0)), "Ciclo de vida no válido", ""))))</f>
        <v/>
      </c>
      <c r="AC58" s="56" t="n"/>
      <c r="AD58" s="51" t="n">
        <v>2</v>
      </c>
      <c r="AE58" s="156" t="inlineStr">
        <is>
          <t>WB OUTLET LERMA: 2</t>
        </is>
      </c>
      <c r="AF58" s="51" t="n">
        <v>2</v>
      </c>
      <c r="AG58" s="156" t="inlineStr">
        <is>
          <t>Nuevo – NetSuite con existencia</t>
        </is>
      </c>
      <c r="AH58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58" s="156" t="inlineStr">
        <is>
          <t>No</t>
        </is>
      </c>
      <c r="AJ58" s="156" t="n"/>
      <c r="AK58" s="155" t="inlineStr">
        <is>
          <t>ProductosCatalogoEstandar907.xlsx: fila 5107 [N,O,Q,S,U,Y]; G1522_Extraccion_Articulos_NetSuite_2026-09-30.xlsx: fila 56575 [P,V,Y,T] | Shopify WB: producto 8569958039737 / variante 47621319098553</t>
        </is>
      </c>
      <c r="AL58" s="58" t="n">
        <v>336</v>
      </c>
      <c r="AM58" s="58" t="n">
        <v>899</v>
      </c>
      <c r="AN58" s="155" t="inlineStr">
        <is>
          <t>Shopify Western Brothers</t>
        </is>
      </c>
      <c r="AO58" s="59" t="n"/>
      <c r="AP58" s="59" t="n">
        <v>2</v>
      </c>
      <c r="AQ58" s="59" t="n"/>
      <c r="AR58" s="155" t="inlineStr">
        <is>
          <t>Shopify Western Brothers › Western Brothers Outlet Lerma: 2</t>
        </is>
      </c>
    </row>
    <row r="59">
      <c r="A59" s="50" t="inlineStr">
        <is>
          <t>7506499530118</t>
        </is>
      </c>
      <c r="B59" s="51" t="inlineStr">
        <is>
          <t>108417</t>
        </is>
      </c>
      <c r="C59" s="156" t="inlineStr">
        <is>
          <t>Multimarca</t>
        </is>
      </c>
      <c r="D59" s="156" t="inlineStr">
        <is>
          <t>C-CM128</t>
        </is>
      </c>
      <c r="E59" s="156" t="inlineStr">
        <is>
          <t>C-CM128-L</t>
        </is>
      </c>
      <c r="F59" s="156" t="inlineStr">
        <is>
          <t>L</t>
        </is>
      </c>
      <c r="G59" s="156" t="inlineStr">
        <is>
          <t>L</t>
        </is>
      </c>
      <c r="H59" s="156" t="inlineStr">
        <is>
          <t>Denver</t>
        </is>
      </c>
      <c r="I59" s="156" t="inlineStr">
        <is>
          <t>Camisa Denver dama estampado flor de yuca verde</t>
        </is>
      </c>
      <c r="J59" s="156" t="inlineStr">
        <is>
          <t>Ropa</t>
        </is>
      </c>
      <c r="K59" s="156" t="inlineStr">
        <is>
          <t>Camisas</t>
        </is>
      </c>
      <c r="L59" s="156" t="inlineStr">
        <is>
          <t>Mujer</t>
        </is>
      </c>
      <c r="M59" s="156" t="inlineStr">
        <is>
          <t>Denver</t>
        </is>
      </c>
      <c r="N59" s="156" t="inlineStr">
        <is>
          <t>SS26</t>
        </is>
      </c>
      <c r="O59" s="156" t="inlineStr">
        <is>
          <t>Seasonal</t>
        </is>
      </c>
      <c r="P59" s="156" t="inlineStr">
        <is>
          <t>Verde</t>
        </is>
      </c>
      <c r="Q59" s="156" t="inlineStr">
        <is>
          <t>Regular</t>
        </is>
      </c>
      <c r="R59" s="156" t="n"/>
      <c r="S59" s="156" t="inlineStr">
        <is>
          <t>100% Rayón</t>
        </is>
      </c>
      <c r="T59" s="156" t="inlineStr">
        <is>
          <t>Camisa Denver dama estampado flor de yuca verde Regular</t>
        </is>
      </c>
      <c r="U59" s="156" t="inlineStr">
        <is>
          <t>México</t>
        </is>
      </c>
      <c r="V59" s="156" t="inlineStr">
        <is>
          <t>PZS</t>
        </is>
      </c>
      <c r="W59" s="51" t="inlineStr">
        <is>
          <t>53101604</t>
        </is>
      </c>
      <c r="X59" s="156" t="n"/>
      <c r="Y59" s="54" t="n">
        <v>336</v>
      </c>
      <c r="Z59" s="54" t="n">
        <v>775</v>
      </c>
      <c r="AA59" s="55">
        <f>IF(AND(A59="", B59="", E59=""), "", IF(AB59="", "Válido", IF((LEN(AB59)-LEN(SUBSTITUTE(AB59,"; ","")))/2+1&gt;(LEN(AB59)-LEN(SUBSTITUTE(AB59,"[Aviso]","")))/7, "Con Incidencias", "Válido")))</f>
        <v/>
      </c>
      <c r="AB59" s="56">
        <f>IF(AND(A59="", B59="", E59=""), "", TEXTJOIN("; ", TRUE, IF(OR(TRIM(A59&amp;"")="", ISNUMBER(SEARCH("FALTA", A59))), "UPC faltante/inválido", ""), IF(AND(A59&lt;&gt;"", IFERROR(_xlfn.XMATCH(A59,$A$2:$A$204,0,1)&lt;&gt;_xlfn.XMATCH(A59,$A$2:$A$204,0,-1),FALSE)), "Código de barras duplicado", ""), IF(AND(E59&lt;&gt;"", COUNTIF($E$2:$E$204, E59)&gt;1), "SKU duplicado", ""), IF(OR(J59="", J59=""), "[Aviso] División no capturada ()", IF(ISNA(MATCH(J59, Criterios!$A$123:$A$126, 0)), "División no válida", "")), IF(OR(K59="", K59=""), "[Aviso] Categoría no capturada ()", IF(ISNA(MATCH(K59, Criterios!$A$81:$A$120, 0)), "Categoría no válida", IF(AND(J59&lt;&gt;"", J59&lt;&gt;"", J59&lt;&gt;VLOOKUP(K59, Criterios!$A$81:$B$120, 2, FALSE)), "División no coincide con Categoría", ""))), IF(OR(L59="", L59=""), "[Aviso] Género no capturado ()", IF(ISNA(MATCH(L59, Criterios!$B$123:$B$127, 0)), "Género no válido", "")), IF(OR(N59="", N59=""), "[Aviso] Temporada no capturada ()", IF(ISNA(MATCH(N59, Criterios!$C$123:$C$128, 0)), "Temporada no válida", "")), IF(OR(O59="", O59=""), "[Aviso] Ciclo de vida no capturado ()", IF(ISNA(MATCH(O59, Criterios!$D$123:$D$124, 0)), "Ciclo de vida no válido", ""))))</f>
        <v/>
      </c>
      <c r="AC59" s="56" t="n"/>
      <c r="AD59" s="51" t="n">
        <v>4</v>
      </c>
      <c r="AE59" s="156" t="inlineStr">
        <is>
          <t>WB OUTLET LERMA: 4</t>
        </is>
      </c>
      <c r="AF59" s="51" t="n">
        <v>4</v>
      </c>
      <c r="AG59" s="156" t="inlineStr">
        <is>
          <t>Nuevo – NetSuite con existencia</t>
        </is>
      </c>
      <c r="AH59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59" s="156" t="inlineStr">
        <is>
          <t>No</t>
        </is>
      </c>
      <c r="AJ59" s="156" t="n"/>
      <c r="AK59" s="155" t="inlineStr">
        <is>
          <t>ProductosCatalogoEstandar907.xlsx: fila 5108 [N,O,Q,S,U,Y]; G1522_Extraccion_Articulos_NetSuite_2026-09-30.xlsx: fila 56576 [P,V,Y,T] | Shopify WB: producto 8569958039737 / variante 47621319131321</t>
        </is>
      </c>
      <c r="AL59" s="58" t="n">
        <v>336</v>
      </c>
      <c r="AM59" s="58" t="n">
        <v>899</v>
      </c>
      <c r="AN59" s="155" t="inlineStr">
        <is>
          <t>Shopify Western Brothers</t>
        </is>
      </c>
      <c r="AO59" s="59" t="n"/>
      <c r="AP59" s="59" t="n">
        <v>4</v>
      </c>
      <c r="AQ59" s="59" t="n"/>
      <c r="AR59" s="155" t="inlineStr">
        <is>
          <t>Shopify Western Brothers › Western Brothers Outlet Lerma: 4</t>
        </is>
      </c>
    </row>
    <row r="60">
      <c r="A60" s="50" t="inlineStr">
        <is>
          <t>7506499530125</t>
        </is>
      </c>
      <c r="B60" s="51" t="inlineStr">
        <is>
          <t>108418</t>
        </is>
      </c>
      <c r="C60" s="156" t="inlineStr">
        <is>
          <t>Multimarca</t>
        </is>
      </c>
      <c r="D60" s="156" t="inlineStr">
        <is>
          <t>C-CM128</t>
        </is>
      </c>
      <c r="E60" s="156" t="inlineStr">
        <is>
          <t>C-CM128-XL</t>
        </is>
      </c>
      <c r="F60" s="156" t="inlineStr">
        <is>
          <t>XL</t>
        </is>
      </c>
      <c r="G60" s="156" t="inlineStr">
        <is>
          <t>XL</t>
        </is>
      </c>
      <c r="H60" s="156" t="inlineStr">
        <is>
          <t>Denver</t>
        </is>
      </c>
      <c r="I60" s="156" t="inlineStr">
        <is>
          <t>Camisa Denver dama estampado flor de yuca verde</t>
        </is>
      </c>
      <c r="J60" s="156" t="inlineStr">
        <is>
          <t>Ropa</t>
        </is>
      </c>
      <c r="K60" s="156" t="inlineStr">
        <is>
          <t>Camisas</t>
        </is>
      </c>
      <c r="L60" s="156" t="inlineStr">
        <is>
          <t>Mujer</t>
        </is>
      </c>
      <c r="M60" s="156" t="inlineStr">
        <is>
          <t>Denver</t>
        </is>
      </c>
      <c r="N60" s="156" t="inlineStr">
        <is>
          <t>SS26</t>
        </is>
      </c>
      <c r="O60" s="156" t="inlineStr">
        <is>
          <t>Seasonal</t>
        </is>
      </c>
      <c r="P60" s="156" t="inlineStr">
        <is>
          <t>Verde</t>
        </is>
      </c>
      <c r="Q60" s="156" t="inlineStr">
        <is>
          <t>Regular</t>
        </is>
      </c>
      <c r="R60" s="156" t="n"/>
      <c r="S60" s="156" t="inlineStr">
        <is>
          <t>100% Rayón</t>
        </is>
      </c>
      <c r="T60" s="156" t="inlineStr">
        <is>
          <t>Camisa Denver dama estampado flor de yuca verde Regular</t>
        </is>
      </c>
      <c r="U60" s="156" t="inlineStr">
        <is>
          <t>México</t>
        </is>
      </c>
      <c r="V60" s="156" t="inlineStr">
        <is>
          <t>PZS</t>
        </is>
      </c>
      <c r="W60" s="51" t="inlineStr">
        <is>
          <t>53101604</t>
        </is>
      </c>
      <c r="X60" s="156" t="n"/>
      <c r="Y60" s="54" t="n">
        <v>336</v>
      </c>
      <c r="Z60" s="54" t="n">
        <v>775</v>
      </c>
      <c r="AA60" s="55">
        <f>IF(AND(A60="", B60="", E60=""), "", IF(AB60="", "Válido", IF((LEN(AB60)-LEN(SUBSTITUTE(AB60,"; ","")))/2+1&gt;(LEN(AB60)-LEN(SUBSTITUTE(AB60,"[Aviso]","")))/7, "Con Incidencias", "Válido")))</f>
        <v/>
      </c>
      <c r="AB60" s="56">
        <f>IF(AND(A60="", B60="", E60=""), "", TEXTJOIN("; ", TRUE, IF(OR(TRIM(A60&amp;"")="", ISNUMBER(SEARCH("FALTA", A60))), "UPC faltante/inválido", ""), IF(AND(A60&lt;&gt;"", IFERROR(_xlfn.XMATCH(A60,$A$2:$A$204,0,1)&lt;&gt;_xlfn.XMATCH(A60,$A$2:$A$204,0,-1),FALSE)), "Código de barras duplicado", ""), IF(AND(E60&lt;&gt;"", COUNTIF($E$2:$E$204, E60)&gt;1), "SKU duplicado", ""), IF(OR(J60="", J60=""), "[Aviso] División no capturada ()", IF(ISNA(MATCH(J60, Criterios!$A$123:$A$126, 0)), "División no válida", "")), IF(OR(K60="", K60=""), "[Aviso] Categoría no capturada ()", IF(ISNA(MATCH(K60, Criterios!$A$81:$A$120, 0)), "Categoría no válida", IF(AND(J60&lt;&gt;"", J60&lt;&gt;"", J60&lt;&gt;VLOOKUP(K60, Criterios!$A$81:$B$120, 2, FALSE)), "División no coincide con Categoría", ""))), IF(OR(L60="", L60=""), "[Aviso] Género no capturado ()", IF(ISNA(MATCH(L60, Criterios!$B$123:$B$127, 0)), "Género no válido", "")), IF(OR(N60="", N60=""), "[Aviso] Temporada no capturada ()", IF(ISNA(MATCH(N60, Criterios!$C$123:$C$128, 0)), "Temporada no válida", "")), IF(OR(O60="", O60=""), "[Aviso] Ciclo de vida no capturado ()", IF(ISNA(MATCH(O60, Criterios!$D$123:$D$124, 0)), "Ciclo de vida no válido", ""))))</f>
        <v/>
      </c>
      <c r="AC60" s="56" t="n"/>
      <c r="AD60" s="51" t="n">
        <v>1</v>
      </c>
      <c r="AE60" s="156" t="inlineStr">
        <is>
          <t>WB OUTLET LERMA: 1</t>
        </is>
      </c>
      <c r="AF60" s="51" t="n">
        <v>1</v>
      </c>
      <c r="AG60" s="156" t="inlineStr">
        <is>
          <t>Nuevo – NetSuite con existencia</t>
        </is>
      </c>
      <c r="AH60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60" s="156" t="inlineStr">
        <is>
          <t>No</t>
        </is>
      </c>
      <c r="AJ60" s="156" t="n"/>
      <c r="AK60" s="155" t="inlineStr">
        <is>
          <t>ProductosCatalogoEstandar907.xlsx: fila 5109 [N,O,Q,S,U,Y]; G1522_Extraccion_Articulos_NetSuite_2026-09-30.xlsx: fila 56577 [P,V,Y,T] | Shopify WB: producto 8569958039737 / variante 47621319164089</t>
        </is>
      </c>
      <c r="AL60" s="58" t="n">
        <v>336</v>
      </c>
      <c r="AM60" s="58" t="n">
        <v>899</v>
      </c>
      <c r="AN60" s="155" t="inlineStr">
        <is>
          <t>Shopify Western Brothers</t>
        </is>
      </c>
      <c r="AO60" s="59" t="n"/>
      <c r="AP60" s="59" t="n">
        <v>1</v>
      </c>
      <c r="AQ60" s="59" t="n"/>
      <c r="AR60" s="155" t="inlineStr">
        <is>
          <t>Shopify Western Brothers › Western Brothers Outlet Lerma: 1</t>
        </is>
      </c>
    </row>
    <row r="61">
      <c r="A61" s="50" t="inlineStr">
        <is>
          <t>7506499530132</t>
        </is>
      </c>
      <c r="B61" s="51" t="inlineStr">
        <is>
          <t>108576</t>
        </is>
      </c>
      <c r="C61" s="156" t="inlineStr">
        <is>
          <t>Multimarca</t>
        </is>
      </c>
      <c r="D61" s="156" t="inlineStr">
        <is>
          <t>C-CM130</t>
        </is>
      </c>
      <c r="E61" s="156" t="inlineStr">
        <is>
          <t>C-CM130-XS</t>
        </is>
      </c>
      <c r="F61" s="156" t="inlineStr">
        <is>
          <t>XS</t>
        </is>
      </c>
      <c r="G61" s="156" t="inlineStr">
        <is>
          <t>XS</t>
        </is>
      </c>
      <c r="H61" s="156" t="inlineStr">
        <is>
          <t>Denver</t>
        </is>
      </c>
      <c r="I61" s="156" t="inlineStr">
        <is>
          <t>Camisa Denver dama estampado establo</t>
        </is>
      </c>
      <c r="J61" s="156" t="inlineStr">
        <is>
          <t>Ropa</t>
        </is>
      </c>
      <c r="K61" s="156" t="inlineStr">
        <is>
          <t>Camisas</t>
        </is>
      </c>
      <c r="L61" s="156" t="inlineStr">
        <is>
          <t>Mujer</t>
        </is>
      </c>
      <c r="M61" s="156" t="inlineStr">
        <is>
          <t>Denver</t>
        </is>
      </c>
      <c r="N61" s="156" t="inlineStr">
        <is>
          <t>SS26</t>
        </is>
      </c>
      <c r="O61" s="156" t="inlineStr">
        <is>
          <t>Seasonal</t>
        </is>
      </c>
      <c r="P61" s="156" t="inlineStr">
        <is>
          <t>Cafe</t>
        </is>
      </c>
      <c r="Q61" s="156" t="inlineStr">
        <is>
          <t>Regular</t>
        </is>
      </c>
      <c r="R61" s="156" t="n"/>
      <c r="S61" s="156" t="inlineStr">
        <is>
          <t>100% Rayón</t>
        </is>
      </c>
      <c r="T61" s="156" t="inlineStr">
        <is>
          <t>Camisa Denver dama estampado establo Regular</t>
        </is>
      </c>
      <c r="U61" s="156" t="inlineStr">
        <is>
          <t>México</t>
        </is>
      </c>
      <c r="V61" s="156" t="inlineStr">
        <is>
          <t>PZS</t>
        </is>
      </c>
      <c r="W61" s="51" t="inlineStr">
        <is>
          <t>53101604</t>
        </is>
      </c>
      <c r="X61" s="156" t="n"/>
      <c r="Y61" s="54" t="n">
        <v>336</v>
      </c>
      <c r="Z61" s="54" t="n">
        <v>775</v>
      </c>
      <c r="AA61" s="55">
        <f>IF(AND(A61="", B61="", E61=""), "", IF(AB61="", "Válido", IF((LEN(AB61)-LEN(SUBSTITUTE(AB61,"; ","")))/2+1&gt;(LEN(AB61)-LEN(SUBSTITUTE(AB61,"[Aviso]","")))/7, "Con Incidencias", "Válido")))</f>
        <v/>
      </c>
      <c r="AB61" s="56">
        <f>IF(AND(A61="", B61="", E61=""), "", TEXTJOIN("; ", TRUE, IF(OR(TRIM(A61&amp;"")="", ISNUMBER(SEARCH("FALTA", A61))), "UPC faltante/inválido", ""), IF(AND(A61&lt;&gt;"", IFERROR(_xlfn.XMATCH(A61,$A$2:$A$204,0,1)&lt;&gt;_xlfn.XMATCH(A61,$A$2:$A$204,0,-1),FALSE)), "Código de barras duplicado", ""), IF(AND(E61&lt;&gt;"", COUNTIF($E$2:$E$204, E61)&gt;1), "SKU duplicado", ""), IF(OR(J61="", J61=""), "[Aviso] División no capturada ()", IF(ISNA(MATCH(J61, Criterios!$A$123:$A$126, 0)), "División no válida", "")), IF(OR(K61="", K61=""), "[Aviso] Categoría no capturada ()", IF(ISNA(MATCH(K61, Criterios!$A$81:$A$120, 0)), "Categoría no válida", IF(AND(J61&lt;&gt;"", J61&lt;&gt;"", J61&lt;&gt;VLOOKUP(K61, Criterios!$A$81:$B$120, 2, FALSE)), "División no coincide con Categoría", ""))), IF(OR(L61="", L61=""), "[Aviso] Género no capturado ()", IF(ISNA(MATCH(L61, Criterios!$B$123:$B$127, 0)), "Género no válido", "")), IF(OR(N61="", N61=""), "[Aviso] Temporada no capturada ()", IF(ISNA(MATCH(N61, Criterios!$C$123:$C$128, 0)), "Temporada no válida", "")), IF(OR(O61="", O61=""), "[Aviso] Ciclo de vida no capturado ()", IF(ISNA(MATCH(O61, Criterios!$D$123:$D$124, 0)), "Ciclo de vida no válido", ""))))</f>
        <v/>
      </c>
      <c r="AC61" s="56" t="n"/>
      <c r="AD61" s="51" t="n">
        <v>0</v>
      </c>
      <c r="AE61" s="156" t="n"/>
      <c r="AF61" s="51" t="n">
        <v>0</v>
      </c>
      <c r="AG61" s="156" t="inlineStr">
        <is>
          <t>Nuevo – NetSuite con existencia</t>
        </is>
      </c>
      <c r="AH61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61" s="156" t="inlineStr">
        <is>
          <t>No</t>
        </is>
      </c>
      <c r="AJ61" s="156" t="n"/>
      <c r="AK61" s="155" t="inlineStr">
        <is>
          <t>ProductosCatalogoEstandar907.xlsx: fila 5111 [N,O,Q,S,U,Y]; G1522_Extraccion_Articulos_NetSuite_2026-09-30.xlsx: fila 56735 [P,V,Y,T] | Shopify WB: producto 8569958203577 / variante 47621319491769</t>
        </is>
      </c>
      <c r="AL61" s="58" t="n">
        <v>336</v>
      </c>
      <c r="AM61" s="58" t="n">
        <v>899</v>
      </c>
      <c r="AN61" s="155" t="inlineStr">
        <is>
          <t>Shopify Western Brothers</t>
        </is>
      </c>
      <c r="AO61" s="59" t="n"/>
      <c r="AP61" s="59" t="n">
        <v>0</v>
      </c>
      <c r="AQ61" s="59" t="n"/>
      <c r="AR61" s="155" t="n"/>
    </row>
    <row r="62">
      <c r="A62" s="50" t="inlineStr">
        <is>
          <t>7506499530149</t>
        </is>
      </c>
      <c r="B62" s="51" t="inlineStr">
        <is>
          <t>108577</t>
        </is>
      </c>
      <c r="C62" s="156" t="inlineStr">
        <is>
          <t>Multimarca</t>
        </is>
      </c>
      <c r="D62" s="156" t="inlineStr">
        <is>
          <t>C-CM130</t>
        </is>
      </c>
      <c r="E62" s="156" t="inlineStr">
        <is>
          <t>C-CM130-S</t>
        </is>
      </c>
      <c r="F62" s="156" t="inlineStr">
        <is>
          <t>S</t>
        </is>
      </c>
      <c r="G62" s="156" t="inlineStr">
        <is>
          <t>S</t>
        </is>
      </c>
      <c r="H62" s="156" t="inlineStr">
        <is>
          <t>Denver</t>
        </is>
      </c>
      <c r="I62" s="156" t="inlineStr">
        <is>
          <t>Camisa Denver dama estampado establo</t>
        </is>
      </c>
      <c r="J62" s="156" t="inlineStr">
        <is>
          <t>Ropa</t>
        </is>
      </c>
      <c r="K62" s="156" t="inlineStr">
        <is>
          <t>Camisas</t>
        </is>
      </c>
      <c r="L62" s="156" t="inlineStr">
        <is>
          <t>Mujer</t>
        </is>
      </c>
      <c r="M62" s="156" t="inlineStr">
        <is>
          <t>Denver</t>
        </is>
      </c>
      <c r="N62" s="156" t="inlineStr">
        <is>
          <t>SS26</t>
        </is>
      </c>
      <c r="O62" s="156" t="inlineStr">
        <is>
          <t>Seasonal</t>
        </is>
      </c>
      <c r="P62" s="156" t="inlineStr">
        <is>
          <t>Cafe</t>
        </is>
      </c>
      <c r="Q62" s="156" t="inlineStr">
        <is>
          <t>Regular</t>
        </is>
      </c>
      <c r="R62" s="156" t="n"/>
      <c r="S62" s="156" t="inlineStr">
        <is>
          <t>100% Rayón</t>
        </is>
      </c>
      <c r="T62" s="156" t="inlineStr">
        <is>
          <t>Camisa Denver dama estampado establo Regular</t>
        </is>
      </c>
      <c r="U62" s="156" t="inlineStr">
        <is>
          <t>México</t>
        </is>
      </c>
      <c r="V62" s="156" t="inlineStr">
        <is>
          <t>PZS</t>
        </is>
      </c>
      <c r="W62" s="51" t="inlineStr">
        <is>
          <t>53101604</t>
        </is>
      </c>
      <c r="X62" s="156" t="n"/>
      <c r="Y62" s="54" t="n">
        <v>336</v>
      </c>
      <c r="Z62" s="54" t="n">
        <v>775</v>
      </c>
      <c r="AA62" s="55">
        <f>IF(AND(A62="", B62="", E62=""), "", IF(AB62="", "Válido", IF((LEN(AB62)-LEN(SUBSTITUTE(AB62,"; ","")))/2+1&gt;(LEN(AB62)-LEN(SUBSTITUTE(AB62,"[Aviso]","")))/7, "Con Incidencias", "Válido")))</f>
        <v/>
      </c>
      <c r="AB62" s="56">
        <f>IF(AND(A62="", B62="", E62=""), "", TEXTJOIN("; ", TRUE, IF(OR(TRIM(A62&amp;"")="", ISNUMBER(SEARCH("FALTA", A62))), "UPC faltante/inválido", ""), IF(AND(A62&lt;&gt;"", IFERROR(_xlfn.XMATCH(A62,$A$2:$A$204,0,1)&lt;&gt;_xlfn.XMATCH(A62,$A$2:$A$204,0,-1),FALSE)), "Código de barras duplicado", ""), IF(AND(E62&lt;&gt;"", COUNTIF($E$2:$E$204, E62)&gt;1), "SKU duplicado", ""), IF(OR(J62="", J62=""), "[Aviso] División no capturada ()", IF(ISNA(MATCH(J62, Criterios!$A$123:$A$126, 0)), "División no válida", "")), IF(OR(K62="", K62=""), "[Aviso] Categoría no capturada ()", IF(ISNA(MATCH(K62, Criterios!$A$81:$A$120, 0)), "Categoría no válida", IF(AND(J62&lt;&gt;"", J62&lt;&gt;"", J62&lt;&gt;VLOOKUP(K62, Criterios!$A$81:$B$120, 2, FALSE)), "División no coincide con Categoría", ""))), IF(OR(L62="", L62=""), "[Aviso] Género no capturado ()", IF(ISNA(MATCH(L62, Criterios!$B$123:$B$127, 0)), "Género no válido", "")), IF(OR(N62="", N62=""), "[Aviso] Temporada no capturada ()", IF(ISNA(MATCH(N62, Criterios!$C$123:$C$128, 0)), "Temporada no válida", "")), IF(OR(O62="", O62=""), "[Aviso] Ciclo de vida no capturado ()", IF(ISNA(MATCH(O62, Criterios!$D$123:$D$124, 0)), "Ciclo de vida no válido", ""))))</f>
        <v/>
      </c>
      <c r="AC62" s="56" t="n"/>
      <c r="AD62" s="51" t="n">
        <v>0</v>
      </c>
      <c r="AE62" s="156" t="n"/>
      <c r="AF62" s="51" t="n">
        <v>0</v>
      </c>
      <c r="AG62" s="156" t="inlineStr">
        <is>
          <t>Nuevo – NetSuite con existencia</t>
        </is>
      </c>
      <c r="AH62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62" s="156" t="inlineStr">
        <is>
          <t>No</t>
        </is>
      </c>
      <c r="AJ62" s="156" t="n"/>
      <c r="AK62" s="155" t="inlineStr">
        <is>
          <t>ProductosCatalogoEstandar907.xlsx: fila 5112 [N,O,Q,S,U,Y]; G1522_Extraccion_Articulos_NetSuite_2026-09-30.xlsx: fila 56736 [P,V,Y,T] | Shopify WB: producto 8569958203577 / variante 47621319524537</t>
        </is>
      </c>
      <c r="AL62" s="58" t="n">
        <v>336</v>
      </c>
      <c r="AM62" s="58" t="n">
        <v>899</v>
      </c>
      <c r="AN62" s="155" t="inlineStr">
        <is>
          <t>Shopify Western Brothers</t>
        </is>
      </c>
      <c r="AO62" s="59" t="n"/>
      <c r="AP62" s="59" t="n">
        <v>1</v>
      </c>
      <c r="AQ62" s="59" t="n"/>
      <c r="AR62" s="155" t="inlineStr">
        <is>
          <t>Shopify Western Brothers › Western Brothers Outlet Lerma: 1</t>
        </is>
      </c>
    </row>
    <row r="63">
      <c r="A63" s="50" t="inlineStr">
        <is>
          <t>7506499529709</t>
        </is>
      </c>
      <c r="B63" s="51" t="inlineStr">
        <is>
          <t>108578</t>
        </is>
      </c>
      <c r="C63" s="156" t="inlineStr">
        <is>
          <t>Multimarca</t>
        </is>
      </c>
      <c r="D63" s="156" t="inlineStr">
        <is>
          <t>C-CM130</t>
        </is>
      </c>
      <c r="E63" s="156" t="inlineStr">
        <is>
          <t>C-CM130-M</t>
        </is>
      </c>
      <c r="F63" s="156" t="inlineStr">
        <is>
          <t>M</t>
        </is>
      </c>
      <c r="G63" s="156" t="inlineStr">
        <is>
          <t>M</t>
        </is>
      </c>
      <c r="H63" s="156" t="inlineStr">
        <is>
          <t>Denver</t>
        </is>
      </c>
      <c r="I63" s="156" t="inlineStr">
        <is>
          <t>Camisa Denver dama estampado establo</t>
        </is>
      </c>
      <c r="J63" s="156" t="inlineStr">
        <is>
          <t>Ropa</t>
        </is>
      </c>
      <c r="K63" s="156" t="inlineStr">
        <is>
          <t>Camisas</t>
        </is>
      </c>
      <c r="L63" s="156" t="inlineStr">
        <is>
          <t>Mujer</t>
        </is>
      </c>
      <c r="M63" s="156" t="inlineStr">
        <is>
          <t>Denver</t>
        </is>
      </c>
      <c r="N63" s="156" t="inlineStr">
        <is>
          <t>SS26</t>
        </is>
      </c>
      <c r="O63" s="156" t="inlineStr">
        <is>
          <t>Seasonal</t>
        </is>
      </c>
      <c r="P63" s="156" t="inlineStr">
        <is>
          <t>Cafe</t>
        </is>
      </c>
      <c r="Q63" s="156" t="inlineStr">
        <is>
          <t>Regular</t>
        </is>
      </c>
      <c r="R63" s="156" t="n"/>
      <c r="S63" s="156" t="inlineStr">
        <is>
          <t>100% Rayón</t>
        </is>
      </c>
      <c r="T63" s="156" t="inlineStr">
        <is>
          <t>Camisa Denver dama estampado establo Regular</t>
        </is>
      </c>
      <c r="U63" s="156" t="inlineStr">
        <is>
          <t>México</t>
        </is>
      </c>
      <c r="V63" s="156" t="inlineStr">
        <is>
          <t>PZS</t>
        </is>
      </c>
      <c r="W63" s="51" t="inlineStr">
        <is>
          <t>53101604</t>
        </is>
      </c>
      <c r="X63" s="156" t="n"/>
      <c r="Y63" s="54" t="n">
        <v>336</v>
      </c>
      <c r="Z63" s="54" t="n">
        <v>775</v>
      </c>
      <c r="AA63" s="55">
        <f>IF(AND(A63="", B63="", E63=""), "", IF(AB63="", "Válido", IF((LEN(AB63)-LEN(SUBSTITUTE(AB63,"; ","")))/2+1&gt;(LEN(AB63)-LEN(SUBSTITUTE(AB63,"[Aviso]","")))/7, "Con Incidencias", "Válido")))</f>
        <v/>
      </c>
      <c r="AB63" s="56">
        <f>IF(AND(A63="", B63="", E63=""), "", TEXTJOIN("; ", TRUE, IF(OR(TRIM(A63&amp;"")="", ISNUMBER(SEARCH("FALTA", A63))), "UPC faltante/inválido", ""), IF(AND(A63&lt;&gt;"", IFERROR(_xlfn.XMATCH(A63,$A$2:$A$204,0,1)&lt;&gt;_xlfn.XMATCH(A63,$A$2:$A$204,0,-1),FALSE)), "Código de barras duplicado", ""), IF(AND(E63&lt;&gt;"", COUNTIF($E$2:$E$204, E63)&gt;1), "SKU duplicado", ""), IF(OR(J63="", J63=""), "[Aviso] División no capturada ()", IF(ISNA(MATCH(J63, Criterios!$A$123:$A$126, 0)), "División no válida", "")), IF(OR(K63="", K63=""), "[Aviso] Categoría no capturada ()", IF(ISNA(MATCH(K63, Criterios!$A$81:$A$120, 0)), "Categoría no válida", IF(AND(J63&lt;&gt;"", J63&lt;&gt;"", J63&lt;&gt;VLOOKUP(K63, Criterios!$A$81:$B$120, 2, FALSE)), "División no coincide con Categoría", ""))), IF(OR(L63="", L63=""), "[Aviso] Género no capturado ()", IF(ISNA(MATCH(L63, Criterios!$B$123:$B$127, 0)), "Género no válido", "")), IF(OR(N63="", N63=""), "[Aviso] Temporada no capturada ()", IF(ISNA(MATCH(N63, Criterios!$C$123:$C$128, 0)), "Temporada no válida", "")), IF(OR(O63="", O63=""), "[Aviso] Ciclo de vida no capturado ()", IF(ISNA(MATCH(O63, Criterios!$D$123:$D$124, 0)), "Ciclo de vida no válido", ""))))</f>
        <v/>
      </c>
      <c r="AC63" s="56" t="n"/>
      <c r="AD63" s="51" t="n">
        <v>0</v>
      </c>
      <c r="AE63" s="156" t="n"/>
      <c r="AF63" s="51" t="n">
        <v>0</v>
      </c>
      <c r="AG63" s="156" t="inlineStr">
        <is>
          <t>Nuevo – NetSuite sin existencia</t>
        </is>
      </c>
      <c r="AH63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63" s="156" t="inlineStr">
        <is>
          <t>No</t>
        </is>
      </c>
      <c r="AJ63" s="156" t="n"/>
      <c r="AK63" s="155" t="inlineStr">
        <is>
          <t>ProductosCatalogoEstandar907.xlsx: fila 5110 [N,O,Q,S,U,Y]; G1522_Extraccion_Articulos_NetSuite_2026-09-30.xlsx: fila 56737 [P,V,Y,T] | Shopify WB: producto 8569958203577 / variante 47621319459001</t>
        </is>
      </c>
      <c r="AL63" s="58" t="n">
        <v>336</v>
      </c>
      <c r="AM63" s="58" t="n">
        <v>899</v>
      </c>
      <c r="AN63" s="155" t="inlineStr">
        <is>
          <t>Shopify Western Brothers</t>
        </is>
      </c>
      <c r="AO63" s="59" t="n"/>
      <c r="AP63" s="59" t="n">
        <v>0</v>
      </c>
      <c r="AQ63" s="59" t="n"/>
      <c r="AR63" s="155" t="n"/>
    </row>
    <row r="64">
      <c r="A64" s="50" t="inlineStr">
        <is>
          <t>7506499530163</t>
        </is>
      </c>
      <c r="B64" s="51" t="inlineStr">
        <is>
          <t>108579</t>
        </is>
      </c>
      <c r="C64" s="156" t="inlineStr">
        <is>
          <t>Multimarca</t>
        </is>
      </c>
      <c r="D64" s="156" t="inlineStr">
        <is>
          <t>C-CM130</t>
        </is>
      </c>
      <c r="E64" s="156" t="inlineStr">
        <is>
          <t>C-CM130-L</t>
        </is>
      </c>
      <c r="F64" s="156" t="inlineStr">
        <is>
          <t>L</t>
        </is>
      </c>
      <c r="G64" s="156" t="inlineStr">
        <is>
          <t>L</t>
        </is>
      </c>
      <c r="H64" s="156" t="inlineStr">
        <is>
          <t>Denver</t>
        </is>
      </c>
      <c r="I64" s="156" t="inlineStr">
        <is>
          <t>Camisa Denver dama estampado establo</t>
        </is>
      </c>
      <c r="J64" s="156" t="inlineStr">
        <is>
          <t>Ropa</t>
        </is>
      </c>
      <c r="K64" s="156" t="inlineStr">
        <is>
          <t>Camisas</t>
        </is>
      </c>
      <c r="L64" s="156" t="inlineStr">
        <is>
          <t>Mujer</t>
        </is>
      </c>
      <c r="M64" s="156" t="inlineStr">
        <is>
          <t>Denver</t>
        </is>
      </c>
      <c r="N64" s="156" t="inlineStr">
        <is>
          <t>SS26</t>
        </is>
      </c>
      <c r="O64" s="156" t="inlineStr">
        <is>
          <t>Seasonal</t>
        </is>
      </c>
      <c r="P64" s="156" t="inlineStr">
        <is>
          <t>Cafe</t>
        </is>
      </c>
      <c r="Q64" s="156" t="inlineStr">
        <is>
          <t>Regular</t>
        </is>
      </c>
      <c r="R64" s="156" t="n"/>
      <c r="S64" s="156" t="inlineStr">
        <is>
          <t>100% Rayón</t>
        </is>
      </c>
      <c r="T64" s="156" t="inlineStr">
        <is>
          <t>Camisa Denver dama estampado establo Regular</t>
        </is>
      </c>
      <c r="U64" s="156" t="inlineStr">
        <is>
          <t>México</t>
        </is>
      </c>
      <c r="V64" s="156" t="inlineStr">
        <is>
          <t>PZS</t>
        </is>
      </c>
      <c r="W64" s="51" t="inlineStr">
        <is>
          <t>53101604</t>
        </is>
      </c>
      <c r="X64" s="156" t="n"/>
      <c r="Y64" s="54" t="n">
        <v>336</v>
      </c>
      <c r="Z64" s="54" t="n">
        <v>775</v>
      </c>
      <c r="AA64" s="55">
        <f>IF(AND(A64="", B64="", E64=""), "", IF(AB64="", "Válido", IF((LEN(AB64)-LEN(SUBSTITUTE(AB64,"; ","")))/2+1&gt;(LEN(AB64)-LEN(SUBSTITUTE(AB64,"[Aviso]","")))/7, "Con Incidencias", "Válido")))</f>
        <v/>
      </c>
      <c r="AB64" s="56">
        <f>IF(AND(A64="", B64="", E64=""), "", TEXTJOIN("; ", TRUE, IF(OR(TRIM(A64&amp;"")="", ISNUMBER(SEARCH("FALTA", A64))), "UPC faltante/inválido", ""), IF(AND(A64&lt;&gt;"", IFERROR(_xlfn.XMATCH(A64,$A$2:$A$204,0,1)&lt;&gt;_xlfn.XMATCH(A64,$A$2:$A$204,0,-1),FALSE)), "Código de barras duplicado", ""), IF(AND(E64&lt;&gt;"", COUNTIF($E$2:$E$204, E64)&gt;1), "SKU duplicado", ""), IF(OR(J64="", J64=""), "[Aviso] División no capturada ()", IF(ISNA(MATCH(J64, Criterios!$A$123:$A$126, 0)), "División no válida", "")), IF(OR(K64="", K64=""), "[Aviso] Categoría no capturada ()", IF(ISNA(MATCH(K64, Criterios!$A$81:$A$120, 0)), "Categoría no válida", IF(AND(J64&lt;&gt;"", J64&lt;&gt;"", J64&lt;&gt;VLOOKUP(K64, Criterios!$A$81:$B$120, 2, FALSE)), "División no coincide con Categoría", ""))), IF(OR(L64="", L64=""), "[Aviso] Género no capturado ()", IF(ISNA(MATCH(L64, Criterios!$B$123:$B$127, 0)), "Género no válido", "")), IF(OR(N64="", N64=""), "[Aviso] Temporada no capturada ()", IF(ISNA(MATCH(N64, Criterios!$C$123:$C$128, 0)), "Temporada no válida", "")), IF(OR(O64="", O64=""), "[Aviso] Ciclo de vida no capturado ()", IF(ISNA(MATCH(O64, Criterios!$D$123:$D$124, 0)), "Ciclo de vida no válido", ""))))</f>
        <v/>
      </c>
      <c r="AC64" s="56" t="n"/>
      <c r="AD64" s="51" t="n">
        <v>3</v>
      </c>
      <c r="AE64" s="156" t="inlineStr">
        <is>
          <t>WB OUTLET LERMA: 3</t>
        </is>
      </c>
      <c r="AF64" s="51" t="n">
        <v>3</v>
      </c>
      <c r="AG64" s="156" t="inlineStr">
        <is>
          <t>Nuevo – NetSuite con existencia</t>
        </is>
      </c>
      <c r="AH64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64" s="156" t="inlineStr">
        <is>
          <t>No</t>
        </is>
      </c>
      <c r="AJ64" s="156" t="n"/>
      <c r="AK64" s="155" t="inlineStr">
        <is>
          <t>ProductosCatalogoEstandar907.xlsx: fila 5113 [N,O,Q,S,U,Y]; G1522_Extraccion_Articulos_NetSuite_2026-09-30.xlsx: fila 56738 [P,V,Y,T] | Shopify WB: producto 8569958203577 / variante 47621319557305</t>
        </is>
      </c>
      <c r="AL64" s="58" t="n">
        <v>336</v>
      </c>
      <c r="AM64" s="58" t="n">
        <v>899</v>
      </c>
      <c r="AN64" s="155" t="inlineStr">
        <is>
          <t>Shopify Western Brothers</t>
        </is>
      </c>
      <c r="AO64" s="59" t="n"/>
      <c r="AP64" s="59" t="n">
        <v>3</v>
      </c>
      <c r="AQ64" s="59" t="n"/>
      <c r="AR64" s="155" t="inlineStr">
        <is>
          <t>Shopify Western Brothers › Western Brothers Outlet Lerma: 3</t>
        </is>
      </c>
    </row>
    <row r="65">
      <c r="A65" s="50" t="inlineStr">
        <is>
          <t>7506499570860</t>
        </is>
      </c>
      <c r="B65" s="51" t="inlineStr">
        <is>
          <t>108419</t>
        </is>
      </c>
      <c r="C65" s="156" t="inlineStr">
        <is>
          <t>Multimarca</t>
        </is>
      </c>
      <c r="D65" s="156" t="inlineStr">
        <is>
          <t>CHH062</t>
        </is>
      </c>
      <c r="E65" s="156" t="inlineStr">
        <is>
          <t>CHH062-S</t>
        </is>
      </c>
      <c r="F65" s="156" t="inlineStr">
        <is>
          <t>S</t>
        </is>
      </c>
      <c r="G65" s="156" t="inlineStr">
        <is>
          <t>S</t>
        </is>
      </c>
      <c r="H65" s="156" t="inlineStr">
        <is>
          <t>Denver</t>
        </is>
      </c>
      <c r="I65" s="156" t="inlineStr">
        <is>
          <t>Camisa Denver hombre vaquera morada/lineas rojas</t>
        </is>
      </c>
      <c r="J65" s="156" t="inlineStr">
        <is>
          <t>Ropa</t>
        </is>
      </c>
      <c r="K65" s="156" t="inlineStr">
        <is>
          <t>Camisas</t>
        </is>
      </c>
      <c r="L65" s="156" t="inlineStr">
        <is>
          <t>Hombre</t>
        </is>
      </c>
      <c r="M65" s="156" t="inlineStr">
        <is>
          <t>Denver</t>
        </is>
      </c>
      <c r="N65" s="156" t="inlineStr">
        <is>
          <t>SS26</t>
        </is>
      </c>
      <c r="O65" s="156" t="inlineStr">
        <is>
          <t>Seasonal</t>
        </is>
      </c>
      <c r="P65" s="156" t="inlineStr">
        <is>
          <t>Morado</t>
        </is>
      </c>
      <c r="Q65" s="156" t="inlineStr">
        <is>
          <t>Regular</t>
        </is>
      </c>
      <c r="R65" s="156" t="n"/>
      <c r="S65" s="156" t="inlineStr">
        <is>
          <t>100% Algodón</t>
        </is>
      </c>
      <c r="T65" s="156" t="inlineStr">
        <is>
          <t>Camisa Denver hombre vaquera morada/lineas rojas Regular</t>
        </is>
      </c>
      <c r="U65" s="156" t="inlineStr">
        <is>
          <t>México</t>
        </is>
      </c>
      <c r="V65" s="156" t="inlineStr">
        <is>
          <t>PZS</t>
        </is>
      </c>
      <c r="W65" s="51" t="inlineStr">
        <is>
          <t>53101602</t>
        </is>
      </c>
      <c r="X65" s="156" t="n"/>
      <c r="Y65" s="54" t="n">
        <v>419</v>
      </c>
      <c r="Z65" s="54" t="n">
        <v>947.4137931</v>
      </c>
      <c r="AA65" s="55">
        <f>IF(AND(A65="", B65="", E65=""), "", IF(AB65="", "Válido", IF((LEN(AB65)-LEN(SUBSTITUTE(AB65,"; ","")))/2+1&gt;(LEN(AB65)-LEN(SUBSTITUTE(AB65,"[Aviso]","")))/7, "Con Incidencias", "Válido")))</f>
        <v/>
      </c>
      <c r="AB65" s="56">
        <f>IF(AND(A65="", B65="", E65=""), "", TEXTJOIN("; ", TRUE, IF(OR(TRIM(A65&amp;"")="", ISNUMBER(SEARCH("FALTA", A65))), "UPC faltante/inválido", ""), IF(AND(A65&lt;&gt;"", IFERROR(_xlfn.XMATCH(A65,$A$2:$A$204,0,1)&lt;&gt;_xlfn.XMATCH(A65,$A$2:$A$204,0,-1),FALSE)), "Código de barras duplicado", ""), IF(AND(E65&lt;&gt;"", COUNTIF($E$2:$E$204, E65)&gt;1), "SKU duplicado", ""), IF(OR(J65="", J65=""), "[Aviso] División no capturada ()", IF(ISNA(MATCH(J65, Criterios!$A$123:$A$126, 0)), "División no válida", "")), IF(OR(K65="", K65=""), "[Aviso] Categoría no capturada ()", IF(ISNA(MATCH(K65, Criterios!$A$81:$A$120, 0)), "Categoría no válida", IF(AND(J65&lt;&gt;"", J65&lt;&gt;"", J65&lt;&gt;VLOOKUP(K65, Criterios!$A$81:$B$120, 2, FALSE)), "División no coincide con Categoría", ""))), IF(OR(L65="", L65=""), "[Aviso] Género no capturado ()", IF(ISNA(MATCH(L65, Criterios!$B$123:$B$127, 0)), "Género no válido", "")), IF(OR(N65="", N65=""), "[Aviso] Temporada no capturada ()", IF(ISNA(MATCH(N65, Criterios!$C$123:$C$128, 0)), "Temporada no válida", "")), IF(OR(O65="", O65=""), "[Aviso] Ciclo de vida no capturado ()", IF(ISNA(MATCH(O65, Criterios!$D$123:$D$124, 0)), "Ciclo de vida no válido", ""))))</f>
        <v/>
      </c>
      <c r="AC65" s="56" t="n"/>
      <c r="AD65" s="51" t="n">
        <v>4</v>
      </c>
      <c r="AE65" s="156" t="inlineStr">
        <is>
          <t>WB OUTLET LERMA: 4</t>
        </is>
      </c>
      <c r="AF65" s="51" t="n">
        <v>4</v>
      </c>
      <c r="AG65" s="156" t="inlineStr">
        <is>
          <t>Nuevo – NetSuite con existencia</t>
        </is>
      </c>
      <c r="AH65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65" s="156" t="inlineStr">
        <is>
          <t>No</t>
        </is>
      </c>
      <c r="AJ65" s="156" t="n"/>
      <c r="AK65" s="155" t="inlineStr">
        <is>
          <t>ProductosCatalogoEstandar907.xlsx: fila 5114 [N,O,Q,S,U,Y]; G1522_Extraccion_Articulos_NetSuite_2026-09-30.xlsx: fila 56578 [P,V,Y,T] | Shopify WB: producto 8569958367417 / variante 47621319753913</t>
        </is>
      </c>
      <c r="AL65" s="58" t="n">
        <v>419</v>
      </c>
      <c r="AM65" s="58" t="n">
        <v>1099</v>
      </c>
      <c r="AN65" s="155" t="inlineStr">
        <is>
          <t>Shopify Western Brothers</t>
        </is>
      </c>
      <c r="AO65" s="59" t="n"/>
      <c r="AP65" s="59" t="n">
        <v>4</v>
      </c>
      <c r="AQ65" s="59" t="n"/>
      <c r="AR65" s="155" t="inlineStr">
        <is>
          <t>Shopify Western Brothers › Western Brothers Outlet Lerma: 4</t>
        </is>
      </c>
    </row>
    <row r="66">
      <c r="A66" s="50" t="inlineStr">
        <is>
          <t>7506499570861</t>
        </is>
      </c>
      <c r="B66" s="51" t="inlineStr">
        <is>
          <t>108420</t>
        </is>
      </c>
      <c r="C66" s="156" t="inlineStr">
        <is>
          <t>Multimarca</t>
        </is>
      </c>
      <c r="D66" s="156" t="inlineStr">
        <is>
          <t>CHH062</t>
        </is>
      </c>
      <c r="E66" s="156" t="inlineStr">
        <is>
          <t>CHH062-M</t>
        </is>
      </c>
      <c r="F66" s="156" t="inlineStr">
        <is>
          <t>M</t>
        </is>
      </c>
      <c r="G66" s="156" t="inlineStr">
        <is>
          <t>M</t>
        </is>
      </c>
      <c r="H66" s="156" t="inlineStr">
        <is>
          <t>Denver</t>
        </is>
      </c>
      <c r="I66" s="156" t="inlineStr">
        <is>
          <t>Camisa Denver hombre vaquera morada/lineas rojas</t>
        </is>
      </c>
      <c r="J66" s="156" t="inlineStr">
        <is>
          <t>Ropa</t>
        </is>
      </c>
      <c r="K66" s="156" t="inlineStr">
        <is>
          <t>Camisas</t>
        </is>
      </c>
      <c r="L66" s="156" t="inlineStr">
        <is>
          <t>Hombre</t>
        </is>
      </c>
      <c r="M66" s="156" t="inlineStr">
        <is>
          <t>Denver</t>
        </is>
      </c>
      <c r="N66" s="156" t="inlineStr">
        <is>
          <t>SS26</t>
        </is>
      </c>
      <c r="O66" s="156" t="inlineStr">
        <is>
          <t>Seasonal</t>
        </is>
      </c>
      <c r="P66" s="156" t="inlineStr">
        <is>
          <t>Morado</t>
        </is>
      </c>
      <c r="Q66" s="156" t="inlineStr">
        <is>
          <t>Regular</t>
        </is>
      </c>
      <c r="R66" s="156" t="n"/>
      <c r="S66" s="156" t="inlineStr">
        <is>
          <t>100% Algodón</t>
        </is>
      </c>
      <c r="T66" s="156" t="inlineStr">
        <is>
          <t>Camisa Denver hombre vaquera morada/lineas rojas Regular</t>
        </is>
      </c>
      <c r="U66" s="156" t="inlineStr">
        <is>
          <t>México</t>
        </is>
      </c>
      <c r="V66" s="156" t="inlineStr">
        <is>
          <t>PZS</t>
        </is>
      </c>
      <c r="W66" s="51" t="inlineStr">
        <is>
          <t>53101602</t>
        </is>
      </c>
      <c r="X66" s="156" t="n"/>
      <c r="Y66" s="54" t="n">
        <v>419</v>
      </c>
      <c r="Z66" s="54" t="n">
        <v>947.4137931</v>
      </c>
      <c r="AA66" s="55">
        <f>IF(AND(A66="", B66="", E66=""), "", IF(AB66="", "Válido", IF((LEN(AB66)-LEN(SUBSTITUTE(AB66,"; ","")))/2+1&gt;(LEN(AB66)-LEN(SUBSTITUTE(AB66,"[Aviso]","")))/7, "Con Incidencias", "Válido")))</f>
        <v/>
      </c>
      <c r="AB66" s="56">
        <f>IF(AND(A66="", B66="", E66=""), "", TEXTJOIN("; ", TRUE, IF(OR(TRIM(A66&amp;"")="", ISNUMBER(SEARCH("FALTA", A66))), "UPC faltante/inválido", ""), IF(AND(A66&lt;&gt;"", IFERROR(_xlfn.XMATCH(A66,$A$2:$A$204,0,1)&lt;&gt;_xlfn.XMATCH(A66,$A$2:$A$204,0,-1),FALSE)), "Código de barras duplicado", ""), IF(AND(E66&lt;&gt;"", COUNTIF($E$2:$E$204, E66)&gt;1), "SKU duplicado", ""), IF(OR(J66="", J66=""), "[Aviso] División no capturada ()", IF(ISNA(MATCH(J66, Criterios!$A$123:$A$126, 0)), "División no válida", "")), IF(OR(K66="", K66=""), "[Aviso] Categoría no capturada ()", IF(ISNA(MATCH(K66, Criterios!$A$81:$A$120, 0)), "Categoría no válida", IF(AND(J66&lt;&gt;"", J66&lt;&gt;"", J66&lt;&gt;VLOOKUP(K66, Criterios!$A$81:$B$120, 2, FALSE)), "División no coincide con Categoría", ""))), IF(OR(L66="", L66=""), "[Aviso] Género no capturado ()", IF(ISNA(MATCH(L66, Criterios!$B$123:$B$127, 0)), "Género no válido", "")), IF(OR(N66="", N66=""), "[Aviso] Temporada no capturada ()", IF(ISNA(MATCH(N66, Criterios!$C$123:$C$128, 0)), "Temporada no válida", "")), IF(OR(O66="", O66=""), "[Aviso] Ciclo de vida no capturado ()", IF(ISNA(MATCH(O66, Criterios!$D$123:$D$124, 0)), "Ciclo de vida no válido", ""))))</f>
        <v/>
      </c>
      <c r="AC66" s="56" t="n"/>
      <c r="AD66" s="51" t="n">
        <v>0</v>
      </c>
      <c r="AE66" s="156" t="n"/>
      <c r="AF66" s="51" t="n">
        <v>0</v>
      </c>
      <c r="AG66" s="156" t="inlineStr">
        <is>
          <t>Nuevo – NetSuite sin existencia</t>
        </is>
      </c>
      <c r="AH66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66" s="156" t="inlineStr">
        <is>
          <t>No</t>
        </is>
      </c>
      <c r="AJ66" s="156" t="n"/>
      <c r="AK66" s="155" t="inlineStr">
        <is>
          <t>ProductosCatalogoEstandar907.xlsx: fila 5115 [N,O,Q,S,U,Y]; G1522_Extraccion_Articulos_NetSuite_2026-09-30.xlsx: fila 56579 [P,V,Y,T] | Shopify WB: producto 8569958367417 / variante 47621319786681</t>
        </is>
      </c>
      <c r="AL66" s="58" t="n">
        <v>419</v>
      </c>
      <c r="AM66" s="58" t="n">
        <v>1099</v>
      </c>
      <c r="AN66" s="155" t="inlineStr">
        <is>
          <t>Shopify Western Brothers</t>
        </is>
      </c>
      <c r="AO66" s="59" t="n"/>
      <c r="AP66" s="59" t="n">
        <v>0</v>
      </c>
      <c r="AQ66" s="59" t="n"/>
      <c r="AR66" s="155" t="n"/>
    </row>
    <row r="67">
      <c r="A67" s="50" t="inlineStr">
        <is>
          <t>7506499570862</t>
        </is>
      </c>
      <c r="B67" s="51" t="inlineStr">
        <is>
          <t>108421</t>
        </is>
      </c>
      <c r="C67" s="156" t="inlineStr">
        <is>
          <t>Multimarca</t>
        </is>
      </c>
      <c r="D67" s="156" t="inlineStr">
        <is>
          <t>CHH062</t>
        </is>
      </c>
      <c r="E67" s="156" t="inlineStr">
        <is>
          <t>CHH062-L</t>
        </is>
      </c>
      <c r="F67" s="156" t="inlineStr">
        <is>
          <t>L</t>
        </is>
      </c>
      <c r="G67" s="156" t="inlineStr">
        <is>
          <t>L</t>
        </is>
      </c>
      <c r="H67" s="156" t="inlineStr">
        <is>
          <t>Denver</t>
        </is>
      </c>
      <c r="I67" s="156" t="inlineStr">
        <is>
          <t>Camisa Denver hombre vaquera morada/lineas rojas</t>
        </is>
      </c>
      <c r="J67" s="156" t="inlineStr">
        <is>
          <t>Ropa</t>
        </is>
      </c>
      <c r="K67" s="156" t="inlineStr">
        <is>
          <t>Camisas</t>
        </is>
      </c>
      <c r="L67" s="156" t="inlineStr">
        <is>
          <t>Hombre</t>
        </is>
      </c>
      <c r="M67" s="156" t="inlineStr">
        <is>
          <t>Denver</t>
        </is>
      </c>
      <c r="N67" s="156" t="inlineStr">
        <is>
          <t>SS26</t>
        </is>
      </c>
      <c r="O67" s="156" t="inlineStr">
        <is>
          <t>Seasonal</t>
        </is>
      </c>
      <c r="P67" s="156" t="inlineStr">
        <is>
          <t>Morado</t>
        </is>
      </c>
      <c r="Q67" s="156" t="inlineStr">
        <is>
          <t>Regular</t>
        </is>
      </c>
      <c r="R67" s="156" t="n"/>
      <c r="S67" s="156" t="inlineStr">
        <is>
          <t>100% Algodón</t>
        </is>
      </c>
      <c r="T67" s="156" t="inlineStr">
        <is>
          <t>Camisa Denver hombre vaquera morada/lineas rojas Regular</t>
        </is>
      </c>
      <c r="U67" s="156" t="inlineStr">
        <is>
          <t>México</t>
        </is>
      </c>
      <c r="V67" s="156" t="inlineStr">
        <is>
          <t>PZS</t>
        </is>
      </c>
      <c r="W67" s="51" t="inlineStr">
        <is>
          <t>53101602</t>
        </is>
      </c>
      <c r="X67" s="156" t="n"/>
      <c r="Y67" s="54" t="n">
        <v>419</v>
      </c>
      <c r="Z67" s="54" t="n">
        <v>947.4137931</v>
      </c>
      <c r="AA67" s="55">
        <f>IF(AND(A67="", B67="", E67=""), "", IF(AB67="", "Válido", IF((LEN(AB67)-LEN(SUBSTITUTE(AB67,"; ","")))/2+1&gt;(LEN(AB67)-LEN(SUBSTITUTE(AB67,"[Aviso]","")))/7, "Con Incidencias", "Válido")))</f>
        <v/>
      </c>
      <c r="AB67" s="56">
        <f>IF(AND(A67="", B67="", E67=""), "", TEXTJOIN("; ", TRUE, IF(OR(TRIM(A67&amp;"")="", ISNUMBER(SEARCH("FALTA", A67))), "UPC faltante/inválido", ""), IF(AND(A67&lt;&gt;"", IFERROR(_xlfn.XMATCH(A67,$A$2:$A$204,0,1)&lt;&gt;_xlfn.XMATCH(A67,$A$2:$A$204,0,-1),FALSE)), "Código de barras duplicado", ""), IF(AND(E67&lt;&gt;"", COUNTIF($E$2:$E$204, E67)&gt;1), "SKU duplicado", ""), IF(OR(J67="", J67=""), "[Aviso] División no capturada ()", IF(ISNA(MATCH(J67, Criterios!$A$123:$A$126, 0)), "División no válida", "")), IF(OR(K67="", K67=""), "[Aviso] Categoría no capturada ()", IF(ISNA(MATCH(K67, Criterios!$A$81:$A$120, 0)), "Categoría no válida", IF(AND(J67&lt;&gt;"", J67&lt;&gt;"", J67&lt;&gt;VLOOKUP(K67, Criterios!$A$81:$B$120, 2, FALSE)), "División no coincide con Categoría", ""))), IF(OR(L67="", L67=""), "[Aviso] Género no capturado ()", IF(ISNA(MATCH(L67, Criterios!$B$123:$B$127, 0)), "Género no válido", "")), IF(OR(N67="", N67=""), "[Aviso] Temporada no capturada ()", IF(ISNA(MATCH(N67, Criterios!$C$123:$C$128, 0)), "Temporada no válida", "")), IF(OR(O67="", O67=""), "[Aviso] Ciclo de vida no capturado ()", IF(ISNA(MATCH(O67, Criterios!$D$123:$D$124, 0)), "Ciclo de vida no válido", ""))))</f>
        <v/>
      </c>
      <c r="AC67" s="56" t="n"/>
      <c r="AD67" s="51" t="n">
        <v>2</v>
      </c>
      <c r="AE67" s="156" t="inlineStr">
        <is>
          <t>WB OUTLET LERMA: 2</t>
        </is>
      </c>
      <c r="AF67" s="51" t="n">
        <v>2</v>
      </c>
      <c r="AG67" s="156" t="inlineStr">
        <is>
          <t>Nuevo – NetSuite con existencia</t>
        </is>
      </c>
      <c r="AH67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67" s="156" t="inlineStr">
        <is>
          <t>No</t>
        </is>
      </c>
      <c r="AJ67" s="156" t="n"/>
      <c r="AK67" s="155" t="inlineStr">
        <is>
          <t>ProductosCatalogoEstandar907.xlsx: fila 5116 [N,O,Q,S,U,Y]; G1522_Extraccion_Articulos_NetSuite_2026-09-30.xlsx: fila 56580 [P,V,Y,T] | Shopify WB: producto 8569958367417 / variante 47621319819449</t>
        </is>
      </c>
      <c r="AL67" s="58" t="n">
        <v>419</v>
      </c>
      <c r="AM67" s="58" t="n">
        <v>1099</v>
      </c>
      <c r="AN67" s="155" t="inlineStr">
        <is>
          <t>Shopify Western Brothers</t>
        </is>
      </c>
      <c r="AO67" s="59" t="n"/>
      <c r="AP67" s="59" t="n">
        <v>2</v>
      </c>
      <c r="AQ67" s="59" t="n"/>
      <c r="AR67" s="155" t="inlineStr">
        <is>
          <t>Shopify Western Brothers › Western Brothers Outlet Lerma: 2</t>
        </is>
      </c>
    </row>
    <row r="68">
      <c r="A68" s="50" t="inlineStr">
        <is>
          <t>7506499570863</t>
        </is>
      </c>
      <c r="B68" s="51" t="inlineStr">
        <is>
          <t>108422</t>
        </is>
      </c>
      <c r="C68" s="156" t="inlineStr">
        <is>
          <t>Multimarca</t>
        </is>
      </c>
      <c r="D68" s="156" t="inlineStr">
        <is>
          <t>CHH062</t>
        </is>
      </c>
      <c r="E68" s="156" t="inlineStr">
        <is>
          <t>CHH062-XL</t>
        </is>
      </c>
      <c r="F68" s="156" t="inlineStr">
        <is>
          <t>XL</t>
        </is>
      </c>
      <c r="G68" s="156" t="inlineStr">
        <is>
          <t>XL</t>
        </is>
      </c>
      <c r="H68" s="156" t="inlineStr">
        <is>
          <t>Denver</t>
        </is>
      </c>
      <c r="I68" s="156" t="inlineStr">
        <is>
          <t>Camisa Denver hombre vaquera morada/lineas rojas</t>
        </is>
      </c>
      <c r="J68" s="156" t="inlineStr">
        <is>
          <t>Ropa</t>
        </is>
      </c>
      <c r="K68" s="156" t="inlineStr">
        <is>
          <t>Camisas</t>
        </is>
      </c>
      <c r="L68" s="156" t="inlineStr">
        <is>
          <t>Hombre</t>
        </is>
      </c>
      <c r="M68" s="156" t="inlineStr">
        <is>
          <t>Denver</t>
        </is>
      </c>
      <c r="N68" s="156" t="inlineStr">
        <is>
          <t>SS26</t>
        </is>
      </c>
      <c r="O68" s="156" t="inlineStr">
        <is>
          <t>Seasonal</t>
        </is>
      </c>
      <c r="P68" s="156" t="inlineStr">
        <is>
          <t>Morado</t>
        </is>
      </c>
      <c r="Q68" s="156" t="inlineStr">
        <is>
          <t>Regular</t>
        </is>
      </c>
      <c r="R68" s="156" t="n"/>
      <c r="S68" s="156" t="inlineStr">
        <is>
          <t>100% Algodón</t>
        </is>
      </c>
      <c r="T68" s="156" t="inlineStr">
        <is>
          <t>Camisa Denver hombre vaquera morada/lineas rojas Regular</t>
        </is>
      </c>
      <c r="U68" s="156" t="inlineStr">
        <is>
          <t>México</t>
        </is>
      </c>
      <c r="V68" s="156" t="inlineStr">
        <is>
          <t>PZS</t>
        </is>
      </c>
      <c r="W68" s="51" t="inlineStr">
        <is>
          <t>53101602</t>
        </is>
      </c>
      <c r="X68" s="156" t="n"/>
      <c r="Y68" s="54" t="n">
        <v>419</v>
      </c>
      <c r="Z68" s="54" t="n">
        <v>947.4137931</v>
      </c>
      <c r="AA68" s="55">
        <f>IF(AND(A68="", B68="", E68=""), "", IF(AB68="", "Válido", IF((LEN(AB68)-LEN(SUBSTITUTE(AB68,"; ","")))/2+1&gt;(LEN(AB68)-LEN(SUBSTITUTE(AB68,"[Aviso]","")))/7, "Con Incidencias", "Válido")))</f>
        <v/>
      </c>
      <c r="AB68" s="56">
        <f>IF(AND(A68="", B68="", E68=""), "", TEXTJOIN("; ", TRUE, IF(OR(TRIM(A68&amp;"")="", ISNUMBER(SEARCH("FALTA", A68))), "UPC faltante/inválido", ""), IF(AND(A68&lt;&gt;"", IFERROR(_xlfn.XMATCH(A68,$A$2:$A$204,0,1)&lt;&gt;_xlfn.XMATCH(A68,$A$2:$A$204,0,-1),FALSE)), "Código de barras duplicado", ""), IF(AND(E68&lt;&gt;"", COUNTIF($E$2:$E$204, E68)&gt;1), "SKU duplicado", ""), IF(OR(J68="", J68=""), "[Aviso] División no capturada ()", IF(ISNA(MATCH(J68, Criterios!$A$123:$A$126, 0)), "División no válida", "")), IF(OR(K68="", K68=""), "[Aviso] Categoría no capturada ()", IF(ISNA(MATCH(K68, Criterios!$A$81:$A$120, 0)), "Categoría no válida", IF(AND(J68&lt;&gt;"", J68&lt;&gt;"", J68&lt;&gt;VLOOKUP(K68, Criterios!$A$81:$B$120, 2, FALSE)), "División no coincide con Categoría", ""))), IF(OR(L68="", L68=""), "[Aviso] Género no capturado ()", IF(ISNA(MATCH(L68, Criterios!$B$123:$B$127, 0)), "Género no válido", "")), IF(OR(N68="", N68=""), "[Aviso] Temporada no capturada ()", IF(ISNA(MATCH(N68, Criterios!$C$123:$C$128, 0)), "Temporada no válida", "")), IF(OR(O68="", O68=""), "[Aviso] Ciclo de vida no capturado ()", IF(ISNA(MATCH(O68, Criterios!$D$123:$D$124, 0)), "Ciclo de vida no válido", ""))))</f>
        <v/>
      </c>
      <c r="AC68" s="56" t="n"/>
      <c r="AD68" s="51" t="n">
        <v>1</v>
      </c>
      <c r="AE68" s="156" t="inlineStr">
        <is>
          <t>WB OUTLET LERMA: 1</t>
        </is>
      </c>
      <c r="AF68" s="51" t="n">
        <v>1</v>
      </c>
      <c r="AG68" s="156" t="inlineStr">
        <is>
          <t>Nuevo – NetSuite con existencia</t>
        </is>
      </c>
      <c r="AH68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Validación G1522: Dígito de control del código de barras inválido</t>
        </is>
      </c>
      <c r="AI68" s="156" t="inlineStr">
        <is>
          <t>No</t>
        </is>
      </c>
      <c r="AJ68" s="156" t="n"/>
      <c r="AK68" s="155" t="inlineStr">
        <is>
          <t>ProductosCatalogoEstandar907.xlsx: fila 5117 [N,O,Q,S,U,Y]; G1522_Extraccion_Articulos_NetSuite_2026-09-30.xlsx: fila 56581 [P,V,Y,T] | Shopify WB: producto 8569958367417 / variante 47621319852217</t>
        </is>
      </c>
      <c r="AL68" s="58" t="n">
        <v>419</v>
      </c>
      <c r="AM68" s="58" t="n">
        <v>1099</v>
      </c>
      <c r="AN68" s="155" t="inlineStr">
        <is>
          <t>Shopify Western Brothers</t>
        </is>
      </c>
      <c r="AO68" s="59" t="n"/>
      <c r="AP68" s="59" t="n">
        <v>1</v>
      </c>
      <c r="AQ68" s="59" t="n"/>
      <c r="AR68" s="155" t="inlineStr">
        <is>
          <t>Shopify Western Brothers › Western Brothers Outlet Lerma: 1</t>
        </is>
      </c>
    </row>
    <row r="69">
      <c r="A69" s="50" t="inlineStr">
        <is>
          <t>7506499514958</t>
        </is>
      </c>
      <c r="B69" s="51" t="inlineStr">
        <is>
          <t>108423</t>
        </is>
      </c>
      <c r="C69" s="156" t="inlineStr">
        <is>
          <t>Multimarca</t>
        </is>
      </c>
      <c r="D69" s="156" t="inlineStr">
        <is>
          <t>CM085</t>
        </is>
      </c>
      <c r="E69" s="156" t="inlineStr">
        <is>
          <t>CM085-S</t>
        </is>
      </c>
      <c r="F69" s="156" t="inlineStr">
        <is>
          <t>S</t>
        </is>
      </c>
      <c r="G69" s="156" t="inlineStr">
        <is>
          <t>S</t>
        </is>
      </c>
      <c r="H69" s="156" t="inlineStr">
        <is>
          <t>Denver</t>
        </is>
      </c>
      <c r="I69" s="156" t="inlineStr">
        <is>
          <t>Camisa Denver dama print blanco franjas verde</t>
        </is>
      </c>
      <c r="J69" s="156" t="inlineStr">
        <is>
          <t>Ropa</t>
        </is>
      </c>
      <c r="K69" s="156" t="inlineStr">
        <is>
          <t>Camisas</t>
        </is>
      </c>
      <c r="L69" s="156" t="inlineStr">
        <is>
          <t>Mujer</t>
        </is>
      </c>
      <c r="M69" s="156" t="inlineStr">
        <is>
          <t>Denver</t>
        </is>
      </c>
      <c r="N69" s="156" t="inlineStr">
        <is>
          <t>SS26</t>
        </is>
      </c>
      <c r="O69" s="156" t="inlineStr">
        <is>
          <t>Seasonal</t>
        </is>
      </c>
      <c r="P69" s="156" t="inlineStr">
        <is>
          <t>Azul</t>
        </is>
      </c>
      <c r="Q69" s="156" t="inlineStr">
        <is>
          <t>Regular</t>
        </is>
      </c>
      <c r="R69" s="156" t="n"/>
      <c r="S69" s="156" t="inlineStr">
        <is>
          <t>100% Rayón</t>
        </is>
      </c>
      <c r="T69" s="156" t="inlineStr">
        <is>
          <t>Camisa Denver dama print blanco franjas verde Regular</t>
        </is>
      </c>
      <c r="U69" s="156" t="inlineStr">
        <is>
          <t>México</t>
        </is>
      </c>
      <c r="V69" s="156" t="inlineStr">
        <is>
          <t>PZS</t>
        </is>
      </c>
      <c r="W69" s="51" t="inlineStr">
        <is>
          <t>53101604</t>
        </is>
      </c>
      <c r="X69" s="156" t="n"/>
      <c r="Y69" s="54" t="n">
        <v>336</v>
      </c>
      <c r="Z69" s="54" t="n">
        <v>775</v>
      </c>
      <c r="AA69" s="55">
        <f>IF(AND(A69="", B69="", E69=""), "", IF(AB69="", "Válido", IF((LEN(AB69)-LEN(SUBSTITUTE(AB69,"; ","")))/2+1&gt;(LEN(AB69)-LEN(SUBSTITUTE(AB69,"[Aviso]","")))/7, "Con Incidencias", "Válido")))</f>
        <v/>
      </c>
      <c r="AB69" s="56">
        <f>IF(AND(A69="", B69="", E69=""), "", TEXTJOIN("; ", TRUE, IF(OR(TRIM(A69&amp;"")="", ISNUMBER(SEARCH("FALTA", A69))), "UPC faltante/inválido", ""), IF(AND(A69&lt;&gt;"", IFERROR(_xlfn.XMATCH(A69,$A$2:$A$204,0,1)&lt;&gt;_xlfn.XMATCH(A69,$A$2:$A$204,0,-1),FALSE)), "Código de barras duplicado", ""), IF(AND(E69&lt;&gt;"", COUNTIF($E$2:$E$204, E69)&gt;1), "SKU duplicado", ""), IF(OR(J69="", J69=""), "[Aviso] División no capturada ()", IF(ISNA(MATCH(J69, Criterios!$A$123:$A$126, 0)), "División no válida", "")), IF(OR(K69="", K69=""), "[Aviso] Categoría no capturada ()", IF(ISNA(MATCH(K69, Criterios!$A$81:$A$120, 0)), "Categoría no válida", IF(AND(J69&lt;&gt;"", J69&lt;&gt;"", J69&lt;&gt;VLOOKUP(K69, Criterios!$A$81:$B$120, 2, FALSE)), "División no coincide con Categoría", ""))), IF(OR(L69="", L69=""), "[Aviso] Género no capturado ()", IF(ISNA(MATCH(L69, Criterios!$B$123:$B$127, 0)), "Género no válido", "")), IF(OR(N69="", N69=""), "[Aviso] Temporada no capturada ()", IF(ISNA(MATCH(N69, Criterios!$C$123:$C$128, 0)), "Temporada no válida", "")), IF(OR(O69="", O69=""), "[Aviso] Ciclo de vida no capturado ()", IF(ISNA(MATCH(O69, Criterios!$D$123:$D$124, 0)), "Ciclo de vida no válido", ""))))</f>
        <v/>
      </c>
      <c r="AC69" s="56" t="n"/>
      <c r="AD69" s="51" t="n">
        <v>4</v>
      </c>
      <c r="AE69" s="156" t="inlineStr">
        <is>
          <t>WB OUTLET LERMA: 4</t>
        </is>
      </c>
      <c r="AF69" s="51" t="n">
        <v>4</v>
      </c>
      <c r="AG69" s="156" t="inlineStr">
        <is>
          <t>Nuevo – NetSuite con existencia</t>
        </is>
      </c>
      <c r="AH69" s="156" t="inlineStr">
        <is>
          <t>Revisión 29/09/2026: Campos sin respaldo: X; Auditoría NetSuite 30/09/2026: llenado desde NetSuite [P,V,Y,T] | 01/10/2026: complementado desde Shopify Western Brothers (match por código de barras): WB Silueta | 01/10/2026: Shopify Western Brothers trae Color «Blanco» — se conservó el valor de Productos</t>
        </is>
      </c>
      <c r="AI69" s="156" t="inlineStr">
        <is>
          <t>No</t>
        </is>
      </c>
      <c r="AJ69" s="156" t="n"/>
      <c r="AK69" s="155" t="inlineStr">
        <is>
          <t>ProductosCatalogoEstandar907.xlsx: fila 5118 [N,O,Q,S,U,Y]; G1522_Extraccion_Articulos_NetSuite_2026-09-30.xlsx: fila 56582 [P,V,Y,T] | Shopify WB: producto 8569958498489 / variante 47621319983289</t>
        </is>
      </c>
      <c r="AL69" s="58" t="n">
        <v>336</v>
      </c>
      <c r="AM69" s="58" t="n">
        <v>899</v>
      </c>
      <c r="AN69" s="155" t="inlineStr">
        <is>
          <t>Shopify Western Brothers</t>
        </is>
      </c>
      <c r="AO69" s="59" t="n"/>
      <c r="AP69" s="59" t="n">
        <v>4</v>
      </c>
      <c r="AQ69" s="59" t="n"/>
      <c r="AR69" s="155" t="inlineStr">
        <is>
          <t>Shopify Western Brothers › Western Brothers Outlet Lerma: 4</t>
        </is>
      </c>
    </row>
    <row r="70">
      <c r="A70" s="50" t="inlineStr">
        <is>
          <t>7506499514965</t>
        </is>
      </c>
      <c r="B70" s="51" t="inlineStr">
        <is>
          <t>108424</t>
        </is>
      </c>
      <c r="C70" s="156" t="inlineStr">
        <is>
          <t>Multimarca</t>
        </is>
      </c>
      <c r="D70" s="156" t="inlineStr">
        <is>
          <t>CM085</t>
        </is>
      </c>
      <c r="E70" s="156" t="inlineStr">
        <is>
          <t>CM085-M</t>
        </is>
      </c>
      <c r="F70" s="156" t="inlineStr">
        <is>
          <t>M</t>
        </is>
      </c>
      <c r="G70" s="156" t="inlineStr">
        <is>
          <t>M</t>
        </is>
      </c>
      <c r="H70" s="156" t="inlineStr">
        <is>
          <t>Denver</t>
        </is>
      </c>
      <c r="I70" s="156" t="inlineStr">
        <is>
          <t>Camisa Denver dama print blanco franjas verde</t>
        </is>
      </c>
      <c r="J70" s="156" t="inlineStr">
        <is>
          <t>Ropa</t>
        </is>
      </c>
      <c r="K70" s="156" t="inlineStr">
        <is>
          <t>Camisas</t>
        </is>
      </c>
      <c r="L70" s="156" t="inlineStr">
        <is>
          <t>Mujer</t>
        </is>
      </c>
      <c r="M70" s="156" t="inlineStr">
        <is>
          <t>Denver</t>
        </is>
      </c>
      <c r="N70" s="156" t="inlineStr">
        <is>
          <t>SS26</t>
        </is>
      </c>
      <c r="O70" s="156" t="inlineStr">
        <is>
          <t>Seasonal</t>
        </is>
      </c>
      <c r="P70" s="156" t="inlineStr">
        <is>
          <t>Azul</t>
        </is>
      </c>
      <c r="Q70" s="156" t="inlineStr">
        <is>
          <t>Regular</t>
        </is>
      </c>
      <c r="R70" s="156" t="n"/>
      <c r="S70" s="156" t="inlineStr">
        <is>
          <t>100% Rayón</t>
        </is>
      </c>
      <c r="T70" s="156" t="inlineStr">
        <is>
          <t>Camisa Denver dama print blanco franjas verde Regular</t>
        </is>
      </c>
      <c r="U70" s="156" t="inlineStr">
        <is>
          <t>México</t>
        </is>
      </c>
      <c r="V70" s="156" t="inlineStr">
        <is>
          <t>PZS</t>
        </is>
      </c>
      <c r="W70" s="51" t="inlineStr">
        <is>
          <t>53101604</t>
        </is>
      </c>
      <c r="X70" s="156" t="n"/>
      <c r="Y70" s="54" t="n">
        <v>336</v>
      </c>
      <c r="Z70" s="54" t="n">
        <v>775</v>
      </c>
      <c r="AA70" s="55">
        <f>IF(AND(A70="", B70="", E70=""), "", IF(AB70="", "Válido", IF((LEN(AB70)-LEN(SUBSTITUTE(AB70,"; ","")))/2+1&gt;(LEN(AB70)-LEN(SUBSTITUTE(AB70,"[Aviso]","")))/7, "Con Incidencias", "Válido")))</f>
        <v/>
      </c>
      <c r="AB70" s="56">
        <f>IF(AND(A70="", B70="", E70=""), "", TEXTJOIN("; ", TRUE, IF(OR(TRIM(A70&amp;"")="", ISNUMBER(SEARCH("FALTA", A70))), "UPC faltante/inválido", ""), IF(AND(A70&lt;&gt;"", IFERROR(_xlfn.XMATCH(A70,$A$2:$A$204,0,1)&lt;&gt;_xlfn.XMATCH(A70,$A$2:$A$204,0,-1),FALSE)), "Código de barras duplicado", ""), IF(AND(E70&lt;&gt;"", COUNTIF($E$2:$E$204, E70)&gt;1), "SKU duplicado", ""), IF(OR(J70="", J70=""), "[Aviso] División no capturada ()", IF(ISNA(MATCH(J70, Criterios!$A$123:$A$126, 0)), "División no válida", "")), IF(OR(K70="", K70=""), "[Aviso] Categoría no capturada ()", IF(ISNA(MATCH(K70, Criterios!$A$81:$A$120, 0)), "Categoría no válida", IF(AND(J70&lt;&gt;"", J70&lt;&gt;"", J70&lt;&gt;VLOOKUP(K70, Criterios!$A$81:$B$120, 2, FALSE)), "División no coincide con Categoría", ""))), IF(OR(L70="", L70=""), "[Aviso] Género no capturado ()", IF(ISNA(MATCH(L70, Criterios!$B$123:$B$127, 0)), "Género no válido", "")), IF(OR(N70="", N70=""), "[Aviso] Temporada no capturada ()", IF(ISNA(MATCH(N70, Criterios!$C$123:$C$128, 0)), "Temporada no válida", "")), IF(OR(O70="", O70=""), "[Aviso] Ciclo de vida no capturado ()", IF(ISNA(MATCH(O70, Criterios!$D$123:$D$124, 0)), "Ciclo de vida no válido", ""))))</f>
        <v/>
      </c>
      <c r="AC70" s="56" t="n"/>
      <c r="AD70" s="51" t="n">
        <v>2</v>
      </c>
      <c r="AE70" s="156" t="inlineStr">
        <is>
          <t>WB OUTLET LERMA: 2</t>
        </is>
      </c>
      <c r="AF70" s="51" t="n">
        <v>2</v>
      </c>
      <c r="AG70" s="156" t="inlineStr">
        <is>
          <t>Nuevo – NetSuite con existencia</t>
        </is>
      </c>
      <c r="AH70" s="156" t="inlineStr">
        <is>
          <t>Revisión 29/09/2026: Campos sin respaldo: X; Auditoría NetSuite 30/09/2026: llenado desde NetSuite [P,V,Y,T] | 01/10/2026: complementado desde Shopify Western Brothers (match por código de barras): WB Silueta | 01/10/2026: Shopify Western Brothers trae Color «Blanco» — se conservó el valor de Productos</t>
        </is>
      </c>
      <c r="AI70" s="156" t="inlineStr">
        <is>
          <t>No</t>
        </is>
      </c>
      <c r="AJ70" s="156" t="n"/>
      <c r="AK70" s="155" t="inlineStr">
        <is>
          <t>ProductosCatalogoEstandar907.xlsx: fila 5119 [N,O,Q,S,U,Y]; G1522_Extraccion_Articulos_NetSuite_2026-09-30.xlsx: fila 56583 [P,V,Y,T] | Shopify WB: producto 8569958498489 / variante 47621320016057</t>
        </is>
      </c>
      <c r="AL70" s="58" t="n">
        <v>336</v>
      </c>
      <c r="AM70" s="58" t="n">
        <v>899</v>
      </c>
      <c r="AN70" s="155" t="inlineStr">
        <is>
          <t>Shopify Western Brothers</t>
        </is>
      </c>
      <c r="AO70" s="59" t="n"/>
      <c r="AP70" s="59" t="n">
        <v>2</v>
      </c>
      <c r="AQ70" s="59" t="n"/>
      <c r="AR70" s="155" t="inlineStr">
        <is>
          <t>Shopify Western Brothers › Western Brothers Outlet Lerma: 2</t>
        </is>
      </c>
    </row>
    <row r="71">
      <c r="A71" s="50" t="inlineStr">
        <is>
          <t>7506499514972</t>
        </is>
      </c>
      <c r="B71" s="51" t="inlineStr">
        <is>
          <t>108425</t>
        </is>
      </c>
      <c r="C71" s="156" t="inlineStr">
        <is>
          <t>Multimarca</t>
        </is>
      </c>
      <c r="D71" s="156" t="inlineStr">
        <is>
          <t>CM085</t>
        </is>
      </c>
      <c r="E71" s="156" t="inlineStr">
        <is>
          <t>CM085-L</t>
        </is>
      </c>
      <c r="F71" s="156" t="inlineStr">
        <is>
          <t>L</t>
        </is>
      </c>
      <c r="G71" s="156" t="inlineStr">
        <is>
          <t>L</t>
        </is>
      </c>
      <c r="H71" s="156" t="inlineStr">
        <is>
          <t>Denver</t>
        </is>
      </c>
      <c r="I71" s="156" t="inlineStr">
        <is>
          <t>Camisa Denver dama print blanco franjas verde</t>
        </is>
      </c>
      <c r="J71" s="156" t="inlineStr">
        <is>
          <t>Ropa</t>
        </is>
      </c>
      <c r="K71" s="156" t="inlineStr">
        <is>
          <t>Camisas</t>
        </is>
      </c>
      <c r="L71" s="156" t="inlineStr">
        <is>
          <t>Mujer</t>
        </is>
      </c>
      <c r="M71" s="156" t="inlineStr">
        <is>
          <t>Denver</t>
        </is>
      </c>
      <c r="N71" s="156" t="inlineStr">
        <is>
          <t>SS26</t>
        </is>
      </c>
      <c r="O71" s="156" t="inlineStr">
        <is>
          <t>Seasonal</t>
        </is>
      </c>
      <c r="P71" s="156" t="inlineStr">
        <is>
          <t>Azul</t>
        </is>
      </c>
      <c r="Q71" s="156" t="inlineStr">
        <is>
          <t>Regular</t>
        </is>
      </c>
      <c r="R71" s="156" t="n"/>
      <c r="S71" s="156" t="inlineStr">
        <is>
          <t>100% Rayón</t>
        </is>
      </c>
      <c r="T71" s="156" t="inlineStr">
        <is>
          <t>Camisa Denver dama print blanco franjas verde Regular</t>
        </is>
      </c>
      <c r="U71" s="156" t="inlineStr">
        <is>
          <t>México</t>
        </is>
      </c>
      <c r="V71" s="156" t="inlineStr">
        <is>
          <t>PZS</t>
        </is>
      </c>
      <c r="W71" s="51" t="inlineStr">
        <is>
          <t>53101604</t>
        </is>
      </c>
      <c r="X71" s="156" t="n"/>
      <c r="Y71" s="54" t="n">
        <v>336</v>
      </c>
      <c r="Z71" s="54" t="n">
        <v>775</v>
      </c>
      <c r="AA71" s="55">
        <f>IF(AND(A71="", B71="", E71=""), "", IF(AB71="", "Válido", IF((LEN(AB71)-LEN(SUBSTITUTE(AB71,"; ","")))/2+1&gt;(LEN(AB71)-LEN(SUBSTITUTE(AB71,"[Aviso]","")))/7, "Con Incidencias", "Válido")))</f>
        <v/>
      </c>
      <c r="AB71" s="56">
        <f>IF(AND(A71="", B71="", E71=""), "", TEXTJOIN("; ", TRUE, IF(OR(TRIM(A71&amp;"")="", ISNUMBER(SEARCH("FALTA", A71))), "UPC faltante/inválido", ""), IF(AND(A71&lt;&gt;"", IFERROR(_xlfn.XMATCH(A71,$A$2:$A$204,0,1)&lt;&gt;_xlfn.XMATCH(A71,$A$2:$A$204,0,-1),FALSE)), "Código de barras duplicado", ""), IF(AND(E71&lt;&gt;"", COUNTIF($E$2:$E$204, E71)&gt;1), "SKU duplicado", ""), IF(OR(J71="", J71=""), "[Aviso] División no capturada ()", IF(ISNA(MATCH(J71, Criterios!$A$123:$A$126, 0)), "División no válida", "")), IF(OR(K71="", K71=""), "[Aviso] Categoría no capturada ()", IF(ISNA(MATCH(K71, Criterios!$A$81:$A$120, 0)), "Categoría no válida", IF(AND(J71&lt;&gt;"", J71&lt;&gt;"", J71&lt;&gt;VLOOKUP(K71, Criterios!$A$81:$B$120, 2, FALSE)), "División no coincide con Categoría", ""))), IF(OR(L71="", L71=""), "[Aviso] Género no capturado ()", IF(ISNA(MATCH(L71, Criterios!$B$123:$B$127, 0)), "Género no válido", "")), IF(OR(N71="", N71=""), "[Aviso] Temporada no capturada ()", IF(ISNA(MATCH(N71, Criterios!$C$123:$C$128, 0)), "Temporada no válida", "")), IF(OR(O71="", O71=""), "[Aviso] Ciclo de vida no capturado ()", IF(ISNA(MATCH(O71, Criterios!$D$123:$D$124, 0)), "Ciclo de vida no válido", ""))))</f>
        <v/>
      </c>
      <c r="AC71" s="56" t="n"/>
      <c r="AD71" s="51" t="n">
        <v>1</v>
      </c>
      <c r="AE71" s="156" t="inlineStr">
        <is>
          <t>WB OUTLET LERMA: 1</t>
        </is>
      </c>
      <c r="AF71" s="51" t="n">
        <v>1</v>
      </c>
      <c r="AG71" s="156" t="inlineStr">
        <is>
          <t>Nuevo – NetSuite con existencia</t>
        </is>
      </c>
      <c r="AH71" s="156" t="inlineStr">
        <is>
          <t>Revisión 29/09/2026: Campos sin respaldo: X; Auditoría NetSuite 30/09/2026: llenado desde NetSuite [P,V,Y,T] | 01/10/2026: complementado desde Shopify Western Brothers (match por código de barras): WB Silueta | 01/10/2026: Shopify Western Brothers trae Color «Blanco» — se conservó el valor de Productos</t>
        </is>
      </c>
      <c r="AI71" s="156" t="inlineStr">
        <is>
          <t>No</t>
        </is>
      </c>
      <c r="AJ71" s="156" t="n"/>
      <c r="AK71" s="155" t="inlineStr">
        <is>
          <t>ProductosCatalogoEstandar907.xlsx: fila 5120 [N,O,Q,S,U,Y]; G1522_Extraccion_Articulos_NetSuite_2026-09-30.xlsx: fila 56584 [P,V,Y,T] | Shopify WB: producto 8569958498489 / variante 47621320048825</t>
        </is>
      </c>
      <c r="AL71" s="58" t="n">
        <v>336</v>
      </c>
      <c r="AM71" s="58" t="n">
        <v>899</v>
      </c>
      <c r="AN71" s="155" t="inlineStr">
        <is>
          <t>Shopify Western Brothers</t>
        </is>
      </c>
      <c r="AO71" s="59" t="n"/>
      <c r="AP71" s="59" t="n">
        <v>1</v>
      </c>
      <c r="AQ71" s="59" t="n"/>
      <c r="AR71" s="155" t="inlineStr">
        <is>
          <t>Shopify Western Brothers › Western Brothers Outlet Lerma: 1</t>
        </is>
      </c>
    </row>
    <row r="72">
      <c r="A72" s="50" t="inlineStr">
        <is>
          <t>7506499514989</t>
        </is>
      </c>
      <c r="B72" s="51" t="inlineStr">
        <is>
          <t>108426</t>
        </is>
      </c>
      <c r="C72" s="156" t="inlineStr">
        <is>
          <t>Multimarca</t>
        </is>
      </c>
      <c r="D72" s="156" t="inlineStr">
        <is>
          <t>CM085</t>
        </is>
      </c>
      <c r="E72" s="156" t="inlineStr">
        <is>
          <t>CM085-XL</t>
        </is>
      </c>
      <c r="F72" s="156" t="inlineStr">
        <is>
          <t>XL</t>
        </is>
      </c>
      <c r="G72" s="156" t="inlineStr">
        <is>
          <t>XL</t>
        </is>
      </c>
      <c r="H72" s="156" t="inlineStr">
        <is>
          <t>Denver</t>
        </is>
      </c>
      <c r="I72" s="156" t="inlineStr">
        <is>
          <t>Camisa Denver dama print blanco franjas verde</t>
        </is>
      </c>
      <c r="J72" s="156" t="inlineStr">
        <is>
          <t>Ropa</t>
        </is>
      </c>
      <c r="K72" s="156" t="inlineStr">
        <is>
          <t>Camisas</t>
        </is>
      </c>
      <c r="L72" s="156" t="inlineStr">
        <is>
          <t>Mujer</t>
        </is>
      </c>
      <c r="M72" s="156" t="inlineStr">
        <is>
          <t>Denver</t>
        </is>
      </c>
      <c r="N72" s="156" t="inlineStr">
        <is>
          <t>SS26</t>
        </is>
      </c>
      <c r="O72" s="156" t="inlineStr">
        <is>
          <t>Seasonal</t>
        </is>
      </c>
      <c r="P72" s="156" t="inlineStr">
        <is>
          <t>Azul</t>
        </is>
      </c>
      <c r="Q72" s="156" t="inlineStr">
        <is>
          <t>Regular</t>
        </is>
      </c>
      <c r="R72" s="156" t="n"/>
      <c r="S72" s="156" t="inlineStr">
        <is>
          <t>100% Rayón</t>
        </is>
      </c>
      <c r="T72" s="156" t="inlineStr">
        <is>
          <t>Camisa Denver dama print blanco franjas verde Regular</t>
        </is>
      </c>
      <c r="U72" s="156" t="inlineStr">
        <is>
          <t>México</t>
        </is>
      </c>
      <c r="V72" s="156" t="inlineStr">
        <is>
          <t>PZS</t>
        </is>
      </c>
      <c r="W72" s="51" t="inlineStr">
        <is>
          <t>53101604</t>
        </is>
      </c>
      <c r="X72" s="156" t="n"/>
      <c r="Y72" s="54" t="n">
        <v>336</v>
      </c>
      <c r="Z72" s="54" t="n">
        <v>775</v>
      </c>
      <c r="AA72" s="55">
        <f>IF(AND(A72="", B72="", E72=""), "", IF(AB72="", "Válido", IF((LEN(AB72)-LEN(SUBSTITUTE(AB72,"; ","")))/2+1&gt;(LEN(AB72)-LEN(SUBSTITUTE(AB72,"[Aviso]","")))/7, "Con Incidencias", "Válido")))</f>
        <v/>
      </c>
      <c r="AB72" s="56">
        <f>IF(AND(A72="", B72="", E72=""), "", TEXTJOIN("; ", TRUE, IF(OR(TRIM(A72&amp;"")="", ISNUMBER(SEARCH("FALTA", A72))), "UPC faltante/inválido", ""), IF(AND(A72&lt;&gt;"", IFERROR(_xlfn.XMATCH(A72,$A$2:$A$204,0,1)&lt;&gt;_xlfn.XMATCH(A72,$A$2:$A$204,0,-1),FALSE)), "Código de barras duplicado", ""), IF(AND(E72&lt;&gt;"", COUNTIF($E$2:$E$204, E72)&gt;1), "SKU duplicado", ""), IF(OR(J72="", J72=""), "[Aviso] División no capturada ()", IF(ISNA(MATCH(J72, Criterios!$A$123:$A$126, 0)), "División no válida", "")), IF(OR(K72="", K72=""), "[Aviso] Categoría no capturada ()", IF(ISNA(MATCH(K72, Criterios!$A$81:$A$120, 0)), "Categoría no válida", IF(AND(J72&lt;&gt;"", J72&lt;&gt;"", J72&lt;&gt;VLOOKUP(K72, Criterios!$A$81:$B$120, 2, FALSE)), "División no coincide con Categoría", ""))), IF(OR(L72="", L72=""), "[Aviso] Género no capturado ()", IF(ISNA(MATCH(L72, Criterios!$B$123:$B$127, 0)), "Género no válido", "")), IF(OR(N72="", N72=""), "[Aviso] Temporada no capturada ()", IF(ISNA(MATCH(N72, Criterios!$C$123:$C$128, 0)), "Temporada no válida", "")), IF(OR(O72="", O72=""), "[Aviso] Ciclo de vida no capturado ()", IF(ISNA(MATCH(O72, Criterios!$D$123:$D$124, 0)), "Ciclo de vida no válido", ""))))</f>
        <v/>
      </c>
      <c r="AC72" s="56" t="n"/>
      <c r="AD72" s="51" t="n">
        <v>5</v>
      </c>
      <c r="AE72" s="156" t="inlineStr">
        <is>
          <t>WB OUTLET LERMA: 5</t>
        </is>
      </c>
      <c r="AF72" s="51" t="n">
        <v>5</v>
      </c>
      <c r="AG72" s="156" t="inlineStr">
        <is>
          <t>Nuevo – NetSuite con existencia</t>
        </is>
      </c>
      <c r="AH72" s="156" t="inlineStr">
        <is>
          <t>Revisión 29/09/2026: Campos sin respaldo: X; Auditoría NetSuite 30/09/2026: llenado desde NetSuite [P,V,Y,T] | 01/10/2026: complementado desde Shopify Western Brothers (match por código de barras): WB Silueta | 01/10/2026: Shopify Western Brothers trae Color «Blanco» — se conservó el valor de Productos</t>
        </is>
      </c>
      <c r="AI72" s="156" t="inlineStr">
        <is>
          <t>No</t>
        </is>
      </c>
      <c r="AJ72" s="156" t="n"/>
      <c r="AK72" s="155" t="inlineStr">
        <is>
          <t>ProductosCatalogoEstandar907.xlsx: fila 5121 [N,O,Q,S,U,Y]; G1522_Extraccion_Articulos_NetSuite_2026-09-30.xlsx: fila 56585 [P,V,Y,T] | Shopify WB: producto 8569958498489 / variante 47621320081593</t>
        </is>
      </c>
      <c r="AL72" s="58" t="n">
        <v>336</v>
      </c>
      <c r="AM72" s="58" t="n">
        <v>899</v>
      </c>
      <c r="AN72" s="155" t="inlineStr">
        <is>
          <t>Shopify Western Brothers</t>
        </is>
      </c>
      <c r="AO72" s="59" t="n"/>
      <c r="AP72" s="59" t="n">
        <v>5</v>
      </c>
      <c r="AQ72" s="59" t="n"/>
      <c r="AR72" s="155" t="inlineStr">
        <is>
          <t>Shopify Western Brothers › Western Brothers Outlet Lerma: 5</t>
        </is>
      </c>
    </row>
    <row r="73">
      <c r="A73" s="50" t="inlineStr">
        <is>
          <t>7506499520768</t>
        </is>
      </c>
      <c r="B73" s="51" t="inlineStr">
        <is>
          <t>108427</t>
        </is>
      </c>
      <c r="C73" s="156" t="inlineStr">
        <is>
          <t>Multimarca</t>
        </is>
      </c>
      <c r="D73" s="156" t="inlineStr">
        <is>
          <t>CM110</t>
        </is>
      </c>
      <c r="E73" s="156" t="inlineStr">
        <is>
          <t>CM110-XS</t>
        </is>
      </c>
      <c r="F73" s="156" t="inlineStr">
        <is>
          <t>XS</t>
        </is>
      </c>
      <c r="G73" s="156" t="inlineStr">
        <is>
          <t>XS</t>
        </is>
      </c>
      <c r="H73" s="156" t="inlineStr">
        <is>
          <t>Denver</t>
        </is>
      </c>
      <c r="I73" s="156" t="inlineStr">
        <is>
          <t>Camisa Denver dama print con flores amarillas</t>
        </is>
      </c>
      <c r="J73" s="156" t="inlineStr">
        <is>
          <t>Ropa</t>
        </is>
      </c>
      <c r="K73" s="156" t="inlineStr">
        <is>
          <t>Camisas</t>
        </is>
      </c>
      <c r="L73" s="156" t="inlineStr">
        <is>
          <t>Mujer</t>
        </is>
      </c>
      <c r="M73" s="156" t="inlineStr">
        <is>
          <t>Denver</t>
        </is>
      </c>
      <c r="N73" s="156" t="inlineStr">
        <is>
          <t>SS26</t>
        </is>
      </c>
      <c r="O73" s="156" t="inlineStr">
        <is>
          <t>Seasonal</t>
        </is>
      </c>
      <c r="P73" s="156" t="inlineStr">
        <is>
          <t>Amarillo</t>
        </is>
      </c>
      <c r="Q73" s="156" t="inlineStr">
        <is>
          <t>Regular</t>
        </is>
      </c>
      <c r="R73" s="156" t="n"/>
      <c r="S73" s="156" t="inlineStr">
        <is>
          <t>100% Rayón</t>
        </is>
      </c>
      <c r="T73" s="156" t="inlineStr">
        <is>
          <t>Camisa Denver dama print con flores amarillas. Regular</t>
        </is>
      </c>
      <c r="U73" s="156" t="inlineStr">
        <is>
          <t>México</t>
        </is>
      </c>
      <c r="V73" s="156" t="inlineStr">
        <is>
          <t>PZS</t>
        </is>
      </c>
      <c r="W73" s="51" t="inlineStr">
        <is>
          <t>53101604</t>
        </is>
      </c>
      <c r="X73" s="156" t="n"/>
      <c r="Y73" s="54" t="n">
        <v>336</v>
      </c>
      <c r="Z73" s="54" t="n">
        <v>775</v>
      </c>
      <c r="AA73" s="55">
        <f>IF(AND(A73="", B73="", E73=""), "", IF(AB73="", "Válido", IF((LEN(AB73)-LEN(SUBSTITUTE(AB73,"; ","")))/2+1&gt;(LEN(AB73)-LEN(SUBSTITUTE(AB73,"[Aviso]","")))/7, "Con Incidencias", "Válido")))</f>
        <v/>
      </c>
      <c r="AB73" s="56">
        <f>IF(AND(A73="", B73="", E73=""), "", TEXTJOIN("; ", TRUE, IF(OR(TRIM(A73&amp;"")="", ISNUMBER(SEARCH("FALTA", A73))), "UPC faltante/inválido", ""), IF(AND(A73&lt;&gt;"", IFERROR(_xlfn.XMATCH(A73,$A$2:$A$204,0,1)&lt;&gt;_xlfn.XMATCH(A73,$A$2:$A$204,0,-1),FALSE)), "Código de barras duplicado", ""), IF(AND(E73&lt;&gt;"", COUNTIF($E$2:$E$204, E73)&gt;1), "SKU duplicado", ""), IF(OR(J73="", J73=""), "[Aviso] División no capturada ()", IF(ISNA(MATCH(J73, Criterios!$A$123:$A$126, 0)), "División no válida", "")), IF(OR(K73="", K73=""), "[Aviso] Categoría no capturada ()", IF(ISNA(MATCH(K73, Criterios!$A$81:$A$120, 0)), "Categoría no válida", IF(AND(J73&lt;&gt;"", J73&lt;&gt;"", J73&lt;&gt;VLOOKUP(K73, Criterios!$A$81:$B$120, 2, FALSE)), "División no coincide con Categoría", ""))), IF(OR(L73="", L73=""), "[Aviso] Género no capturado ()", IF(ISNA(MATCH(L73, Criterios!$B$123:$B$127, 0)), "Género no válido", "")), IF(OR(N73="", N73=""), "[Aviso] Temporada no capturada ()", IF(ISNA(MATCH(N73, Criterios!$C$123:$C$128, 0)), "Temporada no válida", "")), IF(OR(O73="", O73=""), "[Aviso] Ciclo de vida no capturado ()", IF(ISNA(MATCH(O73, Criterios!$D$123:$D$124, 0)), "Ciclo de vida no válido", ""))))</f>
        <v/>
      </c>
      <c r="AC73" s="56" t="n"/>
      <c r="AD73" s="51" t="n">
        <v>4</v>
      </c>
      <c r="AE73" s="156" t="inlineStr">
        <is>
          <t>WB OUTLET LERMA: 4</t>
        </is>
      </c>
      <c r="AF73" s="51" t="n">
        <v>4</v>
      </c>
      <c r="AG73" s="156" t="inlineStr">
        <is>
          <t>Nuevo – NetSuite con existencia</t>
        </is>
      </c>
      <c r="AH73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73" s="156" t="inlineStr">
        <is>
          <t>No</t>
        </is>
      </c>
      <c r="AJ73" s="156" t="n"/>
      <c r="AK73" s="155" t="inlineStr">
        <is>
          <t>ProductosCatalogoEstandar907.xlsx: fila 5126 [N,O,Q,S,U,Y]; G1522_Extraccion_Articulos_NetSuite_2026-09-30.xlsx: fila 56586 [P,V,Y,T] | Shopify WB: producto 8569958662329 / variante 47621320474809</t>
        </is>
      </c>
      <c r="AL73" s="58" t="n">
        <v>336</v>
      </c>
      <c r="AM73" s="58" t="n">
        <v>899</v>
      </c>
      <c r="AN73" s="155" t="inlineStr">
        <is>
          <t>Shopify Western Brothers</t>
        </is>
      </c>
      <c r="AO73" s="59" t="n"/>
      <c r="AP73" s="59" t="n">
        <v>4</v>
      </c>
      <c r="AQ73" s="59" t="n"/>
      <c r="AR73" s="155" t="inlineStr">
        <is>
          <t>Shopify Western Brothers › Western Brothers Outlet Lerma: 4</t>
        </is>
      </c>
    </row>
    <row r="74">
      <c r="A74" s="50" t="inlineStr">
        <is>
          <t>7506499520652</t>
        </is>
      </c>
      <c r="B74" s="51" t="inlineStr">
        <is>
          <t>108428</t>
        </is>
      </c>
      <c r="C74" s="156" t="inlineStr">
        <is>
          <t>Multimarca</t>
        </is>
      </c>
      <c r="D74" s="156" t="inlineStr">
        <is>
          <t>CM110</t>
        </is>
      </c>
      <c r="E74" s="156" t="inlineStr">
        <is>
          <t>CM110-S</t>
        </is>
      </c>
      <c r="F74" s="156" t="inlineStr">
        <is>
          <t>S</t>
        </is>
      </c>
      <c r="G74" s="156" t="inlineStr">
        <is>
          <t>S</t>
        </is>
      </c>
      <c r="H74" s="156" t="inlineStr">
        <is>
          <t>Denver</t>
        </is>
      </c>
      <c r="I74" s="156" t="inlineStr">
        <is>
          <t>Camisa Denver dama print con flores amarillas</t>
        </is>
      </c>
      <c r="J74" s="156" t="inlineStr">
        <is>
          <t>Ropa</t>
        </is>
      </c>
      <c r="K74" s="156" t="inlineStr">
        <is>
          <t>Camisas</t>
        </is>
      </c>
      <c r="L74" s="156" t="inlineStr">
        <is>
          <t>Mujer</t>
        </is>
      </c>
      <c r="M74" s="156" t="inlineStr">
        <is>
          <t>Denver</t>
        </is>
      </c>
      <c r="N74" s="156" t="inlineStr">
        <is>
          <t>SS26</t>
        </is>
      </c>
      <c r="O74" s="156" t="inlineStr">
        <is>
          <t>Seasonal</t>
        </is>
      </c>
      <c r="P74" s="156" t="inlineStr">
        <is>
          <t>Amarillo</t>
        </is>
      </c>
      <c r="Q74" s="156" t="inlineStr">
        <is>
          <t>Regular</t>
        </is>
      </c>
      <c r="R74" s="156" t="n"/>
      <c r="S74" s="156" t="inlineStr">
        <is>
          <t>100% Rayón</t>
        </is>
      </c>
      <c r="T74" s="156" t="inlineStr">
        <is>
          <t>Camisa Denver dama print con flores amarillas. Regular</t>
        </is>
      </c>
      <c r="U74" s="156" t="inlineStr">
        <is>
          <t>México</t>
        </is>
      </c>
      <c r="V74" s="156" t="inlineStr">
        <is>
          <t>PZS</t>
        </is>
      </c>
      <c r="W74" s="51" t="inlineStr">
        <is>
          <t>53101604</t>
        </is>
      </c>
      <c r="X74" s="156" t="n"/>
      <c r="Y74" s="54" t="n">
        <v>336</v>
      </c>
      <c r="Z74" s="54" t="n">
        <v>775</v>
      </c>
      <c r="AA74" s="55">
        <f>IF(AND(A74="", B74="", E74=""), "", IF(AB74="", "Válido", IF((LEN(AB74)-LEN(SUBSTITUTE(AB74,"; ","")))/2+1&gt;(LEN(AB74)-LEN(SUBSTITUTE(AB74,"[Aviso]","")))/7, "Con Incidencias", "Válido")))</f>
        <v/>
      </c>
      <c r="AB74" s="56">
        <f>IF(AND(A74="", B74="", E74=""), "", TEXTJOIN("; ", TRUE, IF(OR(TRIM(A74&amp;"")="", ISNUMBER(SEARCH("FALTA", A74))), "UPC faltante/inválido", ""), IF(AND(A74&lt;&gt;"", IFERROR(_xlfn.XMATCH(A74,$A$2:$A$204,0,1)&lt;&gt;_xlfn.XMATCH(A74,$A$2:$A$204,0,-1),FALSE)), "Código de barras duplicado", ""), IF(AND(E74&lt;&gt;"", COUNTIF($E$2:$E$204, E74)&gt;1), "SKU duplicado", ""), IF(OR(J74="", J74=""), "[Aviso] División no capturada ()", IF(ISNA(MATCH(J74, Criterios!$A$123:$A$126, 0)), "División no válida", "")), IF(OR(K74="", K74=""), "[Aviso] Categoría no capturada ()", IF(ISNA(MATCH(K74, Criterios!$A$81:$A$120, 0)), "Categoría no válida", IF(AND(J74&lt;&gt;"", J74&lt;&gt;"", J74&lt;&gt;VLOOKUP(K74, Criterios!$A$81:$B$120, 2, FALSE)), "División no coincide con Categoría", ""))), IF(OR(L74="", L74=""), "[Aviso] Género no capturado ()", IF(ISNA(MATCH(L74, Criterios!$B$123:$B$127, 0)), "Género no válido", "")), IF(OR(N74="", N74=""), "[Aviso] Temporada no capturada ()", IF(ISNA(MATCH(N74, Criterios!$C$123:$C$128, 0)), "Temporada no válida", "")), IF(OR(O74="", O74=""), "[Aviso] Ciclo de vida no capturado ()", IF(ISNA(MATCH(O74, Criterios!$D$123:$D$124, 0)), "Ciclo de vida no válido", ""))))</f>
        <v/>
      </c>
      <c r="AC74" s="56" t="n"/>
      <c r="AD74" s="51" t="n">
        <v>3</v>
      </c>
      <c r="AE74" s="156" t="inlineStr">
        <is>
          <t>WB OUTLET LERMA: 3</t>
        </is>
      </c>
      <c r="AF74" s="51" t="n">
        <v>3</v>
      </c>
      <c r="AG74" s="156" t="inlineStr">
        <is>
          <t>Nuevo – NetSuite con existencia</t>
        </is>
      </c>
      <c r="AH74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74" s="156" t="inlineStr">
        <is>
          <t>No</t>
        </is>
      </c>
      <c r="AJ74" s="156" t="n"/>
      <c r="AK74" s="155" t="inlineStr">
        <is>
          <t>ProductosCatalogoEstandar907.xlsx: fila 5122 [N,O,Q,S,U,Y]; G1522_Extraccion_Articulos_NetSuite_2026-09-30.xlsx: fila 56587 [P,V,Y,T] | Shopify WB: producto 8569958662329 / variante 47621320343737</t>
        </is>
      </c>
      <c r="AL74" s="58" t="n">
        <v>336</v>
      </c>
      <c r="AM74" s="58" t="n">
        <v>899</v>
      </c>
      <c r="AN74" s="155" t="inlineStr">
        <is>
          <t>Shopify Western Brothers</t>
        </is>
      </c>
      <c r="AO74" s="59" t="n"/>
      <c r="AP74" s="59" t="n">
        <v>3</v>
      </c>
      <c r="AQ74" s="59" t="n"/>
      <c r="AR74" s="155" t="inlineStr">
        <is>
          <t>Shopify Western Brothers › Western Brothers Outlet Lerma: 3</t>
        </is>
      </c>
    </row>
    <row r="75">
      <c r="A75" s="50" t="inlineStr">
        <is>
          <t>7506499520669</t>
        </is>
      </c>
      <c r="B75" s="51" t="inlineStr">
        <is>
          <t>108429</t>
        </is>
      </c>
      <c r="C75" s="156" t="inlineStr">
        <is>
          <t>Multimarca</t>
        </is>
      </c>
      <c r="D75" s="156" t="inlineStr">
        <is>
          <t>CM110</t>
        </is>
      </c>
      <c r="E75" s="156" t="inlineStr">
        <is>
          <t>CM110-M</t>
        </is>
      </c>
      <c r="F75" s="156" t="inlineStr">
        <is>
          <t>M</t>
        </is>
      </c>
      <c r="G75" s="156" t="inlineStr">
        <is>
          <t>M</t>
        </is>
      </c>
      <c r="H75" s="156" t="inlineStr">
        <is>
          <t>Denver</t>
        </is>
      </c>
      <c r="I75" s="156" t="inlineStr">
        <is>
          <t>Camisa Denver dama print con flores amarillas</t>
        </is>
      </c>
      <c r="J75" s="156" t="inlineStr">
        <is>
          <t>Ropa</t>
        </is>
      </c>
      <c r="K75" s="156" t="inlineStr">
        <is>
          <t>Camisas</t>
        </is>
      </c>
      <c r="L75" s="156" t="inlineStr">
        <is>
          <t>Mujer</t>
        </is>
      </c>
      <c r="M75" s="156" t="inlineStr">
        <is>
          <t>Denver</t>
        </is>
      </c>
      <c r="N75" s="156" t="inlineStr">
        <is>
          <t>SS26</t>
        </is>
      </c>
      <c r="O75" s="156" t="inlineStr">
        <is>
          <t>Seasonal</t>
        </is>
      </c>
      <c r="P75" s="156" t="inlineStr">
        <is>
          <t>Amarillo</t>
        </is>
      </c>
      <c r="Q75" s="156" t="inlineStr">
        <is>
          <t>Regular</t>
        </is>
      </c>
      <c r="R75" s="156" t="n"/>
      <c r="S75" s="156" t="inlineStr">
        <is>
          <t>100% Rayón</t>
        </is>
      </c>
      <c r="T75" s="156" t="inlineStr">
        <is>
          <t>Camisa Denver dama print con flores amarillas. Regular</t>
        </is>
      </c>
      <c r="U75" s="156" t="inlineStr">
        <is>
          <t>México</t>
        </is>
      </c>
      <c r="V75" s="156" t="inlineStr">
        <is>
          <t>PZS</t>
        </is>
      </c>
      <c r="W75" s="51" t="inlineStr">
        <is>
          <t>53101604</t>
        </is>
      </c>
      <c r="X75" s="156" t="n"/>
      <c r="Y75" s="54" t="n">
        <v>336</v>
      </c>
      <c r="Z75" s="54" t="n">
        <v>775</v>
      </c>
      <c r="AA75" s="55">
        <f>IF(AND(A75="", B75="", E75=""), "", IF(AB75="", "Válido", IF((LEN(AB75)-LEN(SUBSTITUTE(AB75,"; ","")))/2+1&gt;(LEN(AB75)-LEN(SUBSTITUTE(AB75,"[Aviso]","")))/7, "Con Incidencias", "Válido")))</f>
        <v/>
      </c>
      <c r="AB75" s="56">
        <f>IF(AND(A75="", B75="", E75=""), "", TEXTJOIN("; ", TRUE, IF(OR(TRIM(A75&amp;"")="", ISNUMBER(SEARCH("FALTA", A75))), "UPC faltante/inválido", ""), IF(AND(A75&lt;&gt;"", IFERROR(_xlfn.XMATCH(A75,$A$2:$A$204,0,1)&lt;&gt;_xlfn.XMATCH(A75,$A$2:$A$204,0,-1),FALSE)), "Código de barras duplicado", ""), IF(AND(E75&lt;&gt;"", COUNTIF($E$2:$E$204, E75)&gt;1), "SKU duplicado", ""), IF(OR(J75="", J75=""), "[Aviso] División no capturada ()", IF(ISNA(MATCH(J75, Criterios!$A$123:$A$126, 0)), "División no válida", "")), IF(OR(K75="", K75=""), "[Aviso] Categoría no capturada ()", IF(ISNA(MATCH(K75, Criterios!$A$81:$A$120, 0)), "Categoría no válida", IF(AND(J75&lt;&gt;"", J75&lt;&gt;"", J75&lt;&gt;VLOOKUP(K75, Criterios!$A$81:$B$120, 2, FALSE)), "División no coincide con Categoría", ""))), IF(OR(L75="", L75=""), "[Aviso] Género no capturado ()", IF(ISNA(MATCH(L75, Criterios!$B$123:$B$127, 0)), "Género no válido", "")), IF(OR(N75="", N75=""), "[Aviso] Temporada no capturada ()", IF(ISNA(MATCH(N75, Criterios!$C$123:$C$128, 0)), "Temporada no válida", "")), IF(OR(O75="", O75=""), "[Aviso] Ciclo de vida no capturado ()", IF(ISNA(MATCH(O75, Criterios!$D$123:$D$124, 0)), "Ciclo de vida no válido", ""))))</f>
        <v/>
      </c>
      <c r="AC75" s="56" t="n"/>
      <c r="AD75" s="51" t="n">
        <v>4</v>
      </c>
      <c r="AE75" s="156" t="inlineStr">
        <is>
          <t>WB OUTLET LERMA: 4</t>
        </is>
      </c>
      <c r="AF75" s="51" t="n">
        <v>4</v>
      </c>
      <c r="AG75" s="156" t="inlineStr">
        <is>
          <t>Nuevo – NetSuite con existencia</t>
        </is>
      </c>
      <c r="AH75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75" s="156" t="inlineStr">
        <is>
          <t>No</t>
        </is>
      </c>
      <c r="AJ75" s="156" t="n"/>
      <c r="AK75" s="155" t="inlineStr">
        <is>
          <t>ProductosCatalogoEstandar907.xlsx: fila 5123 [N,O,Q,S,U,Y]; G1522_Extraccion_Articulos_NetSuite_2026-09-30.xlsx: fila 56588 [P,V,Y,T] | Shopify WB: producto 8569958662329 / variante 47621320376505</t>
        </is>
      </c>
      <c r="AL75" s="58" t="n">
        <v>336</v>
      </c>
      <c r="AM75" s="58" t="n">
        <v>899</v>
      </c>
      <c r="AN75" s="155" t="inlineStr">
        <is>
          <t>Shopify Western Brothers</t>
        </is>
      </c>
      <c r="AO75" s="59" t="n"/>
      <c r="AP75" s="59" t="n">
        <v>4</v>
      </c>
      <c r="AQ75" s="59" t="n"/>
      <c r="AR75" s="155" t="inlineStr">
        <is>
          <t>Shopify Western Brothers › Western Brothers Outlet Lerma: 4</t>
        </is>
      </c>
    </row>
    <row r="76">
      <c r="A76" s="50" t="inlineStr">
        <is>
          <t>7506499520676</t>
        </is>
      </c>
      <c r="B76" s="51" t="inlineStr">
        <is>
          <t>108430</t>
        </is>
      </c>
      <c r="C76" s="156" t="inlineStr">
        <is>
          <t>Multimarca</t>
        </is>
      </c>
      <c r="D76" s="156" t="inlineStr">
        <is>
          <t>CM110</t>
        </is>
      </c>
      <c r="E76" s="156" t="inlineStr">
        <is>
          <t>CM110-L</t>
        </is>
      </c>
      <c r="F76" s="156" t="inlineStr">
        <is>
          <t>L</t>
        </is>
      </c>
      <c r="G76" s="156" t="inlineStr">
        <is>
          <t>L</t>
        </is>
      </c>
      <c r="H76" s="156" t="inlineStr">
        <is>
          <t>Denver</t>
        </is>
      </c>
      <c r="I76" s="156" t="inlineStr">
        <is>
          <t>Camisa Denver dama print con flores amarillas</t>
        </is>
      </c>
      <c r="J76" s="156" t="inlineStr">
        <is>
          <t>Ropa</t>
        </is>
      </c>
      <c r="K76" s="156" t="inlineStr">
        <is>
          <t>Camisas</t>
        </is>
      </c>
      <c r="L76" s="156" t="inlineStr">
        <is>
          <t>Mujer</t>
        </is>
      </c>
      <c r="M76" s="156" t="inlineStr">
        <is>
          <t>Denver</t>
        </is>
      </c>
      <c r="N76" s="156" t="inlineStr">
        <is>
          <t>SS26</t>
        </is>
      </c>
      <c r="O76" s="156" t="inlineStr">
        <is>
          <t>Seasonal</t>
        </is>
      </c>
      <c r="P76" s="156" t="inlineStr">
        <is>
          <t>Amarillo</t>
        </is>
      </c>
      <c r="Q76" s="156" t="inlineStr">
        <is>
          <t>Regular</t>
        </is>
      </c>
      <c r="R76" s="156" t="n"/>
      <c r="S76" s="156" t="inlineStr">
        <is>
          <t>100% Rayón</t>
        </is>
      </c>
      <c r="T76" s="156" t="inlineStr">
        <is>
          <t>Camisa Denver dama print con flores amarillas. Regular</t>
        </is>
      </c>
      <c r="U76" s="156" t="inlineStr">
        <is>
          <t>México</t>
        </is>
      </c>
      <c r="V76" s="156" t="inlineStr">
        <is>
          <t>PZS</t>
        </is>
      </c>
      <c r="W76" s="51" t="inlineStr">
        <is>
          <t>53101604</t>
        </is>
      </c>
      <c r="X76" s="156" t="n"/>
      <c r="Y76" s="54" t="n">
        <v>336</v>
      </c>
      <c r="Z76" s="54" t="n">
        <v>775</v>
      </c>
      <c r="AA76" s="55">
        <f>IF(AND(A76="", B76="", E76=""), "", IF(AB76="", "Válido", IF((LEN(AB76)-LEN(SUBSTITUTE(AB76,"; ","")))/2+1&gt;(LEN(AB76)-LEN(SUBSTITUTE(AB76,"[Aviso]","")))/7, "Con Incidencias", "Válido")))</f>
        <v/>
      </c>
      <c r="AB76" s="56">
        <f>IF(AND(A76="", B76="", E76=""), "", TEXTJOIN("; ", TRUE, IF(OR(TRIM(A76&amp;"")="", ISNUMBER(SEARCH("FALTA", A76))), "UPC faltante/inválido", ""), IF(AND(A76&lt;&gt;"", IFERROR(_xlfn.XMATCH(A76,$A$2:$A$204,0,1)&lt;&gt;_xlfn.XMATCH(A76,$A$2:$A$204,0,-1),FALSE)), "Código de barras duplicado", ""), IF(AND(E76&lt;&gt;"", COUNTIF($E$2:$E$204, E76)&gt;1), "SKU duplicado", ""), IF(OR(J76="", J76=""), "[Aviso] División no capturada ()", IF(ISNA(MATCH(J76, Criterios!$A$123:$A$126, 0)), "División no válida", "")), IF(OR(K76="", K76=""), "[Aviso] Categoría no capturada ()", IF(ISNA(MATCH(K76, Criterios!$A$81:$A$120, 0)), "Categoría no válida", IF(AND(J76&lt;&gt;"", J76&lt;&gt;"", J76&lt;&gt;VLOOKUP(K76, Criterios!$A$81:$B$120, 2, FALSE)), "División no coincide con Categoría", ""))), IF(OR(L76="", L76=""), "[Aviso] Género no capturado ()", IF(ISNA(MATCH(L76, Criterios!$B$123:$B$127, 0)), "Género no válido", "")), IF(OR(N76="", N76=""), "[Aviso] Temporada no capturada ()", IF(ISNA(MATCH(N76, Criterios!$C$123:$C$128, 0)), "Temporada no válida", "")), IF(OR(O76="", O76=""), "[Aviso] Ciclo de vida no capturado ()", IF(ISNA(MATCH(O76, Criterios!$D$123:$D$124, 0)), "Ciclo de vida no válido", ""))))</f>
        <v/>
      </c>
      <c r="AC76" s="56" t="n"/>
      <c r="AD76" s="51" t="n">
        <v>3</v>
      </c>
      <c r="AE76" s="156" t="inlineStr">
        <is>
          <t>WB OUTLET LERMA: 3</t>
        </is>
      </c>
      <c r="AF76" s="51" t="n">
        <v>3</v>
      </c>
      <c r="AG76" s="156" t="inlineStr">
        <is>
          <t>Nuevo – NetSuite con existencia</t>
        </is>
      </c>
      <c r="AH76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76" s="156" t="inlineStr">
        <is>
          <t>No</t>
        </is>
      </c>
      <c r="AJ76" s="156" t="n"/>
      <c r="AK76" s="155" t="inlineStr">
        <is>
          <t>ProductosCatalogoEstandar907.xlsx: fila 5124 [N,O,Q,S,U,Y]; G1522_Extraccion_Articulos_NetSuite_2026-09-30.xlsx: fila 56589 [P,V,Y,T] | Shopify WB: producto 8569958662329 / variante 47621320409273</t>
        </is>
      </c>
      <c r="AL76" s="58" t="n">
        <v>336</v>
      </c>
      <c r="AM76" s="58" t="n">
        <v>899</v>
      </c>
      <c r="AN76" s="155" t="inlineStr">
        <is>
          <t>Shopify Western Brothers</t>
        </is>
      </c>
      <c r="AO76" s="59" t="n"/>
      <c r="AP76" s="59" t="n">
        <v>3</v>
      </c>
      <c r="AQ76" s="59" t="n"/>
      <c r="AR76" s="155" t="inlineStr">
        <is>
          <t>Shopify Western Brothers › Western Brothers Outlet Lerma: 3</t>
        </is>
      </c>
    </row>
    <row r="77">
      <c r="A77" s="50" t="inlineStr">
        <is>
          <t>7506499520683</t>
        </is>
      </c>
      <c r="B77" s="51" t="inlineStr">
        <is>
          <t>108431</t>
        </is>
      </c>
      <c r="C77" s="156" t="inlineStr">
        <is>
          <t>Multimarca</t>
        </is>
      </c>
      <c r="D77" s="156" t="inlineStr">
        <is>
          <t>CM110</t>
        </is>
      </c>
      <c r="E77" s="156" t="inlineStr">
        <is>
          <t>CM110-XL</t>
        </is>
      </c>
      <c r="F77" s="156" t="inlineStr">
        <is>
          <t>XL</t>
        </is>
      </c>
      <c r="G77" s="156" t="inlineStr">
        <is>
          <t>XL</t>
        </is>
      </c>
      <c r="H77" s="156" t="inlineStr">
        <is>
          <t>Denver</t>
        </is>
      </c>
      <c r="I77" s="156" t="inlineStr">
        <is>
          <t>Camisa Denver dama print con flores amarillas</t>
        </is>
      </c>
      <c r="J77" s="156" t="inlineStr">
        <is>
          <t>Ropa</t>
        </is>
      </c>
      <c r="K77" s="156" t="inlineStr">
        <is>
          <t>Camisas</t>
        </is>
      </c>
      <c r="L77" s="156" t="inlineStr">
        <is>
          <t>Mujer</t>
        </is>
      </c>
      <c r="M77" s="156" t="inlineStr">
        <is>
          <t>Denver</t>
        </is>
      </c>
      <c r="N77" s="156" t="inlineStr">
        <is>
          <t>SS26</t>
        </is>
      </c>
      <c r="O77" s="156" t="inlineStr">
        <is>
          <t>Seasonal</t>
        </is>
      </c>
      <c r="P77" s="156" t="inlineStr">
        <is>
          <t>Amarillo</t>
        </is>
      </c>
      <c r="Q77" s="156" t="inlineStr">
        <is>
          <t>Regular</t>
        </is>
      </c>
      <c r="R77" s="156" t="n"/>
      <c r="S77" s="156" t="inlineStr">
        <is>
          <t>100% Rayón</t>
        </is>
      </c>
      <c r="T77" s="156" t="inlineStr">
        <is>
          <t>Camisa Denver dama print con flores amarillas. Regular</t>
        </is>
      </c>
      <c r="U77" s="156" t="inlineStr">
        <is>
          <t>México</t>
        </is>
      </c>
      <c r="V77" s="156" t="inlineStr">
        <is>
          <t>PZS</t>
        </is>
      </c>
      <c r="W77" s="51" t="inlineStr">
        <is>
          <t>53101604</t>
        </is>
      </c>
      <c r="X77" s="156" t="n"/>
      <c r="Y77" s="54" t="n">
        <v>336</v>
      </c>
      <c r="Z77" s="54" t="n">
        <v>775</v>
      </c>
      <c r="AA77" s="55">
        <f>IF(AND(A77="", B77="", E77=""), "", IF(AB77="", "Válido", IF((LEN(AB77)-LEN(SUBSTITUTE(AB77,"; ","")))/2+1&gt;(LEN(AB77)-LEN(SUBSTITUTE(AB77,"[Aviso]","")))/7, "Con Incidencias", "Válido")))</f>
        <v/>
      </c>
      <c r="AB77" s="56">
        <f>IF(AND(A77="", B77="", E77=""), "", TEXTJOIN("; ", TRUE, IF(OR(TRIM(A77&amp;"")="", ISNUMBER(SEARCH("FALTA", A77))), "UPC faltante/inválido", ""), IF(AND(A77&lt;&gt;"", IFERROR(_xlfn.XMATCH(A77,$A$2:$A$204,0,1)&lt;&gt;_xlfn.XMATCH(A77,$A$2:$A$204,0,-1),FALSE)), "Código de barras duplicado", ""), IF(AND(E77&lt;&gt;"", COUNTIF($E$2:$E$204, E77)&gt;1), "SKU duplicado", ""), IF(OR(J77="", J77=""), "[Aviso] División no capturada ()", IF(ISNA(MATCH(J77, Criterios!$A$123:$A$126, 0)), "División no válida", "")), IF(OR(K77="", K77=""), "[Aviso] Categoría no capturada ()", IF(ISNA(MATCH(K77, Criterios!$A$81:$A$120, 0)), "Categoría no válida", IF(AND(J77&lt;&gt;"", J77&lt;&gt;"", J77&lt;&gt;VLOOKUP(K77, Criterios!$A$81:$B$120, 2, FALSE)), "División no coincide con Categoría", ""))), IF(OR(L77="", L77=""), "[Aviso] Género no capturado ()", IF(ISNA(MATCH(L77, Criterios!$B$123:$B$127, 0)), "Género no válido", "")), IF(OR(N77="", N77=""), "[Aviso] Temporada no capturada ()", IF(ISNA(MATCH(N77, Criterios!$C$123:$C$128, 0)), "Temporada no válida", "")), IF(OR(O77="", O77=""), "[Aviso] Ciclo de vida no capturado ()", IF(ISNA(MATCH(O77, Criterios!$D$123:$D$124, 0)), "Ciclo de vida no válido", ""))))</f>
        <v/>
      </c>
      <c r="AC77" s="56" t="n"/>
      <c r="AD77" s="51" t="n">
        <v>4</v>
      </c>
      <c r="AE77" s="156" t="inlineStr">
        <is>
          <t>WB OUTLET LERMA: 4</t>
        </is>
      </c>
      <c r="AF77" s="51" t="n">
        <v>4</v>
      </c>
      <c r="AG77" s="156" t="inlineStr">
        <is>
          <t>Nuevo – NetSuite con existencia</t>
        </is>
      </c>
      <c r="AH77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77" s="156" t="inlineStr">
        <is>
          <t>No</t>
        </is>
      </c>
      <c r="AJ77" s="156" t="n"/>
      <c r="AK77" s="155" t="inlineStr">
        <is>
          <t>ProductosCatalogoEstandar907.xlsx: fila 5125 [N,O,Q,S,U,Y]; G1522_Extraccion_Articulos_NetSuite_2026-09-30.xlsx: fila 56590 [P,V,Y,T] | Shopify WB: producto 8569958662329 / variante 47621320442041</t>
        </is>
      </c>
      <c r="AL77" s="58" t="n">
        <v>336</v>
      </c>
      <c r="AM77" s="58" t="n">
        <v>899</v>
      </c>
      <c r="AN77" s="155" t="inlineStr">
        <is>
          <t>Shopify Western Brothers</t>
        </is>
      </c>
      <c r="AO77" s="59" t="n"/>
      <c r="AP77" s="59" t="n">
        <v>4</v>
      </c>
      <c r="AQ77" s="59" t="n"/>
      <c r="AR77" s="155" t="inlineStr">
        <is>
          <t>Shopify Western Brothers › Western Brothers Outlet Lerma: 4</t>
        </is>
      </c>
    </row>
    <row r="78">
      <c r="A78" s="50" t="inlineStr">
        <is>
          <t>7506499526104</t>
        </is>
      </c>
      <c r="B78" s="51" t="inlineStr">
        <is>
          <t>108432</t>
        </is>
      </c>
      <c r="C78" s="156" t="inlineStr">
        <is>
          <t>Multimarca</t>
        </is>
      </c>
      <c r="D78" s="156" t="inlineStr">
        <is>
          <t>CM119</t>
        </is>
      </c>
      <c r="E78" s="156" t="inlineStr">
        <is>
          <t>CM119-XS</t>
        </is>
      </c>
      <c r="F78" s="156" t="inlineStr">
        <is>
          <t>XS</t>
        </is>
      </c>
      <c r="G78" s="156" t="inlineStr">
        <is>
          <t>XS</t>
        </is>
      </c>
      <c r="H78" s="156" t="inlineStr">
        <is>
          <t>Denver</t>
        </is>
      </c>
      <c r="I78" s="156" t="inlineStr">
        <is>
          <t>Camisa Denver dama estampado camuflaje de flores</t>
        </is>
      </c>
      <c r="J78" s="156" t="inlineStr">
        <is>
          <t>Ropa</t>
        </is>
      </c>
      <c r="K78" s="156" t="inlineStr">
        <is>
          <t>Camisas</t>
        </is>
      </c>
      <c r="L78" s="156" t="inlineStr">
        <is>
          <t>Mujer</t>
        </is>
      </c>
      <c r="M78" s="156" t="inlineStr">
        <is>
          <t>Denver</t>
        </is>
      </c>
      <c r="N78" s="156" t="inlineStr">
        <is>
          <t>SS26</t>
        </is>
      </c>
      <c r="O78" s="156" t="inlineStr">
        <is>
          <t>Seasonal</t>
        </is>
      </c>
      <c r="P78" s="156" t="inlineStr">
        <is>
          <t>Verde</t>
        </is>
      </c>
      <c r="Q78" s="156" t="inlineStr">
        <is>
          <t>Regular</t>
        </is>
      </c>
      <c r="R78" s="156" t="n"/>
      <c r="S78" s="156" t="inlineStr">
        <is>
          <t>100% Rayón</t>
        </is>
      </c>
      <c r="T78" s="156" t="inlineStr">
        <is>
          <t>Camisa Denver dama estampado camuflaje de flores Regular</t>
        </is>
      </c>
      <c r="U78" s="156" t="inlineStr">
        <is>
          <t>México</t>
        </is>
      </c>
      <c r="V78" s="156" t="inlineStr">
        <is>
          <t>PZS</t>
        </is>
      </c>
      <c r="W78" s="51" t="inlineStr">
        <is>
          <t>53101604</t>
        </is>
      </c>
      <c r="X78" s="156" t="n"/>
      <c r="Y78" s="54" t="n">
        <v>336</v>
      </c>
      <c r="Z78" s="54" t="n">
        <v>775</v>
      </c>
      <c r="AA78" s="55">
        <f>IF(AND(A78="", B78="", E78=""), "", IF(AB78="", "Válido", IF((LEN(AB78)-LEN(SUBSTITUTE(AB78,"; ","")))/2+1&gt;(LEN(AB78)-LEN(SUBSTITUTE(AB78,"[Aviso]","")))/7, "Con Incidencias", "Válido")))</f>
        <v/>
      </c>
      <c r="AB78" s="56">
        <f>IF(AND(A78="", B78="", E78=""), "", TEXTJOIN("; ", TRUE, IF(OR(TRIM(A78&amp;"")="", ISNUMBER(SEARCH("FALTA", A78))), "UPC faltante/inválido", ""), IF(AND(A78&lt;&gt;"", IFERROR(_xlfn.XMATCH(A78,$A$2:$A$204,0,1)&lt;&gt;_xlfn.XMATCH(A78,$A$2:$A$204,0,-1),FALSE)), "Código de barras duplicado", ""), IF(AND(E78&lt;&gt;"", COUNTIF($E$2:$E$204, E78)&gt;1), "SKU duplicado", ""), IF(OR(J78="", J78=""), "[Aviso] División no capturada ()", IF(ISNA(MATCH(J78, Criterios!$A$123:$A$126, 0)), "División no válida", "")), IF(OR(K78="", K78=""), "[Aviso] Categoría no capturada ()", IF(ISNA(MATCH(K78, Criterios!$A$81:$A$120, 0)), "Categoría no válida", IF(AND(J78&lt;&gt;"", J78&lt;&gt;"", J78&lt;&gt;VLOOKUP(K78, Criterios!$A$81:$B$120, 2, FALSE)), "División no coincide con Categoría", ""))), IF(OR(L78="", L78=""), "[Aviso] Género no capturado ()", IF(ISNA(MATCH(L78, Criterios!$B$123:$B$127, 0)), "Género no válido", "")), IF(OR(N78="", N78=""), "[Aviso] Temporada no capturada ()", IF(ISNA(MATCH(N78, Criterios!$C$123:$C$128, 0)), "Temporada no válida", "")), IF(OR(O78="", O78=""), "[Aviso] Ciclo de vida no capturado ()", IF(ISNA(MATCH(O78, Criterios!$D$123:$D$124, 0)), "Ciclo de vida no válido", ""))))</f>
        <v/>
      </c>
      <c r="AC78" s="56" t="n"/>
      <c r="AD78" s="51" t="n">
        <v>4</v>
      </c>
      <c r="AE78" s="156" t="inlineStr">
        <is>
          <t>WB OUTLET LERMA: 4</t>
        </is>
      </c>
      <c r="AF78" s="51" t="n">
        <v>4</v>
      </c>
      <c r="AG78" s="156" t="inlineStr">
        <is>
          <t>Nuevo – NetSuite con existencia</t>
        </is>
      </c>
      <c r="AH78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78" s="156" t="inlineStr">
        <is>
          <t>No</t>
        </is>
      </c>
      <c r="AJ78" s="156" t="n"/>
      <c r="AK78" s="155" t="inlineStr">
        <is>
          <t>ProductosCatalogoEstandar907.xlsx: fila 5127 [N,O,Q,S,U,Y]; G1522_Extraccion_Articulos_NetSuite_2026-09-30.xlsx: fila 56591 [P,V,Y,T] | Shopify WB: producto 8569958858937 / variante 47621320769721</t>
        </is>
      </c>
      <c r="AL78" s="58" t="n">
        <v>336</v>
      </c>
      <c r="AM78" s="58" t="n">
        <v>899</v>
      </c>
      <c r="AN78" s="155" t="inlineStr">
        <is>
          <t>Shopify Western Brothers</t>
        </is>
      </c>
      <c r="AO78" s="59" t="n"/>
      <c r="AP78" s="59" t="n">
        <v>4</v>
      </c>
      <c r="AQ78" s="59" t="n"/>
      <c r="AR78" s="155" t="inlineStr">
        <is>
          <t>Shopify Western Brothers › Western Brothers Outlet Lerma: 4</t>
        </is>
      </c>
    </row>
    <row r="79">
      <c r="A79" s="50" t="inlineStr">
        <is>
          <t>7506499526111</t>
        </is>
      </c>
      <c r="B79" s="51" t="inlineStr">
        <is>
          <t>108433</t>
        </is>
      </c>
      <c r="C79" s="156" t="inlineStr">
        <is>
          <t>Multimarca</t>
        </is>
      </c>
      <c r="D79" s="156" t="inlineStr">
        <is>
          <t>CM119</t>
        </is>
      </c>
      <c r="E79" s="156" t="inlineStr">
        <is>
          <t>CM119-S</t>
        </is>
      </c>
      <c r="F79" s="156" t="inlineStr">
        <is>
          <t>S</t>
        </is>
      </c>
      <c r="G79" s="156" t="inlineStr">
        <is>
          <t>S</t>
        </is>
      </c>
      <c r="H79" s="156" t="inlineStr">
        <is>
          <t>Denver</t>
        </is>
      </c>
      <c r="I79" s="156" t="inlineStr">
        <is>
          <t>Camisa Denver dama estampado camuflaje de flores</t>
        </is>
      </c>
      <c r="J79" s="156" t="inlineStr">
        <is>
          <t>Ropa</t>
        </is>
      </c>
      <c r="K79" s="156" t="inlineStr">
        <is>
          <t>Camisas</t>
        </is>
      </c>
      <c r="L79" s="156" t="inlineStr">
        <is>
          <t>Mujer</t>
        </is>
      </c>
      <c r="M79" s="156" t="inlineStr">
        <is>
          <t>Denver</t>
        </is>
      </c>
      <c r="N79" s="156" t="inlineStr">
        <is>
          <t>SS26</t>
        </is>
      </c>
      <c r="O79" s="156" t="inlineStr">
        <is>
          <t>Seasonal</t>
        </is>
      </c>
      <c r="P79" s="156" t="inlineStr">
        <is>
          <t>Verde</t>
        </is>
      </c>
      <c r="Q79" s="156" t="inlineStr">
        <is>
          <t>Regular</t>
        </is>
      </c>
      <c r="R79" s="156" t="n"/>
      <c r="S79" s="156" t="inlineStr">
        <is>
          <t>100% Rayón</t>
        </is>
      </c>
      <c r="T79" s="156" t="inlineStr">
        <is>
          <t>Camisa Denver dama estampado camuflaje de flores Regular</t>
        </is>
      </c>
      <c r="U79" s="156" t="inlineStr">
        <is>
          <t>México</t>
        </is>
      </c>
      <c r="V79" s="156" t="inlineStr">
        <is>
          <t>PZS</t>
        </is>
      </c>
      <c r="W79" s="51" t="inlineStr">
        <is>
          <t>53101604</t>
        </is>
      </c>
      <c r="X79" s="156" t="n"/>
      <c r="Y79" s="54" t="n">
        <v>336</v>
      </c>
      <c r="Z79" s="54" t="n">
        <v>775</v>
      </c>
      <c r="AA79" s="55">
        <f>IF(AND(A79="", B79="", E79=""), "", IF(AB79="", "Válido", IF((LEN(AB79)-LEN(SUBSTITUTE(AB79,"; ","")))/2+1&gt;(LEN(AB79)-LEN(SUBSTITUTE(AB79,"[Aviso]","")))/7, "Con Incidencias", "Válido")))</f>
        <v/>
      </c>
      <c r="AB79" s="56">
        <f>IF(AND(A79="", B79="", E79=""), "", TEXTJOIN("; ", TRUE, IF(OR(TRIM(A79&amp;"")="", ISNUMBER(SEARCH("FALTA", A79))), "UPC faltante/inválido", ""), IF(AND(A79&lt;&gt;"", IFERROR(_xlfn.XMATCH(A79,$A$2:$A$204,0,1)&lt;&gt;_xlfn.XMATCH(A79,$A$2:$A$204,0,-1),FALSE)), "Código de barras duplicado", ""), IF(AND(E79&lt;&gt;"", COUNTIF($E$2:$E$204, E79)&gt;1), "SKU duplicado", ""), IF(OR(J79="", J79=""), "[Aviso] División no capturada ()", IF(ISNA(MATCH(J79, Criterios!$A$123:$A$126, 0)), "División no válida", "")), IF(OR(K79="", K79=""), "[Aviso] Categoría no capturada ()", IF(ISNA(MATCH(K79, Criterios!$A$81:$A$120, 0)), "Categoría no válida", IF(AND(J79&lt;&gt;"", J79&lt;&gt;"", J79&lt;&gt;VLOOKUP(K79, Criterios!$A$81:$B$120, 2, FALSE)), "División no coincide con Categoría", ""))), IF(OR(L79="", L79=""), "[Aviso] Género no capturado ()", IF(ISNA(MATCH(L79, Criterios!$B$123:$B$127, 0)), "Género no válido", "")), IF(OR(N79="", N79=""), "[Aviso] Temporada no capturada ()", IF(ISNA(MATCH(N79, Criterios!$C$123:$C$128, 0)), "Temporada no válida", "")), IF(OR(O79="", O79=""), "[Aviso] Ciclo de vida no capturado ()", IF(ISNA(MATCH(O79, Criterios!$D$123:$D$124, 0)), "Ciclo de vida no válido", ""))))</f>
        <v/>
      </c>
      <c r="AC79" s="56" t="n"/>
      <c r="AD79" s="51" t="n">
        <v>3</v>
      </c>
      <c r="AE79" s="156" t="inlineStr">
        <is>
          <t>WB OUTLET LERMA: 3</t>
        </is>
      </c>
      <c r="AF79" s="51" t="n">
        <v>3</v>
      </c>
      <c r="AG79" s="156" t="inlineStr">
        <is>
          <t>Nuevo – NetSuite con existencia</t>
        </is>
      </c>
      <c r="AH79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79" s="156" t="inlineStr">
        <is>
          <t>No</t>
        </is>
      </c>
      <c r="AJ79" s="156" t="n"/>
      <c r="AK79" s="155" t="inlineStr">
        <is>
          <t>ProductosCatalogoEstandar907.xlsx: fila 5128 [N,O,Q,S,U,Y]; G1522_Extraccion_Articulos_NetSuite_2026-09-30.xlsx: fila 56592 [P,V,Y,T] | Shopify WB: producto 8569958858937 / variante 47621320802489</t>
        </is>
      </c>
      <c r="AL79" s="58" t="n">
        <v>336</v>
      </c>
      <c r="AM79" s="58" t="n">
        <v>899</v>
      </c>
      <c r="AN79" s="155" t="inlineStr">
        <is>
          <t>Shopify Western Brothers</t>
        </is>
      </c>
      <c r="AO79" s="59" t="n"/>
      <c r="AP79" s="59" t="n">
        <v>3</v>
      </c>
      <c r="AQ79" s="59" t="n"/>
      <c r="AR79" s="155" t="inlineStr">
        <is>
          <t>Shopify Western Brothers › Western Brothers Outlet Lerma: 3</t>
        </is>
      </c>
    </row>
    <row r="80">
      <c r="A80" s="50" t="inlineStr">
        <is>
          <t>7506499526128</t>
        </is>
      </c>
      <c r="B80" s="51" t="inlineStr">
        <is>
          <t>108434</t>
        </is>
      </c>
      <c r="C80" s="156" t="inlineStr">
        <is>
          <t>Multimarca</t>
        </is>
      </c>
      <c r="D80" s="156" t="inlineStr">
        <is>
          <t>CM119</t>
        </is>
      </c>
      <c r="E80" s="156" t="inlineStr">
        <is>
          <t>CM119-M</t>
        </is>
      </c>
      <c r="F80" s="156" t="inlineStr">
        <is>
          <t>M</t>
        </is>
      </c>
      <c r="G80" s="156" t="inlineStr">
        <is>
          <t>M</t>
        </is>
      </c>
      <c r="H80" s="156" t="inlineStr">
        <is>
          <t>Denver</t>
        </is>
      </c>
      <c r="I80" s="156" t="inlineStr">
        <is>
          <t>Camisa Denver dama estampado camuflaje de flores</t>
        </is>
      </c>
      <c r="J80" s="156" t="inlineStr">
        <is>
          <t>Ropa</t>
        </is>
      </c>
      <c r="K80" s="156" t="inlineStr">
        <is>
          <t>Camisas</t>
        </is>
      </c>
      <c r="L80" s="156" t="inlineStr">
        <is>
          <t>Mujer</t>
        </is>
      </c>
      <c r="M80" s="156" t="inlineStr">
        <is>
          <t>Denver</t>
        </is>
      </c>
      <c r="N80" s="156" t="inlineStr">
        <is>
          <t>SS26</t>
        </is>
      </c>
      <c r="O80" s="156" t="inlineStr">
        <is>
          <t>Seasonal</t>
        </is>
      </c>
      <c r="P80" s="156" t="inlineStr">
        <is>
          <t>Verde</t>
        </is>
      </c>
      <c r="Q80" s="156" t="inlineStr">
        <is>
          <t>Regular</t>
        </is>
      </c>
      <c r="R80" s="156" t="n"/>
      <c r="S80" s="156" t="inlineStr">
        <is>
          <t>100% Rayón</t>
        </is>
      </c>
      <c r="T80" s="156" t="inlineStr">
        <is>
          <t>Camisa Denver dama estampado camuflaje de flores Regular</t>
        </is>
      </c>
      <c r="U80" s="156" t="inlineStr">
        <is>
          <t>México</t>
        </is>
      </c>
      <c r="V80" s="156" t="inlineStr">
        <is>
          <t>PZS</t>
        </is>
      </c>
      <c r="W80" s="51" t="inlineStr">
        <is>
          <t>53101604</t>
        </is>
      </c>
      <c r="X80" s="156" t="n"/>
      <c r="Y80" s="54" t="n">
        <v>336</v>
      </c>
      <c r="Z80" s="54" t="n">
        <v>775</v>
      </c>
      <c r="AA80" s="55">
        <f>IF(AND(A80="", B80="", E80=""), "", IF(AB80="", "Válido", IF((LEN(AB80)-LEN(SUBSTITUTE(AB80,"; ","")))/2+1&gt;(LEN(AB80)-LEN(SUBSTITUTE(AB80,"[Aviso]","")))/7, "Con Incidencias", "Válido")))</f>
        <v/>
      </c>
      <c r="AB80" s="56">
        <f>IF(AND(A80="", B80="", E80=""), "", TEXTJOIN("; ", TRUE, IF(OR(TRIM(A80&amp;"")="", ISNUMBER(SEARCH("FALTA", A80))), "UPC faltante/inválido", ""), IF(AND(A80&lt;&gt;"", IFERROR(_xlfn.XMATCH(A80,$A$2:$A$204,0,1)&lt;&gt;_xlfn.XMATCH(A80,$A$2:$A$204,0,-1),FALSE)), "Código de barras duplicado", ""), IF(AND(E80&lt;&gt;"", COUNTIF($E$2:$E$204, E80)&gt;1), "SKU duplicado", ""), IF(OR(J80="", J80=""), "[Aviso] División no capturada ()", IF(ISNA(MATCH(J80, Criterios!$A$123:$A$126, 0)), "División no válida", "")), IF(OR(K80="", K80=""), "[Aviso] Categoría no capturada ()", IF(ISNA(MATCH(K80, Criterios!$A$81:$A$120, 0)), "Categoría no válida", IF(AND(J80&lt;&gt;"", J80&lt;&gt;"", J80&lt;&gt;VLOOKUP(K80, Criterios!$A$81:$B$120, 2, FALSE)), "División no coincide con Categoría", ""))), IF(OR(L80="", L80=""), "[Aviso] Género no capturado ()", IF(ISNA(MATCH(L80, Criterios!$B$123:$B$127, 0)), "Género no válido", "")), IF(OR(N80="", N80=""), "[Aviso] Temporada no capturada ()", IF(ISNA(MATCH(N80, Criterios!$C$123:$C$128, 0)), "Temporada no válida", "")), IF(OR(O80="", O80=""), "[Aviso] Ciclo de vida no capturado ()", IF(ISNA(MATCH(O80, Criterios!$D$123:$D$124, 0)), "Ciclo de vida no válido", ""))))</f>
        <v/>
      </c>
      <c r="AC80" s="56" t="n"/>
      <c r="AD80" s="51" t="n">
        <v>4</v>
      </c>
      <c r="AE80" s="156" t="inlineStr">
        <is>
          <t>WB OUTLET LERMA: 4</t>
        </is>
      </c>
      <c r="AF80" s="51" t="n">
        <v>4</v>
      </c>
      <c r="AG80" s="156" t="inlineStr">
        <is>
          <t>Nuevo – NetSuite con existencia</t>
        </is>
      </c>
      <c r="AH80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80" s="156" t="inlineStr">
        <is>
          <t>No</t>
        </is>
      </c>
      <c r="AJ80" s="156" t="n"/>
      <c r="AK80" s="155" t="inlineStr">
        <is>
          <t>ProductosCatalogoEstandar907.xlsx: fila 5129 [N,O,Q,S,U,Y]; G1522_Extraccion_Articulos_NetSuite_2026-09-30.xlsx: fila 56593 [P,V,Y,T] | Shopify WB: producto 8569958858937 / variante 47621320835257</t>
        </is>
      </c>
      <c r="AL80" s="58" t="n">
        <v>336</v>
      </c>
      <c r="AM80" s="58" t="n">
        <v>899</v>
      </c>
      <c r="AN80" s="155" t="inlineStr">
        <is>
          <t>Shopify Western Brothers</t>
        </is>
      </c>
      <c r="AO80" s="59" t="n"/>
      <c r="AP80" s="59" t="n">
        <v>4</v>
      </c>
      <c r="AQ80" s="59" t="n"/>
      <c r="AR80" s="155" t="inlineStr">
        <is>
          <t>Shopify Western Brothers › Western Brothers Outlet Lerma: 4</t>
        </is>
      </c>
    </row>
    <row r="81">
      <c r="A81" s="50" t="inlineStr">
        <is>
          <t>7506499526135</t>
        </is>
      </c>
      <c r="B81" s="51" t="inlineStr">
        <is>
          <t>108435</t>
        </is>
      </c>
      <c r="C81" s="156" t="inlineStr">
        <is>
          <t>Multimarca</t>
        </is>
      </c>
      <c r="D81" s="156" t="inlineStr">
        <is>
          <t>CM119</t>
        </is>
      </c>
      <c r="E81" s="156" t="inlineStr">
        <is>
          <t>CM119-L</t>
        </is>
      </c>
      <c r="F81" s="156" t="inlineStr">
        <is>
          <t>L</t>
        </is>
      </c>
      <c r="G81" s="156" t="inlineStr">
        <is>
          <t>L</t>
        </is>
      </c>
      <c r="H81" s="156" t="inlineStr">
        <is>
          <t>Denver</t>
        </is>
      </c>
      <c r="I81" s="156" t="inlineStr">
        <is>
          <t>Camisa Denver dama estampado camuflaje de flores</t>
        </is>
      </c>
      <c r="J81" s="156" t="inlineStr">
        <is>
          <t>Ropa</t>
        </is>
      </c>
      <c r="K81" s="156" t="inlineStr">
        <is>
          <t>Camisas</t>
        </is>
      </c>
      <c r="L81" s="156" t="inlineStr">
        <is>
          <t>Mujer</t>
        </is>
      </c>
      <c r="M81" s="156" t="inlineStr">
        <is>
          <t>Denver</t>
        </is>
      </c>
      <c r="N81" s="156" t="inlineStr">
        <is>
          <t>SS26</t>
        </is>
      </c>
      <c r="O81" s="156" t="inlineStr">
        <is>
          <t>Seasonal</t>
        </is>
      </c>
      <c r="P81" s="156" t="inlineStr">
        <is>
          <t>Verde</t>
        </is>
      </c>
      <c r="Q81" s="156" t="inlineStr">
        <is>
          <t>Regular</t>
        </is>
      </c>
      <c r="R81" s="156" t="n"/>
      <c r="S81" s="156" t="inlineStr">
        <is>
          <t>100% Rayón</t>
        </is>
      </c>
      <c r="T81" s="156" t="inlineStr">
        <is>
          <t>Camisa Denver dama estampado camuflaje de flores Regular</t>
        </is>
      </c>
      <c r="U81" s="156" t="inlineStr">
        <is>
          <t>México</t>
        </is>
      </c>
      <c r="V81" s="156" t="inlineStr">
        <is>
          <t>PZS</t>
        </is>
      </c>
      <c r="W81" s="51" t="inlineStr">
        <is>
          <t>53101604</t>
        </is>
      </c>
      <c r="X81" s="156" t="n"/>
      <c r="Y81" s="54" t="n">
        <v>336</v>
      </c>
      <c r="Z81" s="54" t="n">
        <v>775</v>
      </c>
      <c r="AA81" s="55">
        <f>IF(AND(A81="", B81="", E81=""), "", IF(AB81="", "Válido", IF((LEN(AB81)-LEN(SUBSTITUTE(AB81,"; ","")))/2+1&gt;(LEN(AB81)-LEN(SUBSTITUTE(AB81,"[Aviso]","")))/7, "Con Incidencias", "Válido")))</f>
        <v/>
      </c>
      <c r="AB81" s="56">
        <f>IF(AND(A81="", B81="", E81=""), "", TEXTJOIN("; ", TRUE, IF(OR(TRIM(A81&amp;"")="", ISNUMBER(SEARCH("FALTA", A81))), "UPC faltante/inválido", ""), IF(AND(A81&lt;&gt;"", IFERROR(_xlfn.XMATCH(A81,$A$2:$A$204,0,1)&lt;&gt;_xlfn.XMATCH(A81,$A$2:$A$204,0,-1),FALSE)), "Código de barras duplicado", ""), IF(AND(E81&lt;&gt;"", COUNTIF($E$2:$E$204, E81)&gt;1), "SKU duplicado", ""), IF(OR(J81="", J81=""), "[Aviso] División no capturada ()", IF(ISNA(MATCH(J81, Criterios!$A$123:$A$126, 0)), "División no válida", "")), IF(OR(K81="", K81=""), "[Aviso] Categoría no capturada ()", IF(ISNA(MATCH(K81, Criterios!$A$81:$A$120, 0)), "Categoría no válida", IF(AND(J81&lt;&gt;"", J81&lt;&gt;"", J81&lt;&gt;VLOOKUP(K81, Criterios!$A$81:$B$120, 2, FALSE)), "División no coincide con Categoría", ""))), IF(OR(L81="", L81=""), "[Aviso] Género no capturado ()", IF(ISNA(MATCH(L81, Criterios!$B$123:$B$127, 0)), "Género no válido", "")), IF(OR(N81="", N81=""), "[Aviso] Temporada no capturada ()", IF(ISNA(MATCH(N81, Criterios!$C$123:$C$128, 0)), "Temporada no válida", "")), IF(OR(O81="", O81=""), "[Aviso] Ciclo de vida no capturado ()", IF(ISNA(MATCH(O81, Criterios!$D$123:$D$124, 0)), "Ciclo de vida no válido", ""))))</f>
        <v/>
      </c>
      <c r="AC81" s="56" t="n"/>
      <c r="AD81" s="51" t="n">
        <v>2</v>
      </c>
      <c r="AE81" s="156" t="inlineStr">
        <is>
          <t>WB OUTLET LERMA: 2</t>
        </is>
      </c>
      <c r="AF81" s="51" t="n">
        <v>2</v>
      </c>
      <c r="AG81" s="156" t="inlineStr">
        <is>
          <t>Nuevo – NetSuite con existencia</t>
        </is>
      </c>
      <c r="AH81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81" s="156" t="inlineStr">
        <is>
          <t>No</t>
        </is>
      </c>
      <c r="AJ81" s="156" t="n"/>
      <c r="AK81" s="155" t="inlineStr">
        <is>
          <t>ProductosCatalogoEstandar907.xlsx: fila 5130 [N,O,Q,S,U,Y]; G1522_Extraccion_Articulos_NetSuite_2026-09-30.xlsx: fila 56594 [P,V,Y,T] | Shopify WB: producto 8569958858937 / variante 47621320868025</t>
        </is>
      </c>
      <c r="AL81" s="58" t="n">
        <v>336</v>
      </c>
      <c r="AM81" s="58" t="n">
        <v>899</v>
      </c>
      <c r="AN81" s="155" t="inlineStr">
        <is>
          <t>Shopify Western Brothers</t>
        </is>
      </c>
      <c r="AO81" s="59" t="n"/>
      <c r="AP81" s="59" t="n">
        <v>2</v>
      </c>
      <c r="AQ81" s="59" t="n"/>
      <c r="AR81" s="155" t="inlineStr">
        <is>
          <t>Shopify Western Brothers › Western Brothers Outlet Lerma: 2</t>
        </is>
      </c>
    </row>
    <row r="82">
      <c r="A82" s="50" t="inlineStr">
        <is>
          <t>7506499526142</t>
        </is>
      </c>
      <c r="B82" s="51" t="inlineStr">
        <is>
          <t>108436</t>
        </is>
      </c>
      <c r="C82" s="156" t="inlineStr">
        <is>
          <t>Multimarca</t>
        </is>
      </c>
      <c r="D82" s="156" t="inlineStr">
        <is>
          <t>CM119</t>
        </is>
      </c>
      <c r="E82" s="156" t="inlineStr">
        <is>
          <t>CM119-XL</t>
        </is>
      </c>
      <c r="F82" s="156" t="inlineStr">
        <is>
          <t>XL</t>
        </is>
      </c>
      <c r="G82" s="156" t="inlineStr">
        <is>
          <t>XL</t>
        </is>
      </c>
      <c r="H82" s="156" t="inlineStr">
        <is>
          <t>Denver</t>
        </is>
      </c>
      <c r="I82" s="156" t="inlineStr">
        <is>
          <t>Camisa Denver dama estampado camuflaje de flores</t>
        </is>
      </c>
      <c r="J82" s="156" t="inlineStr">
        <is>
          <t>Ropa</t>
        </is>
      </c>
      <c r="K82" s="156" t="inlineStr">
        <is>
          <t>Camisas</t>
        </is>
      </c>
      <c r="L82" s="156" t="inlineStr">
        <is>
          <t>Mujer</t>
        </is>
      </c>
      <c r="M82" s="156" t="inlineStr">
        <is>
          <t>Denver</t>
        </is>
      </c>
      <c r="N82" s="156" t="inlineStr">
        <is>
          <t>SS26</t>
        </is>
      </c>
      <c r="O82" s="156" t="inlineStr">
        <is>
          <t>Seasonal</t>
        </is>
      </c>
      <c r="P82" s="156" t="inlineStr">
        <is>
          <t>Verde</t>
        </is>
      </c>
      <c r="Q82" s="156" t="inlineStr">
        <is>
          <t>Regular</t>
        </is>
      </c>
      <c r="R82" s="156" t="n"/>
      <c r="S82" s="156" t="inlineStr">
        <is>
          <t>100% Rayón</t>
        </is>
      </c>
      <c r="T82" s="156" t="inlineStr">
        <is>
          <t>Camisa Denver dama estampado camuflaje de flores Regular</t>
        </is>
      </c>
      <c r="U82" s="156" t="inlineStr">
        <is>
          <t>México</t>
        </is>
      </c>
      <c r="V82" s="156" t="inlineStr">
        <is>
          <t>PZS</t>
        </is>
      </c>
      <c r="W82" s="51" t="inlineStr">
        <is>
          <t>53101604</t>
        </is>
      </c>
      <c r="X82" s="156" t="n"/>
      <c r="Y82" s="54" t="n">
        <v>336</v>
      </c>
      <c r="Z82" s="54" t="n">
        <v>775</v>
      </c>
      <c r="AA82" s="55">
        <f>IF(AND(A82="", B82="", E82=""), "", IF(AB82="", "Válido", IF((LEN(AB82)-LEN(SUBSTITUTE(AB82,"; ","")))/2+1&gt;(LEN(AB82)-LEN(SUBSTITUTE(AB82,"[Aviso]","")))/7, "Con Incidencias", "Válido")))</f>
        <v/>
      </c>
      <c r="AB82" s="56">
        <f>IF(AND(A82="", B82="", E82=""), "", TEXTJOIN("; ", TRUE, IF(OR(TRIM(A82&amp;"")="", ISNUMBER(SEARCH("FALTA", A82))), "UPC faltante/inválido", ""), IF(AND(A82&lt;&gt;"", IFERROR(_xlfn.XMATCH(A82,$A$2:$A$204,0,1)&lt;&gt;_xlfn.XMATCH(A82,$A$2:$A$204,0,-1),FALSE)), "Código de barras duplicado", ""), IF(AND(E82&lt;&gt;"", COUNTIF($E$2:$E$204, E82)&gt;1), "SKU duplicado", ""), IF(OR(J82="", J82=""), "[Aviso] División no capturada ()", IF(ISNA(MATCH(J82, Criterios!$A$123:$A$126, 0)), "División no válida", "")), IF(OR(K82="", K82=""), "[Aviso] Categoría no capturada ()", IF(ISNA(MATCH(K82, Criterios!$A$81:$A$120, 0)), "Categoría no válida", IF(AND(J82&lt;&gt;"", J82&lt;&gt;"", J82&lt;&gt;VLOOKUP(K82, Criterios!$A$81:$B$120, 2, FALSE)), "División no coincide con Categoría", ""))), IF(OR(L82="", L82=""), "[Aviso] Género no capturado ()", IF(ISNA(MATCH(L82, Criterios!$B$123:$B$127, 0)), "Género no válido", "")), IF(OR(N82="", N82=""), "[Aviso] Temporada no capturada ()", IF(ISNA(MATCH(N82, Criterios!$C$123:$C$128, 0)), "Temporada no válida", "")), IF(OR(O82="", O82=""), "[Aviso] Ciclo de vida no capturado ()", IF(ISNA(MATCH(O82, Criterios!$D$123:$D$124, 0)), "Ciclo de vida no válido", ""))))</f>
        <v/>
      </c>
      <c r="AC82" s="56" t="n"/>
      <c r="AD82" s="51" t="n">
        <v>3</v>
      </c>
      <c r="AE82" s="156" t="inlineStr">
        <is>
          <t>WB OUTLET LERMA: 3</t>
        </is>
      </c>
      <c r="AF82" s="51" t="n">
        <v>3</v>
      </c>
      <c r="AG82" s="156" t="inlineStr">
        <is>
          <t>Nuevo – NetSuite con existencia</t>
        </is>
      </c>
      <c r="AH82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82" s="156" t="inlineStr">
        <is>
          <t>No</t>
        </is>
      </c>
      <c r="AJ82" s="156" t="n"/>
      <c r="AK82" s="155" t="inlineStr">
        <is>
          <t>ProductosCatalogoEstandar907.xlsx: fila 5131 [N,O,Q,S,U,Y]; G1522_Extraccion_Articulos_NetSuite_2026-09-30.xlsx: fila 56595 [P,V,Y,T] | Shopify WB: producto 8569958858937 / variante 47621320900793</t>
        </is>
      </c>
      <c r="AL82" s="58" t="n">
        <v>336</v>
      </c>
      <c r="AM82" s="58" t="n">
        <v>899</v>
      </c>
      <c r="AN82" s="155" t="inlineStr">
        <is>
          <t>Shopify Western Brothers</t>
        </is>
      </c>
      <c r="AO82" s="59" t="n"/>
      <c r="AP82" s="59" t="n">
        <v>3</v>
      </c>
      <c r="AQ82" s="59" t="n"/>
      <c r="AR82" s="155" t="inlineStr">
        <is>
          <t>Shopify Western Brothers › Western Brothers Outlet Lerma: 3</t>
        </is>
      </c>
    </row>
    <row r="83">
      <c r="A83" s="50" t="inlineStr">
        <is>
          <t>7506499529938</t>
        </is>
      </c>
      <c r="B83" s="51" t="inlineStr">
        <is>
          <t>108437</t>
        </is>
      </c>
      <c r="C83" s="156" t="inlineStr">
        <is>
          <t>Multimarca</t>
        </is>
      </c>
      <c r="D83" s="156" t="inlineStr">
        <is>
          <t>CM135</t>
        </is>
      </c>
      <c r="E83" s="156" t="inlineStr">
        <is>
          <t>CM135-XS</t>
        </is>
      </c>
      <c r="F83" s="156" t="inlineStr">
        <is>
          <t>XS</t>
        </is>
      </c>
      <c r="G83" s="156" t="inlineStr">
        <is>
          <t>XS</t>
        </is>
      </c>
      <c r="H83" s="156" t="inlineStr">
        <is>
          <t>Denver</t>
        </is>
      </c>
      <c r="I83" s="156" t="inlineStr">
        <is>
          <t>Camisa Denver dama negra con flores rojas y amarillas</t>
        </is>
      </c>
      <c r="J83" s="156" t="inlineStr">
        <is>
          <t>Ropa</t>
        </is>
      </c>
      <c r="K83" s="156" t="inlineStr">
        <is>
          <t>Camisas</t>
        </is>
      </c>
      <c r="L83" s="156" t="inlineStr">
        <is>
          <t>Mujer</t>
        </is>
      </c>
      <c r="M83" s="156" t="inlineStr">
        <is>
          <t>Denver</t>
        </is>
      </c>
      <c r="N83" s="156" t="inlineStr">
        <is>
          <t>SS26</t>
        </is>
      </c>
      <c r="O83" s="156" t="inlineStr">
        <is>
          <t>Core</t>
        </is>
      </c>
      <c r="P83" s="156" t="inlineStr">
        <is>
          <t>Negro</t>
        </is>
      </c>
      <c r="Q83" s="156" t="inlineStr">
        <is>
          <t>Regular</t>
        </is>
      </c>
      <c r="R83" s="156" t="n"/>
      <c r="S83" s="156" t="inlineStr">
        <is>
          <t>100% Rayón</t>
        </is>
      </c>
      <c r="T83" s="156" t="inlineStr">
        <is>
          <t>Camisa Denver dama negra con flores rojas y amarillas Regular</t>
        </is>
      </c>
      <c r="U83" s="156" t="inlineStr">
        <is>
          <t>México</t>
        </is>
      </c>
      <c r="V83" s="156" t="inlineStr">
        <is>
          <t>PZS</t>
        </is>
      </c>
      <c r="W83" s="51" t="inlineStr">
        <is>
          <t>53101604</t>
        </is>
      </c>
      <c r="X83" s="156" t="n"/>
      <c r="Y83" s="54" t="n">
        <v>336</v>
      </c>
      <c r="Z83" s="54" t="n">
        <v>775</v>
      </c>
      <c r="AA83" s="55">
        <f>IF(AND(A83="", B83="", E83=""), "", IF(AB83="", "Válido", IF((LEN(AB83)-LEN(SUBSTITUTE(AB83,"; ","")))/2+1&gt;(LEN(AB83)-LEN(SUBSTITUTE(AB83,"[Aviso]","")))/7, "Con Incidencias", "Válido")))</f>
        <v/>
      </c>
      <c r="AB83" s="56">
        <f>IF(AND(A83="", B83="", E83=""), "", TEXTJOIN("; ", TRUE, IF(OR(TRIM(A83&amp;"")="", ISNUMBER(SEARCH("FALTA", A83))), "UPC faltante/inválido", ""), IF(AND(A83&lt;&gt;"", IFERROR(_xlfn.XMATCH(A83,$A$2:$A$204,0,1)&lt;&gt;_xlfn.XMATCH(A83,$A$2:$A$204,0,-1),FALSE)), "Código de barras duplicado", ""), IF(AND(E83&lt;&gt;"", COUNTIF($E$2:$E$204, E83)&gt;1), "SKU duplicado", ""), IF(OR(J83="", J83=""), "[Aviso] División no capturada ()", IF(ISNA(MATCH(J83, Criterios!$A$123:$A$126, 0)), "División no válida", "")), IF(OR(K83="", K83=""), "[Aviso] Categoría no capturada ()", IF(ISNA(MATCH(K83, Criterios!$A$81:$A$120, 0)), "Categoría no válida", IF(AND(J83&lt;&gt;"", J83&lt;&gt;"", J83&lt;&gt;VLOOKUP(K83, Criterios!$A$81:$B$120, 2, FALSE)), "División no coincide con Categoría", ""))), IF(OR(L83="", L83=""), "[Aviso] Género no capturado ()", IF(ISNA(MATCH(L83, Criterios!$B$123:$B$127, 0)), "Género no válido", "")), IF(OR(N83="", N83=""), "[Aviso] Temporada no capturada ()", IF(ISNA(MATCH(N83, Criterios!$C$123:$C$128, 0)), "Temporada no válida", "")), IF(OR(O83="", O83=""), "[Aviso] Ciclo de vida no capturado ()", IF(ISNA(MATCH(O83, Criterios!$D$123:$D$124, 0)), "Ciclo de vida no válido", ""))))</f>
        <v/>
      </c>
      <c r="AC83" s="56" t="n"/>
      <c r="AD83" s="51" t="n">
        <v>4</v>
      </c>
      <c r="AE83" s="156" t="inlineStr">
        <is>
          <t>WB OUTLET LERMA: 4</t>
        </is>
      </c>
      <c r="AF83" s="51" t="n">
        <v>4</v>
      </c>
      <c r="AG83" s="156" t="inlineStr">
        <is>
          <t>Nuevo – NetSuite con existencia</t>
        </is>
      </c>
      <c r="AH83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83" s="156" t="inlineStr">
        <is>
          <t>No</t>
        </is>
      </c>
      <c r="AJ83" s="156" t="n"/>
      <c r="AK83" s="155" t="inlineStr">
        <is>
          <t>ProductosCatalogoEstandar907.xlsx: fila 5132 [N,O,Q,S,U,Y]; G1522_Extraccion_Articulos_NetSuite_2026-09-30.xlsx: fila 56596 [P,V,Y,T] | Shopify WB: producto 8569959088313 / variante 47621321195705</t>
        </is>
      </c>
      <c r="AL83" s="58" t="n">
        <v>336</v>
      </c>
      <c r="AM83" s="58" t="n">
        <v>899</v>
      </c>
      <c r="AN83" s="155" t="inlineStr">
        <is>
          <t>Shopify Western Brothers</t>
        </is>
      </c>
      <c r="AO83" s="59" t="n"/>
      <c r="AP83" s="59" t="n">
        <v>4</v>
      </c>
      <c r="AQ83" s="59" t="n"/>
      <c r="AR83" s="155" t="inlineStr">
        <is>
          <t>Shopify Western Brothers › Western Brothers Outlet Lerma: 4</t>
        </is>
      </c>
    </row>
    <row r="84">
      <c r="A84" s="50" t="inlineStr">
        <is>
          <t>7506499529945</t>
        </is>
      </c>
      <c r="B84" s="51" t="inlineStr">
        <is>
          <t>108438</t>
        </is>
      </c>
      <c r="C84" s="156" t="inlineStr">
        <is>
          <t>Multimarca</t>
        </is>
      </c>
      <c r="D84" s="156" t="inlineStr">
        <is>
          <t>CM135</t>
        </is>
      </c>
      <c r="E84" s="156" t="inlineStr">
        <is>
          <t>CM135-S</t>
        </is>
      </c>
      <c r="F84" s="156" t="inlineStr">
        <is>
          <t>S</t>
        </is>
      </c>
      <c r="G84" s="156" t="inlineStr">
        <is>
          <t>S</t>
        </is>
      </c>
      <c r="H84" s="156" t="inlineStr">
        <is>
          <t>Denver</t>
        </is>
      </c>
      <c r="I84" s="156" t="inlineStr">
        <is>
          <t>Camisa Denver dama negra con flores rojas y amarillas</t>
        </is>
      </c>
      <c r="J84" s="156" t="inlineStr">
        <is>
          <t>Ropa</t>
        </is>
      </c>
      <c r="K84" s="156" t="inlineStr">
        <is>
          <t>Camisas</t>
        </is>
      </c>
      <c r="L84" s="156" t="inlineStr">
        <is>
          <t>Mujer</t>
        </is>
      </c>
      <c r="M84" s="156" t="inlineStr">
        <is>
          <t>Denver</t>
        </is>
      </c>
      <c r="N84" s="156" t="inlineStr">
        <is>
          <t>SS26</t>
        </is>
      </c>
      <c r="O84" s="156" t="inlineStr">
        <is>
          <t>Core</t>
        </is>
      </c>
      <c r="P84" s="156" t="inlineStr">
        <is>
          <t>Negro</t>
        </is>
      </c>
      <c r="Q84" s="156" t="inlineStr">
        <is>
          <t>Regular</t>
        </is>
      </c>
      <c r="R84" s="156" t="n"/>
      <c r="S84" s="156" t="inlineStr">
        <is>
          <t>100% Rayón</t>
        </is>
      </c>
      <c r="T84" s="156" t="inlineStr">
        <is>
          <t>Camisa Denver dama negra con flores rojas y amarillas Regular</t>
        </is>
      </c>
      <c r="U84" s="156" t="inlineStr">
        <is>
          <t>México</t>
        </is>
      </c>
      <c r="V84" s="156" t="inlineStr">
        <is>
          <t>PZS</t>
        </is>
      </c>
      <c r="W84" s="51" t="inlineStr">
        <is>
          <t>53101604</t>
        </is>
      </c>
      <c r="X84" s="156" t="n"/>
      <c r="Y84" s="54" t="n">
        <v>336</v>
      </c>
      <c r="Z84" s="54" t="n">
        <v>775</v>
      </c>
      <c r="AA84" s="55">
        <f>IF(AND(A84="", B84="", E84=""), "", IF(AB84="", "Válido", IF((LEN(AB84)-LEN(SUBSTITUTE(AB84,"; ","")))/2+1&gt;(LEN(AB84)-LEN(SUBSTITUTE(AB84,"[Aviso]","")))/7, "Con Incidencias", "Válido")))</f>
        <v/>
      </c>
      <c r="AB84" s="56">
        <f>IF(AND(A84="", B84="", E84=""), "", TEXTJOIN("; ", TRUE, IF(OR(TRIM(A84&amp;"")="", ISNUMBER(SEARCH("FALTA", A84))), "UPC faltante/inválido", ""), IF(AND(A84&lt;&gt;"", IFERROR(_xlfn.XMATCH(A84,$A$2:$A$204,0,1)&lt;&gt;_xlfn.XMATCH(A84,$A$2:$A$204,0,-1),FALSE)), "Código de barras duplicado", ""), IF(AND(E84&lt;&gt;"", COUNTIF($E$2:$E$204, E84)&gt;1), "SKU duplicado", ""), IF(OR(J84="", J84=""), "[Aviso] División no capturada ()", IF(ISNA(MATCH(J84, Criterios!$A$123:$A$126, 0)), "División no válida", "")), IF(OR(K84="", K84=""), "[Aviso] Categoría no capturada ()", IF(ISNA(MATCH(K84, Criterios!$A$81:$A$120, 0)), "Categoría no válida", IF(AND(J84&lt;&gt;"", J84&lt;&gt;"", J84&lt;&gt;VLOOKUP(K84, Criterios!$A$81:$B$120, 2, FALSE)), "División no coincide con Categoría", ""))), IF(OR(L84="", L84=""), "[Aviso] Género no capturado ()", IF(ISNA(MATCH(L84, Criterios!$B$123:$B$127, 0)), "Género no válido", "")), IF(OR(N84="", N84=""), "[Aviso] Temporada no capturada ()", IF(ISNA(MATCH(N84, Criterios!$C$123:$C$128, 0)), "Temporada no válida", "")), IF(OR(O84="", O84=""), "[Aviso] Ciclo de vida no capturado ()", IF(ISNA(MATCH(O84, Criterios!$D$123:$D$124, 0)), "Ciclo de vida no válido", ""))))</f>
        <v/>
      </c>
      <c r="AC84" s="56" t="n"/>
      <c r="AD84" s="51" t="n">
        <v>4</v>
      </c>
      <c r="AE84" s="156" t="inlineStr">
        <is>
          <t>WB OUTLET LERMA: 4</t>
        </is>
      </c>
      <c r="AF84" s="51" t="n">
        <v>4</v>
      </c>
      <c r="AG84" s="156" t="inlineStr">
        <is>
          <t>Nuevo – NetSuite con existencia</t>
        </is>
      </c>
      <c r="AH84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84" s="156" t="inlineStr">
        <is>
          <t>No</t>
        </is>
      </c>
      <c r="AJ84" s="156" t="n"/>
      <c r="AK84" s="155" t="inlineStr">
        <is>
          <t>ProductosCatalogoEstandar907.xlsx: fila 5133 [N,O,Q,S,U,Y]; G1522_Extraccion_Articulos_NetSuite_2026-09-30.xlsx: fila 56597 [P,V,Y,T] | Shopify WB: producto 8569959088313 / variante 47621321228473</t>
        </is>
      </c>
      <c r="AL84" s="58" t="n">
        <v>336</v>
      </c>
      <c r="AM84" s="58" t="n">
        <v>899</v>
      </c>
      <c r="AN84" s="155" t="inlineStr">
        <is>
          <t>Shopify Western Brothers</t>
        </is>
      </c>
      <c r="AO84" s="59" t="n"/>
      <c r="AP84" s="59" t="n">
        <v>4</v>
      </c>
      <c r="AQ84" s="59" t="n"/>
      <c r="AR84" s="155" t="inlineStr">
        <is>
          <t>Shopify Western Brothers › Western Brothers Outlet Lerma: 4</t>
        </is>
      </c>
    </row>
    <row r="85">
      <c r="A85" s="50" t="inlineStr">
        <is>
          <t>7506499529969</t>
        </is>
      </c>
      <c r="B85" s="51" t="inlineStr">
        <is>
          <t>108439</t>
        </is>
      </c>
      <c r="C85" s="156" t="inlineStr">
        <is>
          <t>Multimarca</t>
        </is>
      </c>
      <c r="D85" s="156" t="inlineStr">
        <is>
          <t>CM135</t>
        </is>
      </c>
      <c r="E85" s="156" t="inlineStr">
        <is>
          <t>CM135-L</t>
        </is>
      </c>
      <c r="F85" s="156" t="inlineStr">
        <is>
          <t>L</t>
        </is>
      </c>
      <c r="G85" s="156" t="inlineStr">
        <is>
          <t>L</t>
        </is>
      </c>
      <c r="H85" s="156" t="inlineStr">
        <is>
          <t>Denver</t>
        </is>
      </c>
      <c r="I85" s="156" t="inlineStr">
        <is>
          <t>Camisa Denver dama negra con flores rojas y amarillas</t>
        </is>
      </c>
      <c r="J85" s="156" t="inlineStr">
        <is>
          <t>Ropa</t>
        </is>
      </c>
      <c r="K85" s="156" t="inlineStr">
        <is>
          <t>Camisas</t>
        </is>
      </c>
      <c r="L85" s="156" t="inlineStr">
        <is>
          <t>Mujer</t>
        </is>
      </c>
      <c r="M85" s="156" t="inlineStr">
        <is>
          <t>Denver</t>
        </is>
      </c>
      <c r="N85" s="156" t="inlineStr">
        <is>
          <t>SS26</t>
        </is>
      </c>
      <c r="O85" s="156" t="inlineStr">
        <is>
          <t>Core</t>
        </is>
      </c>
      <c r="P85" s="156" t="inlineStr">
        <is>
          <t>Negro</t>
        </is>
      </c>
      <c r="Q85" s="156" t="inlineStr">
        <is>
          <t>Regular</t>
        </is>
      </c>
      <c r="R85" s="156" t="n"/>
      <c r="S85" s="156" t="inlineStr">
        <is>
          <t>100% Rayón</t>
        </is>
      </c>
      <c r="T85" s="156" t="inlineStr">
        <is>
          <t>Camisa Denver dama negra con flores rojas y amarillas Regular</t>
        </is>
      </c>
      <c r="U85" s="156" t="inlineStr">
        <is>
          <t>México</t>
        </is>
      </c>
      <c r="V85" s="156" t="inlineStr">
        <is>
          <t>PZS</t>
        </is>
      </c>
      <c r="W85" s="51" t="inlineStr">
        <is>
          <t>53101604</t>
        </is>
      </c>
      <c r="X85" s="156" t="n"/>
      <c r="Y85" s="54" t="n">
        <v>336</v>
      </c>
      <c r="Z85" s="54" t="n">
        <v>775</v>
      </c>
      <c r="AA85" s="55">
        <f>IF(AND(A85="", B85="", E85=""), "", IF(AB85="", "Válido", IF((LEN(AB85)-LEN(SUBSTITUTE(AB85,"; ","")))/2+1&gt;(LEN(AB85)-LEN(SUBSTITUTE(AB85,"[Aviso]","")))/7, "Con Incidencias", "Válido")))</f>
        <v/>
      </c>
      <c r="AB85" s="56">
        <f>IF(AND(A85="", B85="", E85=""), "", TEXTJOIN("; ", TRUE, IF(OR(TRIM(A85&amp;"")="", ISNUMBER(SEARCH("FALTA", A85))), "UPC faltante/inválido", ""), IF(AND(A85&lt;&gt;"", IFERROR(_xlfn.XMATCH(A85,$A$2:$A$204,0,1)&lt;&gt;_xlfn.XMATCH(A85,$A$2:$A$204,0,-1),FALSE)), "Código de barras duplicado", ""), IF(AND(E85&lt;&gt;"", COUNTIF($E$2:$E$204, E85)&gt;1), "SKU duplicado", ""), IF(OR(J85="", J85=""), "[Aviso] División no capturada ()", IF(ISNA(MATCH(J85, Criterios!$A$123:$A$126, 0)), "División no válida", "")), IF(OR(K85="", K85=""), "[Aviso] Categoría no capturada ()", IF(ISNA(MATCH(K85, Criterios!$A$81:$A$120, 0)), "Categoría no válida", IF(AND(J85&lt;&gt;"", J85&lt;&gt;"", J85&lt;&gt;VLOOKUP(K85, Criterios!$A$81:$B$120, 2, FALSE)), "División no coincide con Categoría", ""))), IF(OR(L85="", L85=""), "[Aviso] Género no capturado ()", IF(ISNA(MATCH(L85, Criterios!$B$123:$B$127, 0)), "Género no válido", "")), IF(OR(N85="", N85=""), "[Aviso] Temporada no capturada ()", IF(ISNA(MATCH(N85, Criterios!$C$123:$C$128, 0)), "Temporada no válida", "")), IF(OR(O85="", O85=""), "[Aviso] Ciclo de vida no capturado ()", IF(ISNA(MATCH(O85, Criterios!$D$123:$D$124, 0)), "Ciclo de vida no válido", ""))))</f>
        <v/>
      </c>
      <c r="AC85" s="56" t="n"/>
      <c r="AD85" s="51" t="n">
        <v>2</v>
      </c>
      <c r="AE85" s="156" t="inlineStr">
        <is>
          <t>WB OUTLET LERMA: 2</t>
        </is>
      </c>
      <c r="AF85" s="51" t="n">
        <v>2</v>
      </c>
      <c r="AG85" s="156" t="inlineStr">
        <is>
          <t>Nuevo – NetSuite con existencia</t>
        </is>
      </c>
      <c r="AH85" s="156" t="inlineStr">
        <is>
          <t>Revisión 29/09/2026: Campos sin respaldo: X; Auditoría NetSuite 30/09/2026: llenado desde NetSuite [P,V,Y,T] | 01/10/2026: complementado desde Shopify Western Brothers (match por código de barras): WB Silueta</t>
        </is>
      </c>
      <c r="AI85" s="156" t="inlineStr">
        <is>
          <t>No</t>
        </is>
      </c>
      <c r="AJ85" s="156" t="n"/>
      <c r="AK85" s="155" t="inlineStr">
        <is>
          <t>ProductosCatalogoEstandar907.xlsx: fila 5134 [N,O,Q,S,U,Y]; G1522_Extraccion_Articulos_NetSuite_2026-09-30.xlsx: fila 56598 [P,V,Y,T] | Shopify WB: producto 8569959088313 / variante 47621321261241</t>
        </is>
      </c>
      <c r="AL85" s="58" t="n">
        <v>336</v>
      </c>
      <c r="AM85" s="58" t="n">
        <v>899</v>
      </c>
      <c r="AN85" s="155" t="inlineStr">
        <is>
          <t>Shopify Western Brothers</t>
        </is>
      </c>
      <c r="AO85" s="59" t="n"/>
      <c r="AP85" s="59" t="n">
        <v>2</v>
      </c>
      <c r="AQ85" s="59" t="n"/>
      <c r="AR85" s="155" t="inlineStr">
        <is>
          <t>Shopify Western Brothers › Western Brothers Outlet Lerma: 2</t>
        </is>
      </c>
    </row>
    <row r="86">
      <c r="A86" s="50" t="inlineStr">
        <is>
          <t>7506499570869</t>
        </is>
      </c>
      <c r="B86" s="51" t="inlineStr">
        <is>
          <t>108553</t>
        </is>
      </c>
      <c r="C86" s="156" t="inlineStr">
        <is>
          <t>Multimarca</t>
        </is>
      </c>
      <c r="D86" s="156" t="inlineStr">
        <is>
          <t>DM029</t>
        </is>
      </c>
      <c r="E86" s="156" t="inlineStr">
        <is>
          <t>DM029-5-32</t>
        </is>
      </c>
      <c r="F86" s="156" t="inlineStr">
        <is>
          <t>5</t>
        </is>
      </c>
      <c r="G86" s="156" t="inlineStr">
        <is>
          <t>2</t>
        </is>
      </c>
      <c r="H86" s="156" t="inlineStr">
        <is>
          <t>Denver</t>
        </is>
      </c>
      <c r="I86" s="156" t="inlineStr">
        <is>
          <t>Pantalon Denver dama azul medio</t>
        </is>
      </c>
      <c r="J86" s="156" t="inlineStr">
        <is>
          <t>Denim</t>
        </is>
      </c>
      <c r="K86" s="156" t="inlineStr">
        <is>
          <t>Jeans</t>
        </is>
      </c>
      <c r="L86" s="156" t="inlineStr">
        <is>
          <t>Mujer</t>
        </is>
      </c>
      <c r="M86" s="156" t="inlineStr">
        <is>
          <t>Denver</t>
        </is>
      </c>
      <c r="N86" s="156" t="inlineStr">
        <is>
          <t>SS26</t>
        </is>
      </c>
      <c r="O86" s="156" t="inlineStr">
        <is>
          <t>Core</t>
        </is>
      </c>
      <c r="P86" s="156" t="inlineStr">
        <is>
          <t>Azul</t>
        </is>
      </c>
      <c r="Q86" s="156" t="inlineStr">
        <is>
          <t>Regular</t>
        </is>
      </c>
      <c r="R86" s="156" t="inlineStr">
        <is>
          <t>Bootcut</t>
        </is>
      </c>
      <c r="S86" s="156" t="inlineStr">
        <is>
          <t>97% Algodón 3% Elastano</t>
        </is>
      </c>
      <c r="T86" s="156" t="inlineStr">
        <is>
          <t>Pantalon Denver dama azul medio Regular Corte Bota</t>
        </is>
      </c>
      <c r="U86" s="156" t="inlineStr">
        <is>
          <t>México</t>
        </is>
      </c>
      <c r="V86" s="156" t="inlineStr">
        <is>
          <t>PZS</t>
        </is>
      </c>
      <c r="W86" s="51" t="inlineStr">
        <is>
          <t>53101504</t>
        </is>
      </c>
      <c r="X86" s="156" t="n"/>
      <c r="Y86" s="54" t="n">
        <v>371.25</v>
      </c>
      <c r="Z86" s="54" t="n">
        <v>947.4137931</v>
      </c>
      <c r="AA86" s="55">
        <f>IF(AND(A86="", B86="", E86=""), "", IF(AB86="", "Válido", IF((LEN(AB86)-LEN(SUBSTITUTE(AB86,"; ","")))/2+1&gt;(LEN(AB86)-LEN(SUBSTITUTE(AB86,"[Aviso]","")))/7, "Con Incidencias", "Válido")))</f>
        <v/>
      </c>
      <c r="AB86" s="56">
        <f>IF(AND(A86="", B86="", E86=""), "", TEXTJOIN("; ", TRUE, IF(OR(TRIM(A86&amp;"")="", ISNUMBER(SEARCH("FALTA", A86))), "UPC faltante/inválido", ""), IF(AND(A86&lt;&gt;"", IFERROR(_xlfn.XMATCH(A86,$A$2:$A$204,0,1)&lt;&gt;_xlfn.XMATCH(A86,$A$2:$A$204,0,-1),FALSE)), "Código de barras duplicado", ""), IF(AND(E86&lt;&gt;"", COUNTIF($E$2:$E$204, E86)&gt;1), "SKU duplicado", ""), IF(OR(J86="", J86=""), "[Aviso] División no capturada ()", IF(ISNA(MATCH(J86, Criterios!$A$123:$A$126, 0)), "División no válida", "")), IF(OR(K86="", K86=""), "[Aviso] Categoría no capturada ()", IF(ISNA(MATCH(K86, Criterios!$A$81:$A$120, 0)), "Categoría no válida", IF(AND(J86&lt;&gt;"", J86&lt;&gt;"", J86&lt;&gt;VLOOKUP(K86, Criterios!$A$81:$B$120, 2, FALSE)), "División no coincide con Categoría", ""))), IF(OR(L86="", L86=""), "[Aviso] Género no capturado ()", IF(ISNA(MATCH(L86, Criterios!$B$123:$B$127, 0)), "Género no válido", "")), IF(OR(N86="", N86=""), "[Aviso] Temporada no capturada ()", IF(ISNA(MATCH(N86, Criterios!$C$123:$C$128, 0)), "Temporada no válida", "")), IF(OR(O86="", O86=""), "[Aviso] Ciclo de vida no capturado ()", IF(ISNA(MATCH(O86, Criterios!$D$123:$D$124, 0)), "Ciclo de vida no válido", ""))))</f>
        <v/>
      </c>
      <c r="AC86" s="56" t="n"/>
      <c r="AD86" s="51" t="n">
        <v>1</v>
      </c>
      <c r="AE86" s="156" t="inlineStr">
        <is>
          <t>WB OUTLET LERMA: 1</t>
        </is>
      </c>
      <c r="AF86" s="51" t="n">
        <v>1</v>
      </c>
      <c r="AG86" s="156" t="inlineStr">
        <is>
          <t>Nuevo – NetSuite con existencia</t>
        </is>
      </c>
      <c r="AH86" s="156" t="inlineStr">
        <is>
          <t>Revisión 29/09/2026: Campos sin respaldo: R, X; Auditoría NetSuite 30/09/2026: llenado desde NetSuite [P,R,V,Y,T] | 01/10/2026: Shopify Western Brothers trae Categoría «Pantalones» — se conservó el valor de Productos | Homologación G1522 06/10/2026: Validación G1522: Dígito de control del código de barras inválido</t>
        </is>
      </c>
      <c r="AI86" s="156" t="inlineStr">
        <is>
          <t>No</t>
        </is>
      </c>
      <c r="AJ86" s="156" t="n"/>
      <c r="AK86" s="155" t="inlineStr">
        <is>
          <t>ProductosCatalogoEstandar907.xlsx: fila 5137 [N,O,Q,S,U,Y]; G1522_Extraccion_Articulos_NetSuite_2026-09-30.xlsx: fila 56712 [P,R,V,Y,T] | Shopify WB: producto 8569959186617 / variante 47621321392313</t>
        </is>
      </c>
      <c r="AL86" s="58" t="n">
        <v>371.25</v>
      </c>
      <c r="AM86" s="58" t="n">
        <v>1099</v>
      </c>
      <c r="AN86" s="155" t="inlineStr">
        <is>
          <t>Shopify Western Brothers</t>
        </is>
      </c>
      <c r="AO86" s="59" t="n"/>
      <c r="AP86" s="59" t="n">
        <v>1</v>
      </c>
      <c r="AQ86" s="59" t="n"/>
      <c r="AR86" s="155" t="inlineStr">
        <is>
          <t>Shopify Western Brothers › Western Brothers Outlet Lerma: 1</t>
        </is>
      </c>
    </row>
    <row r="87">
      <c r="A87" s="50" t="inlineStr">
        <is>
          <t>7506499570870</t>
        </is>
      </c>
      <c r="B87" s="51" t="inlineStr">
        <is>
          <t>108554</t>
        </is>
      </c>
      <c r="C87" s="156" t="inlineStr">
        <is>
          <t>Multimarca</t>
        </is>
      </c>
      <c r="D87" s="156" t="inlineStr">
        <is>
          <t>DM029</t>
        </is>
      </c>
      <c r="E87" s="156" t="inlineStr">
        <is>
          <t>DM029-13-32</t>
        </is>
      </c>
      <c r="F87" s="156" t="inlineStr">
        <is>
          <t>13</t>
        </is>
      </c>
      <c r="G87" s="156" t="inlineStr">
        <is>
          <t>10</t>
        </is>
      </c>
      <c r="H87" s="156" t="inlineStr">
        <is>
          <t>Denver</t>
        </is>
      </c>
      <c r="I87" s="156" t="inlineStr">
        <is>
          <t>Pantalon Denver dama azul medio</t>
        </is>
      </c>
      <c r="J87" s="156" t="inlineStr">
        <is>
          <t>Denim</t>
        </is>
      </c>
      <c r="K87" s="156" t="inlineStr">
        <is>
          <t>Jeans</t>
        </is>
      </c>
      <c r="L87" s="156" t="inlineStr">
        <is>
          <t>Mujer</t>
        </is>
      </c>
      <c r="M87" s="156" t="inlineStr">
        <is>
          <t>Denver</t>
        </is>
      </c>
      <c r="N87" s="156" t="inlineStr">
        <is>
          <t>SS26</t>
        </is>
      </c>
      <c r="O87" s="156" t="inlineStr">
        <is>
          <t>Core</t>
        </is>
      </c>
      <c r="P87" s="156" t="inlineStr">
        <is>
          <t>Azul</t>
        </is>
      </c>
      <c r="Q87" s="156" t="inlineStr">
        <is>
          <t>Regular</t>
        </is>
      </c>
      <c r="R87" s="156" t="inlineStr">
        <is>
          <t>Bootcut</t>
        </is>
      </c>
      <c r="S87" s="156" t="inlineStr">
        <is>
          <t>97% Algodón 3% Elastano</t>
        </is>
      </c>
      <c r="T87" s="156" t="inlineStr">
        <is>
          <t>Pantalon Denver dama azul medio Regular Corte Bota</t>
        </is>
      </c>
      <c r="U87" s="156" t="inlineStr">
        <is>
          <t>México</t>
        </is>
      </c>
      <c r="V87" s="156" t="inlineStr">
        <is>
          <t>PZS</t>
        </is>
      </c>
      <c r="W87" s="51" t="inlineStr">
        <is>
          <t>53101504</t>
        </is>
      </c>
      <c r="X87" s="156" t="n"/>
      <c r="Y87" s="54" t="n">
        <v>371.25</v>
      </c>
      <c r="Z87" s="54" t="n">
        <v>947.4137931</v>
      </c>
      <c r="AA87" s="55">
        <f>IF(AND(A87="", B87="", E87=""), "", IF(AB87="", "Válido", IF((LEN(AB87)-LEN(SUBSTITUTE(AB87,"; ","")))/2+1&gt;(LEN(AB87)-LEN(SUBSTITUTE(AB87,"[Aviso]","")))/7, "Con Incidencias", "Válido")))</f>
        <v/>
      </c>
      <c r="AB87" s="56">
        <f>IF(AND(A87="", B87="", E87=""), "", TEXTJOIN("; ", TRUE, IF(OR(TRIM(A87&amp;"")="", ISNUMBER(SEARCH("FALTA", A87))), "UPC faltante/inválido", ""), IF(AND(A87&lt;&gt;"", IFERROR(_xlfn.XMATCH(A87,$A$2:$A$204,0,1)&lt;&gt;_xlfn.XMATCH(A87,$A$2:$A$204,0,-1),FALSE)), "Código de barras duplicado", ""), IF(AND(E87&lt;&gt;"", COUNTIF($E$2:$E$204, E87)&gt;1), "SKU duplicado", ""), IF(OR(J87="", J87=""), "[Aviso] División no capturada ()", IF(ISNA(MATCH(J87, Criterios!$A$123:$A$126, 0)), "División no válida", "")), IF(OR(K87="", K87=""), "[Aviso] Categoría no capturada ()", IF(ISNA(MATCH(K87, Criterios!$A$81:$A$120, 0)), "Categoría no válida", IF(AND(J87&lt;&gt;"", J87&lt;&gt;"", J87&lt;&gt;VLOOKUP(K87, Criterios!$A$81:$B$120, 2, FALSE)), "División no coincide con Categoría", ""))), IF(OR(L87="", L87=""), "[Aviso] Género no capturado ()", IF(ISNA(MATCH(L87, Criterios!$B$123:$B$127, 0)), "Género no válido", "")), IF(OR(N87="", N87=""), "[Aviso] Temporada no capturada ()", IF(ISNA(MATCH(N87, Criterios!$C$123:$C$128, 0)), "Temporada no válida", "")), IF(OR(O87="", O87=""), "[Aviso] Ciclo de vida no capturado ()", IF(ISNA(MATCH(O87, Criterios!$D$123:$D$124, 0)), "Ciclo de vida no válido", ""))))</f>
        <v/>
      </c>
      <c r="AC87" s="56" t="n"/>
      <c r="AD87" s="51" t="n">
        <v>1</v>
      </c>
      <c r="AE87" s="156" t="inlineStr">
        <is>
          <t>WB OUTLET LERMA: 1</t>
        </is>
      </c>
      <c r="AF87" s="51" t="n">
        <v>1</v>
      </c>
      <c r="AG87" s="156" t="inlineStr">
        <is>
          <t>Nuevo – NetSuite con existencia</t>
        </is>
      </c>
      <c r="AH87" s="156" t="inlineStr">
        <is>
          <t>Revisión 29/09/2026: Campos sin respaldo: R, X; Auditoría NetSuite 30/09/2026: llenado desde NetSuite [P,R,V,Y,T] | 01/10/2026: Shopify Western Brothers trae Categoría «Pantalones» — se conservó el valor de Productos | Homologación G1522 06/10/2026: Validación G1522: Dígito de control del código de barras inválido</t>
        </is>
      </c>
      <c r="AI87" s="156" t="inlineStr">
        <is>
          <t>No</t>
        </is>
      </c>
      <c r="AJ87" s="156" t="n"/>
      <c r="AK87" s="155" t="inlineStr">
        <is>
          <t>ProductosCatalogoEstandar907.xlsx: fila 5138 [N,O,Q,S,U,Y]; G1522_Extraccion_Articulos_NetSuite_2026-09-30.xlsx: fila 56713 [P,R,V,Y,T] | Shopify WB: producto 8569959186617 / variante 47621321425081</t>
        </is>
      </c>
      <c r="AL87" s="58" t="n">
        <v>371.25</v>
      </c>
      <c r="AM87" s="58" t="n">
        <v>1099</v>
      </c>
      <c r="AN87" s="155" t="inlineStr">
        <is>
          <t>Shopify Western Brothers</t>
        </is>
      </c>
      <c r="AO87" s="59" t="n"/>
      <c r="AP87" s="59" t="n">
        <v>1</v>
      </c>
      <c r="AQ87" s="59" t="n"/>
      <c r="AR87" s="155" t="inlineStr">
        <is>
          <t>Shopify Western Brothers › Western Brothers Outlet Lerma: 1</t>
        </is>
      </c>
    </row>
    <row r="88">
      <c r="A88" s="50" t="inlineStr">
        <is>
          <t>7506499570871</t>
        </is>
      </c>
      <c r="B88" s="51" t="inlineStr">
        <is>
          <t>108555</t>
        </is>
      </c>
      <c r="C88" s="156" t="inlineStr">
        <is>
          <t>Multimarca</t>
        </is>
      </c>
      <c r="D88" s="156" t="inlineStr">
        <is>
          <t>DM030</t>
        </is>
      </c>
      <c r="E88" s="156" t="inlineStr">
        <is>
          <t>DM030-5-32</t>
        </is>
      </c>
      <c r="F88" s="156" t="inlineStr">
        <is>
          <t>5</t>
        </is>
      </c>
      <c r="G88" s="156" t="inlineStr">
        <is>
          <t>2</t>
        </is>
      </c>
      <c r="H88" s="156" t="inlineStr">
        <is>
          <t>Denver</t>
        </is>
      </c>
      <c r="I88" s="156" t="inlineStr">
        <is>
          <t>Pantalon Denver dama negro</t>
        </is>
      </c>
      <c r="J88" s="156" t="inlineStr">
        <is>
          <t>Denim</t>
        </is>
      </c>
      <c r="K88" s="156" t="inlineStr">
        <is>
          <t>Jeans</t>
        </is>
      </c>
      <c r="L88" s="156" t="inlineStr">
        <is>
          <t>Mujer</t>
        </is>
      </c>
      <c r="M88" s="156" t="inlineStr">
        <is>
          <t>Denver</t>
        </is>
      </c>
      <c r="N88" s="156" t="inlineStr">
        <is>
          <t>SS26</t>
        </is>
      </c>
      <c r="O88" s="156" t="inlineStr">
        <is>
          <t>Core</t>
        </is>
      </c>
      <c r="P88" s="156" t="inlineStr">
        <is>
          <t>Negro</t>
        </is>
      </c>
      <c r="Q88" s="156" t="inlineStr">
        <is>
          <t>Regular</t>
        </is>
      </c>
      <c r="R88" s="156" t="inlineStr">
        <is>
          <t>Bootcut</t>
        </is>
      </c>
      <c r="S88" s="156" t="inlineStr">
        <is>
          <t>97% Algodón 3% Elastano</t>
        </is>
      </c>
      <c r="T88" s="156" t="inlineStr">
        <is>
          <t>Pantalon Denver dama negro Regular Corte Bota</t>
        </is>
      </c>
      <c r="U88" s="156" t="inlineStr">
        <is>
          <t>México</t>
        </is>
      </c>
      <c r="V88" s="156" t="inlineStr">
        <is>
          <t>PZS</t>
        </is>
      </c>
      <c r="W88" s="51" t="inlineStr">
        <is>
          <t>53101504</t>
        </is>
      </c>
      <c r="X88" s="156" t="n"/>
      <c r="Y88" s="54" t="n">
        <v>371.25</v>
      </c>
      <c r="Z88" s="54" t="n">
        <v>947.4137931</v>
      </c>
      <c r="AA88" s="55">
        <f>IF(AND(A88="", B88="", E88=""), "", IF(AB88="", "Válido", IF((LEN(AB88)-LEN(SUBSTITUTE(AB88,"; ","")))/2+1&gt;(LEN(AB88)-LEN(SUBSTITUTE(AB88,"[Aviso]","")))/7, "Con Incidencias", "Válido")))</f>
        <v/>
      </c>
      <c r="AB88" s="56">
        <f>IF(AND(A88="", B88="", E88=""), "", TEXTJOIN("; ", TRUE, IF(OR(TRIM(A88&amp;"")="", ISNUMBER(SEARCH("FALTA", A88))), "UPC faltante/inválido", ""), IF(AND(A88&lt;&gt;"", IFERROR(_xlfn.XMATCH(A88,$A$2:$A$204,0,1)&lt;&gt;_xlfn.XMATCH(A88,$A$2:$A$204,0,-1),FALSE)), "Código de barras duplicado", ""), IF(AND(E88&lt;&gt;"", COUNTIF($E$2:$E$204, E88)&gt;1), "SKU duplicado", ""), IF(OR(J88="", J88=""), "[Aviso] División no capturada ()", IF(ISNA(MATCH(J88, Criterios!$A$123:$A$126, 0)), "División no válida", "")), IF(OR(K88="", K88=""), "[Aviso] Categoría no capturada ()", IF(ISNA(MATCH(K88, Criterios!$A$81:$A$120, 0)), "Categoría no válida", IF(AND(J88&lt;&gt;"", J88&lt;&gt;"", J88&lt;&gt;VLOOKUP(K88, Criterios!$A$81:$B$120, 2, FALSE)), "División no coincide con Categoría", ""))), IF(OR(L88="", L88=""), "[Aviso] Género no capturado ()", IF(ISNA(MATCH(L88, Criterios!$B$123:$B$127, 0)), "Género no válido", "")), IF(OR(N88="", N88=""), "[Aviso] Temporada no capturada ()", IF(ISNA(MATCH(N88, Criterios!$C$123:$C$128, 0)), "Temporada no válida", "")), IF(OR(O88="", O88=""), "[Aviso] Ciclo de vida no capturado ()", IF(ISNA(MATCH(O88, Criterios!$D$123:$D$124, 0)), "Ciclo de vida no válido", ""))))</f>
        <v/>
      </c>
      <c r="AC88" s="56" t="n"/>
      <c r="AD88" s="51" t="n">
        <v>3</v>
      </c>
      <c r="AE88" s="156" t="inlineStr">
        <is>
          <t>WB OUTLET LERMA: 3</t>
        </is>
      </c>
      <c r="AF88" s="51" t="n">
        <v>3</v>
      </c>
      <c r="AG88" s="156" t="inlineStr">
        <is>
          <t>Nuevo – NetSuite con existencia</t>
        </is>
      </c>
      <c r="AH88" s="156" t="inlineStr">
        <is>
          <t>Revisión 29/09/2026: Campos sin respaldo: R, X; Auditoría NetSuite 30/09/2026: llenado desde NetSuite [P,R,V,Y,T] | 01/10/2026: Shopify Western Brothers trae Categoría «Pantalones» — se conservó el valor de Productos | Homologación G1522 06/10/2026: Validación G1522: Dígito de control del código de barras inválido</t>
        </is>
      </c>
      <c r="AI88" s="156" t="inlineStr">
        <is>
          <t>No</t>
        </is>
      </c>
      <c r="AJ88" s="156" t="n"/>
      <c r="AK88" s="155" t="inlineStr">
        <is>
          <t>ProductosCatalogoEstandar907.xlsx: fila 5139 [N,O,Q,S,U,Y]; G1522_Extraccion_Articulos_NetSuite_2026-09-30.xlsx: fila 56714 [P,R,V,Y,T] | Shopify WB: producto 8569959317689 / variante 47621321621689</t>
        </is>
      </c>
      <c r="AL88" s="58" t="n">
        <v>371.25</v>
      </c>
      <c r="AM88" s="58" t="n">
        <v>1099</v>
      </c>
      <c r="AN88" s="155" t="inlineStr">
        <is>
          <t>Shopify Western Brothers</t>
        </is>
      </c>
      <c r="AO88" s="59" t="n"/>
      <c r="AP88" s="59" t="n">
        <v>3</v>
      </c>
      <c r="AQ88" s="59" t="n"/>
      <c r="AR88" s="155" t="inlineStr">
        <is>
          <t>Shopify Western Brothers › Western Brothers Outlet Lerma: 3</t>
        </is>
      </c>
    </row>
    <row r="89">
      <c r="A89" s="50" t="inlineStr">
        <is>
          <t>7506499570872</t>
        </is>
      </c>
      <c r="B89" s="51" t="inlineStr">
        <is>
          <t>108556</t>
        </is>
      </c>
      <c r="C89" s="156" t="inlineStr">
        <is>
          <t>Multimarca</t>
        </is>
      </c>
      <c r="D89" s="156" t="inlineStr">
        <is>
          <t>DM030</t>
        </is>
      </c>
      <c r="E89" s="156" t="inlineStr">
        <is>
          <t>DM030-7-32</t>
        </is>
      </c>
      <c r="F89" s="156" t="inlineStr">
        <is>
          <t>7</t>
        </is>
      </c>
      <c r="G89" s="156" t="inlineStr">
        <is>
          <t>4</t>
        </is>
      </c>
      <c r="H89" s="156" t="inlineStr">
        <is>
          <t>Denver</t>
        </is>
      </c>
      <c r="I89" s="156" t="inlineStr">
        <is>
          <t>Pantalon Denver dama negro</t>
        </is>
      </c>
      <c r="J89" s="156" t="inlineStr">
        <is>
          <t>Denim</t>
        </is>
      </c>
      <c r="K89" s="156" t="inlineStr">
        <is>
          <t>Jeans</t>
        </is>
      </c>
      <c r="L89" s="156" t="inlineStr">
        <is>
          <t>Mujer</t>
        </is>
      </c>
      <c r="M89" s="156" t="inlineStr">
        <is>
          <t>Denver</t>
        </is>
      </c>
      <c r="N89" s="156" t="inlineStr">
        <is>
          <t>SS26</t>
        </is>
      </c>
      <c r="O89" s="156" t="inlineStr">
        <is>
          <t>Core</t>
        </is>
      </c>
      <c r="P89" s="156" t="inlineStr">
        <is>
          <t>Negro</t>
        </is>
      </c>
      <c r="Q89" s="156" t="inlineStr">
        <is>
          <t>Regular</t>
        </is>
      </c>
      <c r="R89" s="156" t="inlineStr">
        <is>
          <t>Bootcut</t>
        </is>
      </c>
      <c r="S89" s="156" t="inlineStr">
        <is>
          <t>97% Algodón 3% Elastano</t>
        </is>
      </c>
      <c r="T89" s="156" t="inlineStr">
        <is>
          <t>Pantalon Denver dama negro Regular Corte Bota</t>
        </is>
      </c>
      <c r="U89" s="156" t="inlineStr">
        <is>
          <t>México</t>
        </is>
      </c>
      <c r="V89" s="156" t="inlineStr">
        <is>
          <t>PZS</t>
        </is>
      </c>
      <c r="W89" s="51" t="inlineStr">
        <is>
          <t>53101504</t>
        </is>
      </c>
      <c r="X89" s="156" t="n"/>
      <c r="Y89" s="54" t="n">
        <v>371.25</v>
      </c>
      <c r="Z89" s="54" t="n">
        <v>947.4137931</v>
      </c>
      <c r="AA89" s="55">
        <f>IF(AND(A89="", B89="", E89=""), "", IF(AB89="", "Válido", IF((LEN(AB89)-LEN(SUBSTITUTE(AB89,"; ","")))/2+1&gt;(LEN(AB89)-LEN(SUBSTITUTE(AB89,"[Aviso]","")))/7, "Con Incidencias", "Válido")))</f>
        <v/>
      </c>
      <c r="AB89" s="56">
        <f>IF(AND(A89="", B89="", E89=""), "", TEXTJOIN("; ", TRUE, IF(OR(TRIM(A89&amp;"")="", ISNUMBER(SEARCH("FALTA", A89))), "UPC faltante/inválido", ""), IF(AND(A89&lt;&gt;"", IFERROR(_xlfn.XMATCH(A89,$A$2:$A$204,0,1)&lt;&gt;_xlfn.XMATCH(A89,$A$2:$A$204,0,-1),FALSE)), "Código de barras duplicado", ""), IF(AND(E89&lt;&gt;"", COUNTIF($E$2:$E$204, E89)&gt;1), "SKU duplicado", ""), IF(OR(J89="", J89=""), "[Aviso] División no capturada ()", IF(ISNA(MATCH(J89, Criterios!$A$123:$A$126, 0)), "División no válida", "")), IF(OR(K89="", K89=""), "[Aviso] Categoría no capturada ()", IF(ISNA(MATCH(K89, Criterios!$A$81:$A$120, 0)), "Categoría no válida", IF(AND(J89&lt;&gt;"", J89&lt;&gt;"", J89&lt;&gt;VLOOKUP(K89, Criterios!$A$81:$B$120, 2, FALSE)), "División no coincide con Categoría", ""))), IF(OR(L89="", L89=""), "[Aviso] Género no capturado ()", IF(ISNA(MATCH(L89, Criterios!$B$123:$B$127, 0)), "Género no válido", "")), IF(OR(N89="", N89=""), "[Aviso] Temporada no capturada ()", IF(ISNA(MATCH(N89, Criterios!$C$123:$C$128, 0)), "Temporada no válida", "")), IF(OR(O89="", O89=""), "[Aviso] Ciclo de vida no capturado ()", IF(ISNA(MATCH(O89, Criterios!$D$123:$D$124, 0)), "Ciclo de vida no válido", ""))))</f>
        <v/>
      </c>
      <c r="AC89" s="56" t="n"/>
      <c r="AD89" s="51" t="n">
        <v>4</v>
      </c>
      <c r="AE89" s="156" t="inlineStr">
        <is>
          <t>WB OUTLET LERMA: 4</t>
        </is>
      </c>
      <c r="AF89" s="51" t="n">
        <v>4</v>
      </c>
      <c r="AG89" s="156" t="inlineStr">
        <is>
          <t>Nuevo – NetSuite con existencia</t>
        </is>
      </c>
      <c r="AH89" s="156" t="inlineStr">
        <is>
          <t>Revisión 29/09/2026: Campos sin respaldo: R, X; Auditoría NetSuite 30/09/2026: llenado desde NetSuite [P,R,V,Y,T] | 01/10/2026: Shopify Western Brothers trae Categoría «Pantalones» — se conservó el valor de Productos | Homologación G1522 06/10/2026: Validación G1522: Dígito de control del código de barras inválido</t>
        </is>
      </c>
      <c r="AI89" s="156" t="inlineStr">
        <is>
          <t>No</t>
        </is>
      </c>
      <c r="AJ89" s="156" t="n"/>
      <c r="AK89" s="155" t="inlineStr">
        <is>
          <t>ProductosCatalogoEstandar907.xlsx: fila 5140 [N,O,Q,S,U,Y]; G1522_Extraccion_Articulos_NetSuite_2026-09-30.xlsx: fila 56715 [P,R,V,Y,T] | Shopify WB: producto 8569959317689 / variante 47621321654457</t>
        </is>
      </c>
      <c r="AL89" s="58" t="n">
        <v>371.25</v>
      </c>
      <c r="AM89" s="58" t="n">
        <v>1099</v>
      </c>
      <c r="AN89" s="155" t="inlineStr">
        <is>
          <t>Shopify Western Brothers</t>
        </is>
      </c>
      <c r="AO89" s="59" t="n"/>
      <c r="AP89" s="59" t="n">
        <v>4</v>
      </c>
      <c r="AQ89" s="59" t="n"/>
      <c r="AR89" s="155" t="inlineStr">
        <is>
          <t>Shopify Western Brothers › Western Brothers Outlet Lerma: 4</t>
        </is>
      </c>
    </row>
    <row r="90">
      <c r="A90" s="50" t="inlineStr">
        <is>
          <t>7506499570867</t>
        </is>
      </c>
      <c r="B90" s="51" t="inlineStr">
        <is>
          <t>108551</t>
        </is>
      </c>
      <c r="C90" s="156" t="inlineStr">
        <is>
          <t>Multimarca</t>
        </is>
      </c>
      <c r="D90" s="156" t="inlineStr">
        <is>
          <t>DM031</t>
        </is>
      </c>
      <c r="E90" s="156" t="inlineStr">
        <is>
          <t>DM031-9-32</t>
        </is>
      </c>
      <c r="F90" s="156" t="inlineStr">
        <is>
          <t>9</t>
        </is>
      </c>
      <c r="G90" s="156" t="inlineStr">
        <is>
          <t>6</t>
        </is>
      </c>
      <c r="H90" s="156" t="inlineStr">
        <is>
          <t>Denver</t>
        </is>
      </c>
      <c r="I90" s="156" t="inlineStr">
        <is>
          <t>Pantalon Denver dama azul claro</t>
        </is>
      </c>
      <c r="J90" s="156" t="inlineStr">
        <is>
          <t>Denim</t>
        </is>
      </c>
      <c r="K90" s="156" t="inlineStr">
        <is>
          <t>Jeans</t>
        </is>
      </c>
      <c r="L90" s="156" t="inlineStr">
        <is>
          <t>Mujer</t>
        </is>
      </c>
      <c r="M90" s="156" t="inlineStr">
        <is>
          <t>Denver</t>
        </is>
      </c>
      <c r="N90" s="156" t="inlineStr">
        <is>
          <t>SS26</t>
        </is>
      </c>
      <c r="O90" s="156" t="inlineStr">
        <is>
          <t>Core</t>
        </is>
      </c>
      <c r="P90" s="156" t="inlineStr">
        <is>
          <t>Azul</t>
        </is>
      </c>
      <c r="Q90" s="156" t="inlineStr">
        <is>
          <t>Regular</t>
        </is>
      </c>
      <c r="R90" s="156" t="inlineStr">
        <is>
          <t>Bootcut</t>
        </is>
      </c>
      <c r="S90" s="156" t="inlineStr">
        <is>
          <t>97% Algodón 3% Elastano</t>
        </is>
      </c>
      <c r="T90" s="156" t="inlineStr">
        <is>
          <t>Pantalon Denver dama azul claro Regular Corte Bota</t>
        </is>
      </c>
      <c r="U90" s="156" t="inlineStr">
        <is>
          <t>México</t>
        </is>
      </c>
      <c r="V90" s="156" t="inlineStr">
        <is>
          <t>PZS</t>
        </is>
      </c>
      <c r="W90" s="51" t="inlineStr">
        <is>
          <t>53101504</t>
        </is>
      </c>
      <c r="X90" s="156" t="n"/>
      <c r="Y90" s="54" t="n">
        <v>371.25</v>
      </c>
      <c r="Z90" s="54" t="n">
        <v>947.4137931</v>
      </c>
      <c r="AA90" s="55">
        <f>IF(AND(A90="", B90="", E90=""), "", IF(AB90="", "Válido", IF((LEN(AB90)-LEN(SUBSTITUTE(AB90,"; ","")))/2+1&gt;(LEN(AB90)-LEN(SUBSTITUTE(AB90,"[Aviso]","")))/7, "Con Incidencias", "Válido")))</f>
        <v/>
      </c>
      <c r="AB90" s="56">
        <f>IF(AND(A90="", B90="", E90=""), "", TEXTJOIN("; ", TRUE, IF(OR(TRIM(A90&amp;"")="", ISNUMBER(SEARCH("FALTA", A90))), "UPC faltante/inválido", ""), IF(AND(A90&lt;&gt;"", IFERROR(_xlfn.XMATCH(A90,$A$2:$A$204,0,1)&lt;&gt;_xlfn.XMATCH(A90,$A$2:$A$204,0,-1),FALSE)), "Código de barras duplicado", ""), IF(AND(E90&lt;&gt;"", COUNTIF($E$2:$E$204, E90)&gt;1), "SKU duplicado", ""), IF(OR(J90="", J90=""), "[Aviso] División no capturada ()", IF(ISNA(MATCH(J90, Criterios!$A$123:$A$126, 0)), "División no válida", "")), IF(OR(K90="", K90=""), "[Aviso] Categoría no capturada ()", IF(ISNA(MATCH(K90, Criterios!$A$81:$A$120, 0)), "Categoría no válida", IF(AND(J90&lt;&gt;"", J90&lt;&gt;"", J90&lt;&gt;VLOOKUP(K90, Criterios!$A$81:$B$120, 2, FALSE)), "División no coincide con Categoría", ""))), IF(OR(L90="", L90=""), "[Aviso] Género no capturado ()", IF(ISNA(MATCH(L90, Criterios!$B$123:$B$127, 0)), "Género no válido", "")), IF(OR(N90="", N90=""), "[Aviso] Temporada no capturada ()", IF(ISNA(MATCH(N90, Criterios!$C$123:$C$128, 0)), "Temporada no válida", "")), IF(OR(O90="", O90=""), "[Aviso] Ciclo de vida no capturado ()", IF(ISNA(MATCH(O90, Criterios!$D$123:$D$124, 0)), "Ciclo de vida no válido", ""))))</f>
        <v/>
      </c>
      <c r="AC90" s="56" t="n"/>
      <c r="AD90" s="51" t="n">
        <v>0</v>
      </c>
      <c r="AE90" s="156" t="n"/>
      <c r="AF90" s="51" t="n">
        <v>0</v>
      </c>
      <c r="AG90" s="156" t="inlineStr">
        <is>
          <t>Nuevo – NetSuite sin existencia</t>
        </is>
      </c>
      <c r="AH90" s="156" t="inlineStr">
        <is>
          <t>Revisión 29/09/2026: Campos sin respaldo: R, X; Auditoría NetSuite 30/09/2026: llenado desde NetSuite [P,R,V,Y,T] | 01/10/2026: Shopify Western Brothers trae Categoría «Pantalones» — se conservó el valor de Productos | Homologación G1522 06/10/2026: Validación G1522: Dígito de control del código de barras inválido</t>
        </is>
      </c>
      <c r="AI90" s="156" t="inlineStr">
        <is>
          <t>No</t>
        </is>
      </c>
      <c r="AJ90" s="156" t="n"/>
      <c r="AK90" s="155" t="inlineStr">
        <is>
          <t>ProductosCatalogoEstandar907.xlsx: fila 5141 [N,O,Q,S,U,Y]; G1522_Extraccion_Articulos_NetSuite_2026-09-30.xlsx: fila 56710 [P,R,V,Y,T] | Shopify WB: producto 8569959448761 / variante 47621321818297</t>
        </is>
      </c>
      <c r="AL90" s="58" t="n">
        <v>371.25</v>
      </c>
      <c r="AM90" s="58" t="n">
        <v>1099</v>
      </c>
      <c r="AN90" s="155" t="inlineStr">
        <is>
          <t>Shopify Western Brothers</t>
        </is>
      </c>
      <c r="AO90" s="59" t="n"/>
      <c r="AP90" s="59" t="n">
        <v>0</v>
      </c>
      <c r="AQ90" s="59" t="n"/>
      <c r="AR90" s="155" t="n"/>
    </row>
    <row r="91">
      <c r="A91" s="50" t="inlineStr">
        <is>
          <t>7506499570864</t>
        </is>
      </c>
      <c r="B91" s="51" t="inlineStr">
        <is>
          <t>108548</t>
        </is>
      </c>
      <c r="C91" s="156" t="inlineStr">
        <is>
          <t>Multimarca</t>
        </is>
      </c>
      <c r="D91" s="156" t="inlineStr">
        <is>
          <t>DM034</t>
        </is>
      </c>
      <c r="E91" s="156" t="inlineStr">
        <is>
          <t>DM034-5-32</t>
        </is>
      </c>
      <c r="F91" s="156" t="inlineStr">
        <is>
          <t>5</t>
        </is>
      </c>
      <c r="G91" s="156" t="inlineStr">
        <is>
          <t>2</t>
        </is>
      </c>
      <c r="H91" s="156" t="inlineStr">
        <is>
          <t>Denver</t>
        </is>
      </c>
      <c r="I91" s="156" t="inlineStr">
        <is>
          <t>Pantalon Denver dama azul marino</t>
        </is>
      </c>
      <c r="J91" s="156" t="inlineStr">
        <is>
          <t>Denim</t>
        </is>
      </c>
      <c r="K91" s="156" t="inlineStr">
        <is>
          <t>Jeans</t>
        </is>
      </c>
      <c r="L91" s="156" t="inlineStr">
        <is>
          <t>Mujer</t>
        </is>
      </c>
      <c r="M91" s="156" t="inlineStr">
        <is>
          <t>Denver</t>
        </is>
      </c>
      <c r="N91" s="156" t="inlineStr">
        <is>
          <t>SS26</t>
        </is>
      </c>
      <c r="O91" s="156" t="inlineStr">
        <is>
          <t>Core</t>
        </is>
      </c>
      <c r="P91" s="156" t="inlineStr">
        <is>
          <t>Azul</t>
        </is>
      </c>
      <c r="Q91" s="156" t="inlineStr">
        <is>
          <t>Regular</t>
        </is>
      </c>
      <c r="R91" s="156" t="inlineStr">
        <is>
          <t>Bootcut</t>
        </is>
      </c>
      <c r="S91" s="156" t="inlineStr">
        <is>
          <t>97% Algodón 3% Elastano</t>
        </is>
      </c>
      <c r="T91" s="156" t="inlineStr">
        <is>
          <t>Pantalon Denver dama azul marino Regular Corte Bota</t>
        </is>
      </c>
      <c r="U91" s="156" t="inlineStr">
        <is>
          <t>México</t>
        </is>
      </c>
      <c r="V91" s="156" t="inlineStr">
        <is>
          <t>PZS</t>
        </is>
      </c>
      <c r="W91" s="51" t="inlineStr">
        <is>
          <t>53101504</t>
        </is>
      </c>
      <c r="X91" s="156" t="n"/>
      <c r="Y91" s="54" t="n">
        <v>371.25</v>
      </c>
      <c r="Z91" s="54" t="n">
        <v>947.4137931</v>
      </c>
      <c r="AA91" s="55">
        <f>IF(AND(A91="", B91="", E91=""), "", IF(AB91="", "Válido", IF((LEN(AB91)-LEN(SUBSTITUTE(AB91,"; ","")))/2+1&gt;(LEN(AB91)-LEN(SUBSTITUTE(AB91,"[Aviso]","")))/7, "Con Incidencias", "Válido")))</f>
        <v/>
      </c>
      <c r="AB91" s="56">
        <f>IF(AND(A91="", B91="", E91=""), "", TEXTJOIN("; ", TRUE, IF(OR(TRIM(A91&amp;"")="", ISNUMBER(SEARCH("FALTA", A91))), "UPC faltante/inválido", ""), IF(AND(A91&lt;&gt;"", IFERROR(_xlfn.XMATCH(A91,$A$2:$A$204,0,1)&lt;&gt;_xlfn.XMATCH(A91,$A$2:$A$204,0,-1),FALSE)), "Código de barras duplicado", ""), IF(AND(E91&lt;&gt;"", COUNTIF($E$2:$E$204, E91)&gt;1), "SKU duplicado", ""), IF(OR(J91="", J91=""), "[Aviso] División no capturada ()", IF(ISNA(MATCH(J91, Criterios!$A$123:$A$126, 0)), "División no válida", "")), IF(OR(K91="", K91=""), "[Aviso] Categoría no capturada ()", IF(ISNA(MATCH(K91, Criterios!$A$81:$A$120, 0)), "Categoría no válida", IF(AND(J91&lt;&gt;"", J91&lt;&gt;"", J91&lt;&gt;VLOOKUP(K91, Criterios!$A$81:$B$120, 2, FALSE)), "División no coincide con Categoría", ""))), IF(OR(L91="", L91=""), "[Aviso] Género no capturado ()", IF(ISNA(MATCH(L91, Criterios!$B$123:$B$127, 0)), "Género no válido", "")), IF(OR(N91="", N91=""), "[Aviso] Temporada no capturada ()", IF(ISNA(MATCH(N91, Criterios!$C$123:$C$128, 0)), "Temporada no válida", "")), IF(OR(O91="", O91=""), "[Aviso] Ciclo de vida no capturado ()", IF(ISNA(MATCH(O91, Criterios!$D$123:$D$124, 0)), "Ciclo de vida no válido", ""))))</f>
        <v/>
      </c>
      <c r="AC91" s="56" t="n"/>
      <c r="AD91" s="51" t="n">
        <v>0</v>
      </c>
      <c r="AE91" s="156" t="n"/>
      <c r="AF91" s="51" t="n">
        <v>0</v>
      </c>
      <c r="AG91" s="156" t="inlineStr">
        <is>
          <t>Nuevo – NetSuite sin existencia</t>
        </is>
      </c>
      <c r="AH91" s="156" t="inlineStr">
        <is>
          <t>Revisión 29/09/2026: Campos sin respaldo: R, X; Auditoría NetSuite 30/09/2026: llenado desde NetSuite [P,R,V,Y,T] | 01/10/2026: Shopify Western Brothers trae Categoría «Pantalones» — se conservó el valor de Productos | Homologación G1522 06/10/2026: Validación G1522: Dígito de control del código de barras inválido</t>
        </is>
      </c>
      <c r="AI91" s="156" t="inlineStr">
        <is>
          <t>No</t>
        </is>
      </c>
      <c r="AJ91" s="156" t="n"/>
      <c r="AK91" s="155" t="inlineStr">
        <is>
          <t>ProductosCatalogoEstandar907.xlsx: fila 5142 [N,O,Q,S,U,Y]; G1522_Extraccion_Articulos_NetSuite_2026-09-30.xlsx: fila 56707 [P,R,V,Y,T] | Shopify WB: producto 8569959579833 / variante 47621321949369</t>
        </is>
      </c>
      <c r="AL91" s="58" t="n">
        <v>371.25</v>
      </c>
      <c r="AM91" s="58" t="n">
        <v>1099</v>
      </c>
      <c r="AN91" s="155" t="inlineStr">
        <is>
          <t>Shopify Western Brothers</t>
        </is>
      </c>
      <c r="AO91" s="59" t="n"/>
      <c r="AP91" s="59" t="n">
        <v>0</v>
      </c>
      <c r="AQ91" s="59" t="n"/>
      <c r="AR91" s="155" t="n"/>
    </row>
    <row r="92">
      <c r="A92" s="50" t="inlineStr">
        <is>
          <t>7506499570865</t>
        </is>
      </c>
      <c r="B92" s="51" t="inlineStr">
        <is>
          <t>108549</t>
        </is>
      </c>
      <c r="C92" s="156" t="inlineStr">
        <is>
          <t>Multimarca</t>
        </is>
      </c>
      <c r="D92" s="156" t="inlineStr">
        <is>
          <t>DM034</t>
        </is>
      </c>
      <c r="E92" s="156" t="inlineStr">
        <is>
          <t>DM034-7-32</t>
        </is>
      </c>
      <c r="F92" s="156" t="inlineStr">
        <is>
          <t>7</t>
        </is>
      </c>
      <c r="G92" s="156" t="inlineStr">
        <is>
          <t>4</t>
        </is>
      </c>
      <c r="H92" s="156" t="inlineStr">
        <is>
          <t>Denver</t>
        </is>
      </c>
      <c r="I92" s="156" t="inlineStr">
        <is>
          <t>Pantalon Denver dama azul marino</t>
        </is>
      </c>
      <c r="J92" s="156" t="inlineStr">
        <is>
          <t>Denim</t>
        </is>
      </c>
      <c r="K92" s="156" t="inlineStr">
        <is>
          <t>Jeans</t>
        </is>
      </c>
      <c r="L92" s="156" t="inlineStr">
        <is>
          <t>Mujer</t>
        </is>
      </c>
      <c r="M92" s="156" t="inlineStr">
        <is>
          <t>Denver</t>
        </is>
      </c>
      <c r="N92" s="156" t="inlineStr">
        <is>
          <t>SS26</t>
        </is>
      </c>
      <c r="O92" s="156" t="inlineStr">
        <is>
          <t>Core</t>
        </is>
      </c>
      <c r="P92" s="156" t="inlineStr">
        <is>
          <t>Azul</t>
        </is>
      </c>
      <c r="Q92" s="156" t="inlineStr">
        <is>
          <t>Regular</t>
        </is>
      </c>
      <c r="R92" s="156" t="inlineStr">
        <is>
          <t>Bootcut</t>
        </is>
      </c>
      <c r="S92" s="156" t="inlineStr">
        <is>
          <t>97% Algodón 3% Elastano</t>
        </is>
      </c>
      <c r="T92" s="156" t="inlineStr">
        <is>
          <t>Pantalon Denver dama azul marino Regular Corte Bota</t>
        </is>
      </c>
      <c r="U92" s="156" t="inlineStr">
        <is>
          <t>México</t>
        </is>
      </c>
      <c r="V92" s="156" t="inlineStr">
        <is>
          <t>PZS</t>
        </is>
      </c>
      <c r="W92" s="51" t="inlineStr">
        <is>
          <t>53101504</t>
        </is>
      </c>
      <c r="X92" s="156" t="n"/>
      <c r="Y92" s="54" t="n">
        <v>371.25</v>
      </c>
      <c r="Z92" s="54" t="n">
        <v>947.4137931</v>
      </c>
      <c r="AA92" s="55">
        <f>IF(AND(A92="", B92="", E92=""), "", IF(AB92="", "Válido", IF((LEN(AB92)-LEN(SUBSTITUTE(AB92,"; ","")))/2+1&gt;(LEN(AB92)-LEN(SUBSTITUTE(AB92,"[Aviso]","")))/7, "Con Incidencias", "Válido")))</f>
        <v/>
      </c>
      <c r="AB92" s="56">
        <f>IF(AND(A92="", B92="", E92=""), "", TEXTJOIN("; ", TRUE, IF(OR(TRIM(A92&amp;"")="", ISNUMBER(SEARCH("FALTA", A92))), "UPC faltante/inválido", ""), IF(AND(A92&lt;&gt;"", IFERROR(_xlfn.XMATCH(A92,$A$2:$A$204,0,1)&lt;&gt;_xlfn.XMATCH(A92,$A$2:$A$204,0,-1),FALSE)), "Código de barras duplicado", ""), IF(AND(E92&lt;&gt;"", COUNTIF($E$2:$E$204, E92)&gt;1), "SKU duplicado", ""), IF(OR(J92="", J92=""), "[Aviso] División no capturada ()", IF(ISNA(MATCH(J92, Criterios!$A$123:$A$126, 0)), "División no válida", "")), IF(OR(K92="", K92=""), "[Aviso] Categoría no capturada ()", IF(ISNA(MATCH(K92, Criterios!$A$81:$A$120, 0)), "Categoría no válida", IF(AND(J92&lt;&gt;"", J92&lt;&gt;"", J92&lt;&gt;VLOOKUP(K92, Criterios!$A$81:$B$120, 2, FALSE)), "División no coincide con Categoría", ""))), IF(OR(L92="", L92=""), "[Aviso] Género no capturado ()", IF(ISNA(MATCH(L92, Criterios!$B$123:$B$127, 0)), "Género no válido", "")), IF(OR(N92="", N92=""), "[Aviso] Temporada no capturada ()", IF(ISNA(MATCH(N92, Criterios!$C$123:$C$128, 0)), "Temporada no válida", "")), IF(OR(O92="", O92=""), "[Aviso] Ciclo de vida no capturado ()", IF(ISNA(MATCH(O92, Criterios!$D$123:$D$124, 0)), "Ciclo de vida no válido", ""))))</f>
        <v/>
      </c>
      <c r="AC92" s="56" t="n"/>
      <c r="AD92" s="51" t="n">
        <v>0</v>
      </c>
      <c r="AE92" s="156" t="n"/>
      <c r="AF92" s="51" t="n">
        <v>0</v>
      </c>
      <c r="AG92" s="156" t="inlineStr">
        <is>
          <t>Nuevo – NetSuite sin existencia</t>
        </is>
      </c>
      <c r="AH92" s="156" t="inlineStr">
        <is>
          <t>Revisión 29/09/2026: Campos sin respaldo: R, X; Auditoría NetSuite 30/09/2026: llenado desde NetSuite [P,R,V,Y,T] | 01/10/2026: Shopify Western Brothers trae Categoría «Pantalones» — se conservó el valor de Productos | Homologación G1522 06/10/2026: Validación G1522: Dígito de control del código de barras inválido</t>
        </is>
      </c>
      <c r="AI92" s="156" t="inlineStr">
        <is>
          <t>No</t>
        </is>
      </c>
      <c r="AJ92" s="156" t="n"/>
      <c r="AK92" s="155" t="inlineStr">
        <is>
          <t>ProductosCatalogoEstandar907.xlsx: fila 5143 [N,O,Q,S,U,Y]; G1522_Extraccion_Articulos_NetSuite_2026-09-30.xlsx: fila 56708 [P,R,V,Y,T] | Shopify WB: producto 8569959579833 / variante 47621321982137</t>
        </is>
      </c>
      <c r="AL92" s="58" t="n">
        <v>371.25</v>
      </c>
      <c r="AM92" s="58" t="n">
        <v>1099</v>
      </c>
      <c r="AN92" s="155" t="inlineStr">
        <is>
          <t>Shopify Western Brothers</t>
        </is>
      </c>
      <c r="AO92" s="59" t="n"/>
      <c r="AP92" s="59" t="n">
        <v>0</v>
      </c>
      <c r="AQ92" s="59" t="n"/>
      <c r="AR92" s="155" t="n"/>
    </row>
    <row r="93">
      <c r="A93" s="50" t="inlineStr">
        <is>
          <t>7506499570866</t>
        </is>
      </c>
      <c r="B93" s="51" t="inlineStr">
        <is>
          <t>108550</t>
        </is>
      </c>
      <c r="C93" s="156" t="inlineStr">
        <is>
          <t>Multimarca</t>
        </is>
      </c>
      <c r="D93" s="156" t="inlineStr">
        <is>
          <t>DM034</t>
        </is>
      </c>
      <c r="E93" s="156" t="inlineStr">
        <is>
          <t>DM034-9-32</t>
        </is>
      </c>
      <c r="F93" s="156" t="inlineStr">
        <is>
          <t>9</t>
        </is>
      </c>
      <c r="G93" s="156" t="inlineStr">
        <is>
          <t>6</t>
        </is>
      </c>
      <c r="H93" s="156" t="inlineStr">
        <is>
          <t>Denver</t>
        </is>
      </c>
      <c r="I93" s="156" t="inlineStr">
        <is>
          <t>Pantalon Denver dama azul marino</t>
        </is>
      </c>
      <c r="J93" s="156" t="inlineStr">
        <is>
          <t>Denim</t>
        </is>
      </c>
      <c r="K93" s="156" t="inlineStr">
        <is>
          <t>Jeans</t>
        </is>
      </c>
      <c r="L93" s="156" t="inlineStr">
        <is>
          <t>Mujer</t>
        </is>
      </c>
      <c r="M93" s="156" t="inlineStr">
        <is>
          <t>Denver</t>
        </is>
      </c>
      <c r="N93" s="156" t="inlineStr">
        <is>
          <t>SS26</t>
        </is>
      </c>
      <c r="O93" s="156" t="inlineStr">
        <is>
          <t>Core</t>
        </is>
      </c>
      <c r="P93" s="156" t="inlineStr">
        <is>
          <t>Azul</t>
        </is>
      </c>
      <c r="Q93" s="156" t="inlineStr">
        <is>
          <t>Regular</t>
        </is>
      </c>
      <c r="R93" s="156" t="inlineStr">
        <is>
          <t>Bootcut</t>
        </is>
      </c>
      <c r="S93" s="156" t="inlineStr">
        <is>
          <t>97% Algodón 3% Elastano</t>
        </is>
      </c>
      <c r="T93" s="156" t="inlineStr">
        <is>
          <t>Pantalon Denver dama azul marino Regular Corte Bota</t>
        </is>
      </c>
      <c r="U93" s="156" t="inlineStr">
        <is>
          <t>México</t>
        </is>
      </c>
      <c r="V93" s="156" t="inlineStr">
        <is>
          <t>PZS</t>
        </is>
      </c>
      <c r="W93" s="51" t="inlineStr">
        <is>
          <t>53101504</t>
        </is>
      </c>
      <c r="X93" s="156" t="n"/>
      <c r="Y93" s="54" t="n">
        <v>371.25</v>
      </c>
      <c r="Z93" s="54" t="n">
        <v>947.4137931</v>
      </c>
      <c r="AA93" s="55">
        <f>IF(AND(A93="", B93="", E93=""), "", IF(AB93="", "Válido", IF((LEN(AB93)-LEN(SUBSTITUTE(AB93,"; ","")))/2+1&gt;(LEN(AB93)-LEN(SUBSTITUTE(AB93,"[Aviso]","")))/7, "Con Incidencias", "Válido")))</f>
        <v/>
      </c>
      <c r="AB93" s="56">
        <f>IF(AND(A93="", B93="", E93=""), "", TEXTJOIN("; ", TRUE, IF(OR(TRIM(A93&amp;"")="", ISNUMBER(SEARCH("FALTA", A93))), "UPC faltante/inválido", ""), IF(AND(A93&lt;&gt;"", IFERROR(_xlfn.XMATCH(A93,$A$2:$A$204,0,1)&lt;&gt;_xlfn.XMATCH(A93,$A$2:$A$204,0,-1),FALSE)), "Código de barras duplicado", ""), IF(AND(E93&lt;&gt;"", COUNTIF($E$2:$E$204, E93)&gt;1), "SKU duplicado", ""), IF(OR(J93="", J93=""), "[Aviso] División no capturada ()", IF(ISNA(MATCH(J93, Criterios!$A$123:$A$126, 0)), "División no válida", "")), IF(OR(K93="", K93=""), "[Aviso] Categoría no capturada ()", IF(ISNA(MATCH(K93, Criterios!$A$81:$A$120, 0)), "Categoría no válida", IF(AND(J93&lt;&gt;"", J93&lt;&gt;"", J93&lt;&gt;VLOOKUP(K93, Criterios!$A$81:$B$120, 2, FALSE)), "División no coincide con Categoría", ""))), IF(OR(L93="", L93=""), "[Aviso] Género no capturado ()", IF(ISNA(MATCH(L93, Criterios!$B$123:$B$127, 0)), "Género no válido", "")), IF(OR(N93="", N93=""), "[Aviso] Temporada no capturada ()", IF(ISNA(MATCH(N93, Criterios!$C$123:$C$128, 0)), "Temporada no válida", "")), IF(OR(O93="", O93=""), "[Aviso] Ciclo de vida no capturado ()", IF(ISNA(MATCH(O93, Criterios!$D$123:$D$124, 0)), "Ciclo de vida no válido", ""))))</f>
        <v/>
      </c>
      <c r="AC93" s="56" t="n"/>
      <c r="AD93" s="51" t="n">
        <v>0</v>
      </c>
      <c r="AE93" s="156" t="n"/>
      <c r="AF93" s="51" t="n">
        <v>0</v>
      </c>
      <c r="AG93" s="156" t="inlineStr">
        <is>
          <t>Nuevo – NetSuite sin existencia</t>
        </is>
      </c>
      <c r="AH93" s="156" t="inlineStr">
        <is>
          <t>Revisión 29/09/2026: Campos sin respaldo: R, X; Auditoría NetSuite 30/09/2026: llenado desde NetSuite [P,R,V,Y,T] | 01/10/2026: Shopify Western Brothers trae Categoría «Pantalones» — se conservó el valor de Productos | Homologación G1522 06/10/2026: Validación G1522: Dígito de control del código de barras inválido</t>
        </is>
      </c>
      <c r="AI93" s="156" t="inlineStr">
        <is>
          <t>No</t>
        </is>
      </c>
      <c r="AJ93" s="156" t="n"/>
      <c r="AK93" s="155" t="inlineStr">
        <is>
          <t>ProductosCatalogoEstandar907.xlsx: fila 5144 [N,O,Q,S,U,Y]; G1522_Extraccion_Articulos_NetSuite_2026-09-30.xlsx: fila 56709 [P,R,V,Y,T] | Shopify WB: producto 8569959579833 / variante 47621322014905</t>
        </is>
      </c>
      <c r="AL93" s="58" t="n">
        <v>371.25</v>
      </c>
      <c r="AM93" s="58" t="n">
        <v>1099</v>
      </c>
      <c r="AN93" s="155" t="inlineStr">
        <is>
          <t>Shopify Western Brothers</t>
        </is>
      </c>
      <c r="AO93" s="59" t="n"/>
      <c r="AP93" s="59" t="n">
        <v>0</v>
      </c>
      <c r="AQ93" s="59" t="n"/>
      <c r="AR93" s="155" t="n"/>
    </row>
    <row r="94">
      <c r="A94" s="50" t="inlineStr">
        <is>
          <t>7506499570868</t>
        </is>
      </c>
      <c r="B94" s="51" t="inlineStr">
        <is>
          <t>108552</t>
        </is>
      </c>
      <c r="C94" s="156" t="inlineStr">
        <is>
          <t>Multimarca</t>
        </is>
      </c>
      <c r="D94" s="156" t="inlineStr">
        <is>
          <t>DM036</t>
        </is>
      </c>
      <c r="E94" s="156" t="inlineStr">
        <is>
          <t>DM036-3-32</t>
        </is>
      </c>
      <c r="F94" s="156" t="inlineStr">
        <is>
          <t>3</t>
        </is>
      </c>
      <c r="G94" s="156" t="inlineStr">
        <is>
          <t>0</t>
        </is>
      </c>
      <c r="H94" s="156" t="inlineStr">
        <is>
          <t>Denver</t>
        </is>
      </c>
      <c r="I94" s="156" t="inlineStr">
        <is>
          <t>Pantalon Denver dama ajustado azul medio</t>
        </is>
      </c>
      <c r="J94" s="156" t="inlineStr">
        <is>
          <t>Denim</t>
        </is>
      </c>
      <c r="K94" s="156" t="inlineStr">
        <is>
          <t>Jeans</t>
        </is>
      </c>
      <c r="L94" s="156" t="inlineStr">
        <is>
          <t>Mujer</t>
        </is>
      </c>
      <c r="M94" s="156" t="inlineStr">
        <is>
          <t>Denver</t>
        </is>
      </c>
      <c r="N94" s="156" t="inlineStr">
        <is>
          <t>SS26</t>
        </is>
      </c>
      <c r="O94" s="156" t="inlineStr">
        <is>
          <t>Core</t>
        </is>
      </c>
      <c r="P94" s="156" t="inlineStr">
        <is>
          <t>Azul</t>
        </is>
      </c>
      <c r="Q94" s="156" t="inlineStr">
        <is>
          <t>Slim</t>
        </is>
      </c>
      <c r="R94" s="156" t="n"/>
      <c r="S94" s="156" t="inlineStr">
        <is>
          <t>97% Algodón 3% Elastano</t>
        </is>
      </c>
      <c r="T94" s="156" t="inlineStr">
        <is>
          <t>Pantalon Denver dama ajustado azul medio Fitted</t>
        </is>
      </c>
      <c r="U94" s="156" t="inlineStr">
        <is>
          <t>México</t>
        </is>
      </c>
      <c r="V94" s="156" t="inlineStr">
        <is>
          <t>PZS</t>
        </is>
      </c>
      <c r="W94" s="51" t="inlineStr">
        <is>
          <t>53101504</t>
        </is>
      </c>
      <c r="X94" s="156" t="n"/>
      <c r="Y94" s="54" t="n">
        <v>371.25</v>
      </c>
      <c r="Z94" s="54" t="n">
        <v>947.4137931</v>
      </c>
      <c r="AA94" s="55">
        <f>IF(AND(A94="", B94="", E94=""), "", IF(AB94="", "Válido", IF((LEN(AB94)-LEN(SUBSTITUTE(AB94,"; ","")))/2+1&gt;(LEN(AB94)-LEN(SUBSTITUTE(AB94,"[Aviso]","")))/7, "Con Incidencias", "Válido")))</f>
        <v/>
      </c>
      <c r="AB94" s="56">
        <f>IF(AND(A94="", B94="", E94=""), "", TEXTJOIN("; ", TRUE, IF(OR(TRIM(A94&amp;"")="", ISNUMBER(SEARCH("FALTA", A94))), "UPC faltante/inválido", ""), IF(AND(A94&lt;&gt;"", IFERROR(_xlfn.XMATCH(A94,$A$2:$A$204,0,1)&lt;&gt;_xlfn.XMATCH(A94,$A$2:$A$204,0,-1),FALSE)), "Código de barras duplicado", ""), IF(AND(E94&lt;&gt;"", COUNTIF($E$2:$E$204, E94)&gt;1), "SKU duplicado", ""), IF(OR(J94="", J94=""), "[Aviso] División no capturada ()", IF(ISNA(MATCH(J94, Criterios!$A$123:$A$126, 0)), "División no válida", "")), IF(OR(K94="", K94=""), "[Aviso] Categoría no capturada ()", IF(ISNA(MATCH(K94, Criterios!$A$81:$A$120, 0)), "Categoría no válida", IF(AND(J94&lt;&gt;"", J94&lt;&gt;"", J94&lt;&gt;VLOOKUP(K94, Criterios!$A$81:$B$120, 2, FALSE)), "División no coincide con Categoría", ""))), IF(OR(L94="", L94=""), "[Aviso] Género no capturado ()", IF(ISNA(MATCH(L94, Criterios!$B$123:$B$127, 0)), "Género no válido", "")), IF(OR(N94="", N94=""), "[Aviso] Temporada no capturada ()", IF(ISNA(MATCH(N94, Criterios!$C$123:$C$128, 0)), "Temporada no válida", "")), IF(OR(O94="", O94=""), "[Aviso] Ciclo de vida no capturado ()", IF(ISNA(MATCH(O94, Criterios!$D$123:$D$124, 0)), "Ciclo de vida no válido", ""))))</f>
        <v/>
      </c>
      <c r="AC94" s="56" t="n"/>
      <c r="AD94" s="51" t="n">
        <v>0</v>
      </c>
      <c r="AE94" s="156" t="n"/>
      <c r="AF94" s="51" t="n">
        <v>0</v>
      </c>
      <c r="AG94" s="156" t="inlineStr">
        <is>
          <t>Nuevo – NetSuite sin existencia</t>
        </is>
      </c>
      <c r="AH94" s="156" t="inlineStr">
        <is>
          <t>Revisión 29/09/2026: Campos sin respaldo: R, X; Auditoría NetSuite 30/09/2026: llenado desde NetSuite [P,V,Y,T] | 01/10/2026: complementado desde Shopify Western Brothers (match por código de barras): WB Silueta | 01/10/2026: Shopify Western Brothers trae Categoría «Pantalones» — se conservó el valor de Productos | Homologación G1522 06/10/2026: Validación G1522: Dígito de control del código de barras inválido</t>
        </is>
      </c>
      <c r="AI94" s="156" t="inlineStr">
        <is>
          <t>No</t>
        </is>
      </c>
      <c r="AJ94" s="156" t="n"/>
      <c r="AK94" s="155" t="inlineStr">
        <is>
          <t>ProductosCatalogoEstandar907.xlsx: fila 5145 [N,O,Q,S,U,Y]; G1522_Extraccion_Articulos_NetSuite_2026-09-30.xlsx: fila 56711 [P,V,Y,T] | Shopify WB: producto 8569959776441 / variante 47621322211513</t>
        </is>
      </c>
      <c r="AL94" s="58" t="n">
        <v>371.25</v>
      </c>
      <c r="AM94" s="58" t="n">
        <v>1099</v>
      </c>
      <c r="AN94" s="155" t="inlineStr">
        <is>
          <t>Shopify Western Brothers</t>
        </is>
      </c>
      <c r="AO94" s="59" t="n"/>
      <c r="AP94" s="59" t="n">
        <v>0</v>
      </c>
      <c r="AQ94" s="59" t="n"/>
      <c r="AR94" s="155" t="n"/>
    </row>
    <row r="95">
      <c r="A95" s="50" t="inlineStr">
        <is>
          <t>7506499552103</t>
        </is>
      </c>
      <c r="B95" s="51" t="inlineStr">
        <is>
          <t>108440</t>
        </is>
      </c>
      <c r="C95" s="156" t="inlineStr">
        <is>
          <t>Multimarca</t>
        </is>
      </c>
      <c r="D95" s="156" t="inlineStr">
        <is>
          <t>F-CHH187</t>
        </is>
      </c>
      <c r="E95" s="156" t="inlineStr">
        <is>
          <t>F-CHH187-S</t>
        </is>
      </c>
      <c r="F95" s="156" t="inlineStr">
        <is>
          <t>S</t>
        </is>
      </c>
      <c r="G95" s="156" t="inlineStr">
        <is>
          <t>S</t>
        </is>
      </c>
      <c r="H95" s="156" t="inlineStr">
        <is>
          <t>Denver</t>
        </is>
      </c>
      <c r="I95" s="156" t="inlineStr">
        <is>
          <t>Camisa Denver frisco estampado étnico tapete colorido</t>
        </is>
      </c>
      <c r="J95" s="156" t="inlineStr">
        <is>
          <t>Ropa</t>
        </is>
      </c>
      <c r="K95" s="156" t="inlineStr">
        <is>
          <t>Camisas</t>
        </is>
      </c>
      <c r="L95" s="156" t="inlineStr">
        <is>
          <t>Hombre</t>
        </is>
      </c>
      <c r="M95" s="156" t="inlineStr">
        <is>
          <t>Denver</t>
        </is>
      </c>
      <c r="N95" s="156" t="inlineStr">
        <is>
          <t>SS26</t>
        </is>
      </c>
      <c r="O95" s="156" t="inlineStr">
        <is>
          <t>Seasonal</t>
        </is>
      </c>
      <c r="P95" s="156" t="inlineStr">
        <is>
          <t>Azul</t>
        </is>
      </c>
      <c r="Q95" s="156" t="inlineStr">
        <is>
          <t>Regular</t>
        </is>
      </c>
      <c r="R95" s="156" t="n"/>
      <c r="S95" s="156" t="inlineStr">
        <is>
          <t>100% Poliéster</t>
        </is>
      </c>
      <c r="T95" s="156" t="inlineStr">
        <is>
          <t>Camisa Denver frisco estampado étnico tapete colorido Regular</t>
        </is>
      </c>
      <c r="U95" s="156" t="inlineStr">
        <is>
          <t>México</t>
        </is>
      </c>
      <c r="V95" s="156" t="inlineStr">
        <is>
          <t>PZS</t>
        </is>
      </c>
      <c r="W95" s="51" t="inlineStr">
        <is>
          <t>53101600</t>
        </is>
      </c>
      <c r="X95" s="156" t="n"/>
      <c r="Y95" s="54" t="n">
        <v>365</v>
      </c>
      <c r="Z95" s="54" t="n">
        <v>559.4827586</v>
      </c>
      <c r="AA95" s="55">
        <f>IF(AND(A95="", B95="", E95=""), "", IF(AB95="", "Válido", IF((LEN(AB95)-LEN(SUBSTITUTE(AB95,"; ","")))/2+1&gt;(LEN(AB95)-LEN(SUBSTITUTE(AB95,"[Aviso]","")))/7, "Con Incidencias", "Válido")))</f>
        <v/>
      </c>
      <c r="AB95" s="56">
        <f>IF(AND(A95="", B95="", E95=""), "", TEXTJOIN("; ", TRUE, IF(OR(TRIM(A95&amp;"")="", ISNUMBER(SEARCH("FALTA", A95))), "UPC faltante/inválido", ""), IF(AND(A95&lt;&gt;"", IFERROR(_xlfn.XMATCH(A95,$A$2:$A$204,0,1)&lt;&gt;_xlfn.XMATCH(A95,$A$2:$A$204,0,-1),FALSE)), "Código de barras duplicado", ""), IF(AND(E95&lt;&gt;"", COUNTIF($E$2:$E$204, E95)&gt;1), "SKU duplicado", ""), IF(OR(J95="", J95=""), "[Aviso] División no capturada ()", IF(ISNA(MATCH(J95, Criterios!$A$123:$A$126, 0)), "División no válida", "")), IF(OR(K95="", K95=""), "[Aviso] Categoría no capturada ()", IF(ISNA(MATCH(K95, Criterios!$A$81:$A$120, 0)), "Categoría no válida", IF(AND(J95&lt;&gt;"", J95&lt;&gt;"", J95&lt;&gt;VLOOKUP(K95, Criterios!$A$81:$B$120, 2, FALSE)), "División no coincide con Categoría", ""))), IF(OR(L95="", L95=""), "[Aviso] Género no capturado ()", IF(ISNA(MATCH(L95, Criterios!$B$123:$B$127, 0)), "Género no válido", "")), IF(OR(N95="", N95=""), "[Aviso] Temporada no capturada ()", IF(ISNA(MATCH(N95, Criterios!$C$123:$C$128, 0)), "Temporada no válida", "")), IF(OR(O95="", O95=""), "[Aviso] Ciclo de vida no capturado ()", IF(ISNA(MATCH(O95, Criterios!$D$123:$D$124, 0)), "Ciclo de vida no válido", ""))))</f>
        <v/>
      </c>
      <c r="AC95" s="56" t="n"/>
      <c r="AD95" s="51" t="n">
        <v>1</v>
      </c>
      <c r="AE95" s="156" t="inlineStr">
        <is>
          <t>WB OUTLET LERMA: 1</t>
        </is>
      </c>
      <c r="AF95" s="51" t="n">
        <v>1</v>
      </c>
      <c r="AG95" s="156" t="inlineStr">
        <is>
          <t>Nuevo – NetSuite con existencia</t>
        </is>
      </c>
      <c r="AH95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95" s="156" t="inlineStr">
        <is>
          <t>No</t>
        </is>
      </c>
      <c r="AJ95" s="156" t="n"/>
      <c r="AK95" s="155" t="inlineStr">
        <is>
          <t>ProductosCatalogoEstandar907.xlsx: fila 5146 [L,N,O,Q,S,U,Y]; G1522_Extraccion_Articulos_NetSuite_2026-09-30.xlsx: fila 56599 [M,P,V,Y,T] | Shopify WB: producto 8569959907513 / variante 47621322440889</t>
        </is>
      </c>
      <c r="AL95" s="58" t="n">
        <v>365</v>
      </c>
      <c r="AM95" s="58" t="n">
        <v>648.99999998</v>
      </c>
      <c r="AN95" s="155" t="inlineStr">
        <is>
          <t>Shopify Western Brothers</t>
        </is>
      </c>
      <c r="AO95" s="59" t="n"/>
      <c r="AP95" s="59" t="n">
        <v>1</v>
      </c>
      <c r="AQ95" s="59" t="n"/>
      <c r="AR95" s="155" t="inlineStr">
        <is>
          <t>Shopify Western Brothers › Western Brothers Outlet Lerma: 1</t>
        </is>
      </c>
    </row>
    <row r="96">
      <c r="A96" s="50" t="inlineStr">
        <is>
          <t>7506499552110</t>
        </is>
      </c>
      <c r="B96" s="51" t="inlineStr">
        <is>
          <t>108441</t>
        </is>
      </c>
      <c r="C96" s="156" t="inlineStr">
        <is>
          <t>Multimarca</t>
        </is>
      </c>
      <c r="D96" s="156" t="inlineStr">
        <is>
          <t>F-CHH187</t>
        </is>
      </c>
      <c r="E96" s="156" t="inlineStr">
        <is>
          <t>F-CHH187-M</t>
        </is>
      </c>
      <c r="F96" s="156" t="inlineStr">
        <is>
          <t>M</t>
        </is>
      </c>
      <c r="G96" s="156" t="inlineStr">
        <is>
          <t>M</t>
        </is>
      </c>
      <c r="H96" s="156" t="inlineStr">
        <is>
          <t>Denver</t>
        </is>
      </c>
      <c r="I96" s="156" t="inlineStr">
        <is>
          <t>Camisa Denver frisco estampado étnico tapete colorido</t>
        </is>
      </c>
      <c r="J96" s="156" t="inlineStr">
        <is>
          <t>Ropa</t>
        </is>
      </c>
      <c r="K96" s="156" t="inlineStr">
        <is>
          <t>Camisas</t>
        </is>
      </c>
      <c r="L96" s="156" t="inlineStr">
        <is>
          <t>Hombre</t>
        </is>
      </c>
      <c r="M96" s="156" t="inlineStr">
        <is>
          <t>Denver</t>
        </is>
      </c>
      <c r="N96" s="156" t="inlineStr">
        <is>
          <t>SS26</t>
        </is>
      </c>
      <c r="O96" s="156" t="inlineStr">
        <is>
          <t>Seasonal</t>
        </is>
      </c>
      <c r="P96" s="156" t="inlineStr">
        <is>
          <t>Azul</t>
        </is>
      </c>
      <c r="Q96" s="156" t="inlineStr">
        <is>
          <t>Regular</t>
        </is>
      </c>
      <c r="R96" s="156" t="n"/>
      <c r="S96" s="156" t="inlineStr">
        <is>
          <t>100% Poliéster</t>
        </is>
      </c>
      <c r="T96" s="156" t="inlineStr">
        <is>
          <t>Camisa Denver frisco estampado étnico tapete colorido Regular</t>
        </is>
      </c>
      <c r="U96" s="156" t="inlineStr">
        <is>
          <t>México</t>
        </is>
      </c>
      <c r="V96" s="156" t="inlineStr">
        <is>
          <t>PZS</t>
        </is>
      </c>
      <c r="W96" s="51" t="inlineStr">
        <is>
          <t>53101600</t>
        </is>
      </c>
      <c r="X96" s="156" t="n"/>
      <c r="Y96" s="54" t="n">
        <v>365</v>
      </c>
      <c r="Z96" s="54" t="n">
        <v>559.4827586</v>
      </c>
      <c r="AA96" s="55">
        <f>IF(AND(A96="", B96="", E96=""), "", IF(AB96="", "Válido", IF((LEN(AB96)-LEN(SUBSTITUTE(AB96,"; ","")))/2+1&gt;(LEN(AB96)-LEN(SUBSTITUTE(AB96,"[Aviso]","")))/7, "Con Incidencias", "Válido")))</f>
        <v/>
      </c>
      <c r="AB96" s="56">
        <f>IF(AND(A96="", B96="", E96=""), "", TEXTJOIN("; ", TRUE, IF(OR(TRIM(A96&amp;"")="", ISNUMBER(SEARCH("FALTA", A96))), "UPC faltante/inválido", ""), IF(AND(A96&lt;&gt;"", IFERROR(_xlfn.XMATCH(A96,$A$2:$A$204,0,1)&lt;&gt;_xlfn.XMATCH(A96,$A$2:$A$204,0,-1),FALSE)), "Código de barras duplicado", ""), IF(AND(E96&lt;&gt;"", COUNTIF($E$2:$E$204, E96)&gt;1), "SKU duplicado", ""), IF(OR(J96="", J96=""), "[Aviso] División no capturada ()", IF(ISNA(MATCH(J96, Criterios!$A$123:$A$126, 0)), "División no válida", "")), IF(OR(K96="", K96=""), "[Aviso] Categoría no capturada ()", IF(ISNA(MATCH(K96, Criterios!$A$81:$A$120, 0)), "Categoría no válida", IF(AND(J96&lt;&gt;"", J96&lt;&gt;"", J96&lt;&gt;VLOOKUP(K96, Criterios!$A$81:$B$120, 2, FALSE)), "División no coincide con Categoría", ""))), IF(OR(L96="", L96=""), "[Aviso] Género no capturado ()", IF(ISNA(MATCH(L96, Criterios!$B$123:$B$127, 0)), "Género no válido", "")), IF(OR(N96="", N96=""), "[Aviso] Temporada no capturada ()", IF(ISNA(MATCH(N96, Criterios!$C$123:$C$128, 0)), "Temporada no válida", "")), IF(OR(O96="", O96=""), "[Aviso] Ciclo de vida no capturado ()", IF(ISNA(MATCH(O96, Criterios!$D$123:$D$124, 0)), "Ciclo de vida no válido", ""))))</f>
        <v/>
      </c>
      <c r="AC96" s="56" t="n"/>
      <c r="AD96" s="51" t="n">
        <v>0</v>
      </c>
      <c r="AE96" s="156" t="n"/>
      <c r="AF96" s="51" t="n">
        <v>0</v>
      </c>
      <c r="AG96" s="156" t="inlineStr">
        <is>
          <t>Nuevo – NetSuite con existencia</t>
        </is>
      </c>
      <c r="AH96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96" s="156" t="inlineStr">
        <is>
          <t>No</t>
        </is>
      </c>
      <c r="AJ96" s="156" t="n"/>
      <c r="AK96" s="155" t="inlineStr">
        <is>
          <t>ProductosCatalogoEstandar907.xlsx: fila 5147 [L,N,O,Q,S,U,Y]; G1522_Extraccion_Articulos_NetSuite_2026-09-30.xlsx: fila 56600 [M,P,V,Y,T] | Shopify WB: producto 8569959907513 / variante 47621322473657</t>
        </is>
      </c>
      <c r="AL96" s="58" t="n">
        <v>365</v>
      </c>
      <c r="AM96" s="58" t="n">
        <v>648.99999998</v>
      </c>
      <c r="AN96" s="155" t="inlineStr">
        <is>
          <t>Shopify Western Brothers</t>
        </is>
      </c>
      <c r="AO96" s="59" t="n"/>
      <c r="AP96" s="59" t="n">
        <v>1</v>
      </c>
      <c r="AQ96" s="59" t="n"/>
      <c r="AR96" s="155" t="inlineStr">
        <is>
          <t>Shopify Western Brothers › Western Brothers Outlet Lerma: 1</t>
        </is>
      </c>
    </row>
    <row r="97">
      <c r="A97" s="50" t="inlineStr">
        <is>
          <t>7506499552127</t>
        </is>
      </c>
      <c r="B97" s="51" t="inlineStr">
        <is>
          <t>108442</t>
        </is>
      </c>
      <c r="C97" s="156" t="inlineStr">
        <is>
          <t>Multimarca</t>
        </is>
      </c>
      <c r="D97" s="156" t="inlineStr">
        <is>
          <t>F-CHH187</t>
        </is>
      </c>
      <c r="E97" s="156" t="inlineStr">
        <is>
          <t>F-CHH187-L</t>
        </is>
      </c>
      <c r="F97" s="156" t="inlineStr">
        <is>
          <t>L</t>
        </is>
      </c>
      <c r="G97" s="156" t="inlineStr">
        <is>
          <t>L</t>
        </is>
      </c>
      <c r="H97" s="156" t="inlineStr">
        <is>
          <t>Denver</t>
        </is>
      </c>
      <c r="I97" s="156" t="inlineStr">
        <is>
          <t>Camisa Denver frisco estampado étnico tapete colorido</t>
        </is>
      </c>
      <c r="J97" s="156" t="inlineStr">
        <is>
          <t>Ropa</t>
        </is>
      </c>
      <c r="K97" s="156" t="inlineStr">
        <is>
          <t>Camisas</t>
        </is>
      </c>
      <c r="L97" s="156" t="inlineStr">
        <is>
          <t>Hombre</t>
        </is>
      </c>
      <c r="M97" s="156" t="inlineStr">
        <is>
          <t>Denver</t>
        </is>
      </c>
      <c r="N97" s="156" t="inlineStr">
        <is>
          <t>SS26</t>
        </is>
      </c>
      <c r="O97" s="156" t="inlineStr">
        <is>
          <t>Seasonal</t>
        </is>
      </c>
      <c r="P97" s="156" t="inlineStr">
        <is>
          <t>Azul</t>
        </is>
      </c>
      <c r="Q97" s="156" t="inlineStr">
        <is>
          <t>Regular</t>
        </is>
      </c>
      <c r="R97" s="156" t="n"/>
      <c r="S97" s="156" t="inlineStr">
        <is>
          <t>100% Poliéster</t>
        </is>
      </c>
      <c r="T97" s="156" t="inlineStr">
        <is>
          <t>Camisa Denver frisco estampado étnico tapete colorido Regular</t>
        </is>
      </c>
      <c r="U97" s="156" t="inlineStr">
        <is>
          <t>México</t>
        </is>
      </c>
      <c r="V97" s="156" t="inlineStr">
        <is>
          <t>PZS</t>
        </is>
      </c>
      <c r="W97" s="51" t="inlineStr">
        <is>
          <t>53101600</t>
        </is>
      </c>
      <c r="X97" s="156" t="n"/>
      <c r="Y97" s="54" t="n">
        <v>365</v>
      </c>
      <c r="Z97" s="54" t="n">
        <v>559.4827586</v>
      </c>
      <c r="AA97" s="55">
        <f>IF(AND(A97="", B97="", E97=""), "", IF(AB97="", "Válido", IF((LEN(AB97)-LEN(SUBSTITUTE(AB97,"; ","")))/2+1&gt;(LEN(AB97)-LEN(SUBSTITUTE(AB97,"[Aviso]","")))/7, "Con Incidencias", "Válido")))</f>
        <v/>
      </c>
      <c r="AB97" s="56">
        <f>IF(AND(A97="", B97="", E97=""), "", TEXTJOIN("; ", TRUE, IF(OR(TRIM(A97&amp;"")="", ISNUMBER(SEARCH("FALTA", A97))), "UPC faltante/inválido", ""), IF(AND(A97&lt;&gt;"", IFERROR(_xlfn.XMATCH(A97,$A$2:$A$204,0,1)&lt;&gt;_xlfn.XMATCH(A97,$A$2:$A$204,0,-1),FALSE)), "Código de barras duplicado", ""), IF(AND(E97&lt;&gt;"", COUNTIF($E$2:$E$204, E97)&gt;1), "SKU duplicado", ""), IF(OR(J97="", J97=""), "[Aviso] División no capturada ()", IF(ISNA(MATCH(J97, Criterios!$A$123:$A$126, 0)), "División no válida", "")), IF(OR(K97="", K97=""), "[Aviso] Categoría no capturada ()", IF(ISNA(MATCH(K97, Criterios!$A$81:$A$120, 0)), "Categoría no válida", IF(AND(J97&lt;&gt;"", J97&lt;&gt;"", J97&lt;&gt;VLOOKUP(K97, Criterios!$A$81:$B$120, 2, FALSE)), "División no coincide con Categoría", ""))), IF(OR(L97="", L97=""), "[Aviso] Género no capturado ()", IF(ISNA(MATCH(L97, Criterios!$B$123:$B$127, 0)), "Género no válido", "")), IF(OR(N97="", N97=""), "[Aviso] Temporada no capturada ()", IF(ISNA(MATCH(N97, Criterios!$C$123:$C$128, 0)), "Temporada no válida", "")), IF(OR(O97="", O97=""), "[Aviso] Ciclo de vida no capturado ()", IF(ISNA(MATCH(O97, Criterios!$D$123:$D$124, 0)), "Ciclo de vida no válido", ""))))</f>
        <v/>
      </c>
      <c r="AC97" s="56" t="n"/>
      <c r="AD97" s="51" t="n">
        <v>-1</v>
      </c>
      <c r="AE97" s="156" t="n"/>
      <c r="AF97" s="51" t="n">
        <v>0</v>
      </c>
      <c r="AG97" s="156" t="inlineStr">
        <is>
          <t>Nuevo – NetSuite con existencia</t>
        </is>
      </c>
      <c r="AH97" s="156" t="inlineStr">
        <is>
          <t>Género por validar; Stock negativo en sistema: revisar en conteo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97" s="156" t="inlineStr">
        <is>
          <t>Sí</t>
        </is>
      </c>
      <c r="AJ97" s="156" t="inlineStr">
        <is>
          <t>WB OUTLET LERMA: -1</t>
        </is>
      </c>
      <c r="AK97" s="155" t="inlineStr">
        <is>
          <t>ProductosCatalogoEstandar907.xlsx: fila 5148 [L,N,O,Q,S,U,Y]; G1522_Extraccion_Articulos_NetSuite_2026-09-30.xlsx: fila 56601 [M,P,V,Y,T] | Shopify WB: producto 8569959907513 / variante 47621322506425</t>
        </is>
      </c>
      <c r="AL97" s="58" t="n">
        <v>365</v>
      </c>
      <c r="AM97" s="58" t="n">
        <v>648.99999998</v>
      </c>
      <c r="AN97" s="155" t="inlineStr">
        <is>
          <t>Shopify Western Brothers</t>
        </is>
      </c>
      <c r="AO97" s="59" t="n"/>
      <c r="AP97" s="59" t="n">
        <v>-1</v>
      </c>
      <c r="AQ97" s="59" t="n"/>
      <c r="AR97" s="155" t="n"/>
    </row>
    <row r="98">
      <c r="A98" s="50" t="inlineStr">
        <is>
          <t>7506499552134</t>
        </is>
      </c>
      <c r="B98" s="51" t="inlineStr">
        <is>
          <t>108443</t>
        </is>
      </c>
      <c r="C98" s="156" t="inlineStr">
        <is>
          <t>Multimarca</t>
        </is>
      </c>
      <c r="D98" s="156" t="inlineStr">
        <is>
          <t>F-CHH187</t>
        </is>
      </c>
      <c r="E98" s="156" t="inlineStr">
        <is>
          <t>F-CHH187-XL</t>
        </is>
      </c>
      <c r="F98" s="156" t="inlineStr">
        <is>
          <t>XL</t>
        </is>
      </c>
      <c r="G98" s="156" t="inlineStr">
        <is>
          <t>XL</t>
        </is>
      </c>
      <c r="H98" s="156" t="inlineStr">
        <is>
          <t>Denver</t>
        </is>
      </c>
      <c r="I98" s="156" t="inlineStr">
        <is>
          <t>Camisa Denver frisco estampado étnico tapete colorido</t>
        </is>
      </c>
      <c r="J98" s="156" t="inlineStr">
        <is>
          <t>Ropa</t>
        </is>
      </c>
      <c r="K98" s="156" t="inlineStr">
        <is>
          <t>Camisas</t>
        </is>
      </c>
      <c r="L98" s="156" t="inlineStr">
        <is>
          <t>Hombre</t>
        </is>
      </c>
      <c r="M98" s="156" t="inlineStr">
        <is>
          <t>Denver</t>
        </is>
      </c>
      <c r="N98" s="156" t="inlineStr">
        <is>
          <t>SS26</t>
        </is>
      </c>
      <c r="O98" s="156" t="inlineStr">
        <is>
          <t>Seasonal</t>
        </is>
      </c>
      <c r="P98" s="156" t="inlineStr">
        <is>
          <t>Azul</t>
        </is>
      </c>
      <c r="Q98" s="156" t="inlineStr">
        <is>
          <t>Regular</t>
        </is>
      </c>
      <c r="R98" s="156" t="n"/>
      <c r="S98" s="156" t="inlineStr">
        <is>
          <t>100% Poliéster</t>
        </is>
      </c>
      <c r="T98" s="156" t="inlineStr">
        <is>
          <t>Camisa Denver frisco estampado étnico tapete colorido Regular</t>
        </is>
      </c>
      <c r="U98" s="156" t="inlineStr">
        <is>
          <t>México</t>
        </is>
      </c>
      <c r="V98" s="156" t="inlineStr">
        <is>
          <t>PZS</t>
        </is>
      </c>
      <c r="W98" s="51" t="inlineStr">
        <is>
          <t>53101600</t>
        </is>
      </c>
      <c r="X98" s="156" t="n"/>
      <c r="Y98" s="54" t="n">
        <v>365</v>
      </c>
      <c r="Z98" s="54" t="n">
        <v>559.4827586</v>
      </c>
      <c r="AA98" s="55">
        <f>IF(AND(A98="", B98="", E98=""), "", IF(AB98="", "Válido", IF((LEN(AB98)-LEN(SUBSTITUTE(AB98,"; ","")))/2+1&gt;(LEN(AB98)-LEN(SUBSTITUTE(AB98,"[Aviso]","")))/7, "Con Incidencias", "Válido")))</f>
        <v/>
      </c>
      <c r="AB98" s="56">
        <f>IF(AND(A98="", B98="", E98=""), "", TEXTJOIN("; ", TRUE, IF(OR(TRIM(A98&amp;"")="", ISNUMBER(SEARCH("FALTA", A98))), "UPC faltante/inválido", ""), IF(AND(A98&lt;&gt;"", IFERROR(_xlfn.XMATCH(A98,$A$2:$A$204,0,1)&lt;&gt;_xlfn.XMATCH(A98,$A$2:$A$204,0,-1),FALSE)), "Código de barras duplicado", ""), IF(AND(E98&lt;&gt;"", COUNTIF($E$2:$E$204, E98)&gt;1), "SKU duplicado", ""), IF(OR(J98="", J98=""), "[Aviso] División no capturada ()", IF(ISNA(MATCH(J98, Criterios!$A$123:$A$126, 0)), "División no válida", "")), IF(OR(K98="", K98=""), "[Aviso] Categoría no capturada ()", IF(ISNA(MATCH(K98, Criterios!$A$81:$A$120, 0)), "Categoría no válida", IF(AND(J98&lt;&gt;"", J98&lt;&gt;"", J98&lt;&gt;VLOOKUP(K98, Criterios!$A$81:$B$120, 2, FALSE)), "División no coincide con Categoría", ""))), IF(OR(L98="", L98=""), "[Aviso] Género no capturado ()", IF(ISNA(MATCH(L98, Criterios!$B$123:$B$127, 0)), "Género no válido", "")), IF(OR(N98="", N98=""), "[Aviso] Temporada no capturada ()", IF(ISNA(MATCH(N98, Criterios!$C$123:$C$128, 0)), "Temporada no válida", "")), IF(OR(O98="", O98=""), "[Aviso] Ciclo de vida no capturado ()", IF(ISNA(MATCH(O98, Criterios!$D$123:$D$124, 0)), "Ciclo de vida no válido", ""))))</f>
        <v/>
      </c>
      <c r="AC98" s="56" t="n"/>
      <c r="AD98" s="51" t="n">
        <v>1</v>
      </c>
      <c r="AE98" s="156" t="inlineStr">
        <is>
          <t>WB OUTLET LERMA: 1</t>
        </is>
      </c>
      <c r="AF98" s="51" t="n">
        <v>1</v>
      </c>
      <c r="AG98" s="156" t="inlineStr">
        <is>
          <t>Nuevo – NetSuite con existencia</t>
        </is>
      </c>
      <c r="AH98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98" s="156" t="inlineStr">
        <is>
          <t>No</t>
        </is>
      </c>
      <c r="AJ98" s="156" t="n"/>
      <c r="AK98" s="155" t="inlineStr">
        <is>
          <t>ProductosCatalogoEstandar907.xlsx: fila 5149 [L,N,O,Q,S,U,Y]; G1522_Extraccion_Articulos_NetSuite_2026-09-30.xlsx: fila 56602 [M,P,V,Y,T] | Shopify WB: producto 8569959907513 / variante 47621322539193</t>
        </is>
      </c>
      <c r="AL98" s="58" t="n">
        <v>365</v>
      </c>
      <c r="AM98" s="58" t="n">
        <v>648.99999998</v>
      </c>
      <c r="AN98" s="155" t="inlineStr">
        <is>
          <t>Shopify Western Brothers</t>
        </is>
      </c>
      <c r="AO98" s="59" t="n"/>
      <c r="AP98" s="59" t="n">
        <v>1</v>
      </c>
      <c r="AQ98" s="59" t="n"/>
      <c r="AR98" s="155" t="inlineStr">
        <is>
          <t>Shopify Western Brothers › Western Brothers Outlet Lerma: 1</t>
        </is>
      </c>
    </row>
    <row r="99">
      <c r="A99" s="50" t="inlineStr">
        <is>
          <t>7506499552301</t>
        </is>
      </c>
      <c r="B99" s="51" t="inlineStr">
        <is>
          <t>108444</t>
        </is>
      </c>
      <c r="C99" s="156" t="inlineStr">
        <is>
          <t>Multimarca</t>
        </is>
      </c>
      <c r="D99" s="156" t="inlineStr">
        <is>
          <t>F-CHH191</t>
        </is>
      </c>
      <c r="E99" s="156" t="inlineStr">
        <is>
          <t>F-CHH191-S</t>
        </is>
      </c>
      <c r="F99" s="156" t="inlineStr">
        <is>
          <t>S</t>
        </is>
      </c>
      <c r="G99" s="156" t="inlineStr">
        <is>
          <t>S</t>
        </is>
      </c>
      <c r="H99" s="156" t="inlineStr">
        <is>
          <t>Denver</t>
        </is>
      </c>
      <c r="I99" s="156" t="inlineStr">
        <is>
          <t>Camisa Denver frisco estampado mosaico pilares mostaza</t>
        </is>
      </c>
      <c r="J99" s="156" t="inlineStr">
        <is>
          <t>Ropa</t>
        </is>
      </c>
      <c r="K99" s="156" t="inlineStr">
        <is>
          <t>Camisas</t>
        </is>
      </c>
      <c r="L99" s="156" t="inlineStr">
        <is>
          <t>Hombre</t>
        </is>
      </c>
      <c r="M99" s="156" t="inlineStr">
        <is>
          <t>Denver</t>
        </is>
      </c>
      <c r="N99" s="156" t="inlineStr">
        <is>
          <t>SS26</t>
        </is>
      </c>
      <c r="O99" s="156" t="inlineStr">
        <is>
          <t>Seasonal</t>
        </is>
      </c>
      <c r="P99" s="156" t="inlineStr">
        <is>
          <t>Amarillo</t>
        </is>
      </c>
      <c r="Q99" s="156" t="inlineStr">
        <is>
          <t>Regular</t>
        </is>
      </c>
      <c r="R99" s="156" t="n"/>
      <c r="S99" s="156" t="inlineStr">
        <is>
          <t>100% Poliéster</t>
        </is>
      </c>
      <c r="T99" s="156" t="inlineStr">
        <is>
          <t>Camisa Denver frisco estampado mosaico pilares mostaza Regular</t>
        </is>
      </c>
      <c r="U99" s="156" t="inlineStr">
        <is>
          <t>México</t>
        </is>
      </c>
      <c r="V99" s="156" t="inlineStr">
        <is>
          <t>PZS</t>
        </is>
      </c>
      <c r="W99" s="51" t="inlineStr">
        <is>
          <t>53101600</t>
        </is>
      </c>
      <c r="X99" s="156" t="n"/>
      <c r="Y99" s="54" t="n">
        <v>365</v>
      </c>
      <c r="Z99" s="54" t="n">
        <v>559.4827586</v>
      </c>
      <c r="AA99" s="55">
        <f>IF(AND(A99="", B99="", E99=""), "", IF(AB99="", "Válido", IF((LEN(AB99)-LEN(SUBSTITUTE(AB99,"; ","")))/2+1&gt;(LEN(AB99)-LEN(SUBSTITUTE(AB99,"[Aviso]","")))/7, "Con Incidencias", "Válido")))</f>
        <v/>
      </c>
      <c r="AB99" s="56">
        <f>IF(AND(A99="", B99="", E99=""), "", TEXTJOIN("; ", TRUE, IF(OR(TRIM(A99&amp;"")="", ISNUMBER(SEARCH("FALTA", A99))), "UPC faltante/inválido", ""), IF(AND(A99&lt;&gt;"", IFERROR(_xlfn.XMATCH(A99,$A$2:$A$204,0,1)&lt;&gt;_xlfn.XMATCH(A99,$A$2:$A$204,0,-1),FALSE)), "Código de barras duplicado", ""), IF(AND(E99&lt;&gt;"", COUNTIF($E$2:$E$204, E99)&gt;1), "SKU duplicado", ""), IF(OR(J99="", J99=""), "[Aviso] División no capturada ()", IF(ISNA(MATCH(J99, Criterios!$A$123:$A$126, 0)), "División no válida", "")), IF(OR(K99="", K99=""), "[Aviso] Categoría no capturada ()", IF(ISNA(MATCH(K99, Criterios!$A$81:$A$120, 0)), "Categoría no válida", IF(AND(J99&lt;&gt;"", J99&lt;&gt;"", J99&lt;&gt;VLOOKUP(K99, Criterios!$A$81:$B$120, 2, FALSE)), "División no coincide con Categoría", ""))), IF(OR(L99="", L99=""), "[Aviso] Género no capturado ()", IF(ISNA(MATCH(L99, Criterios!$B$123:$B$127, 0)), "Género no válido", "")), IF(OR(N99="", N99=""), "[Aviso] Temporada no capturada ()", IF(ISNA(MATCH(N99, Criterios!$C$123:$C$128, 0)), "Temporada no válida", "")), IF(OR(O99="", O99=""), "[Aviso] Ciclo de vida no capturado ()", IF(ISNA(MATCH(O99, Criterios!$D$123:$D$124, 0)), "Ciclo de vida no válido", ""))))</f>
        <v/>
      </c>
      <c r="AC99" s="56" t="n"/>
      <c r="AD99" s="51" t="n">
        <v>0</v>
      </c>
      <c r="AE99" s="156" t="n"/>
      <c r="AF99" s="51" t="n">
        <v>0</v>
      </c>
      <c r="AG99" s="156" t="inlineStr">
        <is>
          <t>Nuevo – NetSuite sin existencia</t>
        </is>
      </c>
      <c r="AH99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99" s="156" t="inlineStr">
        <is>
          <t>No</t>
        </is>
      </c>
      <c r="AJ99" s="156" t="n"/>
      <c r="AK99" s="155" t="inlineStr">
        <is>
          <t>ProductosCatalogoEstandar907.xlsx: fila 5150 [L,N,O,Q,S,U,Y]; G1522_Extraccion_Articulos_NetSuite_2026-09-30.xlsx: fila 56603 [M,P,V,Y,T] | Shopify WB: producto 8569960104121 / variante 47621322866873</t>
        </is>
      </c>
      <c r="AL99" s="58" t="n">
        <v>365</v>
      </c>
      <c r="AM99" s="58" t="n">
        <v>648.99999998</v>
      </c>
      <c r="AN99" s="155" t="inlineStr">
        <is>
          <t>Shopify Western Brothers</t>
        </is>
      </c>
      <c r="AO99" s="59" t="n"/>
      <c r="AP99" s="59" t="n">
        <v>0</v>
      </c>
      <c r="AQ99" s="59" t="n"/>
      <c r="AR99" s="155" t="n"/>
    </row>
    <row r="100">
      <c r="A100" s="50" t="inlineStr">
        <is>
          <t>7506499552332</t>
        </is>
      </c>
      <c r="B100" s="51" t="inlineStr">
        <is>
          <t>108445</t>
        </is>
      </c>
      <c r="C100" s="156" t="inlineStr">
        <is>
          <t>Multimarca</t>
        </is>
      </c>
      <c r="D100" s="156" t="inlineStr">
        <is>
          <t>F-CHH191</t>
        </is>
      </c>
      <c r="E100" s="156" t="inlineStr">
        <is>
          <t>F-CHH191-XL</t>
        </is>
      </c>
      <c r="F100" s="156" t="inlineStr">
        <is>
          <t>XL</t>
        </is>
      </c>
      <c r="G100" s="156" t="inlineStr">
        <is>
          <t>XL</t>
        </is>
      </c>
      <c r="H100" s="156" t="inlineStr">
        <is>
          <t>Denver</t>
        </is>
      </c>
      <c r="I100" s="156" t="inlineStr">
        <is>
          <t>Camisa Denver frisco estampado mosaico pilares mostaza</t>
        </is>
      </c>
      <c r="J100" s="156" t="inlineStr">
        <is>
          <t>Ropa</t>
        </is>
      </c>
      <c r="K100" s="156" t="inlineStr">
        <is>
          <t>Camisas</t>
        </is>
      </c>
      <c r="L100" s="156" t="inlineStr">
        <is>
          <t>Hombre</t>
        </is>
      </c>
      <c r="M100" s="156" t="inlineStr">
        <is>
          <t>Denver</t>
        </is>
      </c>
      <c r="N100" s="156" t="inlineStr">
        <is>
          <t>SS26</t>
        </is>
      </c>
      <c r="O100" s="156" t="inlineStr">
        <is>
          <t>Seasonal</t>
        </is>
      </c>
      <c r="P100" s="156" t="inlineStr">
        <is>
          <t>Amarillo</t>
        </is>
      </c>
      <c r="Q100" s="156" t="inlineStr">
        <is>
          <t>Regular</t>
        </is>
      </c>
      <c r="R100" s="156" t="n"/>
      <c r="S100" s="156" t="inlineStr">
        <is>
          <t>100% Poliéster</t>
        </is>
      </c>
      <c r="T100" s="156" t="inlineStr">
        <is>
          <t>Camisa Denver frisco estampado mosaico pilares mostaza Regular</t>
        </is>
      </c>
      <c r="U100" s="156" t="inlineStr">
        <is>
          <t>México</t>
        </is>
      </c>
      <c r="V100" s="156" t="inlineStr">
        <is>
          <t>PZS</t>
        </is>
      </c>
      <c r="W100" s="51" t="inlineStr">
        <is>
          <t>53101600</t>
        </is>
      </c>
      <c r="X100" s="156" t="n"/>
      <c r="Y100" s="54" t="n">
        <v>365</v>
      </c>
      <c r="Z100" s="54" t="n">
        <v>559.4827586</v>
      </c>
      <c r="AA100" s="55">
        <f>IF(AND(A100="", B100="", E100=""), "", IF(AB100="", "Válido", IF((LEN(AB100)-LEN(SUBSTITUTE(AB100,"; ","")))/2+1&gt;(LEN(AB100)-LEN(SUBSTITUTE(AB100,"[Aviso]","")))/7, "Con Incidencias", "Válido")))</f>
        <v/>
      </c>
      <c r="AB100" s="56">
        <f>IF(AND(A100="", B100="", E100=""), "", TEXTJOIN("; ", TRUE, IF(OR(TRIM(A100&amp;"")="", ISNUMBER(SEARCH("FALTA", A100))), "UPC faltante/inválido", ""), IF(AND(A100&lt;&gt;"", IFERROR(_xlfn.XMATCH(A100,$A$2:$A$204,0,1)&lt;&gt;_xlfn.XMATCH(A100,$A$2:$A$204,0,-1),FALSE)), "Código de barras duplicado", ""), IF(AND(E100&lt;&gt;"", COUNTIF($E$2:$E$204, E100)&gt;1), "SKU duplicado", ""), IF(OR(J100="", J100=""), "[Aviso] División no capturada ()", IF(ISNA(MATCH(J100, Criterios!$A$123:$A$126, 0)), "División no válida", "")), IF(OR(K100="", K100=""), "[Aviso] Categoría no capturada ()", IF(ISNA(MATCH(K100, Criterios!$A$81:$A$120, 0)), "Categoría no válida", IF(AND(J100&lt;&gt;"", J100&lt;&gt;"", J100&lt;&gt;VLOOKUP(K100, Criterios!$A$81:$B$120, 2, FALSE)), "División no coincide con Categoría", ""))), IF(OR(L100="", L100=""), "[Aviso] Género no capturado ()", IF(ISNA(MATCH(L100, Criterios!$B$123:$B$127, 0)), "Género no válido", "")), IF(OR(N100="", N100=""), "[Aviso] Temporada no capturada ()", IF(ISNA(MATCH(N100, Criterios!$C$123:$C$128, 0)), "Temporada no válida", "")), IF(OR(O100="", O100=""), "[Aviso] Ciclo de vida no capturado ()", IF(ISNA(MATCH(O100, Criterios!$D$123:$D$124, 0)), "Ciclo de vida no válido", ""))))</f>
        <v/>
      </c>
      <c r="AC100" s="56" t="n"/>
      <c r="AD100" s="51" t="n">
        <v>0</v>
      </c>
      <c r="AE100" s="156" t="n"/>
      <c r="AF100" s="51" t="n">
        <v>0</v>
      </c>
      <c r="AG100" s="156" t="inlineStr">
        <is>
          <t>Nuevo – NetSuite sin existencia</t>
        </is>
      </c>
      <c r="AH100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00" s="156" t="inlineStr">
        <is>
          <t>No</t>
        </is>
      </c>
      <c r="AJ100" s="156" t="n"/>
      <c r="AK100" s="155" t="inlineStr">
        <is>
          <t>ProductosCatalogoEstandar907.xlsx: fila 5151 [L,N,O,Q,S,U,Y]; G1522_Extraccion_Articulos_NetSuite_2026-09-30.xlsx: fila 56604 [M,P,V,Y,T] | Shopify WB: producto 8569960104121 / variante 47621322899641</t>
        </is>
      </c>
      <c r="AL100" s="58" t="n">
        <v>365</v>
      </c>
      <c r="AM100" s="58" t="n">
        <v>648.99999998</v>
      </c>
      <c r="AN100" s="155" t="inlineStr">
        <is>
          <t>Shopify Western Brothers</t>
        </is>
      </c>
      <c r="AO100" s="59" t="n"/>
      <c r="AP100" s="59" t="n">
        <v>0</v>
      </c>
      <c r="AQ100" s="59" t="n"/>
      <c r="AR100" s="155" t="n"/>
    </row>
    <row r="101">
      <c r="A101" s="50" t="inlineStr">
        <is>
          <t>7506499535465</t>
        </is>
      </c>
      <c r="B101" s="51" t="inlineStr">
        <is>
          <t>108446</t>
        </is>
      </c>
      <c r="C101" s="156" t="inlineStr">
        <is>
          <t>Multimarca</t>
        </is>
      </c>
      <c r="D101" s="156" t="inlineStr">
        <is>
          <t>HDC001-TB1</t>
        </is>
      </c>
      <c r="E101" s="156" t="inlineStr">
        <is>
          <t>HDC001-TB1-S</t>
        </is>
      </c>
      <c r="F101" s="156" t="inlineStr">
        <is>
          <t>S</t>
        </is>
      </c>
      <c r="G101" s="156" t="inlineStr">
        <is>
          <t>S</t>
        </is>
      </c>
      <c r="H101" s="156" t="inlineStr">
        <is>
          <t>Denver</t>
        </is>
      </c>
      <c r="I101" s="156" t="inlineStr">
        <is>
          <t>Sudadera Denver felpa negra</t>
        </is>
      </c>
      <c r="J101" s="156" t="inlineStr">
        <is>
          <t>Ropa</t>
        </is>
      </c>
      <c r="K101" s="156" t="inlineStr">
        <is>
          <t>Sudaderas</t>
        </is>
      </c>
      <c r="L101" s="156" t="inlineStr">
        <is>
          <t>Hombre</t>
        </is>
      </c>
      <c r="M101" s="156" t="inlineStr">
        <is>
          <t>Denver</t>
        </is>
      </c>
      <c r="N101" s="156" t="inlineStr">
        <is>
          <t>FW26</t>
        </is>
      </c>
      <c r="O101" s="156" t="inlineStr">
        <is>
          <t>Seasonal</t>
        </is>
      </c>
      <c r="P101" s="156" t="inlineStr">
        <is>
          <t>Negro</t>
        </is>
      </c>
      <c r="Q101" s="156" t="inlineStr">
        <is>
          <t>Regular</t>
        </is>
      </c>
      <c r="R101" s="156" t="n"/>
      <c r="S101" s="156" t="inlineStr">
        <is>
          <t>100% Poliéster</t>
        </is>
      </c>
      <c r="T101" s="156" t="inlineStr">
        <is>
          <t>Sudadera Denver felpa negra Regular</t>
        </is>
      </c>
      <c r="U101" s="156" t="inlineStr">
        <is>
          <t>México</t>
        </is>
      </c>
      <c r="V101" s="156" t="inlineStr">
        <is>
          <t>PZS</t>
        </is>
      </c>
      <c r="W101" s="51" t="inlineStr">
        <is>
          <t>53101700</t>
        </is>
      </c>
      <c r="X101" s="156" t="n"/>
      <c r="Y101" s="54" t="n">
        <v>595</v>
      </c>
      <c r="Z101" s="54" t="n">
        <v>1206.034483</v>
      </c>
      <c r="AA101" s="55">
        <f>IF(AND(A101="", B101="", E101=""), "", IF(AB101="", "Válido", IF((LEN(AB101)-LEN(SUBSTITUTE(AB101,"; ","")))/2+1&gt;(LEN(AB101)-LEN(SUBSTITUTE(AB101,"[Aviso]","")))/7, "Con Incidencias", "Válido")))</f>
        <v/>
      </c>
      <c r="AB101" s="56">
        <f>IF(AND(A101="", B101="", E101=""), "", TEXTJOIN("; ", TRUE, IF(OR(TRIM(A101&amp;"")="", ISNUMBER(SEARCH("FALTA", A101))), "UPC faltante/inválido", ""), IF(AND(A101&lt;&gt;"", IFERROR(_xlfn.XMATCH(A101,$A$2:$A$204,0,1)&lt;&gt;_xlfn.XMATCH(A101,$A$2:$A$204,0,-1),FALSE)), "Código de barras duplicado", ""), IF(AND(E101&lt;&gt;"", COUNTIF($E$2:$E$204, E101)&gt;1), "SKU duplicado", ""), IF(OR(J101="", J101=""), "[Aviso] División no capturada ()", IF(ISNA(MATCH(J101, Criterios!$A$123:$A$126, 0)), "División no válida", "")), IF(OR(K101="", K101=""), "[Aviso] Categoría no capturada ()", IF(ISNA(MATCH(K101, Criterios!$A$81:$A$120, 0)), "Categoría no válida", IF(AND(J101&lt;&gt;"", J101&lt;&gt;"", J101&lt;&gt;VLOOKUP(K101, Criterios!$A$81:$B$120, 2, FALSE)), "División no coincide con Categoría", ""))), IF(OR(L101="", L101=""), "[Aviso] Género no capturado ()", IF(ISNA(MATCH(L101, Criterios!$B$123:$B$127, 0)), "Género no válido", "")), IF(OR(N101="", N101=""), "[Aviso] Temporada no capturada ()", IF(ISNA(MATCH(N101, Criterios!$C$123:$C$128, 0)), "Temporada no válida", "")), IF(OR(O101="", O101=""), "[Aviso] Ciclo de vida no capturado ()", IF(ISNA(MATCH(O101, Criterios!$D$123:$D$124, 0)), "Ciclo de vida no válido", ""))))</f>
        <v/>
      </c>
      <c r="AC101" s="56" t="n"/>
      <c r="AD101" s="51" t="n">
        <v>0</v>
      </c>
      <c r="AE101" s="156" t="n"/>
      <c r="AF101" s="51" t="n">
        <v>0</v>
      </c>
      <c r="AG101" s="156" t="inlineStr">
        <is>
          <t>Nuevo – NetSuite sin existencia</t>
        </is>
      </c>
      <c r="AH101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01" s="156" t="inlineStr">
        <is>
          <t>No</t>
        </is>
      </c>
      <c r="AJ101" s="156" t="n"/>
      <c r="AK101" s="155" t="inlineStr">
        <is>
          <t>ProductosCatalogoEstandar907.xlsx: fila 5152 [L,N,O,Q,S,U,Y]; G1522_Extraccion_Articulos_NetSuite_2026-09-30.xlsx: fila 56605 [M,P,V,Y,T] | Shopify WB: producto 8569960267961 / variante 47621323096249</t>
        </is>
      </c>
      <c r="AL101" s="58" t="n">
        <v>595</v>
      </c>
      <c r="AM101" s="58" t="n">
        <v>1399.00000028</v>
      </c>
      <c r="AN101" s="155" t="inlineStr">
        <is>
          <t>Shopify Western Brothers</t>
        </is>
      </c>
      <c r="AO101" s="59" t="n"/>
      <c r="AP101" s="59" t="n">
        <v>0</v>
      </c>
      <c r="AQ101" s="59" t="n"/>
      <c r="AR101" s="155" t="n"/>
    </row>
    <row r="102">
      <c r="A102" s="50" t="inlineStr">
        <is>
          <t>7506499535472</t>
        </is>
      </c>
      <c r="B102" s="51" t="inlineStr">
        <is>
          <t>108447</t>
        </is>
      </c>
      <c r="C102" s="156" t="inlineStr">
        <is>
          <t>Multimarca</t>
        </is>
      </c>
      <c r="D102" s="156" t="inlineStr">
        <is>
          <t>HDC001-TB1</t>
        </is>
      </c>
      <c r="E102" s="156" t="inlineStr">
        <is>
          <t>HDC001-TB1-M</t>
        </is>
      </c>
      <c r="F102" s="156" t="inlineStr">
        <is>
          <t>M</t>
        </is>
      </c>
      <c r="G102" s="156" t="inlineStr">
        <is>
          <t>M</t>
        </is>
      </c>
      <c r="H102" s="156" t="inlineStr">
        <is>
          <t>Denver</t>
        </is>
      </c>
      <c r="I102" s="156" t="inlineStr">
        <is>
          <t>Sudadera Denver felpa negra</t>
        </is>
      </c>
      <c r="J102" s="156" t="inlineStr">
        <is>
          <t>Ropa</t>
        </is>
      </c>
      <c r="K102" s="156" t="inlineStr">
        <is>
          <t>Sudaderas</t>
        </is>
      </c>
      <c r="L102" s="156" t="inlineStr">
        <is>
          <t>Hombre</t>
        </is>
      </c>
      <c r="M102" s="156" t="inlineStr">
        <is>
          <t>Denver</t>
        </is>
      </c>
      <c r="N102" s="156" t="inlineStr">
        <is>
          <t>FW26</t>
        </is>
      </c>
      <c r="O102" s="156" t="inlineStr">
        <is>
          <t>Seasonal</t>
        </is>
      </c>
      <c r="P102" s="156" t="inlineStr">
        <is>
          <t>Negro</t>
        </is>
      </c>
      <c r="Q102" s="156" t="inlineStr">
        <is>
          <t>Regular</t>
        </is>
      </c>
      <c r="R102" s="156" t="n"/>
      <c r="S102" s="156" t="inlineStr">
        <is>
          <t>100% Poliéster</t>
        </is>
      </c>
      <c r="T102" s="156" t="inlineStr">
        <is>
          <t>Sudadera Denver felpa negra Regular</t>
        </is>
      </c>
      <c r="U102" s="156" t="inlineStr">
        <is>
          <t>México</t>
        </is>
      </c>
      <c r="V102" s="156" t="inlineStr">
        <is>
          <t>PZS</t>
        </is>
      </c>
      <c r="W102" s="51" t="inlineStr">
        <is>
          <t>53101700</t>
        </is>
      </c>
      <c r="X102" s="156" t="n"/>
      <c r="Y102" s="54" t="n">
        <v>595</v>
      </c>
      <c r="Z102" s="54" t="n">
        <v>1206.034483</v>
      </c>
      <c r="AA102" s="55">
        <f>IF(AND(A102="", B102="", E102=""), "", IF(AB102="", "Válido", IF((LEN(AB102)-LEN(SUBSTITUTE(AB102,"; ","")))/2+1&gt;(LEN(AB102)-LEN(SUBSTITUTE(AB102,"[Aviso]","")))/7, "Con Incidencias", "Válido")))</f>
        <v/>
      </c>
      <c r="AB102" s="56">
        <f>IF(AND(A102="", B102="", E102=""), "", TEXTJOIN("; ", TRUE, IF(OR(TRIM(A102&amp;"")="", ISNUMBER(SEARCH("FALTA", A102))), "UPC faltante/inválido", ""), IF(AND(A102&lt;&gt;"", IFERROR(_xlfn.XMATCH(A102,$A$2:$A$204,0,1)&lt;&gt;_xlfn.XMATCH(A102,$A$2:$A$204,0,-1),FALSE)), "Código de barras duplicado", ""), IF(AND(E102&lt;&gt;"", COUNTIF($E$2:$E$204, E102)&gt;1), "SKU duplicado", ""), IF(OR(J102="", J102=""), "[Aviso] División no capturada ()", IF(ISNA(MATCH(J102, Criterios!$A$123:$A$126, 0)), "División no válida", "")), IF(OR(K102="", K102=""), "[Aviso] Categoría no capturada ()", IF(ISNA(MATCH(K102, Criterios!$A$81:$A$120, 0)), "Categoría no válida", IF(AND(J102&lt;&gt;"", J102&lt;&gt;"", J102&lt;&gt;VLOOKUP(K102, Criterios!$A$81:$B$120, 2, FALSE)), "División no coincide con Categoría", ""))), IF(OR(L102="", L102=""), "[Aviso] Género no capturado ()", IF(ISNA(MATCH(L102, Criterios!$B$123:$B$127, 0)), "Género no válido", "")), IF(OR(N102="", N102=""), "[Aviso] Temporada no capturada ()", IF(ISNA(MATCH(N102, Criterios!$C$123:$C$128, 0)), "Temporada no válida", "")), IF(OR(O102="", O102=""), "[Aviso] Ciclo de vida no capturado ()", IF(ISNA(MATCH(O102, Criterios!$D$123:$D$124, 0)), "Ciclo de vida no válido", ""))))</f>
        <v/>
      </c>
      <c r="AC102" s="56" t="n"/>
      <c r="AD102" s="51" t="n">
        <v>0</v>
      </c>
      <c r="AE102" s="156" t="n"/>
      <c r="AF102" s="51" t="n">
        <v>0</v>
      </c>
      <c r="AG102" s="156" t="inlineStr">
        <is>
          <t>Nuevo – NetSuite sin existencia</t>
        </is>
      </c>
      <c r="AH102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02" s="156" t="inlineStr">
        <is>
          <t>No</t>
        </is>
      </c>
      <c r="AJ102" s="156" t="n"/>
      <c r="AK102" s="155" t="inlineStr">
        <is>
          <t>ProductosCatalogoEstandar907.xlsx: fila 5153 [L,N,O,Q,S,U,Y]; G1522_Extraccion_Articulos_NetSuite_2026-09-30.xlsx: fila 56606 [M,P,V,Y,T] | Shopify WB: producto 8569960267961 / variante 47621323129017</t>
        </is>
      </c>
      <c r="AL102" s="58" t="n">
        <v>595</v>
      </c>
      <c r="AM102" s="58" t="n">
        <v>1399.00000028</v>
      </c>
      <c r="AN102" s="155" t="inlineStr">
        <is>
          <t>Shopify Western Brothers</t>
        </is>
      </c>
      <c r="AO102" s="59" t="n"/>
      <c r="AP102" s="59" t="n">
        <v>0</v>
      </c>
      <c r="AQ102" s="59" t="n"/>
      <c r="AR102" s="155" t="n"/>
    </row>
    <row r="103">
      <c r="A103" s="50" t="inlineStr">
        <is>
          <t>7506499535489</t>
        </is>
      </c>
      <c r="B103" s="51" t="inlineStr">
        <is>
          <t>108448</t>
        </is>
      </c>
      <c r="C103" s="156" t="inlineStr">
        <is>
          <t>Multimarca</t>
        </is>
      </c>
      <c r="D103" s="156" t="inlineStr">
        <is>
          <t>HDC001-TB1</t>
        </is>
      </c>
      <c r="E103" s="156" t="inlineStr">
        <is>
          <t>HDC001-TB1-L</t>
        </is>
      </c>
      <c r="F103" s="156" t="inlineStr">
        <is>
          <t>L</t>
        </is>
      </c>
      <c r="G103" s="156" t="inlineStr">
        <is>
          <t>L</t>
        </is>
      </c>
      <c r="H103" s="156" t="inlineStr">
        <is>
          <t>Denver</t>
        </is>
      </c>
      <c r="I103" s="156" t="inlineStr">
        <is>
          <t>Sudadera Denver felpa negra</t>
        </is>
      </c>
      <c r="J103" s="156" t="inlineStr">
        <is>
          <t>Ropa</t>
        </is>
      </c>
      <c r="K103" s="156" t="inlineStr">
        <is>
          <t>Sudaderas</t>
        </is>
      </c>
      <c r="L103" s="156" t="inlineStr">
        <is>
          <t>Hombre</t>
        </is>
      </c>
      <c r="M103" s="156" t="inlineStr">
        <is>
          <t>Denver</t>
        </is>
      </c>
      <c r="N103" s="156" t="inlineStr">
        <is>
          <t>FW26</t>
        </is>
      </c>
      <c r="O103" s="156" t="inlineStr">
        <is>
          <t>Seasonal</t>
        </is>
      </c>
      <c r="P103" s="156" t="inlineStr">
        <is>
          <t>Negro</t>
        </is>
      </c>
      <c r="Q103" s="156" t="inlineStr">
        <is>
          <t>Regular</t>
        </is>
      </c>
      <c r="R103" s="156" t="n"/>
      <c r="S103" s="156" t="inlineStr">
        <is>
          <t>100% Poliéster</t>
        </is>
      </c>
      <c r="T103" s="156" t="inlineStr">
        <is>
          <t>Sudadera Denver felpa negra Regular</t>
        </is>
      </c>
      <c r="U103" s="156" t="inlineStr">
        <is>
          <t>México</t>
        </is>
      </c>
      <c r="V103" s="156" t="inlineStr">
        <is>
          <t>PZS</t>
        </is>
      </c>
      <c r="W103" s="51" t="inlineStr">
        <is>
          <t>53101700</t>
        </is>
      </c>
      <c r="X103" s="156" t="n"/>
      <c r="Y103" s="54" t="n">
        <v>595</v>
      </c>
      <c r="Z103" s="54" t="n">
        <v>1206.034483</v>
      </c>
      <c r="AA103" s="55">
        <f>IF(AND(A103="", B103="", E103=""), "", IF(AB103="", "Válido", IF((LEN(AB103)-LEN(SUBSTITUTE(AB103,"; ","")))/2+1&gt;(LEN(AB103)-LEN(SUBSTITUTE(AB103,"[Aviso]","")))/7, "Con Incidencias", "Válido")))</f>
        <v/>
      </c>
      <c r="AB103" s="56">
        <f>IF(AND(A103="", B103="", E103=""), "", TEXTJOIN("; ", TRUE, IF(OR(TRIM(A103&amp;"")="", ISNUMBER(SEARCH("FALTA", A103))), "UPC faltante/inválido", ""), IF(AND(A103&lt;&gt;"", IFERROR(_xlfn.XMATCH(A103,$A$2:$A$204,0,1)&lt;&gt;_xlfn.XMATCH(A103,$A$2:$A$204,0,-1),FALSE)), "Código de barras duplicado", ""), IF(AND(E103&lt;&gt;"", COUNTIF($E$2:$E$204, E103)&gt;1), "SKU duplicado", ""), IF(OR(J103="", J103=""), "[Aviso] División no capturada ()", IF(ISNA(MATCH(J103, Criterios!$A$123:$A$126, 0)), "División no válida", "")), IF(OR(K103="", K103=""), "[Aviso] Categoría no capturada ()", IF(ISNA(MATCH(K103, Criterios!$A$81:$A$120, 0)), "Categoría no válida", IF(AND(J103&lt;&gt;"", J103&lt;&gt;"", J103&lt;&gt;VLOOKUP(K103, Criterios!$A$81:$B$120, 2, FALSE)), "División no coincide con Categoría", ""))), IF(OR(L103="", L103=""), "[Aviso] Género no capturado ()", IF(ISNA(MATCH(L103, Criterios!$B$123:$B$127, 0)), "Género no válido", "")), IF(OR(N103="", N103=""), "[Aviso] Temporada no capturada ()", IF(ISNA(MATCH(N103, Criterios!$C$123:$C$128, 0)), "Temporada no válida", "")), IF(OR(O103="", O103=""), "[Aviso] Ciclo de vida no capturado ()", IF(ISNA(MATCH(O103, Criterios!$D$123:$D$124, 0)), "Ciclo de vida no válido", ""))))</f>
        <v/>
      </c>
      <c r="AC103" s="56" t="n"/>
      <c r="AD103" s="51" t="n">
        <v>0</v>
      </c>
      <c r="AE103" s="156" t="n"/>
      <c r="AF103" s="51" t="n">
        <v>0</v>
      </c>
      <c r="AG103" s="156" t="inlineStr">
        <is>
          <t>Nuevo – NetSuite sin existencia</t>
        </is>
      </c>
      <c r="AH103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03" s="156" t="inlineStr">
        <is>
          <t>No</t>
        </is>
      </c>
      <c r="AJ103" s="156" t="n"/>
      <c r="AK103" s="155" t="inlineStr">
        <is>
          <t>ProductosCatalogoEstandar907.xlsx: fila 5154 [L,N,O,Q,S,U,Y]; G1522_Extraccion_Articulos_NetSuite_2026-09-30.xlsx: fila 56607 [M,P,V,Y,T] | Shopify WB: producto 8569960267961 / variante 47621323161785</t>
        </is>
      </c>
      <c r="AL103" s="58" t="n">
        <v>595</v>
      </c>
      <c r="AM103" s="58" t="n">
        <v>1399.00000028</v>
      </c>
      <c r="AN103" s="155" t="inlineStr">
        <is>
          <t>Shopify Western Brothers</t>
        </is>
      </c>
      <c r="AO103" s="59" t="n"/>
      <c r="AP103" s="59" t="n">
        <v>0</v>
      </c>
      <c r="AQ103" s="59" t="n"/>
      <c r="AR103" s="155" t="n"/>
    </row>
    <row r="104">
      <c r="A104" s="50" t="inlineStr">
        <is>
          <t>7506499535496</t>
        </is>
      </c>
      <c r="B104" s="51" t="inlineStr">
        <is>
          <t>108449</t>
        </is>
      </c>
      <c r="C104" s="156" t="inlineStr">
        <is>
          <t>Multimarca</t>
        </is>
      </c>
      <c r="D104" s="156" t="inlineStr">
        <is>
          <t>HDC001-TB1</t>
        </is>
      </c>
      <c r="E104" s="156" t="inlineStr">
        <is>
          <t>HDC001-TB1-XL</t>
        </is>
      </c>
      <c r="F104" s="156" t="inlineStr">
        <is>
          <t>XL</t>
        </is>
      </c>
      <c r="G104" s="156" t="inlineStr">
        <is>
          <t>XL</t>
        </is>
      </c>
      <c r="H104" s="156" t="inlineStr">
        <is>
          <t>Denver</t>
        </is>
      </c>
      <c r="I104" s="156" t="inlineStr">
        <is>
          <t>Sudadera Denver felpa negra</t>
        </is>
      </c>
      <c r="J104" s="156" t="inlineStr">
        <is>
          <t>Ropa</t>
        </is>
      </c>
      <c r="K104" s="156" t="inlineStr">
        <is>
          <t>Sudaderas</t>
        </is>
      </c>
      <c r="L104" s="156" t="inlineStr">
        <is>
          <t>Hombre</t>
        </is>
      </c>
      <c r="M104" s="156" t="inlineStr">
        <is>
          <t>Denver</t>
        </is>
      </c>
      <c r="N104" s="156" t="inlineStr">
        <is>
          <t>FW26</t>
        </is>
      </c>
      <c r="O104" s="156" t="inlineStr">
        <is>
          <t>Seasonal</t>
        </is>
      </c>
      <c r="P104" s="156" t="inlineStr">
        <is>
          <t>Negro</t>
        </is>
      </c>
      <c r="Q104" s="156" t="inlineStr">
        <is>
          <t>Regular</t>
        </is>
      </c>
      <c r="R104" s="156" t="n"/>
      <c r="S104" s="156" t="inlineStr">
        <is>
          <t>100% Poliéster</t>
        </is>
      </c>
      <c r="T104" s="156" t="inlineStr">
        <is>
          <t>Sudadera Denver felpa negra Regular</t>
        </is>
      </c>
      <c r="U104" s="156" t="inlineStr">
        <is>
          <t>México</t>
        </is>
      </c>
      <c r="V104" s="156" t="inlineStr">
        <is>
          <t>PZS</t>
        </is>
      </c>
      <c r="W104" s="51" t="inlineStr">
        <is>
          <t>53101700</t>
        </is>
      </c>
      <c r="X104" s="156" t="n"/>
      <c r="Y104" s="54" t="n">
        <v>595</v>
      </c>
      <c r="Z104" s="54" t="n">
        <v>1206.034483</v>
      </c>
      <c r="AA104" s="55">
        <f>IF(AND(A104="", B104="", E104=""), "", IF(AB104="", "Válido", IF((LEN(AB104)-LEN(SUBSTITUTE(AB104,"; ","")))/2+1&gt;(LEN(AB104)-LEN(SUBSTITUTE(AB104,"[Aviso]","")))/7, "Con Incidencias", "Válido")))</f>
        <v/>
      </c>
      <c r="AB104" s="56">
        <f>IF(AND(A104="", B104="", E104=""), "", TEXTJOIN("; ", TRUE, IF(OR(TRIM(A104&amp;"")="", ISNUMBER(SEARCH("FALTA", A104))), "UPC faltante/inválido", ""), IF(AND(A104&lt;&gt;"", IFERROR(_xlfn.XMATCH(A104,$A$2:$A$204,0,1)&lt;&gt;_xlfn.XMATCH(A104,$A$2:$A$204,0,-1),FALSE)), "Código de barras duplicado", ""), IF(AND(E104&lt;&gt;"", COUNTIF($E$2:$E$204, E104)&gt;1), "SKU duplicado", ""), IF(OR(J104="", J104=""), "[Aviso] División no capturada ()", IF(ISNA(MATCH(J104, Criterios!$A$123:$A$126, 0)), "División no válida", "")), IF(OR(K104="", K104=""), "[Aviso] Categoría no capturada ()", IF(ISNA(MATCH(K104, Criterios!$A$81:$A$120, 0)), "Categoría no válida", IF(AND(J104&lt;&gt;"", J104&lt;&gt;"", J104&lt;&gt;VLOOKUP(K104, Criterios!$A$81:$B$120, 2, FALSE)), "División no coincide con Categoría", ""))), IF(OR(L104="", L104=""), "[Aviso] Género no capturado ()", IF(ISNA(MATCH(L104, Criterios!$B$123:$B$127, 0)), "Género no válido", "")), IF(OR(N104="", N104=""), "[Aviso] Temporada no capturada ()", IF(ISNA(MATCH(N104, Criterios!$C$123:$C$128, 0)), "Temporada no válida", "")), IF(OR(O104="", O104=""), "[Aviso] Ciclo de vida no capturado ()", IF(ISNA(MATCH(O104, Criterios!$D$123:$D$124, 0)), "Ciclo de vida no válido", ""))))</f>
        <v/>
      </c>
      <c r="AC104" s="56" t="n"/>
      <c r="AD104" s="51" t="n">
        <v>1</v>
      </c>
      <c r="AE104" s="156" t="inlineStr">
        <is>
          <t>WB OUTLET LERMA: 1</t>
        </is>
      </c>
      <c r="AF104" s="51" t="n">
        <v>1</v>
      </c>
      <c r="AG104" s="156" t="inlineStr">
        <is>
          <t>Nuevo – NetSuite con existencia</t>
        </is>
      </c>
      <c r="AH104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04" s="156" t="inlineStr">
        <is>
          <t>No</t>
        </is>
      </c>
      <c r="AJ104" s="156" t="n"/>
      <c r="AK104" s="155" t="inlineStr">
        <is>
          <t>ProductosCatalogoEstandar907.xlsx: fila 5155 [L,N,O,Q,S,U,Y]; G1522_Extraccion_Articulos_NetSuite_2026-09-30.xlsx: fila 56608 [M,P,V,Y,T] | Shopify WB: producto 8569960267961 / variante 47621323194553</t>
        </is>
      </c>
      <c r="AL104" s="58" t="n">
        <v>595</v>
      </c>
      <c r="AM104" s="58" t="n">
        <v>1399.00000028</v>
      </c>
      <c r="AN104" s="155" t="inlineStr">
        <is>
          <t>Shopify Western Brothers</t>
        </is>
      </c>
      <c r="AO104" s="59" t="n"/>
      <c r="AP104" s="59" t="n">
        <v>1</v>
      </c>
      <c r="AQ104" s="59" t="n"/>
      <c r="AR104" s="155" t="inlineStr">
        <is>
          <t>Shopify Western Brothers › Western Brothers Outlet Lerma: 1</t>
        </is>
      </c>
    </row>
    <row r="105">
      <c r="A105" s="50" t="inlineStr">
        <is>
          <t>7506499535519</t>
        </is>
      </c>
      <c r="B105" s="51" t="inlineStr">
        <is>
          <t>108450</t>
        </is>
      </c>
      <c r="C105" s="156" t="inlineStr">
        <is>
          <t>Multimarca</t>
        </is>
      </c>
      <c r="D105" s="156" t="inlineStr">
        <is>
          <t>HDC002-SB22</t>
        </is>
      </c>
      <c r="E105" s="156" t="inlineStr">
        <is>
          <t>HDC002-SB22-S</t>
        </is>
      </c>
      <c r="F105" s="156" t="inlineStr">
        <is>
          <t>S</t>
        </is>
      </c>
      <c r="G105" s="156" t="inlineStr">
        <is>
          <t>S</t>
        </is>
      </c>
      <c r="H105" s="156" t="inlineStr">
        <is>
          <t>Denver</t>
        </is>
      </c>
      <c r="I105" s="156" t="inlineStr">
        <is>
          <t>Sudadera Denver felpa gris oscuro</t>
        </is>
      </c>
      <c r="J105" s="156" t="inlineStr">
        <is>
          <t>Ropa</t>
        </is>
      </c>
      <c r="K105" s="156" t="inlineStr">
        <is>
          <t>Sudaderas</t>
        </is>
      </c>
      <c r="L105" s="156" t="inlineStr">
        <is>
          <t>Hombre</t>
        </is>
      </c>
      <c r="M105" s="156" t="inlineStr">
        <is>
          <t>Denver</t>
        </is>
      </c>
      <c r="N105" s="156" t="inlineStr">
        <is>
          <t>FW26</t>
        </is>
      </c>
      <c r="O105" s="156" t="inlineStr">
        <is>
          <t>Core</t>
        </is>
      </c>
      <c r="P105" s="156" t="inlineStr">
        <is>
          <t>Gris</t>
        </is>
      </c>
      <c r="Q105" s="156" t="inlineStr">
        <is>
          <t>Regular</t>
        </is>
      </c>
      <c r="R105" s="156" t="n"/>
      <c r="S105" s="156" t="inlineStr">
        <is>
          <t>100% Poliéster</t>
        </is>
      </c>
      <c r="T105" s="156" t="inlineStr">
        <is>
          <t>Sudadera Denver felpa gris oscuro Regular</t>
        </is>
      </c>
      <c r="U105" s="156" t="inlineStr">
        <is>
          <t>México</t>
        </is>
      </c>
      <c r="V105" s="156" t="inlineStr">
        <is>
          <t>PZS</t>
        </is>
      </c>
      <c r="W105" s="51" t="inlineStr">
        <is>
          <t>53101700</t>
        </is>
      </c>
      <c r="X105" s="156" t="n"/>
      <c r="Y105" s="54" t="n">
        <v>595</v>
      </c>
      <c r="Z105" s="54" t="n">
        <v>1206.034483</v>
      </c>
      <c r="AA105" s="55">
        <f>IF(AND(A105="", B105="", E105=""), "", IF(AB105="", "Válido", IF((LEN(AB105)-LEN(SUBSTITUTE(AB105,"; ","")))/2+1&gt;(LEN(AB105)-LEN(SUBSTITUTE(AB105,"[Aviso]","")))/7, "Con Incidencias", "Válido")))</f>
        <v/>
      </c>
      <c r="AB105" s="56">
        <f>IF(AND(A105="", B105="", E105=""), "", TEXTJOIN("; ", TRUE, IF(OR(TRIM(A105&amp;"")="", ISNUMBER(SEARCH("FALTA", A105))), "UPC faltante/inválido", ""), IF(AND(A105&lt;&gt;"", IFERROR(_xlfn.XMATCH(A105,$A$2:$A$204,0,1)&lt;&gt;_xlfn.XMATCH(A105,$A$2:$A$204,0,-1),FALSE)), "Código de barras duplicado", ""), IF(AND(E105&lt;&gt;"", COUNTIF($E$2:$E$204, E105)&gt;1), "SKU duplicado", ""), IF(OR(J105="", J105=""), "[Aviso] División no capturada ()", IF(ISNA(MATCH(J105, Criterios!$A$123:$A$126, 0)), "División no válida", "")), IF(OR(K105="", K105=""), "[Aviso] Categoría no capturada ()", IF(ISNA(MATCH(K105, Criterios!$A$81:$A$120, 0)), "Categoría no válida", IF(AND(J105&lt;&gt;"", J105&lt;&gt;"", J105&lt;&gt;VLOOKUP(K105, Criterios!$A$81:$B$120, 2, FALSE)), "División no coincide con Categoría", ""))), IF(OR(L105="", L105=""), "[Aviso] Género no capturado ()", IF(ISNA(MATCH(L105, Criterios!$B$123:$B$127, 0)), "Género no válido", "")), IF(OR(N105="", N105=""), "[Aviso] Temporada no capturada ()", IF(ISNA(MATCH(N105, Criterios!$C$123:$C$128, 0)), "Temporada no válida", "")), IF(OR(O105="", O105=""), "[Aviso] Ciclo de vida no capturado ()", IF(ISNA(MATCH(O105, Criterios!$D$123:$D$124, 0)), "Ciclo de vida no válido", ""))))</f>
        <v/>
      </c>
      <c r="AC105" s="56" t="n"/>
      <c r="AD105" s="51" t="n">
        <v>1</v>
      </c>
      <c r="AE105" s="156" t="inlineStr">
        <is>
          <t>WB OUTLET LERMA: 1</t>
        </is>
      </c>
      <c r="AF105" s="51" t="n">
        <v>1</v>
      </c>
      <c r="AG105" s="156" t="inlineStr">
        <is>
          <t>Nuevo – NetSuite con existencia</t>
        </is>
      </c>
      <c r="AH105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05" s="156" t="inlineStr">
        <is>
          <t>No</t>
        </is>
      </c>
      <c r="AJ105" s="156" t="n"/>
      <c r="AK105" s="155" t="inlineStr">
        <is>
          <t>ProductosCatalogoEstandar907.xlsx: fila 5156 [L,N,O,Q,S,U,Y]; G1522_Extraccion_Articulos_NetSuite_2026-09-30.xlsx: fila 56609 [M,P,V,Y,T] | Shopify WB: producto 8569960431801 / variante 47621323555001</t>
        </is>
      </c>
      <c r="AL105" s="58" t="n">
        <v>595</v>
      </c>
      <c r="AM105" s="58" t="n">
        <v>1399.00000028</v>
      </c>
      <c r="AN105" s="155" t="inlineStr">
        <is>
          <t>Shopify Western Brothers</t>
        </is>
      </c>
      <c r="AO105" s="59" t="n"/>
      <c r="AP105" s="59" t="n">
        <v>1</v>
      </c>
      <c r="AQ105" s="59" t="n"/>
      <c r="AR105" s="155" t="inlineStr">
        <is>
          <t>Shopify Western Brothers › Western Brothers Outlet Lerma: 1</t>
        </is>
      </c>
    </row>
    <row r="106">
      <c r="A106" s="50" t="inlineStr">
        <is>
          <t>7506499535526</t>
        </is>
      </c>
      <c r="B106" s="51" t="inlineStr">
        <is>
          <t>108451</t>
        </is>
      </c>
      <c r="C106" s="156" t="inlineStr">
        <is>
          <t>Multimarca</t>
        </is>
      </c>
      <c r="D106" s="156" t="inlineStr">
        <is>
          <t>HDC002-SB22</t>
        </is>
      </c>
      <c r="E106" s="156" t="inlineStr">
        <is>
          <t>HDC002-SB22-M</t>
        </is>
      </c>
      <c r="F106" s="156" t="inlineStr">
        <is>
          <t>M</t>
        </is>
      </c>
      <c r="G106" s="156" t="inlineStr">
        <is>
          <t>M</t>
        </is>
      </c>
      <c r="H106" s="156" t="inlineStr">
        <is>
          <t>Denver</t>
        </is>
      </c>
      <c r="I106" s="156" t="inlineStr">
        <is>
          <t>Sudadera Denver felpa gris oscuro</t>
        </is>
      </c>
      <c r="J106" s="156" t="inlineStr">
        <is>
          <t>Ropa</t>
        </is>
      </c>
      <c r="K106" s="156" t="inlineStr">
        <is>
          <t>Sudaderas</t>
        </is>
      </c>
      <c r="L106" s="156" t="inlineStr">
        <is>
          <t>Hombre</t>
        </is>
      </c>
      <c r="M106" s="156" t="inlineStr">
        <is>
          <t>Denver</t>
        </is>
      </c>
      <c r="N106" s="156" t="inlineStr">
        <is>
          <t>FW26</t>
        </is>
      </c>
      <c r="O106" s="156" t="inlineStr">
        <is>
          <t>Core</t>
        </is>
      </c>
      <c r="P106" s="156" t="inlineStr">
        <is>
          <t>Gris</t>
        </is>
      </c>
      <c r="Q106" s="156" t="inlineStr">
        <is>
          <t>Regular</t>
        </is>
      </c>
      <c r="R106" s="156" t="n"/>
      <c r="S106" s="156" t="inlineStr">
        <is>
          <t>100% Poliéster</t>
        </is>
      </c>
      <c r="T106" s="156" t="inlineStr">
        <is>
          <t>Sudadera Denver felpa gris oscuro Regular</t>
        </is>
      </c>
      <c r="U106" s="156" t="inlineStr">
        <is>
          <t>México</t>
        </is>
      </c>
      <c r="V106" s="156" t="inlineStr">
        <is>
          <t>PZS</t>
        </is>
      </c>
      <c r="W106" s="51" t="inlineStr">
        <is>
          <t>53101700</t>
        </is>
      </c>
      <c r="X106" s="156" t="n"/>
      <c r="Y106" s="54" t="n">
        <v>595</v>
      </c>
      <c r="Z106" s="54" t="n">
        <v>1206.034483</v>
      </c>
      <c r="AA106" s="55">
        <f>IF(AND(A106="", B106="", E106=""), "", IF(AB106="", "Válido", IF((LEN(AB106)-LEN(SUBSTITUTE(AB106,"; ","")))/2+1&gt;(LEN(AB106)-LEN(SUBSTITUTE(AB106,"[Aviso]","")))/7, "Con Incidencias", "Válido")))</f>
        <v/>
      </c>
      <c r="AB106" s="56">
        <f>IF(AND(A106="", B106="", E106=""), "", TEXTJOIN("; ", TRUE, IF(OR(TRIM(A106&amp;"")="", ISNUMBER(SEARCH("FALTA", A106))), "UPC faltante/inválido", ""), IF(AND(A106&lt;&gt;"", IFERROR(_xlfn.XMATCH(A106,$A$2:$A$204,0,1)&lt;&gt;_xlfn.XMATCH(A106,$A$2:$A$204,0,-1),FALSE)), "Código de barras duplicado", ""), IF(AND(E106&lt;&gt;"", COUNTIF($E$2:$E$204, E106)&gt;1), "SKU duplicado", ""), IF(OR(J106="", J106=""), "[Aviso] División no capturada ()", IF(ISNA(MATCH(J106, Criterios!$A$123:$A$126, 0)), "División no válida", "")), IF(OR(K106="", K106=""), "[Aviso] Categoría no capturada ()", IF(ISNA(MATCH(K106, Criterios!$A$81:$A$120, 0)), "Categoría no válida", IF(AND(J106&lt;&gt;"", J106&lt;&gt;"", J106&lt;&gt;VLOOKUP(K106, Criterios!$A$81:$B$120, 2, FALSE)), "División no coincide con Categoría", ""))), IF(OR(L106="", L106=""), "[Aviso] Género no capturado ()", IF(ISNA(MATCH(L106, Criterios!$B$123:$B$127, 0)), "Género no válido", "")), IF(OR(N106="", N106=""), "[Aviso] Temporada no capturada ()", IF(ISNA(MATCH(N106, Criterios!$C$123:$C$128, 0)), "Temporada no válida", "")), IF(OR(O106="", O106=""), "[Aviso] Ciclo de vida no capturado ()", IF(ISNA(MATCH(O106, Criterios!$D$123:$D$124, 0)), "Ciclo de vida no válido", ""))))</f>
        <v/>
      </c>
      <c r="AC106" s="56" t="n"/>
      <c r="AD106" s="51" t="n">
        <v>0</v>
      </c>
      <c r="AE106" s="156" t="n"/>
      <c r="AF106" s="51" t="n">
        <v>0</v>
      </c>
      <c r="AG106" s="156" t="inlineStr">
        <is>
          <t>Nuevo – NetSuite sin existencia</t>
        </is>
      </c>
      <c r="AH106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06" s="156" t="inlineStr">
        <is>
          <t>No</t>
        </is>
      </c>
      <c r="AJ106" s="156" t="n"/>
      <c r="AK106" s="155" t="inlineStr">
        <is>
          <t>ProductosCatalogoEstandar907.xlsx: fila 5157 [L,N,O,Q,S,U,Y]; G1522_Extraccion_Articulos_NetSuite_2026-09-30.xlsx: fila 56610 [M,P,V,Y,T] | Shopify WB: producto 8569960431801 / variante 47621323587769</t>
        </is>
      </c>
      <c r="AL106" s="58" t="n">
        <v>595</v>
      </c>
      <c r="AM106" s="58" t="n">
        <v>1399.00000028</v>
      </c>
      <c r="AN106" s="155" t="inlineStr">
        <is>
          <t>Shopify Western Brothers</t>
        </is>
      </c>
      <c r="AO106" s="59" t="n"/>
      <c r="AP106" s="59" t="n">
        <v>0</v>
      </c>
      <c r="AQ106" s="59" t="n"/>
      <c r="AR106" s="155" t="n"/>
    </row>
    <row r="107">
      <c r="A107" s="50" t="inlineStr">
        <is>
          <t>7506499535533</t>
        </is>
      </c>
      <c r="B107" s="51" t="inlineStr">
        <is>
          <t>108452</t>
        </is>
      </c>
      <c r="C107" s="156" t="inlineStr">
        <is>
          <t>Multimarca</t>
        </is>
      </c>
      <c r="D107" s="156" t="inlineStr">
        <is>
          <t>HDC002-SB22</t>
        </is>
      </c>
      <c r="E107" s="156" t="inlineStr">
        <is>
          <t>HDC002-SB22-L</t>
        </is>
      </c>
      <c r="F107" s="156" t="inlineStr">
        <is>
          <t>L</t>
        </is>
      </c>
      <c r="G107" s="156" t="inlineStr">
        <is>
          <t>L</t>
        </is>
      </c>
      <c r="H107" s="156" t="inlineStr">
        <is>
          <t>Denver</t>
        </is>
      </c>
      <c r="I107" s="156" t="inlineStr">
        <is>
          <t>Sudadera Denver felpa gris oscuro</t>
        </is>
      </c>
      <c r="J107" s="156" t="inlineStr">
        <is>
          <t>Ropa</t>
        </is>
      </c>
      <c r="K107" s="156" t="inlineStr">
        <is>
          <t>Sudaderas</t>
        </is>
      </c>
      <c r="L107" s="156" t="inlineStr">
        <is>
          <t>Hombre</t>
        </is>
      </c>
      <c r="M107" s="156" t="inlineStr">
        <is>
          <t>Denver</t>
        </is>
      </c>
      <c r="N107" s="156" t="inlineStr">
        <is>
          <t>FW26</t>
        </is>
      </c>
      <c r="O107" s="156" t="inlineStr">
        <is>
          <t>Core</t>
        </is>
      </c>
      <c r="P107" s="156" t="inlineStr">
        <is>
          <t>Gris</t>
        </is>
      </c>
      <c r="Q107" s="156" t="inlineStr">
        <is>
          <t>Regular</t>
        </is>
      </c>
      <c r="R107" s="156" t="n"/>
      <c r="S107" s="156" t="inlineStr">
        <is>
          <t>100% Poliéster</t>
        </is>
      </c>
      <c r="T107" s="156" t="inlineStr">
        <is>
          <t>Sudadera Denver felpa gris oscuro Regular</t>
        </is>
      </c>
      <c r="U107" s="156" t="inlineStr">
        <is>
          <t>México</t>
        </is>
      </c>
      <c r="V107" s="156" t="inlineStr">
        <is>
          <t>PZS</t>
        </is>
      </c>
      <c r="W107" s="51" t="inlineStr">
        <is>
          <t>53101700</t>
        </is>
      </c>
      <c r="X107" s="156" t="n"/>
      <c r="Y107" s="54" t="n">
        <v>595</v>
      </c>
      <c r="Z107" s="54" t="n">
        <v>1206.034483</v>
      </c>
      <c r="AA107" s="55">
        <f>IF(AND(A107="", B107="", E107=""), "", IF(AB107="", "Válido", IF((LEN(AB107)-LEN(SUBSTITUTE(AB107,"; ","")))/2+1&gt;(LEN(AB107)-LEN(SUBSTITUTE(AB107,"[Aviso]","")))/7, "Con Incidencias", "Válido")))</f>
        <v/>
      </c>
      <c r="AB107" s="56">
        <f>IF(AND(A107="", B107="", E107=""), "", TEXTJOIN("; ", TRUE, IF(OR(TRIM(A107&amp;"")="", ISNUMBER(SEARCH("FALTA", A107))), "UPC faltante/inválido", ""), IF(AND(A107&lt;&gt;"", IFERROR(_xlfn.XMATCH(A107,$A$2:$A$204,0,1)&lt;&gt;_xlfn.XMATCH(A107,$A$2:$A$204,0,-1),FALSE)), "Código de barras duplicado", ""), IF(AND(E107&lt;&gt;"", COUNTIF($E$2:$E$204, E107)&gt;1), "SKU duplicado", ""), IF(OR(J107="", J107=""), "[Aviso] División no capturada ()", IF(ISNA(MATCH(J107, Criterios!$A$123:$A$126, 0)), "División no válida", "")), IF(OR(K107="", K107=""), "[Aviso] Categoría no capturada ()", IF(ISNA(MATCH(K107, Criterios!$A$81:$A$120, 0)), "Categoría no válida", IF(AND(J107&lt;&gt;"", J107&lt;&gt;"", J107&lt;&gt;VLOOKUP(K107, Criterios!$A$81:$B$120, 2, FALSE)), "División no coincide con Categoría", ""))), IF(OR(L107="", L107=""), "[Aviso] Género no capturado ()", IF(ISNA(MATCH(L107, Criterios!$B$123:$B$127, 0)), "Género no válido", "")), IF(OR(N107="", N107=""), "[Aviso] Temporada no capturada ()", IF(ISNA(MATCH(N107, Criterios!$C$123:$C$128, 0)), "Temporada no válida", "")), IF(OR(O107="", O107=""), "[Aviso] Ciclo de vida no capturado ()", IF(ISNA(MATCH(O107, Criterios!$D$123:$D$124, 0)), "Ciclo de vida no válido", ""))))</f>
        <v/>
      </c>
      <c r="AC107" s="56" t="n"/>
      <c r="AD107" s="51" t="n">
        <v>2</v>
      </c>
      <c r="AE107" s="156" t="inlineStr">
        <is>
          <t>WB OUTLET LERMA: 2</t>
        </is>
      </c>
      <c r="AF107" s="51" t="n">
        <v>2</v>
      </c>
      <c r="AG107" s="156" t="inlineStr">
        <is>
          <t>Nuevo – NetSuite con existencia</t>
        </is>
      </c>
      <c r="AH107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07" s="156" t="inlineStr">
        <is>
          <t>No</t>
        </is>
      </c>
      <c r="AJ107" s="156" t="n"/>
      <c r="AK107" s="155" t="inlineStr">
        <is>
          <t>ProductosCatalogoEstandar907.xlsx: fila 5158 [L,N,O,Q,S,U,Y]; G1522_Extraccion_Articulos_NetSuite_2026-09-30.xlsx: fila 56611 [M,P,V,Y,T] | Shopify WB: producto 8569960431801 / variante 47621323620537</t>
        </is>
      </c>
      <c r="AL107" s="58" t="n">
        <v>595</v>
      </c>
      <c r="AM107" s="58" t="n">
        <v>1399.00000028</v>
      </c>
      <c r="AN107" s="155" t="inlineStr">
        <is>
          <t>Shopify Western Brothers</t>
        </is>
      </c>
      <c r="AO107" s="59" t="n"/>
      <c r="AP107" s="59" t="n">
        <v>2</v>
      </c>
      <c r="AQ107" s="59" t="n"/>
      <c r="AR107" s="155" t="inlineStr">
        <is>
          <t>Shopify Western Brothers › Western Brothers Outlet Lerma: 2</t>
        </is>
      </c>
    </row>
    <row r="108">
      <c r="A108" s="50" t="inlineStr">
        <is>
          <t>7506499535540</t>
        </is>
      </c>
      <c r="B108" s="51" t="inlineStr">
        <is>
          <t>108453</t>
        </is>
      </c>
      <c r="C108" s="156" t="inlineStr">
        <is>
          <t>Multimarca</t>
        </is>
      </c>
      <c r="D108" s="156" t="inlineStr">
        <is>
          <t>HDC002-SB22</t>
        </is>
      </c>
      <c r="E108" s="156" t="inlineStr">
        <is>
          <t>HDC002-SB22-XL</t>
        </is>
      </c>
      <c r="F108" s="156" t="inlineStr">
        <is>
          <t>XL</t>
        </is>
      </c>
      <c r="G108" s="156" t="inlineStr">
        <is>
          <t>XL</t>
        </is>
      </c>
      <c r="H108" s="156" t="inlineStr">
        <is>
          <t>Denver</t>
        </is>
      </c>
      <c r="I108" s="156" t="inlineStr">
        <is>
          <t>Sudadera Denver felpa gris oscuro</t>
        </is>
      </c>
      <c r="J108" s="156" t="inlineStr">
        <is>
          <t>Ropa</t>
        </is>
      </c>
      <c r="K108" s="156" t="inlineStr">
        <is>
          <t>Sudaderas</t>
        </is>
      </c>
      <c r="L108" s="156" t="inlineStr">
        <is>
          <t>Hombre</t>
        </is>
      </c>
      <c r="M108" s="156" t="inlineStr">
        <is>
          <t>Denver</t>
        </is>
      </c>
      <c r="N108" s="156" t="inlineStr">
        <is>
          <t>FW26</t>
        </is>
      </c>
      <c r="O108" s="156" t="inlineStr">
        <is>
          <t>Core</t>
        </is>
      </c>
      <c r="P108" s="156" t="inlineStr">
        <is>
          <t>Gris</t>
        </is>
      </c>
      <c r="Q108" s="156" t="inlineStr">
        <is>
          <t>Regular</t>
        </is>
      </c>
      <c r="R108" s="156" t="n"/>
      <c r="S108" s="156" t="inlineStr">
        <is>
          <t>100% Poliéster</t>
        </is>
      </c>
      <c r="T108" s="156" t="inlineStr">
        <is>
          <t>Sudadera Denver felpa gris oscuro Regular</t>
        </is>
      </c>
      <c r="U108" s="156" t="inlineStr">
        <is>
          <t>México</t>
        </is>
      </c>
      <c r="V108" s="156" t="inlineStr">
        <is>
          <t>PZS</t>
        </is>
      </c>
      <c r="W108" s="51" t="inlineStr">
        <is>
          <t>53101700</t>
        </is>
      </c>
      <c r="X108" s="156" t="n"/>
      <c r="Y108" s="54" t="n">
        <v>595</v>
      </c>
      <c r="Z108" s="54" t="n">
        <v>1206.034483</v>
      </c>
      <c r="AA108" s="55">
        <f>IF(AND(A108="", B108="", E108=""), "", IF(AB108="", "Válido", IF((LEN(AB108)-LEN(SUBSTITUTE(AB108,"; ","")))/2+1&gt;(LEN(AB108)-LEN(SUBSTITUTE(AB108,"[Aviso]","")))/7, "Con Incidencias", "Válido")))</f>
        <v/>
      </c>
      <c r="AB108" s="56">
        <f>IF(AND(A108="", B108="", E108=""), "", TEXTJOIN("; ", TRUE, IF(OR(TRIM(A108&amp;"")="", ISNUMBER(SEARCH("FALTA", A108))), "UPC faltante/inválido", ""), IF(AND(A108&lt;&gt;"", IFERROR(_xlfn.XMATCH(A108,$A$2:$A$204,0,1)&lt;&gt;_xlfn.XMATCH(A108,$A$2:$A$204,0,-1),FALSE)), "Código de barras duplicado", ""), IF(AND(E108&lt;&gt;"", COUNTIF($E$2:$E$204, E108)&gt;1), "SKU duplicado", ""), IF(OR(J108="", J108=""), "[Aviso] División no capturada ()", IF(ISNA(MATCH(J108, Criterios!$A$123:$A$126, 0)), "División no válida", "")), IF(OR(K108="", K108=""), "[Aviso] Categoría no capturada ()", IF(ISNA(MATCH(K108, Criterios!$A$81:$A$120, 0)), "Categoría no válida", IF(AND(J108&lt;&gt;"", J108&lt;&gt;"", J108&lt;&gt;VLOOKUP(K108, Criterios!$A$81:$B$120, 2, FALSE)), "División no coincide con Categoría", ""))), IF(OR(L108="", L108=""), "[Aviso] Género no capturado ()", IF(ISNA(MATCH(L108, Criterios!$B$123:$B$127, 0)), "Género no válido", "")), IF(OR(N108="", N108=""), "[Aviso] Temporada no capturada ()", IF(ISNA(MATCH(N108, Criterios!$C$123:$C$128, 0)), "Temporada no válida", "")), IF(OR(O108="", O108=""), "[Aviso] Ciclo de vida no capturado ()", IF(ISNA(MATCH(O108, Criterios!$D$123:$D$124, 0)), "Ciclo de vida no válido", ""))))</f>
        <v/>
      </c>
      <c r="AC108" s="56" t="n"/>
      <c r="AD108" s="51" t="n">
        <v>0</v>
      </c>
      <c r="AE108" s="156" t="n"/>
      <c r="AF108" s="51" t="n">
        <v>0</v>
      </c>
      <c r="AG108" s="156" t="inlineStr">
        <is>
          <t>Nuevo – NetSuite sin existencia</t>
        </is>
      </c>
      <c r="AH108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08" s="156" t="inlineStr">
        <is>
          <t>No</t>
        </is>
      </c>
      <c r="AJ108" s="156" t="n"/>
      <c r="AK108" s="155" t="inlineStr">
        <is>
          <t>ProductosCatalogoEstandar907.xlsx: fila 5159 [L,N,O,Q,S,U,Y]; G1522_Extraccion_Articulos_NetSuite_2026-09-30.xlsx: fila 56612 [M,P,V,Y,T] | Shopify WB: producto 8569960431801 / variante 47621323653305</t>
        </is>
      </c>
      <c r="AL108" s="58" t="n">
        <v>595</v>
      </c>
      <c r="AM108" s="58" t="n">
        <v>1399.00000028</v>
      </c>
      <c r="AN108" s="155" t="inlineStr">
        <is>
          <t>Shopify Western Brothers</t>
        </is>
      </c>
      <c r="AO108" s="59" t="n"/>
      <c r="AP108" s="59" t="n">
        <v>0</v>
      </c>
      <c r="AQ108" s="59" t="n"/>
      <c r="AR108" s="155" t="n"/>
    </row>
    <row r="109">
      <c r="A109" s="50" t="inlineStr">
        <is>
          <t>7506499570873</t>
        </is>
      </c>
      <c r="B109" s="51" t="inlineStr">
        <is>
          <t>108557</t>
        </is>
      </c>
      <c r="C109" s="156" t="inlineStr">
        <is>
          <t>Multimarca</t>
        </is>
      </c>
      <c r="D109" s="156" t="inlineStr">
        <is>
          <t>JH001</t>
        </is>
      </c>
      <c r="E109" s="156" t="inlineStr">
        <is>
          <t>JH001-30-34</t>
        </is>
      </c>
      <c r="F109" s="156" t="inlineStr">
        <is>
          <t>30 x 34</t>
        </is>
      </c>
      <c r="G109" s="156" t="inlineStr">
        <is>
          <t>30W / 34L</t>
        </is>
      </c>
      <c r="H109" s="156" t="inlineStr">
        <is>
          <t>Denver</t>
        </is>
      </c>
      <c r="I109" s="156" t="inlineStr">
        <is>
          <t>Pantalon Denver caballero negro lavado</t>
        </is>
      </c>
      <c r="J109" s="156" t="inlineStr">
        <is>
          <t>Denim</t>
        </is>
      </c>
      <c r="K109" s="156" t="inlineStr">
        <is>
          <t>Jeans</t>
        </is>
      </c>
      <c r="L109" s="156" t="inlineStr">
        <is>
          <t>Hombre</t>
        </is>
      </c>
      <c r="M109" s="156" t="inlineStr">
        <is>
          <t>Denver</t>
        </is>
      </c>
      <c r="N109" s="156" t="inlineStr">
        <is>
          <t>SS26</t>
        </is>
      </c>
      <c r="O109" s="156" t="inlineStr">
        <is>
          <t>Core</t>
        </is>
      </c>
      <c r="P109" s="156" t="inlineStr">
        <is>
          <t>Negro</t>
        </is>
      </c>
      <c r="Q109" s="156" t="inlineStr">
        <is>
          <t>Regular</t>
        </is>
      </c>
      <c r="R109" s="156" t="inlineStr">
        <is>
          <t>Recto</t>
        </is>
      </c>
      <c r="S109" s="156" t="inlineStr">
        <is>
          <t>97% Algodón 3% Elastano</t>
        </is>
      </c>
      <c r="T109" s="156" t="inlineStr">
        <is>
          <t>Pantalon Denver caballero negro lavado Regular Recto</t>
        </is>
      </c>
      <c r="U109" s="156" t="inlineStr">
        <is>
          <t>México</t>
        </is>
      </c>
      <c r="V109" s="156" t="inlineStr">
        <is>
          <t>PZS</t>
        </is>
      </c>
      <c r="W109" s="51" t="inlineStr">
        <is>
          <t>53101502</t>
        </is>
      </c>
      <c r="X109" s="156" t="n"/>
      <c r="Y109" s="54" t="n">
        <v>419.25</v>
      </c>
      <c r="Z109" s="54" t="n">
        <v>1033.62069</v>
      </c>
      <c r="AA109" s="55">
        <f>IF(AND(A109="", B109="", E109=""), "", IF(AB109="", "Válido", IF((LEN(AB109)-LEN(SUBSTITUTE(AB109,"; ","")))/2+1&gt;(LEN(AB109)-LEN(SUBSTITUTE(AB109,"[Aviso]","")))/7, "Con Incidencias", "Válido")))</f>
        <v/>
      </c>
      <c r="AB109" s="56">
        <f>IF(AND(A109="", B109="", E109=""), "", TEXTJOIN("; ", TRUE, IF(OR(TRIM(A109&amp;"")="", ISNUMBER(SEARCH("FALTA", A109))), "UPC faltante/inválido", ""), IF(AND(A109&lt;&gt;"", IFERROR(_xlfn.XMATCH(A109,$A$2:$A$204,0,1)&lt;&gt;_xlfn.XMATCH(A109,$A$2:$A$204,0,-1),FALSE)), "Código de barras duplicado", ""), IF(AND(E109&lt;&gt;"", COUNTIF($E$2:$E$204, E109)&gt;1), "SKU duplicado", ""), IF(OR(J109="", J109=""), "[Aviso] División no capturada ()", IF(ISNA(MATCH(J109, Criterios!$A$123:$A$126, 0)), "División no válida", "")), IF(OR(K109="", K109=""), "[Aviso] Categoría no capturada ()", IF(ISNA(MATCH(K109, Criterios!$A$81:$A$120, 0)), "Categoría no válida", IF(AND(J109&lt;&gt;"", J109&lt;&gt;"", J109&lt;&gt;VLOOKUP(K109, Criterios!$A$81:$B$120, 2, FALSE)), "División no coincide con Categoría", ""))), IF(OR(L109="", L109=""), "[Aviso] Género no capturado ()", IF(ISNA(MATCH(L109, Criterios!$B$123:$B$127, 0)), "Género no válido", "")), IF(OR(N109="", N109=""), "[Aviso] Temporada no capturada ()", IF(ISNA(MATCH(N109, Criterios!$C$123:$C$128, 0)), "Temporada no válida", "")), IF(OR(O109="", O109=""), "[Aviso] Ciclo de vida no capturado ()", IF(ISNA(MATCH(O109, Criterios!$D$123:$D$124, 0)), "Ciclo de vida no válido", ""))))</f>
        <v/>
      </c>
      <c r="AC109" s="56" t="n"/>
      <c r="AD109" s="51" t="n">
        <v>1</v>
      </c>
      <c r="AE109" s="156" t="inlineStr">
        <is>
          <t>WB OUTLET LERMA: 1</t>
        </is>
      </c>
      <c r="AF109" s="51" t="n">
        <v>1</v>
      </c>
      <c r="AG109" s="156" t="inlineStr">
        <is>
          <t>Nuevo – NetSuite con existencia</t>
        </is>
      </c>
      <c r="AH109" s="156" t="inlineStr">
        <is>
          <t>Revisión 29/09/2026: Talla fuente 30 x 34 sin equivalencia exacta en Criterios para Cintura Jean + Largo Jean;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09" s="156" t="inlineStr">
        <is>
          <t>No</t>
        </is>
      </c>
      <c r="AJ109" s="156" t="n"/>
      <c r="AK109" s="155" t="inlineStr">
        <is>
          <t>ProductosCatalogoEstandar907.xlsx: fila 5160 [N,O,Q,R,S,U,Y]; G1522_Extraccion_Articulos_NetSuite_2026-09-30.xlsx: fila 56716 [P,V,Y,T] | Shopify WB: producto 8569960595641 / variante 47621323849913</t>
        </is>
      </c>
      <c r="AL109" s="58" t="n">
        <v>419.25</v>
      </c>
      <c r="AM109" s="58" t="n">
        <v>1199.0000004</v>
      </c>
      <c r="AN109" s="155" t="inlineStr">
        <is>
          <t>Shopify Western Brothers</t>
        </is>
      </c>
      <c r="AO109" s="59" t="n"/>
      <c r="AP109" s="59" t="n">
        <v>1</v>
      </c>
      <c r="AQ109" s="59" t="n"/>
      <c r="AR109" s="155" t="inlineStr">
        <is>
          <t>Shopify Western Brothers › Western Brothers Outlet Lerma: 1</t>
        </is>
      </c>
    </row>
    <row r="110">
      <c r="A110" s="50" t="inlineStr">
        <is>
          <t>7506499570874</t>
        </is>
      </c>
      <c r="B110" s="51" t="inlineStr">
        <is>
          <t>108558</t>
        </is>
      </c>
      <c r="C110" s="156" t="inlineStr">
        <is>
          <t>Multimarca</t>
        </is>
      </c>
      <c r="D110" s="156" t="inlineStr">
        <is>
          <t>JH001</t>
        </is>
      </c>
      <c r="E110" s="156" t="inlineStr">
        <is>
          <t>JH001-32-34</t>
        </is>
      </c>
      <c r="F110" s="156" t="inlineStr">
        <is>
          <t>32 x 34</t>
        </is>
      </c>
      <c r="G110" s="156" t="inlineStr">
        <is>
          <t>32W / 34L</t>
        </is>
      </c>
      <c r="H110" s="156" t="inlineStr">
        <is>
          <t>Denver</t>
        </is>
      </c>
      <c r="I110" s="156" t="inlineStr">
        <is>
          <t>Pantalon Denver caballero negro lavado</t>
        </is>
      </c>
      <c r="J110" s="156" t="inlineStr">
        <is>
          <t>Denim</t>
        </is>
      </c>
      <c r="K110" s="156" t="inlineStr">
        <is>
          <t>Jeans</t>
        </is>
      </c>
      <c r="L110" s="156" t="inlineStr">
        <is>
          <t>Hombre</t>
        </is>
      </c>
      <c r="M110" s="156" t="inlineStr">
        <is>
          <t>Denver</t>
        </is>
      </c>
      <c r="N110" s="156" t="inlineStr">
        <is>
          <t>SS26</t>
        </is>
      </c>
      <c r="O110" s="156" t="inlineStr">
        <is>
          <t>Core</t>
        </is>
      </c>
      <c r="P110" s="156" t="inlineStr">
        <is>
          <t>Negro</t>
        </is>
      </c>
      <c r="Q110" s="156" t="inlineStr">
        <is>
          <t>Regular</t>
        </is>
      </c>
      <c r="R110" s="156" t="inlineStr">
        <is>
          <t>Recto</t>
        </is>
      </c>
      <c r="S110" s="156" t="inlineStr">
        <is>
          <t>97% Algodón 3% Elastano</t>
        </is>
      </c>
      <c r="T110" s="156" t="inlineStr">
        <is>
          <t>Pantalon Denver caballero negro lavado Regular Recto</t>
        </is>
      </c>
      <c r="U110" s="156" t="inlineStr">
        <is>
          <t>México</t>
        </is>
      </c>
      <c r="V110" s="156" t="inlineStr">
        <is>
          <t>PZS</t>
        </is>
      </c>
      <c r="W110" s="51" t="inlineStr">
        <is>
          <t>53101502</t>
        </is>
      </c>
      <c r="X110" s="156" t="n"/>
      <c r="Y110" s="54" t="n">
        <v>419.25</v>
      </c>
      <c r="Z110" s="54" t="n">
        <v>1033.62069</v>
      </c>
      <c r="AA110" s="55">
        <f>IF(AND(A110="", B110="", E110=""), "", IF(AB110="", "Válido", IF((LEN(AB110)-LEN(SUBSTITUTE(AB110,"; ","")))/2+1&gt;(LEN(AB110)-LEN(SUBSTITUTE(AB110,"[Aviso]","")))/7, "Con Incidencias", "Válido")))</f>
        <v/>
      </c>
      <c r="AB110" s="56">
        <f>IF(AND(A110="", B110="", E110=""), "", TEXTJOIN("; ", TRUE, IF(OR(TRIM(A110&amp;"")="", ISNUMBER(SEARCH("FALTA", A110))), "UPC faltante/inválido", ""), IF(AND(A110&lt;&gt;"", IFERROR(_xlfn.XMATCH(A110,$A$2:$A$204,0,1)&lt;&gt;_xlfn.XMATCH(A110,$A$2:$A$204,0,-1),FALSE)), "Código de barras duplicado", ""), IF(AND(E110&lt;&gt;"", COUNTIF($E$2:$E$204, E110)&gt;1), "SKU duplicado", ""), IF(OR(J110="", J110=""), "[Aviso] División no capturada ()", IF(ISNA(MATCH(J110, Criterios!$A$123:$A$126, 0)), "División no válida", "")), IF(OR(K110="", K110=""), "[Aviso] Categoría no capturada ()", IF(ISNA(MATCH(K110, Criterios!$A$81:$A$120, 0)), "Categoría no válida", IF(AND(J110&lt;&gt;"", J110&lt;&gt;"", J110&lt;&gt;VLOOKUP(K110, Criterios!$A$81:$B$120, 2, FALSE)), "División no coincide con Categoría", ""))), IF(OR(L110="", L110=""), "[Aviso] Género no capturado ()", IF(ISNA(MATCH(L110, Criterios!$B$123:$B$127, 0)), "Género no válido", "")), IF(OR(N110="", N110=""), "[Aviso] Temporada no capturada ()", IF(ISNA(MATCH(N110, Criterios!$C$123:$C$128, 0)), "Temporada no válida", "")), IF(OR(O110="", O110=""), "[Aviso] Ciclo de vida no capturado ()", IF(ISNA(MATCH(O110, Criterios!$D$123:$D$124, 0)), "Ciclo de vida no válido", ""))))</f>
        <v/>
      </c>
      <c r="AC110" s="56" t="n"/>
      <c r="AD110" s="51" t="n">
        <v>3</v>
      </c>
      <c r="AE110" s="156" t="inlineStr">
        <is>
          <t>WB OUTLET LERMA: 3</t>
        </is>
      </c>
      <c r="AF110" s="51" t="n">
        <v>3</v>
      </c>
      <c r="AG110" s="156" t="inlineStr">
        <is>
          <t>Nuevo – NetSuite con existencia</t>
        </is>
      </c>
      <c r="AH110" s="156" t="inlineStr">
        <is>
          <t>Revisión 29/09/2026: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10" s="156" t="inlineStr">
        <is>
          <t>No</t>
        </is>
      </c>
      <c r="AJ110" s="156" t="n"/>
      <c r="AK110" s="155" t="inlineStr">
        <is>
          <t>ProductosCatalogoEstandar907.xlsx: fila 5161 [N,O,Q,R,S,U,Y]; G1522_Extraccion_Articulos_NetSuite_2026-09-30.xlsx: fila 56717 [P,V,Y,T] | Shopify WB: producto 8569960595641 / variante 47621323882681</t>
        </is>
      </c>
      <c r="AL110" s="58" t="n">
        <v>419.25</v>
      </c>
      <c r="AM110" s="58" t="n">
        <v>1199.0000004</v>
      </c>
      <c r="AN110" s="155" t="inlineStr">
        <is>
          <t>Shopify Western Brothers</t>
        </is>
      </c>
      <c r="AO110" s="59" t="n"/>
      <c r="AP110" s="59" t="n">
        <v>3</v>
      </c>
      <c r="AQ110" s="59" t="n"/>
      <c r="AR110" s="155" t="inlineStr">
        <is>
          <t>Shopify Western Brothers › Western Brothers Outlet Lerma: 3</t>
        </is>
      </c>
    </row>
    <row r="111">
      <c r="A111" s="50" t="inlineStr">
        <is>
          <t>7506499570875</t>
        </is>
      </c>
      <c r="B111" s="51" t="inlineStr">
        <is>
          <t>108559</t>
        </is>
      </c>
      <c r="C111" s="156" t="inlineStr">
        <is>
          <t>Multimarca</t>
        </is>
      </c>
      <c r="D111" s="156" t="inlineStr">
        <is>
          <t>JH001</t>
        </is>
      </c>
      <c r="E111" s="156" t="inlineStr">
        <is>
          <t>JH001-34-34</t>
        </is>
      </c>
      <c r="F111" s="156" t="inlineStr">
        <is>
          <t>34 x 34</t>
        </is>
      </c>
      <c r="G111" s="156" t="inlineStr">
        <is>
          <t>34W / 34L</t>
        </is>
      </c>
      <c r="H111" s="156" t="inlineStr">
        <is>
          <t>Denver</t>
        </is>
      </c>
      <c r="I111" s="156" t="inlineStr">
        <is>
          <t>Pantalon Denver caballero negro lavado</t>
        </is>
      </c>
      <c r="J111" s="156" t="inlineStr">
        <is>
          <t>Denim</t>
        </is>
      </c>
      <c r="K111" s="156" t="inlineStr">
        <is>
          <t>Jeans</t>
        </is>
      </c>
      <c r="L111" s="156" t="inlineStr">
        <is>
          <t>Hombre</t>
        </is>
      </c>
      <c r="M111" s="156" t="inlineStr">
        <is>
          <t>Denver</t>
        </is>
      </c>
      <c r="N111" s="156" t="inlineStr">
        <is>
          <t>SS26</t>
        </is>
      </c>
      <c r="O111" s="156" t="inlineStr">
        <is>
          <t>Core</t>
        </is>
      </c>
      <c r="P111" s="156" t="inlineStr">
        <is>
          <t>Negro</t>
        </is>
      </c>
      <c r="Q111" s="156" t="inlineStr">
        <is>
          <t>Regular</t>
        </is>
      </c>
      <c r="R111" s="156" t="inlineStr">
        <is>
          <t>Recto</t>
        </is>
      </c>
      <c r="S111" s="156" t="inlineStr">
        <is>
          <t>97% Algodón 3% Elastano</t>
        </is>
      </c>
      <c r="T111" s="156" t="inlineStr">
        <is>
          <t>Pantalon Denver caballero negro lavado Regular Recto</t>
        </is>
      </c>
      <c r="U111" s="156" t="inlineStr">
        <is>
          <t>México</t>
        </is>
      </c>
      <c r="V111" s="156" t="inlineStr">
        <is>
          <t>PZS</t>
        </is>
      </c>
      <c r="W111" s="51" t="inlineStr">
        <is>
          <t>53101502</t>
        </is>
      </c>
      <c r="X111" s="156" t="n"/>
      <c r="Y111" s="54" t="n">
        <v>419.25</v>
      </c>
      <c r="Z111" s="54" t="n">
        <v>1033.62069</v>
      </c>
      <c r="AA111" s="55">
        <f>IF(AND(A111="", B111="", E111=""), "", IF(AB111="", "Válido", IF((LEN(AB111)-LEN(SUBSTITUTE(AB111,"; ","")))/2+1&gt;(LEN(AB111)-LEN(SUBSTITUTE(AB111,"[Aviso]","")))/7, "Con Incidencias", "Válido")))</f>
        <v/>
      </c>
      <c r="AB111" s="56">
        <f>IF(AND(A111="", B111="", E111=""), "", TEXTJOIN("; ", TRUE, IF(OR(TRIM(A111&amp;"")="", ISNUMBER(SEARCH("FALTA", A111))), "UPC faltante/inválido", ""), IF(AND(A111&lt;&gt;"", IFERROR(_xlfn.XMATCH(A111,$A$2:$A$204,0,1)&lt;&gt;_xlfn.XMATCH(A111,$A$2:$A$204,0,-1),FALSE)), "Código de barras duplicado", ""), IF(AND(E111&lt;&gt;"", COUNTIF($E$2:$E$204, E111)&gt;1), "SKU duplicado", ""), IF(OR(J111="", J111=""), "[Aviso] División no capturada ()", IF(ISNA(MATCH(J111, Criterios!$A$123:$A$126, 0)), "División no válida", "")), IF(OR(K111="", K111=""), "[Aviso] Categoría no capturada ()", IF(ISNA(MATCH(K111, Criterios!$A$81:$A$120, 0)), "Categoría no válida", IF(AND(J111&lt;&gt;"", J111&lt;&gt;"", J111&lt;&gt;VLOOKUP(K111, Criterios!$A$81:$B$120, 2, FALSE)), "División no coincide con Categoría", ""))), IF(OR(L111="", L111=""), "[Aviso] Género no capturado ()", IF(ISNA(MATCH(L111, Criterios!$B$123:$B$127, 0)), "Género no válido", "")), IF(OR(N111="", N111=""), "[Aviso] Temporada no capturada ()", IF(ISNA(MATCH(N111, Criterios!$C$123:$C$128, 0)), "Temporada no válida", "")), IF(OR(O111="", O111=""), "[Aviso] Ciclo de vida no capturado ()", IF(ISNA(MATCH(O111, Criterios!$D$123:$D$124, 0)), "Ciclo de vida no válido", ""))))</f>
        <v/>
      </c>
      <c r="AC111" s="56" t="n"/>
      <c r="AD111" s="51" t="n">
        <v>-1</v>
      </c>
      <c r="AE111" s="156" t="n"/>
      <c r="AF111" s="51" t="n">
        <v>0</v>
      </c>
      <c r="AG111" s="156" t="inlineStr">
        <is>
          <t>Nuevo – NetSuite con existencia</t>
        </is>
      </c>
      <c r="AH111" s="156" t="inlineStr">
        <is>
          <t>Stock negativo en sistema: revisar en conteo | Revisión 29/09/2026: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11" s="156" t="inlineStr">
        <is>
          <t>Sí</t>
        </is>
      </c>
      <c r="AJ111" s="156" t="inlineStr">
        <is>
          <t>WB OUTLET LERMA: -1</t>
        </is>
      </c>
      <c r="AK111" s="155" t="inlineStr">
        <is>
          <t>ProductosCatalogoEstandar907.xlsx: fila 5162 [N,O,Q,R,S,U,Y]; G1522_Extraccion_Articulos_NetSuite_2026-09-30.xlsx: fila 56718 [P,V,Y,T] | Shopify WB: producto 8569960595641 / variante 47621323915449</t>
        </is>
      </c>
      <c r="AL111" s="58" t="n">
        <v>419.25</v>
      </c>
      <c r="AM111" s="58" t="n">
        <v>1199.0000004</v>
      </c>
      <c r="AN111" s="155" t="inlineStr">
        <is>
          <t>Shopify Western Brothers</t>
        </is>
      </c>
      <c r="AO111" s="59" t="n"/>
      <c r="AP111" s="59" t="n">
        <v>-1</v>
      </c>
      <c r="AQ111" s="59" t="n"/>
      <c r="AR111" s="155" t="n"/>
    </row>
    <row r="112">
      <c r="A112" s="50" t="inlineStr">
        <is>
          <t>7506499570876</t>
        </is>
      </c>
      <c r="B112" s="51" t="inlineStr">
        <is>
          <t>108560</t>
        </is>
      </c>
      <c r="C112" s="156" t="inlineStr">
        <is>
          <t>Multimarca</t>
        </is>
      </c>
      <c r="D112" s="156" t="inlineStr">
        <is>
          <t>JH001</t>
        </is>
      </c>
      <c r="E112" s="156" t="inlineStr">
        <is>
          <t>JH001-36-34</t>
        </is>
      </c>
      <c r="F112" s="156" t="inlineStr">
        <is>
          <t>36 x 34</t>
        </is>
      </c>
      <c r="G112" s="156" t="inlineStr">
        <is>
          <t>36W / 34L</t>
        </is>
      </c>
      <c r="H112" s="156" t="inlineStr">
        <is>
          <t>Denver</t>
        </is>
      </c>
      <c r="I112" s="156" t="inlineStr">
        <is>
          <t>Pantalon Denver caballero negro lavado</t>
        </is>
      </c>
      <c r="J112" s="156" t="inlineStr">
        <is>
          <t>Denim</t>
        </is>
      </c>
      <c r="K112" s="156" t="inlineStr">
        <is>
          <t>Jeans</t>
        </is>
      </c>
      <c r="L112" s="156" t="inlineStr">
        <is>
          <t>Hombre</t>
        </is>
      </c>
      <c r="M112" s="156" t="inlineStr">
        <is>
          <t>Denver</t>
        </is>
      </c>
      <c r="N112" s="156" t="inlineStr">
        <is>
          <t>SS26</t>
        </is>
      </c>
      <c r="O112" s="156" t="inlineStr">
        <is>
          <t>Core</t>
        </is>
      </c>
      <c r="P112" s="156" t="inlineStr">
        <is>
          <t>Negro</t>
        </is>
      </c>
      <c r="Q112" s="156" t="inlineStr">
        <is>
          <t>Regular</t>
        </is>
      </c>
      <c r="R112" s="156" t="inlineStr">
        <is>
          <t>Recto</t>
        </is>
      </c>
      <c r="S112" s="156" t="inlineStr">
        <is>
          <t>97% Algodón 3% Elastano</t>
        </is>
      </c>
      <c r="T112" s="156" t="inlineStr">
        <is>
          <t>Pantalon Denver caballero negro lavado Regular Recto</t>
        </is>
      </c>
      <c r="U112" s="156" t="inlineStr">
        <is>
          <t>México</t>
        </is>
      </c>
      <c r="V112" s="156" t="inlineStr">
        <is>
          <t>PZS</t>
        </is>
      </c>
      <c r="W112" s="51" t="inlineStr">
        <is>
          <t>53101502</t>
        </is>
      </c>
      <c r="X112" s="156" t="n"/>
      <c r="Y112" s="54" t="n">
        <v>419.25</v>
      </c>
      <c r="Z112" s="54" t="n">
        <v>1033.62069</v>
      </c>
      <c r="AA112" s="55">
        <f>IF(AND(A112="", B112="", E112=""), "", IF(AB112="", "Válido", IF((LEN(AB112)-LEN(SUBSTITUTE(AB112,"; ","")))/2+1&gt;(LEN(AB112)-LEN(SUBSTITUTE(AB112,"[Aviso]","")))/7, "Con Incidencias", "Válido")))</f>
        <v/>
      </c>
      <c r="AB112" s="56">
        <f>IF(AND(A112="", B112="", E112=""), "", TEXTJOIN("; ", TRUE, IF(OR(TRIM(A112&amp;"")="", ISNUMBER(SEARCH("FALTA", A112))), "UPC faltante/inválido", ""), IF(AND(A112&lt;&gt;"", IFERROR(_xlfn.XMATCH(A112,$A$2:$A$204,0,1)&lt;&gt;_xlfn.XMATCH(A112,$A$2:$A$204,0,-1),FALSE)), "Código de barras duplicado", ""), IF(AND(E112&lt;&gt;"", COUNTIF($E$2:$E$204, E112)&gt;1), "SKU duplicado", ""), IF(OR(J112="", J112=""), "[Aviso] División no capturada ()", IF(ISNA(MATCH(J112, Criterios!$A$123:$A$126, 0)), "División no válida", "")), IF(OR(K112="", K112=""), "[Aviso] Categoría no capturada ()", IF(ISNA(MATCH(K112, Criterios!$A$81:$A$120, 0)), "Categoría no válida", IF(AND(J112&lt;&gt;"", J112&lt;&gt;"", J112&lt;&gt;VLOOKUP(K112, Criterios!$A$81:$B$120, 2, FALSE)), "División no coincide con Categoría", ""))), IF(OR(L112="", L112=""), "[Aviso] Género no capturado ()", IF(ISNA(MATCH(L112, Criterios!$B$123:$B$127, 0)), "Género no válido", "")), IF(OR(N112="", N112=""), "[Aviso] Temporada no capturada ()", IF(ISNA(MATCH(N112, Criterios!$C$123:$C$128, 0)), "Temporada no válida", "")), IF(OR(O112="", O112=""), "[Aviso] Ciclo de vida no capturado ()", IF(ISNA(MATCH(O112, Criterios!$D$123:$D$124, 0)), "Ciclo de vida no válido", ""))))</f>
        <v/>
      </c>
      <c r="AC112" s="56" t="n"/>
      <c r="AD112" s="51" t="n">
        <v>2</v>
      </c>
      <c r="AE112" s="156" t="inlineStr">
        <is>
          <t>WB OUTLET LERMA: 2</t>
        </is>
      </c>
      <c r="AF112" s="51" t="n">
        <v>2</v>
      </c>
      <c r="AG112" s="156" t="inlineStr">
        <is>
          <t>Nuevo – NetSuite con existencia</t>
        </is>
      </c>
      <c r="AH112" s="156" t="inlineStr">
        <is>
          <t>Revisión 29/09/2026: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12" s="156" t="inlineStr">
        <is>
          <t>No</t>
        </is>
      </c>
      <c r="AJ112" s="156" t="n"/>
      <c r="AK112" s="155" t="inlineStr">
        <is>
          <t>ProductosCatalogoEstandar907.xlsx: fila 5163 [N,O,Q,R,S,U,Y]; G1522_Extraccion_Articulos_NetSuite_2026-09-30.xlsx: fila 56719 [P,V,Y,T] | Shopify WB: producto 8569960595641 / variante 47621323948217</t>
        </is>
      </c>
      <c r="AL112" s="58" t="n">
        <v>419.25</v>
      </c>
      <c r="AM112" s="58" t="n">
        <v>1199.0000004</v>
      </c>
      <c r="AN112" s="155" t="inlineStr">
        <is>
          <t>Shopify Western Brothers</t>
        </is>
      </c>
      <c r="AO112" s="59" t="n"/>
      <c r="AP112" s="59" t="n">
        <v>2</v>
      </c>
      <c r="AQ112" s="59" t="n"/>
      <c r="AR112" s="155" t="inlineStr">
        <is>
          <t>Shopify Western Brothers › Western Brothers Outlet Lerma: 2</t>
        </is>
      </c>
    </row>
    <row r="113">
      <c r="A113" s="50" t="inlineStr">
        <is>
          <t>7506499570877</t>
        </is>
      </c>
      <c r="B113" s="51" t="inlineStr">
        <is>
          <t>108561</t>
        </is>
      </c>
      <c r="C113" s="156" t="inlineStr">
        <is>
          <t>Multimarca</t>
        </is>
      </c>
      <c r="D113" s="156" t="inlineStr">
        <is>
          <t>JH001</t>
        </is>
      </c>
      <c r="E113" s="156" t="inlineStr">
        <is>
          <t>JH001-38-34</t>
        </is>
      </c>
      <c r="F113" s="156" t="inlineStr">
        <is>
          <t>38 x 34</t>
        </is>
      </c>
      <c r="G113" s="156" t="inlineStr">
        <is>
          <t>38W / 34L</t>
        </is>
      </c>
      <c r="H113" s="156" t="inlineStr">
        <is>
          <t>Denver</t>
        </is>
      </c>
      <c r="I113" s="156" t="inlineStr">
        <is>
          <t>Pantalon Denver caballero negro lavado</t>
        </is>
      </c>
      <c r="J113" s="156" t="inlineStr">
        <is>
          <t>Denim</t>
        </is>
      </c>
      <c r="K113" s="156" t="inlineStr">
        <is>
          <t>Jeans</t>
        </is>
      </c>
      <c r="L113" s="156" t="inlineStr">
        <is>
          <t>Hombre</t>
        </is>
      </c>
      <c r="M113" s="156" t="inlineStr">
        <is>
          <t>Denver</t>
        </is>
      </c>
      <c r="N113" s="156" t="inlineStr">
        <is>
          <t>SS26</t>
        </is>
      </c>
      <c r="O113" s="156" t="inlineStr">
        <is>
          <t>Core</t>
        </is>
      </c>
      <c r="P113" s="156" t="inlineStr">
        <is>
          <t>Negro</t>
        </is>
      </c>
      <c r="Q113" s="156" t="inlineStr">
        <is>
          <t>Regular</t>
        </is>
      </c>
      <c r="R113" s="156" t="inlineStr">
        <is>
          <t>Recto</t>
        </is>
      </c>
      <c r="S113" s="156" t="inlineStr">
        <is>
          <t>97% Algodón 3% Elastano</t>
        </is>
      </c>
      <c r="T113" s="156" t="inlineStr">
        <is>
          <t>Pantalon Denver caballero negro lavado Regular Recto</t>
        </is>
      </c>
      <c r="U113" s="156" t="inlineStr">
        <is>
          <t>México</t>
        </is>
      </c>
      <c r="V113" s="156" t="inlineStr">
        <is>
          <t>PZS</t>
        </is>
      </c>
      <c r="W113" s="51" t="inlineStr">
        <is>
          <t>53101502</t>
        </is>
      </c>
      <c r="X113" s="156" t="n"/>
      <c r="Y113" s="54" t="n">
        <v>419.25</v>
      </c>
      <c r="Z113" s="54" t="n">
        <v>1033.62069</v>
      </c>
      <c r="AA113" s="55">
        <f>IF(AND(A113="", B113="", E113=""), "", IF(AB113="", "Válido", IF((LEN(AB113)-LEN(SUBSTITUTE(AB113,"; ","")))/2+1&gt;(LEN(AB113)-LEN(SUBSTITUTE(AB113,"[Aviso]","")))/7, "Con Incidencias", "Válido")))</f>
        <v/>
      </c>
      <c r="AB113" s="56">
        <f>IF(AND(A113="", B113="", E113=""), "", TEXTJOIN("; ", TRUE, IF(OR(TRIM(A113&amp;"")="", ISNUMBER(SEARCH("FALTA", A113))), "UPC faltante/inválido", ""), IF(AND(A113&lt;&gt;"", IFERROR(_xlfn.XMATCH(A113,$A$2:$A$204,0,1)&lt;&gt;_xlfn.XMATCH(A113,$A$2:$A$204,0,-1),FALSE)), "Código de barras duplicado", ""), IF(AND(E113&lt;&gt;"", COUNTIF($E$2:$E$204, E113)&gt;1), "SKU duplicado", ""), IF(OR(J113="", J113=""), "[Aviso] División no capturada ()", IF(ISNA(MATCH(J113, Criterios!$A$123:$A$126, 0)), "División no válida", "")), IF(OR(K113="", K113=""), "[Aviso] Categoría no capturada ()", IF(ISNA(MATCH(K113, Criterios!$A$81:$A$120, 0)), "Categoría no válida", IF(AND(J113&lt;&gt;"", J113&lt;&gt;"", J113&lt;&gt;VLOOKUP(K113, Criterios!$A$81:$B$120, 2, FALSE)), "División no coincide con Categoría", ""))), IF(OR(L113="", L113=""), "[Aviso] Género no capturado ()", IF(ISNA(MATCH(L113, Criterios!$B$123:$B$127, 0)), "Género no válido", "")), IF(OR(N113="", N113=""), "[Aviso] Temporada no capturada ()", IF(ISNA(MATCH(N113, Criterios!$C$123:$C$128, 0)), "Temporada no válida", "")), IF(OR(O113="", O113=""), "[Aviso] Ciclo de vida no capturado ()", IF(ISNA(MATCH(O113, Criterios!$D$123:$D$124, 0)), "Ciclo de vida no válido", ""))))</f>
        <v/>
      </c>
      <c r="AC113" s="56" t="n"/>
      <c r="AD113" s="51" t="n">
        <v>2</v>
      </c>
      <c r="AE113" s="156" t="inlineStr">
        <is>
          <t>WB OUTLET LERMA: 2</t>
        </is>
      </c>
      <c r="AF113" s="51" t="n">
        <v>2</v>
      </c>
      <c r="AG113" s="156" t="inlineStr">
        <is>
          <t>Nuevo – NetSuite con existencia</t>
        </is>
      </c>
      <c r="AH113" s="156" t="inlineStr">
        <is>
          <t>Revisión 29/09/2026: Talla fuente 38 x 34 sin equivalencia exacta en Criterios para Cintura Jean + Largo Jean;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13" s="156" t="inlineStr">
        <is>
          <t>No</t>
        </is>
      </c>
      <c r="AJ113" s="156" t="n"/>
      <c r="AK113" s="155" t="inlineStr">
        <is>
          <t>ProductosCatalogoEstandar907.xlsx: fila 5164 [N,O,Q,R,S,U,Y]; G1522_Extraccion_Articulos_NetSuite_2026-09-30.xlsx: fila 56720 [P,V,Y,T] | Shopify WB: producto 8569960595641 / variante 47621323980985</t>
        </is>
      </c>
      <c r="AL113" s="58" t="n">
        <v>419.25</v>
      </c>
      <c r="AM113" s="58" t="n">
        <v>1199.0000004</v>
      </c>
      <c r="AN113" s="155" t="inlineStr">
        <is>
          <t>Shopify Western Brothers</t>
        </is>
      </c>
      <c r="AO113" s="59" t="n"/>
      <c r="AP113" s="59" t="n">
        <v>2</v>
      </c>
      <c r="AQ113" s="59" t="n"/>
      <c r="AR113" s="155" t="inlineStr">
        <is>
          <t>Shopify Western Brothers › Western Brothers Outlet Lerma: 2</t>
        </is>
      </c>
    </row>
    <row r="114">
      <c r="A114" s="50" t="inlineStr">
        <is>
          <t>7506499570878</t>
        </is>
      </c>
      <c r="B114" s="51" t="inlineStr">
        <is>
          <t>108562</t>
        </is>
      </c>
      <c r="C114" s="156" t="inlineStr">
        <is>
          <t>Multimarca</t>
        </is>
      </c>
      <c r="D114" s="156" t="inlineStr">
        <is>
          <t>JH001</t>
        </is>
      </c>
      <c r="E114" s="156" t="inlineStr">
        <is>
          <t>JH001-40-34</t>
        </is>
      </c>
      <c r="F114" s="156" t="inlineStr">
        <is>
          <t>40 x 34</t>
        </is>
      </c>
      <c r="G114" s="156" t="inlineStr">
        <is>
          <t>40W / 34L</t>
        </is>
      </c>
      <c r="H114" s="156" t="inlineStr">
        <is>
          <t>Denver</t>
        </is>
      </c>
      <c r="I114" s="156" t="inlineStr">
        <is>
          <t>Pantalon Denver caballero negro lavado</t>
        </is>
      </c>
      <c r="J114" s="156" t="inlineStr">
        <is>
          <t>Denim</t>
        </is>
      </c>
      <c r="K114" s="156" t="inlineStr">
        <is>
          <t>Jeans</t>
        </is>
      </c>
      <c r="L114" s="156" t="inlineStr">
        <is>
          <t>Hombre</t>
        </is>
      </c>
      <c r="M114" s="156" t="inlineStr">
        <is>
          <t>Denver</t>
        </is>
      </c>
      <c r="N114" s="156" t="inlineStr">
        <is>
          <t>SS26</t>
        </is>
      </c>
      <c r="O114" s="156" t="inlineStr">
        <is>
          <t>Core</t>
        </is>
      </c>
      <c r="P114" s="156" t="inlineStr">
        <is>
          <t>Negro</t>
        </is>
      </c>
      <c r="Q114" s="156" t="inlineStr">
        <is>
          <t>Regular</t>
        </is>
      </c>
      <c r="R114" s="156" t="inlineStr">
        <is>
          <t>Recto</t>
        </is>
      </c>
      <c r="S114" s="156" t="inlineStr">
        <is>
          <t>97% Algodón 3% Elastano</t>
        </is>
      </c>
      <c r="T114" s="156" t="inlineStr">
        <is>
          <t>Pantalon Denver caballero negro lavado Regular Recto</t>
        </is>
      </c>
      <c r="U114" s="156" t="inlineStr">
        <is>
          <t>México</t>
        </is>
      </c>
      <c r="V114" s="156" t="inlineStr">
        <is>
          <t>PZS</t>
        </is>
      </c>
      <c r="W114" s="51" t="inlineStr">
        <is>
          <t>53101502</t>
        </is>
      </c>
      <c r="X114" s="156" t="n"/>
      <c r="Y114" s="54" t="n">
        <v>419.25</v>
      </c>
      <c r="Z114" s="54" t="n">
        <v>1033.62069</v>
      </c>
      <c r="AA114" s="55">
        <f>IF(AND(A114="", B114="", E114=""), "", IF(AB114="", "Válido", IF((LEN(AB114)-LEN(SUBSTITUTE(AB114,"; ","")))/2+1&gt;(LEN(AB114)-LEN(SUBSTITUTE(AB114,"[Aviso]","")))/7, "Con Incidencias", "Válido")))</f>
        <v/>
      </c>
      <c r="AB114" s="56">
        <f>IF(AND(A114="", B114="", E114=""), "", TEXTJOIN("; ", TRUE, IF(OR(TRIM(A114&amp;"")="", ISNUMBER(SEARCH("FALTA", A114))), "UPC faltante/inválido", ""), IF(AND(A114&lt;&gt;"", IFERROR(_xlfn.XMATCH(A114,$A$2:$A$204,0,1)&lt;&gt;_xlfn.XMATCH(A114,$A$2:$A$204,0,-1),FALSE)), "Código de barras duplicado", ""), IF(AND(E114&lt;&gt;"", COUNTIF($E$2:$E$204, E114)&gt;1), "SKU duplicado", ""), IF(OR(J114="", J114=""), "[Aviso] División no capturada ()", IF(ISNA(MATCH(J114, Criterios!$A$123:$A$126, 0)), "División no válida", "")), IF(OR(K114="", K114=""), "[Aviso] Categoría no capturada ()", IF(ISNA(MATCH(K114, Criterios!$A$81:$A$120, 0)), "Categoría no válida", IF(AND(J114&lt;&gt;"", J114&lt;&gt;"", J114&lt;&gt;VLOOKUP(K114, Criterios!$A$81:$B$120, 2, FALSE)), "División no coincide con Categoría", ""))), IF(OR(L114="", L114=""), "[Aviso] Género no capturado ()", IF(ISNA(MATCH(L114, Criterios!$B$123:$B$127, 0)), "Género no válido", "")), IF(OR(N114="", N114=""), "[Aviso] Temporada no capturada ()", IF(ISNA(MATCH(N114, Criterios!$C$123:$C$128, 0)), "Temporada no válida", "")), IF(OR(O114="", O114=""), "[Aviso] Ciclo de vida no capturado ()", IF(ISNA(MATCH(O114, Criterios!$D$123:$D$124, 0)), "Ciclo de vida no válido", ""))))</f>
        <v/>
      </c>
      <c r="AC114" s="56" t="n"/>
      <c r="AD114" s="51" t="n">
        <v>3</v>
      </c>
      <c r="AE114" s="156" t="inlineStr">
        <is>
          <t>WB OUTLET LERMA: 3</t>
        </is>
      </c>
      <c r="AF114" s="51" t="n">
        <v>3</v>
      </c>
      <c r="AG114" s="156" t="inlineStr">
        <is>
          <t>Nuevo – NetSuite con existencia</t>
        </is>
      </c>
      <c r="AH114" s="156" t="inlineStr">
        <is>
          <t>Revisión 29/09/2026: Talla fuente 40 x 34 sin equivalencia exacta en Criterios para Cintura Jean + Largo Jean;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14" s="156" t="inlineStr">
        <is>
          <t>No</t>
        </is>
      </c>
      <c r="AJ114" s="156" t="n"/>
      <c r="AK114" s="155" t="inlineStr">
        <is>
          <t>ProductosCatalogoEstandar907.xlsx: fila 5165 [N,O,Q,R,S,U,Y]; G1522_Extraccion_Articulos_NetSuite_2026-09-30.xlsx: fila 56721 [P,V,Y,T] | Shopify WB: producto 8569960595641 / variante 47621324013753</t>
        </is>
      </c>
      <c r="AL114" s="58" t="n">
        <v>419.25</v>
      </c>
      <c r="AM114" s="58" t="n">
        <v>1199.0000004</v>
      </c>
      <c r="AN114" s="155" t="inlineStr">
        <is>
          <t>Shopify Western Brothers</t>
        </is>
      </c>
      <c r="AO114" s="59" t="n"/>
      <c r="AP114" s="59" t="n">
        <v>3</v>
      </c>
      <c r="AQ114" s="59" t="n"/>
      <c r="AR114" s="155" t="inlineStr">
        <is>
          <t>Shopify Western Brothers › Western Brothers Outlet Lerma: 3</t>
        </is>
      </c>
    </row>
    <row r="115">
      <c r="A115" s="50" t="inlineStr">
        <is>
          <t>7506499570879</t>
        </is>
      </c>
      <c r="B115" s="51" t="inlineStr">
        <is>
          <t>108563</t>
        </is>
      </c>
      <c r="C115" s="156" t="inlineStr">
        <is>
          <t>Multimarca</t>
        </is>
      </c>
      <c r="D115" s="156" t="inlineStr">
        <is>
          <t>JH001</t>
        </is>
      </c>
      <c r="E115" s="156" t="inlineStr">
        <is>
          <t>JH001-40-30</t>
        </is>
      </c>
      <c r="F115" s="156" t="inlineStr">
        <is>
          <t>40 x 30</t>
        </is>
      </c>
      <c r="G115" s="156" t="inlineStr">
        <is>
          <t>40W / 30L</t>
        </is>
      </c>
      <c r="H115" s="156" t="inlineStr">
        <is>
          <t>Denver</t>
        </is>
      </c>
      <c r="I115" s="156" t="inlineStr">
        <is>
          <t>Pantalon Denver caballero negro lavado</t>
        </is>
      </c>
      <c r="J115" s="156" t="inlineStr">
        <is>
          <t>Denim</t>
        </is>
      </c>
      <c r="K115" s="156" t="inlineStr">
        <is>
          <t>Jeans</t>
        </is>
      </c>
      <c r="L115" s="156" t="inlineStr">
        <is>
          <t>Hombre</t>
        </is>
      </c>
      <c r="M115" s="156" t="inlineStr">
        <is>
          <t>Denver</t>
        </is>
      </c>
      <c r="N115" s="156" t="inlineStr">
        <is>
          <t>SS26</t>
        </is>
      </c>
      <c r="O115" s="156" t="inlineStr">
        <is>
          <t>Core</t>
        </is>
      </c>
      <c r="P115" s="156" t="inlineStr">
        <is>
          <t>Negro</t>
        </is>
      </c>
      <c r="Q115" s="156" t="inlineStr">
        <is>
          <t>Regular</t>
        </is>
      </c>
      <c r="R115" s="156" t="inlineStr">
        <is>
          <t>Recto</t>
        </is>
      </c>
      <c r="S115" s="156" t="inlineStr">
        <is>
          <t>97% Algodón 3% Elastano</t>
        </is>
      </c>
      <c r="T115" s="156" t="inlineStr">
        <is>
          <t>Pantalon Denver caballero negro lavado Regular Recto</t>
        </is>
      </c>
      <c r="U115" s="156" t="inlineStr">
        <is>
          <t>México</t>
        </is>
      </c>
      <c r="V115" s="156" t="inlineStr">
        <is>
          <t>PZS</t>
        </is>
      </c>
      <c r="W115" s="51" t="inlineStr">
        <is>
          <t>53101502</t>
        </is>
      </c>
      <c r="X115" s="156" t="n"/>
      <c r="Y115" s="54" t="n">
        <v>419.25</v>
      </c>
      <c r="Z115" s="54" t="n">
        <v>1033.62069</v>
      </c>
      <c r="AA115" s="55">
        <f>IF(AND(A115="", B115="", E115=""), "", IF(AB115="", "Válido", IF((LEN(AB115)-LEN(SUBSTITUTE(AB115,"; ","")))/2+1&gt;(LEN(AB115)-LEN(SUBSTITUTE(AB115,"[Aviso]","")))/7, "Con Incidencias", "Válido")))</f>
        <v/>
      </c>
      <c r="AB115" s="56">
        <f>IF(AND(A115="", B115="", E115=""), "", TEXTJOIN("; ", TRUE, IF(OR(TRIM(A115&amp;"")="", ISNUMBER(SEARCH("FALTA", A115))), "UPC faltante/inválido", ""), IF(AND(A115&lt;&gt;"", IFERROR(_xlfn.XMATCH(A115,$A$2:$A$204,0,1)&lt;&gt;_xlfn.XMATCH(A115,$A$2:$A$204,0,-1),FALSE)), "Código de barras duplicado", ""), IF(AND(E115&lt;&gt;"", COUNTIF($E$2:$E$204, E115)&gt;1), "SKU duplicado", ""), IF(OR(J115="", J115=""), "[Aviso] División no capturada ()", IF(ISNA(MATCH(J115, Criterios!$A$123:$A$126, 0)), "División no válida", "")), IF(OR(K115="", K115=""), "[Aviso] Categoría no capturada ()", IF(ISNA(MATCH(K115, Criterios!$A$81:$A$120, 0)), "Categoría no válida", IF(AND(J115&lt;&gt;"", J115&lt;&gt;"", J115&lt;&gt;VLOOKUP(K115, Criterios!$A$81:$B$120, 2, FALSE)), "División no coincide con Categoría", ""))), IF(OR(L115="", L115=""), "[Aviso] Género no capturado ()", IF(ISNA(MATCH(L115, Criterios!$B$123:$B$127, 0)), "Género no válido", "")), IF(OR(N115="", N115=""), "[Aviso] Temporada no capturada ()", IF(ISNA(MATCH(N115, Criterios!$C$123:$C$128, 0)), "Temporada no válida", "")), IF(OR(O115="", O115=""), "[Aviso] Ciclo de vida no capturado ()", IF(ISNA(MATCH(O115, Criterios!$D$123:$D$124, 0)), "Ciclo de vida no válido", ""))))</f>
        <v/>
      </c>
      <c r="AC115" s="56" t="n"/>
      <c r="AD115" s="51" t="n">
        <v>4</v>
      </c>
      <c r="AE115" s="156" t="inlineStr">
        <is>
          <t>WB OUTLET LERMA: 4</t>
        </is>
      </c>
      <c r="AF115" s="51" t="n">
        <v>4</v>
      </c>
      <c r="AG115" s="156" t="inlineStr">
        <is>
          <t>Nuevo – NetSuite con existencia</t>
        </is>
      </c>
      <c r="AH115" s="156" t="inlineStr">
        <is>
          <t>Revisión 29/09/2026: Talla fuente 40 x 30 sin equivalencia exacta en Criterios para Cintura Jean + Largo Jean; Campos sin respaldo: X; Auditoría NetSuite 30/09/2026: llenado desde NetSuite [P,V,Y,T] | 01/10/2026: Shopify Western Brothers trae Categoría «Pantalones» — se conservó el valor de Productos</t>
        </is>
      </c>
      <c r="AI115" s="156" t="inlineStr">
        <is>
          <t>No</t>
        </is>
      </c>
      <c r="AJ115" s="156" t="n"/>
      <c r="AK115" s="155" t="inlineStr">
        <is>
          <t>ProductosCatalogoEstandar907.xlsx: fila 5166 [N,O,Q,R,S,U,Y]; G1522_Extraccion_Articulos_NetSuite_2026-09-30.xlsx: fila 56722 [P,V,Y,T] | Shopify WB: producto 8569960595641 / variante 47621324046521</t>
        </is>
      </c>
      <c r="AL115" s="58" t="n">
        <v>419.25</v>
      </c>
      <c r="AM115" s="58" t="n">
        <v>1199.0000004</v>
      </c>
      <c r="AN115" s="155" t="inlineStr">
        <is>
          <t>Shopify Western Brothers</t>
        </is>
      </c>
      <c r="AO115" s="59" t="n"/>
      <c r="AP115" s="59" t="n">
        <v>4</v>
      </c>
      <c r="AQ115" s="59" t="n"/>
      <c r="AR115" s="155" t="inlineStr">
        <is>
          <t>Shopify Western Brothers › Western Brothers Outlet Lerma: 4</t>
        </is>
      </c>
    </row>
    <row r="116">
      <c r="A116" s="50" t="inlineStr">
        <is>
          <t>7506499570880</t>
        </is>
      </c>
      <c r="B116" s="51" t="inlineStr">
        <is>
          <t>108564</t>
        </is>
      </c>
      <c r="C116" s="156" t="inlineStr">
        <is>
          <t>Multimarca</t>
        </is>
      </c>
      <c r="D116" s="156" t="inlineStr">
        <is>
          <t>JH003</t>
        </is>
      </c>
      <c r="E116" s="156" t="inlineStr">
        <is>
          <t>JH003-28-34</t>
        </is>
      </c>
      <c r="F116" s="156" t="inlineStr">
        <is>
          <t>28 x 34</t>
        </is>
      </c>
      <c r="G116" s="156" t="inlineStr">
        <is>
          <t>28W / 34L</t>
        </is>
      </c>
      <c r="H116" s="156" t="inlineStr">
        <is>
          <t>Denver</t>
        </is>
      </c>
      <c r="I116" s="156" t="inlineStr">
        <is>
          <t>Pantalon Denver caballero azul cielo</t>
        </is>
      </c>
      <c r="J116" s="156" t="inlineStr">
        <is>
          <t>Denim</t>
        </is>
      </c>
      <c r="K116" s="156" t="inlineStr">
        <is>
          <t>Jeans</t>
        </is>
      </c>
      <c r="L116" s="156" t="inlineStr">
        <is>
          <t>Hombre</t>
        </is>
      </c>
      <c r="M116" s="156" t="inlineStr">
        <is>
          <t>Denver</t>
        </is>
      </c>
      <c r="N116" s="156" t="inlineStr">
        <is>
          <t>SS26</t>
        </is>
      </c>
      <c r="O116" s="156" t="inlineStr">
        <is>
          <t>Core</t>
        </is>
      </c>
      <c r="P116" s="156" t="inlineStr">
        <is>
          <t>Azul</t>
        </is>
      </c>
      <c r="Q116" s="156" t="inlineStr">
        <is>
          <t>Slim</t>
        </is>
      </c>
      <c r="R116" s="156" t="inlineStr">
        <is>
          <t>Recto</t>
        </is>
      </c>
      <c r="S116" s="156" t="inlineStr">
        <is>
          <t>97% Algodón 3% Elastano</t>
        </is>
      </c>
      <c r="T116" s="156" t="inlineStr">
        <is>
          <t>Pantalon Denver caballero azul cielo Fitted Recto</t>
        </is>
      </c>
      <c r="U116" s="156" t="inlineStr">
        <is>
          <t>México</t>
        </is>
      </c>
      <c r="V116" s="156" t="inlineStr">
        <is>
          <t>PZS</t>
        </is>
      </c>
      <c r="W116" s="51" t="inlineStr">
        <is>
          <t>53101502</t>
        </is>
      </c>
      <c r="X116" s="156" t="n"/>
      <c r="Y116" s="54" t="n">
        <v>396.75</v>
      </c>
      <c r="Z116" s="54" t="n">
        <v>1033.62069</v>
      </c>
      <c r="AA116" s="55">
        <f>IF(AND(A116="", B116="", E116=""), "", IF(AB116="", "Válido", IF((LEN(AB116)-LEN(SUBSTITUTE(AB116,"; ","")))/2+1&gt;(LEN(AB116)-LEN(SUBSTITUTE(AB116,"[Aviso]","")))/7, "Con Incidencias", "Válido")))</f>
        <v/>
      </c>
      <c r="AB116" s="56">
        <f>IF(AND(A116="", B116="", E116=""), "", TEXTJOIN("; ", TRUE, IF(OR(TRIM(A116&amp;"")="", ISNUMBER(SEARCH("FALTA", A116))), "UPC faltante/inválido", ""), IF(AND(A116&lt;&gt;"", IFERROR(_xlfn.XMATCH(A116,$A$2:$A$204,0,1)&lt;&gt;_xlfn.XMATCH(A116,$A$2:$A$204,0,-1),FALSE)), "Código de barras duplicado", ""), IF(AND(E116&lt;&gt;"", COUNTIF($E$2:$E$204, E116)&gt;1), "SKU duplicado", ""), IF(OR(J116="", J116=""), "[Aviso] División no capturada ()", IF(ISNA(MATCH(J116, Criterios!$A$123:$A$126, 0)), "División no válida", "")), IF(OR(K116="", K116=""), "[Aviso] Categoría no capturada ()", IF(ISNA(MATCH(K116, Criterios!$A$81:$A$120, 0)), "Categoría no válida", IF(AND(J116&lt;&gt;"", J116&lt;&gt;"", J116&lt;&gt;VLOOKUP(K116, Criterios!$A$81:$B$120, 2, FALSE)), "División no coincide con Categoría", ""))), IF(OR(L116="", L116=""), "[Aviso] Género no capturado ()", IF(ISNA(MATCH(L116, Criterios!$B$123:$B$127, 0)), "Género no válido", "")), IF(OR(N116="", N116=""), "[Aviso] Temporada no capturada ()", IF(ISNA(MATCH(N116, Criterios!$C$123:$C$128, 0)), "Temporada no válida", "")), IF(OR(O116="", O116=""), "[Aviso] Ciclo de vida no capturado ()", IF(ISNA(MATCH(O116, Criterios!$D$123:$D$124, 0)), "Ciclo de vida no válido", ""))))</f>
        <v/>
      </c>
      <c r="AC116" s="56" t="n"/>
      <c r="AD116" s="51" t="n">
        <v>3</v>
      </c>
      <c r="AE116" s="156" t="inlineStr">
        <is>
          <t>WB OUTLET LERMA: 3</t>
        </is>
      </c>
      <c r="AF116" s="51" t="n">
        <v>3</v>
      </c>
      <c r="AG116" s="156" t="inlineStr">
        <is>
          <t>Nuevo – NetSuite con existencia</t>
        </is>
      </c>
      <c r="AH116" s="156" t="inlineStr">
        <is>
          <t>Revisión 29/09/2026: Talla fuente 28 x 34 sin equivalencia exacta en Criterios para Cintura Jean + Largo Jean;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16" s="156" t="inlineStr">
        <is>
          <t>No</t>
        </is>
      </c>
      <c r="AJ116" s="156" t="n"/>
      <c r="AK116" s="155" t="inlineStr">
        <is>
          <t>ProductosCatalogoEstandar907.xlsx: fila 5167 [N,O,Q,R,S,U,Y]; G1522_Extraccion_Articulos_NetSuite_2026-09-30.xlsx: fila 56723 [P,V,Y,T] | Shopify WB: producto 8569960792249 / variante 47621324308665</t>
        </is>
      </c>
      <c r="AL116" s="58" t="n">
        <v>396.75</v>
      </c>
      <c r="AM116" s="58" t="n">
        <v>1199.0000004</v>
      </c>
      <c r="AN116" s="155" t="inlineStr">
        <is>
          <t>Shopify Western Brothers</t>
        </is>
      </c>
      <c r="AO116" s="59" t="n"/>
      <c r="AP116" s="59" t="n">
        <v>3</v>
      </c>
      <c r="AQ116" s="59" t="n"/>
      <c r="AR116" s="155" t="inlineStr">
        <is>
          <t>Shopify Western Brothers › Western Brothers Outlet Lerma: 3</t>
        </is>
      </c>
    </row>
    <row r="117">
      <c r="A117" s="50" t="inlineStr">
        <is>
          <t>7506499570881</t>
        </is>
      </c>
      <c r="B117" s="51" t="inlineStr">
        <is>
          <t>108565</t>
        </is>
      </c>
      <c r="C117" s="156" t="inlineStr">
        <is>
          <t>Multimarca</t>
        </is>
      </c>
      <c r="D117" s="156" t="inlineStr">
        <is>
          <t>JH003</t>
        </is>
      </c>
      <c r="E117" s="156" t="inlineStr">
        <is>
          <t>JH003-30-34</t>
        </is>
      </c>
      <c r="F117" s="156" t="inlineStr">
        <is>
          <t>30 x 34</t>
        </is>
      </c>
      <c r="G117" s="156" t="inlineStr">
        <is>
          <t>30W / 34L</t>
        </is>
      </c>
      <c r="H117" s="156" t="inlineStr">
        <is>
          <t>Denver</t>
        </is>
      </c>
      <c r="I117" s="156" t="inlineStr">
        <is>
          <t>Pantalon Denver caballero azul cielo</t>
        </is>
      </c>
      <c r="J117" s="156" t="inlineStr">
        <is>
          <t>Denim</t>
        </is>
      </c>
      <c r="K117" s="156" t="inlineStr">
        <is>
          <t>Jeans</t>
        </is>
      </c>
      <c r="L117" s="156" t="inlineStr">
        <is>
          <t>Hombre</t>
        </is>
      </c>
      <c r="M117" s="156" t="inlineStr">
        <is>
          <t>Denver</t>
        </is>
      </c>
      <c r="N117" s="156" t="inlineStr">
        <is>
          <t>SS26</t>
        </is>
      </c>
      <c r="O117" s="156" t="inlineStr">
        <is>
          <t>Core</t>
        </is>
      </c>
      <c r="P117" s="156" t="inlineStr">
        <is>
          <t>Azul</t>
        </is>
      </c>
      <c r="Q117" s="156" t="inlineStr">
        <is>
          <t>Slim</t>
        </is>
      </c>
      <c r="R117" s="156" t="inlineStr">
        <is>
          <t>Recto</t>
        </is>
      </c>
      <c r="S117" s="156" t="inlineStr">
        <is>
          <t>97% Algodón 3% Elastano</t>
        </is>
      </c>
      <c r="T117" s="156" t="inlineStr">
        <is>
          <t>Pantalon Denver caballero azul cielo Fitted Recto</t>
        </is>
      </c>
      <c r="U117" s="156" t="inlineStr">
        <is>
          <t>México</t>
        </is>
      </c>
      <c r="V117" s="156" t="inlineStr">
        <is>
          <t>PZS</t>
        </is>
      </c>
      <c r="W117" s="51" t="inlineStr">
        <is>
          <t>53101502</t>
        </is>
      </c>
      <c r="X117" s="156" t="n"/>
      <c r="Y117" s="54" t="n">
        <v>396.75</v>
      </c>
      <c r="Z117" s="54" t="n">
        <v>1033.62069</v>
      </c>
      <c r="AA117" s="55">
        <f>IF(AND(A117="", B117="", E117=""), "", IF(AB117="", "Válido", IF((LEN(AB117)-LEN(SUBSTITUTE(AB117,"; ","")))/2+1&gt;(LEN(AB117)-LEN(SUBSTITUTE(AB117,"[Aviso]","")))/7, "Con Incidencias", "Válido")))</f>
        <v/>
      </c>
      <c r="AB117" s="56">
        <f>IF(AND(A117="", B117="", E117=""), "", TEXTJOIN("; ", TRUE, IF(OR(TRIM(A117&amp;"")="", ISNUMBER(SEARCH("FALTA", A117))), "UPC faltante/inválido", ""), IF(AND(A117&lt;&gt;"", IFERROR(_xlfn.XMATCH(A117,$A$2:$A$204,0,1)&lt;&gt;_xlfn.XMATCH(A117,$A$2:$A$204,0,-1),FALSE)), "Código de barras duplicado", ""), IF(AND(E117&lt;&gt;"", COUNTIF($E$2:$E$204, E117)&gt;1), "SKU duplicado", ""), IF(OR(J117="", J117=""), "[Aviso] División no capturada ()", IF(ISNA(MATCH(J117, Criterios!$A$123:$A$126, 0)), "División no válida", "")), IF(OR(K117="", K117=""), "[Aviso] Categoría no capturada ()", IF(ISNA(MATCH(K117, Criterios!$A$81:$A$120, 0)), "Categoría no válida", IF(AND(J117&lt;&gt;"", J117&lt;&gt;"", J117&lt;&gt;VLOOKUP(K117, Criterios!$A$81:$B$120, 2, FALSE)), "División no coincide con Categoría", ""))), IF(OR(L117="", L117=""), "[Aviso] Género no capturado ()", IF(ISNA(MATCH(L117, Criterios!$B$123:$B$127, 0)), "Género no válido", "")), IF(OR(N117="", N117=""), "[Aviso] Temporada no capturada ()", IF(ISNA(MATCH(N117, Criterios!$C$123:$C$128, 0)), "Temporada no válida", "")), IF(OR(O117="", O117=""), "[Aviso] Ciclo de vida no capturado ()", IF(ISNA(MATCH(O117, Criterios!$D$123:$D$124, 0)), "Ciclo de vida no válido", ""))))</f>
        <v/>
      </c>
      <c r="AC117" s="56" t="n"/>
      <c r="AD117" s="51" t="n">
        <v>4</v>
      </c>
      <c r="AE117" s="156" t="inlineStr">
        <is>
          <t>WB OUTLET LERMA: 4</t>
        </is>
      </c>
      <c r="AF117" s="51" t="n">
        <v>4</v>
      </c>
      <c r="AG117" s="156" t="inlineStr">
        <is>
          <t>Nuevo – NetSuite con existencia</t>
        </is>
      </c>
      <c r="AH117" s="156" t="inlineStr">
        <is>
          <t>Revisión 29/09/2026: Talla fuente 30 x 34 sin equivalencia exacta en Criterios para Cintura Jean + Largo Jean;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17" s="156" t="inlineStr">
        <is>
          <t>No</t>
        </is>
      </c>
      <c r="AJ117" s="156" t="n"/>
      <c r="AK117" s="155" t="inlineStr">
        <is>
          <t>ProductosCatalogoEstandar907.xlsx: fila 5168 [N,O,Q,R,S,U,Y]; G1522_Extraccion_Articulos_NetSuite_2026-09-30.xlsx: fila 56724 [P,V,Y,T] | Shopify WB: producto 8569960792249 / variante 47621324341433</t>
        </is>
      </c>
      <c r="AL117" s="58" t="n">
        <v>396.75</v>
      </c>
      <c r="AM117" s="58" t="n">
        <v>1199.0000004</v>
      </c>
      <c r="AN117" s="155" t="inlineStr">
        <is>
          <t>Shopify Western Brothers</t>
        </is>
      </c>
      <c r="AO117" s="59" t="n"/>
      <c r="AP117" s="59" t="n">
        <v>4</v>
      </c>
      <c r="AQ117" s="59" t="n"/>
      <c r="AR117" s="155" t="inlineStr">
        <is>
          <t>Shopify Western Brothers › Western Brothers Outlet Lerma: 4</t>
        </is>
      </c>
    </row>
    <row r="118">
      <c r="A118" s="50" t="inlineStr">
        <is>
          <t>7506499570882</t>
        </is>
      </c>
      <c r="B118" s="51" t="inlineStr">
        <is>
          <t>108566</t>
        </is>
      </c>
      <c r="C118" s="156" t="inlineStr">
        <is>
          <t>Multimarca</t>
        </is>
      </c>
      <c r="D118" s="156" t="inlineStr">
        <is>
          <t>JH003</t>
        </is>
      </c>
      <c r="E118" s="156" t="inlineStr">
        <is>
          <t>JH003-32-34</t>
        </is>
      </c>
      <c r="F118" s="156" t="inlineStr">
        <is>
          <t>32 x 34</t>
        </is>
      </c>
      <c r="G118" s="156" t="inlineStr">
        <is>
          <t>32W / 34L</t>
        </is>
      </c>
      <c r="H118" s="156" t="inlineStr">
        <is>
          <t>Denver</t>
        </is>
      </c>
      <c r="I118" s="156" t="inlineStr">
        <is>
          <t>Pantalon Denver caballero azul cielo</t>
        </is>
      </c>
      <c r="J118" s="156" t="inlineStr">
        <is>
          <t>Denim</t>
        </is>
      </c>
      <c r="K118" s="156" t="inlineStr">
        <is>
          <t>Jeans</t>
        </is>
      </c>
      <c r="L118" s="156" t="inlineStr">
        <is>
          <t>Hombre</t>
        </is>
      </c>
      <c r="M118" s="156" t="inlineStr">
        <is>
          <t>Denver</t>
        </is>
      </c>
      <c r="N118" s="156" t="inlineStr">
        <is>
          <t>SS26</t>
        </is>
      </c>
      <c r="O118" s="156" t="inlineStr">
        <is>
          <t>Core</t>
        </is>
      </c>
      <c r="P118" s="156" t="inlineStr">
        <is>
          <t>Azul</t>
        </is>
      </c>
      <c r="Q118" s="156" t="inlineStr">
        <is>
          <t>Slim</t>
        </is>
      </c>
      <c r="R118" s="156" t="inlineStr">
        <is>
          <t>Recto</t>
        </is>
      </c>
      <c r="S118" s="156" t="inlineStr">
        <is>
          <t>97% Algodón 3% Elastano</t>
        </is>
      </c>
      <c r="T118" s="156" t="inlineStr">
        <is>
          <t>Pantalon Denver caballero azul cielo Fitted Recto</t>
        </is>
      </c>
      <c r="U118" s="156" t="inlineStr">
        <is>
          <t>México</t>
        </is>
      </c>
      <c r="V118" s="156" t="inlineStr">
        <is>
          <t>PZS</t>
        </is>
      </c>
      <c r="W118" s="51" t="inlineStr">
        <is>
          <t>53101502</t>
        </is>
      </c>
      <c r="X118" s="156" t="n"/>
      <c r="Y118" s="54" t="n">
        <v>396.75</v>
      </c>
      <c r="Z118" s="54" t="n">
        <v>1033.62069</v>
      </c>
      <c r="AA118" s="55">
        <f>IF(AND(A118="", B118="", E118=""), "", IF(AB118="", "Válido", IF((LEN(AB118)-LEN(SUBSTITUTE(AB118,"; ","")))/2+1&gt;(LEN(AB118)-LEN(SUBSTITUTE(AB118,"[Aviso]","")))/7, "Con Incidencias", "Válido")))</f>
        <v/>
      </c>
      <c r="AB118" s="56">
        <f>IF(AND(A118="", B118="", E118=""), "", TEXTJOIN("; ", TRUE, IF(OR(TRIM(A118&amp;"")="", ISNUMBER(SEARCH("FALTA", A118))), "UPC faltante/inválido", ""), IF(AND(A118&lt;&gt;"", IFERROR(_xlfn.XMATCH(A118,$A$2:$A$204,0,1)&lt;&gt;_xlfn.XMATCH(A118,$A$2:$A$204,0,-1),FALSE)), "Código de barras duplicado", ""), IF(AND(E118&lt;&gt;"", COUNTIF($E$2:$E$204, E118)&gt;1), "SKU duplicado", ""), IF(OR(J118="", J118=""), "[Aviso] División no capturada ()", IF(ISNA(MATCH(J118, Criterios!$A$123:$A$126, 0)), "División no válida", "")), IF(OR(K118="", K118=""), "[Aviso] Categoría no capturada ()", IF(ISNA(MATCH(K118, Criterios!$A$81:$A$120, 0)), "Categoría no válida", IF(AND(J118&lt;&gt;"", J118&lt;&gt;"", J118&lt;&gt;VLOOKUP(K118, Criterios!$A$81:$B$120, 2, FALSE)), "División no coincide con Categoría", ""))), IF(OR(L118="", L118=""), "[Aviso] Género no capturado ()", IF(ISNA(MATCH(L118, Criterios!$B$123:$B$127, 0)), "Género no válido", "")), IF(OR(N118="", N118=""), "[Aviso] Temporada no capturada ()", IF(ISNA(MATCH(N118, Criterios!$C$123:$C$128, 0)), "Temporada no válida", "")), IF(OR(O118="", O118=""), "[Aviso] Ciclo de vida no capturado ()", IF(ISNA(MATCH(O118, Criterios!$D$123:$D$124, 0)), "Ciclo de vida no válido", ""))))</f>
        <v/>
      </c>
      <c r="AC118" s="56" t="n"/>
      <c r="AD118" s="51" t="n">
        <v>4</v>
      </c>
      <c r="AE118" s="156" t="inlineStr">
        <is>
          <t>WB OUTLET LERMA: 4</t>
        </is>
      </c>
      <c r="AF118" s="51" t="n">
        <v>4</v>
      </c>
      <c r="AG118" s="156" t="inlineStr">
        <is>
          <t>Nuevo – NetSuite con existencia</t>
        </is>
      </c>
      <c r="AH118" s="156" t="inlineStr">
        <is>
          <t>Revisión 29/09/2026: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18" s="156" t="inlineStr">
        <is>
          <t>No</t>
        </is>
      </c>
      <c r="AJ118" s="156" t="n"/>
      <c r="AK118" s="155" t="inlineStr">
        <is>
          <t>ProductosCatalogoEstandar907.xlsx: fila 5169 [N,O,Q,R,S,U,Y]; G1522_Extraccion_Articulos_NetSuite_2026-09-30.xlsx: fila 56725 [P,V,Y,T] | Shopify WB: producto 8569960792249 / variante 47621324374201</t>
        </is>
      </c>
      <c r="AL118" s="58" t="n">
        <v>396.75</v>
      </c>
      <c r="AM118" s="58" t="n">
        <v>1199.0000004</v>
      </c>
      <c r="AN118" s="155" t="inlineStr">
        <is>
          <t>Shopify Western Brothers</t>
        </is>
      </c>
      <c r="AO118" s="59" t="n"/>
      <c r="AP118" s="59" t="n">
        <v>4</v>
      </c>
      <c r="AQ118" s="59" t="n"/>
      <c r="AR118" s="155" t="inlineStr">
        <is>
          <t>Shopify Western Brothers › Western Brothers Outlet Lerma: 4</t>
        </is>
      </c>
    </row>
    <row r="119">
      <c r="A119" s="50" t="inlineStr">
        <is>
          <t>7506499570884</t>
        </is>
      </c>
      <c r="B119" s="51" t="inlineStr">
        <is>
          <t>108568</t>
        </is>
      </c>
      <c r="C119" s="156" t="inlineStr">
        <is>
          <t>Multimarca</t>
        </is>
      </c>
      <c r="D119" s="156" t="inlineStr">
        <is>
          <t>JH004</t>
        </is>
      </c>
      <c r="E119" s="156" t="inlineStr">
        <is>
          <t>JH004-28-34</t>
        </is>
      </c>
      <c r="F119" s="156" t="inlineStr">
        <is>
          <t>28 x 34</t>
        </is>
      </c>
      <c r="G119" s="156" t="inlineStr">
        <is>
          <t>28W / 34L</t>
        </is>
      </c>
      <c r="H119" s="156" t="inlineStr">
        <is>
          <t>Denver</t>
        </is>
      </c>
      <c r="I119" s="156" t="inlineStr">
        <is>
          <t>Pantalon Denver caballero azul recto</t>
        </is>
      </c>
      <c r="J119" s="156" t="inlineStr">
        <is>
          <t>Denim</t>
        </is>
      </c>
      <c r="K119" s="156" t="inlineStr">
        <is>
          <t>Jeans</t>
        </is>
      </c>
      <c r="L119" s="156" t="inlineStr">
        <is>
          <t>Hombre</t>
        </is>
      </c>
      <c r="M119" s="156" t="inlineStr">
        <is>
          <t>Denver</t>
        </is>
      </c>
      <c r="N119" s="156" t="inlineStr">
        <is>
          <t>SS26</t>
        </is>
      </c>
      <c r="O119" s="156" t="inlineStr">
        <is>
          <t>Core</t>
        </is>
      </c>
      <c r="P119" s="156" t="inlineStr">
        <is>
          <t>Azul</t>
        </is>
      </c>
      <c r="Q119" s="156" t="inlineStr">
        <is>
          <t>Slim</t>
        </is>
      </c>
      <c r="R119" s="156" t="inlineStr">
        <is>
          <t>Recto</t>
        </is>
      </c>
      <c r="S119" s="156" t="inlineStr">
        <is>
          <t>97% Algodón 3% Elastano</t>
        </is>
      </c>
      <c r="T119" s="156" t="inlineStr">
        <is>
          <t>Pantalon Denver caballero azul recto Fitted Recto</t>
        </is>
      </c>
      <c r="U119" s="156" t="inlineStr">
        <is>
          <t>México</t>
        </is>
      </c>
      <c r="V119" s="156" t="inlineStr">
        <is>
          <t>PZS</t>
        </is>
      </c>
      <c r="W119" s="51" t="inlineStr">
        <is>
          <t>53101502</t>
        </is>
      </c>
      <c r="X119" s="156" t="n"/>
      <c r="Y119" s="54" t="n">
        <v>396.75</v>
      </c>
      <c r="Z119" s="54" t="n">
        <v>1033.62069</v>
      </c>
      <c r="AA119" s="55">
        <f>IF(AND(A119="", B119="", E119=""), "", IF(AB119="", "Válido", IF((LEN(AB119)-LEN(SUBSTITUTE(AB119,"; ","")))/2+1&gt;(LEN(AB119)-LEN(SUBSTITUTE(AB119,"[Aviso]","")))/7, "Con Incidencias", "Válido")))</f>
        <v/>
      </c>
      <c r="AB119" s="56">
        <f>IF(AND(A119="", B119="", E119=""), "", TEXTJOIN("; ", TRUE, IF(OR(TRIM(A119&amp;"")="", ISNUMBER(SEARCH("FALTA", A119))), "UPC faltante/inválido", ""), IF(AND(A119&lt;&gt;"", IFERROR(_xlfn.XMATCH(A119,$A$2:$A$204,0,1)&lt;&gt;_xlfn.XMATCH(A119,$A$2:$A$204,0,-1),FALSE)), "Código de barras duplicado", ""), IF(AND(E119&lt;&gt;"", COUNTIF($E$2:$E$204, E119)&gt;1), "SKU duplicado", ""), IF(OR(J119="", J119=""), "[Aviso] División no capturada ()", IF(ISNA(MATCH(J119, Criterios!$A$123:$A$126, 0)), "División no válida", "")), IF(OR(K119="", K119=""), "[Aviso] Categoría no capturada ()", IF(ISNA(MATCH(K119, Criterios!$A$81:$A$120, 0)), "Categoría no válida", IF(AND(J119&lt;&gt;"", J119&lt;&gt;"", J119&lt;&gt;VLOOKUP(K119, Criterios!$A$81:$B$120, 2, FALSE)), "División no coincide con Categoría", ""))), IF(OR(L119="", L119=""), "[Aviso] Género no capturado ()", IF(ISNA(MATCH(L119, Criterios!$B$123:$B$127, 0)), "Género no válido", "")), IF(OR(N119="", N119=""), "[Aviso] Temporada no capturada ()", IF(ISNA(MATCH(N119, Criterios!$C$123:$C$128, 0)), "Temporada no válida", "")), IF(OR(O119="", O119=""), "[Aviso] Ciclo de vida no capturado ()", IF(ISNA(MATCH(O119, Criterios!$D$123:$D$124, 0)), "Ciclo de vida no válido", ""))))</f>
        <v/>
      </c>
      <c r="AC119" s="56" t="n"/>
      <c r="AD119" s="51" t="n">
        <v>1</v>
      </c>
      <c r="AE119" s="156" t="inlineStr">
        <is>
          <t>WB OUTLET LERMA: 1</t>
        </is>
      </c>
      <c r="AF119" s="51" t="n">
        <v>1</v>
      </c>
      <c r="AG119" s="156" t="inlineStr">
        <is>
          <t>Nuevo – NetSuite con existencia</t>
        </is>
      </c>
      <c r="AH119" s="156" t="inlineStr">
        <is>
          <t>Revisión 29/09/2026: Talla fuente 28 x 34 sin equivalencia exacta en Criterios para Cintura Jean + Largo Jean;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19" s="156" t="inlineStr">
        <is>
          <t>No</t>
        </is>
      </c>
      <c r="AJ119" s="156" t="n"/>
      <c r="AK119" s="155" t="inlineStr">
        <is>
          <t>ProductosCatalogoEstandar907.xlsx: fila 5170 [N,O,Q,R,S,U,Y]; G1522_Extraccion_Articulos_NetSuite_2026-09-30.xlsx: fila 56727 [P,V,Y,T] | Shopify WB: producto 8569960890553 / variante 47621324505273</t>
        </is>
      </c>
      <c r="AL119" s="58" t="n">
        <v>396.75</v>
      </c>
      <c r="AM119" s="58" t="n">
        <v>1199.0000004</v>
      </c>
      <c r="AN119" s="155" t="inlineStr">
        <is>
          <t>Shopify Western Brothers</t>
        </is>
      </c>
      <c r="AO119" s="59" t="n"/>
      <c r="AP119" s="59" t="n">
        <v>1</v>
      </c>
      <c r="AQ119" s="59" t="n"/>
      <c r="AR119" s="155" t="inlineStr">
        <is>
          <t>Shopify Western Brothers › Western Brothers Outlet Lerma: 1</t>
        </is>
      </c>
    </row>
    <row r="120">
      <c r="A120" s="50" t="inlineStr">
        <is>
          <t>7506499570885</t>
        </is>
      </c>
      <c r="B120" s="51" t="inlineStr">
        <is>
          <t>108569</t>
        </is>
      </c>
      <c r="C120" s="156" t="inlineStr">
        <is>
          <t>Multimarca</t>
        </is>
      </c>
      <c r="D120" s="156" t="inlineStr">
        <is>
          <t>JH004</t>
        </is>
      </c>
      <c r="E120" s="156" t="inlineStr">
        <is>
          <t>JH004-32-34</t>
        </is>
      </c>
      <c r="F120" s="156" t="inlineStr">
        <is>
          <t>32 x 34</t>
        </is>
      </c>
      <c r="G120" s="156" t="inlineStr">
        <is>
          <t>32W / 34L</t>
        </is>
      </c>
      <c r="H120" s="156" t="inlineStr">
        <is>
          <t>Denver</t>
        </is>
      </c>
      <c r="I120" s="156" t="inlineStr">
        <is>
          <t>Pantalon Denver caballero azul recto</t>
        </is>
      </c>
      <c r="J120" s="156" t="inlineStr">
        <is>
          <t>Denim</t>
        </is>
      </c>
      <c r="K120" s="156" t="inlineStr">
        <is>
          <t>Jeans</t>
        </is>
      </c>
      <c r="L120" s="156" t="inlineStr">
        <is>
          <t>Hombre</t>
        </is>
      </c>
      <c r="M120" s="156" t="inlineStr">
        <is>
          <t>Denver</t>
        </is>
      </c>
      <c r="N120" s="156" t="inlineStr">
        <is>
          <t>SS26</t>
        </is>
      </c>
      <c r="O120" s="156" t="inlineStr">
        <is>
          <t>Core</t>
        </is>
      </c>
      <c r="P120" s="156" t="inlineStr">
        <is>
          <t>Azul</t>
        </is>
      </c>
      <c r="Q120" s="156" t="inlineStr">
        <is>
          <t>Slim</t>
        </is>
      </c>
      <c r="R120" s="156" t="inlineStr">
        <is>
          <t>Recto</t>
        </is>
      </c>
      <c r="S120" s="156" t="inlineStr">
        <is>
          <t>97% Algodón 3% Elastano</t>
        </is>
      </c>
      <c r="T120" s="156" t="inlineStr">
        <is>
          <t>Pantalon Denver caballero azul recto Fitted Recto</t>
        </is>
      </c>
      <c r="U120" s="156" t="inlineStr">
        <is>
          <t>México</t>
        </is>
      </c>
      <c r="V120" s="156" t="inlineStr">
        <is>
          <t>PZS</t>
        </is>
      </c>
      <c r="W120" s="51" t="inlineStr">
        <is>
          <t>53101502</t>
        </is>
      </c>
      <c r="X120" s="156" t="n"/>
      <c r="Y120" s="54" t="n">
        <v>396.75</v>
      </c>
      <c r="Z120" s="54" t="n">
        <v>1033.62069</v>
      </c>
      <c r="AA120" s="55">
        <f>IF(AND(A120="", B120="", E120=""), "", IF(AB120="", "Válido", IF((LEN(AB120)-LEN(SUBSTITUTE(AB120,"; ","")))/2+1&gt;(LEN(AB120)-LEN(SUBSTITUTE(AB120,"[Aviso]","")))/7, "Con Incidencias", "Válido")))</f>
        <v/>
      </c>
      <c r="AB120" s="56">
        <f>IF(AND(A120="", B120="", E120=""), "", TEXTJOIN("; ", TRUE, IF(OR(TRIM(A120&amp;"")="", ISNUMBER(SEARCH("FALTA", A120))), "UPC faltante/inválido", ""), IF(AND(A120&lt;&gt;"", IFERROR(_xlfn.XMATCH(A120,$A$2:$A$204,0,1)&lt;&gt;_xlfn.XMATCH(A120,$A$2:$A$204,0,-1),FALSE)), "Código de barras duplicado", ""), IF(AND(E120&lt;&gt;"", COUNTIF($E$2:$E$204, E120)&gt;1), "SKU duplicado", ""), IF(OR(J120="", J120=""), "[Aviso] División no capturada ()", IF(ISNA(MATCH(J120, Criterios!$A$123:$A$126, 0)), "División no válida", "")), IF(OR(K120="", K120=""), "[Aviso] Categoría no capturada ()", IF(ISNA(MATCH(K120, Criterios!$A$81:$A$120, 0)), "Categoría no válida", IF(AND(J120&lt;&gt;"", J120&lt;&gt;"", J120&lt;&gt;VLOOKUP(K120, Criterios!$A$81:$B$120, 2, FALSE)), "División no coincide con Categoría", ""))), IF(OR(L120="", L120=""), "[Aviso] Género no capturado ()", IF(ISNA(MATCH(L120, Criterios!$B$123:$B$127, 0)), "Género no válido", "")), IF(OR(N120="", N120=""), "[Aviso] Temporada no capturada ()", IF(ISNA(MATCH(N120, Criterios!$C$123:$C$128, 0)), "Temporada no válida", "")), IF(OR(O120="", O120=""), "[Aviso] Ciclo de vida no capturado ()", IF(ISNA(MATCH(O120, Criterios!$D$123:$D$124, 0)), "Ciclo de vida no válido", ""))))</f>
        <v/>
      </c>
      <c r="AC120" s="56" t="n"/>
      <c r="AD120" s="51" t="n">
        <v>1</v>
      </c>
      <c r="AE120" s="156" t="inlineStr">
        <is>
          <t>WB OUTLET LERMA: 1</t>
        </is>
      </c>
      <c r="AF120" s="51" t="n">
        <v>1</v>
      </c>
      <c r="AG120" s="156" t="inlineStr">
        <is>
          <t>Nuevo – NetSuite con existencia</t>
        </is>
      </c>
      <c r="AH120" s="156" t="inlineStr">
        <is>
          <t>Revisión 29/09/2026: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20" s="156" t="inlineStr">
        <is>
          <t>No</t>
        </is>
      </c>
      <c r="AJ120" s="156" t="n"/>
      <c r="AK120" s="155" t="inlineStr">
        <is>
          <t>ProductosCatalogoEstandar907.xlsx: fila 5171 [N,O,Q,R,S,U,Y]; G1522_Extraccion_Articulos_NetSuite_2026-09-30.xlsx: fila 56728 [P,V,Y,T] | Shopify WB: producto 8569960890553 / variante 47621324538041</t>
        </is>
      </c>
      <c r="AL120" s="58" t="n">
        <v>396.75</v>
      </c>
      <c r="AM120" s="58" t="n">
        <v>1199.0000004</v>
      </c>
      <c r="AN120" s="155" t="inlineStr">
        <is>
          <t>Shopify Western Brothers</t>
        </is>
      </c>
      <c r="AO120" s="59" t="n"/>
      <c r="AP120" s="59" t="n">
        <v>1</v>
      </c>
      <c r="AQ120" s="59" t="n"/>
      <c r="AR120" s="155" t="inlineStr">
        <is>
          <t>Shopify Western Brothers › Western Brothers Outlet Lerma: 1</t>
        </is>
      </c>
    </row>
    <row r="121">
      <c r="A121" s="50" t="inlineStr">
        <is>
          <t>7506499570890</t>
        </is>
      </c>
      <c r="B121" s="51" t="inlineStr">
        <is>
          <t>108574</t>
        </is>
      </c>
      <c r="C121" s="156" t="inlineStr">
        <is>
          <t>Multimarca</t>
        </is>
      </c>
      <c r="D121" s="156" t="inlineStr">
        <is>
          <t>JH005</t>
        </is>
      </c>
      <c r="E121" s="156" t="inlineStr">
        <is>
          <t>JH005-28-34</t>
        </is>
      </c>
      <c r="F121" s="156" t="inlineStr">
        <is>
          <t>28 x 34</t>
        </is>
      </c>
      <c r="G121" s="156" t="inlineStr">
        <is>
          <t>28W / 34L</t>
        </is>
      </c>
      <c r="H121" s="156" t="inlineStr">
        <is>
          <t>Denver</t>
        </is>
      </c>
      <c r="I121" s="156" t="inlineStr">
        <is>
          <t>Pantalon Denver caballero recto azul medio</t>
        </is>
      </c>
      <c r="J121" s="156" t="inlineStr">
        <is>
          <t>Denim</t>
        </is>
      </c>
      <c r="K121" s="156" t="inlineStr">
        <is>
          <t>Jeans</t>
        </is>
      </c>
      <c r="L121" s="156" t="inlineStr">
        <is>
          <t>Hombre</t>
        </is>
      </c>
      <c r="M121" s="156" t="inlineStr">
        <is>
          <t>Denver</t>
        </is>
      </c>
      <c r="N121" s="156" t="inlineStr">
        <is>
          <t>SS26</t>
        </is>
      </c>
      <c r="O121" s="156" t="inlineStr">
        <is>
          <t>Core</t>
        </is>
      </c>
      <c r="P121" s="156" t="inlineStr">
        <is>
          <t>Azul</t>
        </is>
      </c>
      <c r="Q121" s="156" t="inlineStr">
        <is>
          <t>Regular</t>
        </is>
      </c>
      <c r="R121" s="156" t="inlineStr">
        <is>
          <t>Recto</t>
        </is>
      </c>
      <c r="S121" s="156" t="inlineStr">
        <is>
          <t>97% Algodón 3% Elastano</t>
        </is>
      </c>
      <c r="T121" s="156" t="inlineStr">
        <is>
          <t>Pantalon Denver caballero recto azul medio Regular Recto</t>
        </is>
      </c>
      <c r="U121" s="156" t="inlineStr">
        <is>
          <t>México</t>
        </is>
      </c>
      <c r="V121" s="156" t="inlineStr">
        <is>
          <t>PZS</t>
        </is>
      </c>
      <c r="W121" s="51" t="inlineStr">
        <is>
          <t>53101502</t>
        </is>
      </c>
      <c r="X121" s="156" t="n"/>
      <c r="Y121" s="54" t="n">
        <v>396.75</v>
      </c>
      <c r="Z121" s="54" t="n">
        <v>1033.62069</v>
      </c>
      <c r="AA121" s="55">
        <f>IF(AND(A121="", B121="", E121=""), "", IF(AB121="", "Válido", IF((LEN(AB121)-LEN(SUBSTITUTE(AB121,"; ","")))/2+1&gt;(LEN(AB121)-LEN(SUBSTITUTE(AB121,"[Aviso]","")))/7, "Con Incidencias", "Válido")))</f>
        <v/>
      </c>
      <c r="AB121" s="56">
        <f>IF(AND(A121="", B121="", E121=""), "", TEXTJOIN("; ", TRUE, IF(OR(TRIM(A121&amp;"")="", ISNUMBER(SEARCH("FALTA", A121))), "UPC faltante/inválido", ""), IF(AND(A121&lt;&gt;"", IFERROR(_xlfn.XMATCH(A121,$A$2:$A$204,0,1)&lt;&gt;_xlfn.XMATCH(A121,$A$2:$A$204,0,-1),FALSE)), "Código de barras duplicado", ""), IF(AND(E121&lt;&gt;"", COUNTIF($E$2:$E$204, E121)&gt;1), "SKU duplicado", ""), IF(OR(J121="", J121=""), "[Aviso] División no capturada ()", IF(ISNA(MATCH(J121, Criterios!$A$123:$A$126, 0)), "División no válida", "")), IF(OR(K121="", K121=""), "[Aviso] Categoría no capturada ()", IF(ISNA(MATCH(K121, Criterios!$A$81:$A$120, 0)), "Categoría no válida", IF(AND(J121&lt;&gt;"", J121&lt;&gt;"", J121&lt;&gt;VLOOKUP(K121, Criterios!$A$81:$B$120, 2, FALSE)), "División no coincide con Categoría", ""))), IF(OR(L121="", L121=""), "[Aviso] Género no capturado ()", IF(ISNA(MATCH(L121, Criterios!$B$123:$B$127, 0)), "Género no válido", "")), IF(OR(N121="", N121=""), "[Aviso] Temporada no capturada ()", IF(ISNA(MATCH(N121, Criterios!$C$123:$C$128, 0)), "Temporada no válida", "")), IF(OR(O121="", O121=""), "[Aviso] Ciclo de vida no capturado ()", IF(ISNA(MATCH(O121, Criterios!$D$123:$D$124, 0)), "Ciclo de vida no válido", ""))))</f>
        <v/>
      </c>
      <c r="AC121" s="56" t="n"/>
      <c r="AD121" s="51" t="n">
        <v>0</v>
      </c>
      <c r="AE121" s="156" t="n"/>
      <c r="AF121" s="51" t="n">
        <v>0</v>
      </c>
      <c r="AG121" s="156" t="inlineStr">
        <is>
          <t>Nuevo – NetSuite sin existencia</t>
        </is>
      </c>
      <c r="AH121" s="156" t="inlineStr">
        <is>
          <t>Revisión 29/09/2026: Talla fuente 28 x 34 sin equivalencia exacta en Criterios para Cintura Jean + Largo Jean;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21" s="156" t="inlineStr">
        <is>
          <t>No</t>
        </is>
      </c>
      <c r="AJ121" s="156" t="n"/>
      <c r="AK121" s="155" t="inlineStr">
        <is>
          <t>ProductosCatalogoEstandar907.xlsx: fila 5172 [N,O,Q,R,S,U,Y]; G1522_Extraccion_Articulos_NetSuite_2026-09-30.xlsx: fila 56733 [P,V,Y,T] | Shopify WB: producto 8569961054393 / variante 47621325029561</t>
        </is>
      </c>
      <c r="AL121" s="58" t="n"/>
      <c r="AM121" s="58" t="n">
        <v>1199.0000004</v>
      </c>
      <c r="AN121" s="155" t="inlineStr">
        <is>
          <t>Shopify Western Brothers</t>
        </is>
      </c>
      <c r="AO121" s="59" t="n"/>
      <c r="AP121" s="59" t="n">
        <v>0</v>
      </c>
      <c r="AQ121" s="59" t="n"/>
      <c r="AR121" s="155" t="n"/>
    </row>
    <row r="122">
      <c r="A122" s="50" t="inlineStr">
        <is>
          <t>7506499570891</t>
        </is>
      </c>
      <c r="B122" s="51" t="inlineStr">
        <is>
          <t>108575</t>
        </is>
      </c>
      <c r="C122" s="156" t="inlineStr">
        <is>
          <t>Multimarca</t>
        </is>
      </c>
      <c r="D122" s="156" t="inlineStr">
        <is>
          <t>JH005</t>
        </is>
      </c>
      <c r="E122" s="156" t="inlineStr">
        <is>
          <t>JH005-38-34</t>
        </is>
      </c>
      <c r="F122" s="156" t="inlineStr">
        <is>
          <t>38 x 34</t>
        </is>
      </c>
      <c r="G122" s="156" t="inlineStr">
        <is>
          <t>38W / 34L</t>
        </is>
      </c>
      <c r="H122" s="156" t="inlineStr">
        <is>
          <t>Denver</t>
        </is>
      </c>
      <c r="I122" s="156" t="inlineStr">
        <is>
          <t>Pantalon Denver caballero recto azul medio</t>
        </is>
      </c>
      <c r="J122" s="156" t="inlineStr">
        <is>
          <t>Denim</t>
        </is>
      </c>
      <c r="K122" s="156" t="inlineStr">
        <is>
          <t>Jeans</t>
        </is>
      </c>
      <c r="L122" s="156" t="inlineStr">
        <is>
          <t>Hombre</t>
        </is>
      </c>
      <c r="M122" s="156" t="inlineStr">
        <is>
          <t>Denver</t>
        </is>
      </c>
      <c r="N122" s="156" t="inlineStr">
        <is>
          <t>SS26</t>
        </is>
      </c>
      <c r="O122" s="156" t="inlineStr">
        <is>
          <t>Core</t>
        </is>
      </c>
      <c r="P122" s="156" t="inlineStr">
        <is>
          <t>Azul</t>
        </is>
      </c>
      <c r="Q122" s="156" t="inlineStr">
        <is>
          <t>Regular</t>
        </is>
      </c>
      <c r="R122" s="156" t="inlineStr">
        <is>
          <t>Recto</t>
        </is>
      </c>
      <c r="S122" s="156" t="inlineStr">
        <is>
          <t>97% Algodón 3% Elastano</t>
        </is>
      </c>
      <c r="T122" s="156" t="inlineStr">
        <is>
          <t>Pantalon Denver caballero recto azul medio Regular Recto</t>
        </is>
      </c>
      <c r="U122" s="156" t="inlineStr">
        <is>
          <t>México</t>
        </is>
      </c>
      <c r="V122" s="156" t="inlineStr">
        <is>
          <t>PZS</t>
        </is>
      </c>
      <c r="W122" s="51" t="inlineStr">
        <is>
          <t>53101502</t>
        </is>
      </c>
      <c r="X122" s="156" t="n"/>
      <c r="Y122" s="54" t="n">
        <v>396.75</v>
      </c>
      <c r="Z122" s="54" t="n">
        <v>1033.62069</v>
      </c>
      <c r="AA122" s="55">
        <f>IF(AND(A122="", B122="", E122=""), "", IF(AB122="", "Válido", IF((LEN(AB122)-LEN(SUBSTITUTE(AB122,"; ","")))/2+1&gt;(LEN(AB122)-LEN(SUBSTITUTE(AB122,"[Aviso]","")))/7, "Con Incidencias", "Válido")))</f>
        <v/>
      </c>
      <c r="AB122" s="56">
        <f>IF(AND(A122="", B122="", E122=""), "", TEXTJOIN("; ", TRUE, IF(OR(TRIM(A122&amp;"")="", ISNUMBER(SEARCH("FALTA", A122))), "UPC faltante/inválido", ""), IF(AND(A122&lt;&gt;"", IFERROR(_xlfn.XMATCH(A122,$A$2:$A$204,0,1)&lt;&gt;_xlfn.XMATCH(A122,$A$2:$A$204,0,-1),FALSE)), "Código de barras duplicado", ""), IF(AND(E122&lt;&gt;"", COUNTIF($E$2:$E$204, E122)&gt;1), "SKU duplicado", ""), IF(OR(J122="", J122=""), "[Aviso] División no capturada ()", IF(ISNA(MATCH(J122, Criterios!$A$123:$A$126, 0)), "División no válida", "")), IF(OR(K122="", K122=""), "[Aviso] Categoría no capturada ()", IF(ISNA(MATCH(K122, Criterios!$A$81:$A$120, 0)), "Categoría no válida", IF(AND(J122&lt;&gt;"", J122&lt;&gt;"", J122&lt;&gt;VLOOKUP(K122, Criterios!$A$81:$B$120, 2, FALSE)), "División no coincide con Categoría", ""))), IF(OR(L122="", L122=""), "[Aviso] Género no capturado ()", IF(ISNA(MATCH(L122, Criterios!$B$123:$B$127, 0)), "Género no válido", "")), IF(OR(N122="", N122=""), "[Aviso] Temporada no capturada ()", IF(ISNA(MATCH(N122, Criterios!$C$123:$C$128, 0)), "Temporada no válida", "")), IF(OR(O122="", O122=""), "[Aviso] Ciclo de vida no capturado ()", IF(ISNA(MATCH(O122, Criterios!$D$123:$D$124, 0)), "Ciclo de vida no válido", ""))))</f>
        <v/>
      </c>
      <c r="AC122" s="56" t="n"/>
      <c r="AD122" s="51" t="n">
        <v>3</v>
      </c>
      <c r="AE122" s="156" t="inlineStr">
        <is>
          <t>WB OUTLET LERMA: 3</t>
        </is>
      </c>
      <c r="AF122" s="51" t="n">
        <v>3</v>
      </c>
      <c r="AG122" s="156" t="inlineStr">
        <is>
          <t>Nuevo – NetSuite con existencia</t>
        </is>
      </c>
      <c r="AH122" s="156" t="inlineStr">
        <is>
          <t>Revisión 29/09/2026: Talla fuente 38 x 34 sin equivalencia exacta en Criterios para Cintura Jean + Largo Jean;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22" s="156" t="inlineStr">
        <is>
          <t>No</t>
        </is>
      </c>
      <c r="AJ122" s="156" t="n"/>
      <c r="AK122" s="155" t="inlineStr">
        <is>
          <t>ProductosCatalogoEstandar907.xlsx: fila 5173 [N,O,Q,R,S,U,Y]; G1522_Extraccion_Articulos_NetSuite_2026-09-30.xlsx: fila 56734 [P,V,Y,T] | Shopify WB: producto 8569961054393 / variante 47621325062329</t>
        </is>
      </c>
      <c r="AL122" s="58" t="n">
        <v>396.75</v>
      </c>
      <c r="AM122" s="58" t="n">
        <v>1199.0000004</v>
      </c>
      <c r="AN122" s="155" t="inlineStr">
        <is>
          <t>Shopify Western Brothers</t>
        </is>
      </c>
      <c r="AO122" s="59" t="n"/>
      <c r="AP122" s="59" t="n">
        <v>3</v>
      </c>
      <c r="AQ122" s="59" t="n"/>
      <c r="AR122" s="155" t="inlineStr">
        <is>
          <t>Shopify Western Brothers › Western Brothers Outlet Lerma: 3</t>
        </is>
      </c>
    </row>
    <row r="123">
      <c r="A123" s="50" t="inlineStr">
        <is>
          <t>7506499570883</t>
        </is>
      </c>
      <c r="B123" s="51" t="inlineStr">
        <is>
          <t>108567</t>
        </is>
      </c>
      <c r="C123" s="156" t="inlineStr">
        <is>
          <t>Multimarca</t>
        </is>
      </c>
      <c r="D123" s="156" t="inlineStr">
        <is>
          <t>JH005ST</t>
        </is>
      </c>
      <c r="E123" s="156" t="inlineStr">
        <is>
          <t>JH005ST-32-34</t>
        </is>
      </c>
      <c r="F123" s="156" t="inlineStr">
        <is>
          <t>32 x 34</t>
        </is>
      </c>
      <c r="G123" s="156" t="inlineStr">
        <is>
          <t>32W / 34L</t>
        </is>
      </c>
      <c r="H123" s="156" t="inlineStr">
        <is>
          <t>Denver</t>
        </is>
      </c>
      <c r="I123" s="156" t="inlineStr">
        <is>
          <t>Pantalon Denver caballero azul medio piedra</t>
        </is>
      </c>
      <c r="J123" s="156" t="inlineStr">
        <is>
          <t>Denim</t>
        </is>
      </c>
      <c r="K123" s="156" t="inlineStr">
        <is>
          <t>Jeans</t>
        </is>
      </c>
      <c r="L123" s="156" t="inlineStr">
        <is>
          <t>Hombre</t>
        </is>
      </c>
      <c r="M123" s="156" t="inlineStr">
        <is>
          <t>Denver</t>
        </is>
      </c>
      <c r="N123" s="156" t="inlineStr">
        <is>
          <t>SS26</t>
        </is>
      </c>
      <c r="O123" s="156" t="inlineStr">
        <is>
          <t>Core</t>
        </is>
      </c>
      <c r="P123" s="156" t="inlineStr">
        <is>
          <t>Azul</t>
        </is>
      </c>
      <c r="Q123" s="156" t="inlineStr">
        <is>
          <t>Slim</t>
        </is>
      </c>
      <c r="R123" s="156" t="inlineStr">
        <is>
          <t>Recto</t>
        </is>
      </c>
      <c r="S123" s="156" t="inlineStr">
        <is>
          <t>97% Algodón 3% Elastano</t>
        </is>
      </c>
      <c r="T123" s="156" t="inlineStr">
        <is>
          <t>Pantalon Denver caballero azul medio piedra Fitted Recto</t>
        </is>
      </c>
      <c r="U123" s="156" t="inlineStr">
        <is>
          <t>México</t>
        </is>
      </c>
      <c r="V123" s="156" t="inlineStr">
        <is>
          <t>PZS</t>
        </is>
      </c>
      <c r="W123" s="51" t="inlineStr">
        <is>
          <t>53101502</t>
        </is>
      </c>
      <c r="X123" s="156" t="n"/>
      <c r="Y123" s="54" t="n">
        <v>419.25</v>
      </c>
      <c r="Z123" s="54" t="n">
        <v>1033.62069</v>
      </c>
      <c r="AA123" s="55">
        <f>IF(AND(A123="", B123="", E123=""), "", IF(AB123="", "Válido", IF((LEN(AB123)-LEN(SUBSTITUTE(AB123,"; ","")))/2+1&gt;(LEN(AB123)-LEN(SUBSTITUTE(AB123,"[Aviso]","")))/7, "Con Incidencias", "Válido")))</f>
        <v/>
      </c>
      <c r="AB123" s="56">
        <f>IF(AND(A123="", B123="", E123=""), "", TEXTJOIN("; ", TRUE, IF(OR(TRIM(A123&amp;"")="", ISNUMBER(SEARCH("FALTA", A123))), "UPC faltante/inválido", ""), IF(AND(A123&lt;&gt;"", IFERROR(_xlfn.XMATCH(A123,$A$2:$A$204,0,1)&lt;&gt;_xlfn.XMATCH(A123,$A$2:$A$204,0,-1),FALSE)), "Código de barras duplicado", ""), IF(AND(E123&lt;&gt;"", COUNTIF($E$2:$E$204, E123)&gt;1), "SKU duplicado", ""), IF(OR(J123="", J123=""), "[Aviso] División no capturada ()", IF(ISNA(MATCH(J123, Criterios!$A$123:$A$126, 0)), "División no válida", "")), IF(OR(K123="", K123=""), "[Aviso] Categoría no capturada ()", IF(ISNA(MATCH(K123, Criterios!$A$81:$A$120, 0)), "Categoría no válida", IF(AND(J123&lt;&gt;"", J123&lt;&gt;"", J123&lt;&gt;VLOOKUP(K123, Criterios!$A$81:$B$120, 2, FALSE)), "División no coincide con Categoría", ""))), IF(OR(L123="", L123=""), "[Aviso] Género no capturado ()", IF(ISNA(MATCH(L123, Criterios!$B$123:$B$127, 0)), "Género no válido", "")), IF(OR(N123="", N123=""), "[Aviso] Temporada no capturada ()", IF(ISNA(MATCH(N123, Criterios!$C$123:$C$128, 0)), "Temporada no válida", "")), IF(OR(O123="", O123=""), "[Aviso] Ciclo de vida no capturado ()", IF(ISNA(MATCH(O123, Criterios!$D$123:$D$124, 0)), "Ciclo de vida no válido", ""))))</f>
        <v/>
      </c>
      <c r="AC123" s="56" t="n"/>
      <c r="AD123" s="51" t="n">
        <v>2</v>
      </c>
      <c r="AE123" s="156" t="inlineStr">
        <is>
          <t>WB OUTLET LERMA: 2</t>
        </is>
      </c>
      <c r="AF123" s="51" t="n">
        <v>2</v>
      </c>
      <c r="AG123" s="156" t="inlineStr">
        <is>
          <t>Nuevo – NetSuite con existencia</t>
        </is>
      </c>
      <c r="AH123" s="156" t="inlineStr">
        <is>
          <t>Revisión 29/09/2026: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23" s="156" t="inlineStr">
        <is>
          <t>No</t>
        </is>
      </c>
      <c r="AJ123" s="156" t="n"/>
      <c r="AK123" s="155" t="inlineStr">
        <is>
          <t>ProductosCatalogoEstandar907.xlsx: fila 5174 [N,O,Q,R,S,U,Y]; G1522_Extraccion_Articulos_NetSuite_2026-09-30.xlsx: fila 56726 [P,V,Y,T] | Shopify WB: producto 8569961185465 / variante 47621325258937</t>
        </is>
      </c>
      <c r="AL123" s="58" t="n">
        <v>419.25</v>
      </c>
      <c r="AM123" s="58" t="n">
        <v>1199.0000004</v>
      </c>
      <c r="AN123" s="155" t="inlineStr">
        <is>
          <t>Shopify Western Brothers</t>
        </is>
      </c>
      <c r="AO123" s="59" t="n"/>
      <c r="AP123" s="59" t="n">
        <v>2</v>
      </c>
      <c r="AQ123" s="59" t="n"/>
      <c r="AR123" s="155" t="inlineStr">
        <is>
          <t>Shopify Western Brothers › Western Brothers Outlet Lerma: 2</t>
        </is>
      </c>
    </row>
    <row r="124">
      <c r="A124" s="50" t="inlineStr">
        <is>
          <t>7506499570886</t>
        </is>
      </c>
      <c r="B124" s="51" t="inlineStr">
        <is>
          <t>108570</t>
        </is>
      </c>
      <c r="C124" s="156" t="inlineStr">
        <is>
          <t>Multimarca</t>
        </is>
      </c>
      <c r="D124" s="156" t="inlineStr">
        <is>
          <t>JH009</t>
        </is>
      </c>
      <c r="E124" s="156" t="inlineStr">
        <is>
          <t>JH009-40-34</t>
        </is>
      </c>
      <c r="F124" s="156" t="inlineStr">
        <is>
          <t>40 x 34</t>
        </is>
      </c>
      <c r="G124" s="156" t="inlineStr">
        <is>
          <t>40W / 34L</t>
        </is>
      </c>
      <c r="H124" s="156" t="inlineStr">
        <is>
          <t>Denver</t>
        </is>
      </c>
      <c r="I124" s="156" t="inlineStr">
        <is>
          <t>Pantalon Denver caballero piedra oscura</t>
        </is>
      </c>
      <c r="J124" s="156" t="inlineStr">
        <is>
          <t>Denim</t>
        </is>
      </c>
      <c r="K124" s="156" t="inlineStr">
        <is>
          <t>Jeans</t>
        </is>
      </c>
      <c r="L124" s="156" t="inlineStr">
        <is>
          <t>Hombre</t>
        </is>
      </c>
      <c r="M124" s="156" t="inlineStr">
        <is>
          <t>Denver</t>
        </is>
      </c>
      <c r="N124" s="156" t="inlineStr">
        <is>
          <t>SS26</t>
        </is>
      </c>
      <c r="O124" s="156" t="inlineStr">
        <is>
          <t>Core</t>
        </is>
      </c>
      <c r="P124" s="156" t="inlineStr">
        <is>
          <t>Gris</t>
        </is>
      </c>
      <c r="Q124" s="156" t="inlineStr">
        <is>
          <t>Slim</t>
        </is>
      </c>
      <c r="R124" s="156" t="inlineStr">
        <is>
          <t>Recto</t>
        </is>
      </c>
      <c r="S124" s="156" t="inlineStr">
        <is>
          <t>97% Algodón 3% Elastano</t>
        </is>
      </c>
      <c r="T124" s="156" t="inlineStr">
        <is>
          <t>Pantalon Denver caballero piedra oscura Fitted Recto</t>
        </is>
      </c>
      <c r="U124" s="156" t="inlineStr">
        <is>
          <t>México</t>
        </is>
      </c>
      <c r="V124" s="156" t="inlineStr">
        <is>
          <t>PZS</t>
        </is>
      </c>
      <c r="W124" s="51" t="inlineStr">
        <is>
          <t>53101502</t>
        </is>
      </c>
      <c r="X124" s="156" t="n"/>
      <c r="Y124" s="54" t="n">
        <v>419.25</v>
      </c>
      <c r="Z124" s="54" t="n">
        <v>1033.62069</v>
      </c>
      <c r="AA124" s="55">
        <f>IF(AND(A124="", B124="", E124=""), "", IF(AB124="", "Válido", IF((LEN(AB124)-LEN(SUBSTITUTE(AB124,"; ","")))/2+1&gt;(LEN(AB124)-LEN(SUBSTITUTE(AB124,"[Aviso]","")))/7, "Con Incidencias", "Válido")))</f>
        <v/>
      </c>
      <c r="AB124" s="56">
        <f>IF(AND(A124="", B124="", E124=""), "", TEXTJOIN("; ", TRUE, IF(OR(TRIM(A124&amp;"")="", ISNUMBER(SEARCH("FALTA", A124))), "UPC faltante/inválido", ""), IF(AND(A124&lt;&gt;"", IFERROR(_xlfn.XMATCH(A124,$A$2:$A$204,0,1)&lt;&gt;_xlfn.XMATCH(A124,$A$2:$A$204,0,-1),FALSE)), "Código de barras duplicado", ""), IF(AND(E124&lt;&gt;"", COUNTIF($E$2:$E$204, E124)&gt;1), "SKU duplicado", ""), IF(OR(J124="", J124=""), "[Aviso] División no capturada ()", IF(ISNA(MATCH(J124, Criterios!$A$123:$A$126, 0)), "División no válida", "")), IF(OR(K124="", K124=""), "[Aviso] Categoría no capturada ()", IF(ISNA(MATCH(K124, Criterios!$A$81:$A$120, 0)), "Categoría no válida", IF(AND(J124&lt;&gt;"", J124&lt;&gt;"", J124&lt;&gt;VLOOKUP(K124, Criterios!$A$81:$B$120, 2, FALSE)), "División no coincide con Categoría", ""))), IF(OR(L124="", L124=""), "[Aviso] Género no capturado ()", IF(ISNA(MATCH(L124, Criterios!$B$123:$B$127, 0)), "Género no válido", "")), IF(OR(N124="", N124=""), "[Aviso] Temporada no capturada ()", IF(ISNA(MATCH(N124, Criterios!$C$123:$C$128, 0)), "Temporada no válida", "")), IF(OR(O124="", O124=""), "[Aviso] Ciclo de vida no capturado ()", IF(ISNA(MATCH(O124, Criterios!$D$123:$D$124, 0)), "Ciclo de vida no válido", ""))))</f>
        <v/>
      </c>
      <c r="AC124" s="56" t="n"/>
      <c r="AD124" s="51" t="n">
        <v>2</v>
      </c>
      <c r="AE124" s="156" t="inlineStr">
        <is>
          <t>WB OUTLET LERMA: 2</t>
        </is>
      </c>
      <c r="AF124" s="51" t="n">
        <v>2</v>
      </c>
      <c r="AG124" s="156" t="inlineStr">
        <is>
          <t>Nuevo – NetSuite con existencia</t>
        </is>
      </c>
      <c r="AH124" s="156" t="inlineStr">
        <is>
          <t>Color por validar | Revisión 29/09/2026: Talla fuente 40 x 34 sin equivalencia exacta en Criterios para Cintura Jean + Largo Jean; Campos sin respaldo: X; Auditoría NetSuite 30/09/2026: llenado desde NetSuite [V,Y,T] | 01/10/2026: Shopify Western Brothers trae Categoría «Pantalones» — se conservó el valor de Productos</t>
        </is>
      </c>
      <c r="AI124" s="156" t="inlineStr">
        <is>
          <t>No</t>
        </is>
      </c>
      <c r="AJ124" s="156" t="n"/>
      <c r="AK124" s="155" t="inlineStr">
        <is>
          <t>ProductosCatalogoEstandar907.xlsx: fila 5175 [N,O,P,Q,R,S,U,Y]; G1522_Extraccion_Articulos_NetSuite_2026-09-30.xlsx: fila 56729 [V,Y,T] | Shopify WB: producto 8569961283769 / variante 47621325357241</t>
        </is>
      </c>
      <c r="AL124" s="58" t="n">
        <v>419.25</v>
      </c>
      <c r="AM124" s="58" t="n">
        <v>1199.0000004</v>
      </c>
      <c r="AN124" s="155" t="inlineStr">
        <is>
          <t>Shopify Western Brothers</t>
        </is>
      </c>
      <c r="AO124" s="59" t="n"/>
      <c r="AP124" s="59" t="n">
        <v>2</v>
      </c>
      <c r="AQ124" s="59" t="n"/>
      <c r="AR124" s="155" t="inlineStr">
        <is>
          <t>Shopify Western Brothers › Western Brothers Outlet Lerma: 2</t>
        </is>
      </c>
    </row>
    <row r="125">
      <c r="A125" s="50" t="inlineStr">
        <is>
          <t>7506499570887</t>
        </is>
      </c>
      <c r="B125" s="51" t="inlineStr">
        <is>
          <t>108571</t>
        </is>
      </c>
      <c r="C125" s="156" t="inlineStr">
        <is>
          <t>Multimarca</t>
        </is>
      </c>
      <c r="D125" s="156" t="inlineStr">
        <is>
          <t>JH010</t>
        </is>
      </c>
      <c r="E125" s="156" t="inlineStr">
        <is>
          <t>JH010-28-34</t>
        </is>
      </c>
      <c r="F125" s="156" t="inlineStr">
        <is>
          <t>28 x 34</t>
        </is>
      </c>
      <c r="G125" s="156" t="inlineStr">
        <is>
          <t>28W / 34L</t>
        </is>
      </c>
      <c r="H125" s="156" t="inlineStr">
        <is>
          <t>Denver</t>
        </is>
      </c>
      <c r="I125" s="156" t="inlineStr">
        <is>
          <t>Pantalon Denver caballero ajustado con tinte gris</t>
        </is>
      </c>
      <c r="J125" s="156" t="inlineStr">
        <is>
          <t>Denim</t>
        </is>
      </c>
      <c r="K125" s="156" t="inlineStr">
        <is>
          <t>Jeans</t>
        </is>
      </c>
      <c r="L125" s="156" t="inlineStr">
        <is>
          <t>Hombre</t>
        </is>
      </c>
      <c r="M125" s="156" t="inlineStr">
        <is>
          <t>Denver</t>
        </is>
      </c>
      <c r="N125" s="156" t="inlineStr">
        <is>
          <t>SS26</t>
        </is>
      </c>
      <c r="O125" s="156" t="inlineStr">
        <is>
          <t>Core</t>
        </is>
      </c>
      <c r="P125" s="156" t="inlineStr">
        <is>
          <t>Gris</t>
        </is>
      </c>
      <c r="Q125" s="156" t="inlineStr">
        <is>
          <t>Slim</t>
        </is>
      </c>
      <c r="R125" s="156" t="inlineStr">
        <is>
          <t>Recto</t>
        </is>
      </c>
      <c r="S125" s="156" t="inlineStr">
        <is>
          <t>97% Algodón 3% Elastano</t>
        </is>
      </c>
      <c r="T125" s="156" t="inlineStr">
        <is>
          <t>Pantalon Denver caballero ajustado con tinte gris Fitted Recto</t>
        </is>
      </c>
      <c r="U125" s="156" t="inlineStr">
        <is>
          <t>México</t>
        </is>
      </c>
      <c r="V125" s="156" t="inlineStr">
        <is>
          <t>PZS</t>
        </is>
      </c>
      <c r="W125" s="51" t="inlineStr">
        <is>
          <t>53101502</t>
        </is>
      </c>
      <c r="X125" s="156" t="n"/>
      <c r="Y125" s="54" t="n">
        <v>396.75</v>
      </c>
      <c r="Z125" s="54" t="n">
        <v>1033.62069</v>
      </c>
      <c r="AA125" s="55">
        <f>IF(AND(A125="", B125="", E125=""), "", IF(AB125="", "Válido", IF((LEN(AB125)-LEN(SUBSTITUTE(AB125,"; ","")))/2+1&gt;(LEN(AB125)-LEN(SUBSTITUTE(AB125,"[Aviso]","")))/7, "Con Incidencias", "Válido")))</f>
        <v/>
      </c>
      <c r="AB125" s="56">
        <f>IF(AND(A125="", B125="", E125=""), "", TEXTJOIN("; ", TRUE, IF(OR(TRIM(A125&amp;"")="", ISNUMBER(SEARCH("FALTA", A125))), "UPC faltante/inválido", ""), IF(AND(A125&lt;&gt;"", IFERROR(_xlfn.XMATCH(A125,$A$2:$A$204,0,1)&lt;&gt;_xlfn.XMATCH(A125,$A$2:$A$204,0,-1),FALSE)), "Código de barras duplicado", ""), IF(AND(E125&lt;&gt;"", COUNTIF($E$2:$E$204, E125)&gt;1), "SKU duplicado", ""), IF(OR(J125="", J125=""), "[Aviso] División no capturada ()", IF(ISNA(MATCH(J125, Criterios!$A$123:$A$126, 0)), "División no válida", "")), IF(OR(K125="", K125=""), "[Aviso] Categoría no capturada ()", IF(ISNA(MATCH(K125, Criterios!$A$81:$A$120, 0)), "Categoría no válida", IF(AND(J125&lt;&gt;"", J125&lt;&gt;"", J125&lt;&gt;VLOOKUP(K125, Criterios!$A$81:$B$120, 2, FALSE)), "División no coincide con Categoría", ""))), IF(OR(L125="", L125=""), "[Aviso] Género no capturado ()", IF(ISNA(MATCH(L125, Criterios!$B$123:$B$127, 0)), "Género no válido", "")), IF(OR(N125="", N125=""), "[Aviso] Temporada no capturada ()", IF(ISNA(MATCH(N125, Criterios!$C$123:$C$128, 0)), "Temporada no válida", "")), IF(OR(O125="", O125=""), "[Aviso] Ciclo de vida no capturado ()", IF(ISNA(MATCH(O125, Criterios!$D$123:$D$124, 0)), "Ciclo de vida no válido", ""))))</f>
        <v/>
      </c>
      <c r="AC125" s="56" t="n"/>
      <c r="AD125" s="51" t="n">
        <v>2</v>
      </c>
      <c r="AE125" s="156" t="inlineStr">
        <is>
          <t>WB OUTLET LERMA: 2</t>
        </is>
      </c>
      <c r="AF125" s="51" t="n">
        <v>2</v>
      </c>
      <c r="AG125" s="156" t="inlineStr">
        <is>
          <t>Nuevo – NetSuite con existencia</t>
        </is>
      </c>
      <c r="AH125" s="156" t="inlineStr">
        <is>
          <t>Revisión 29/09/2026: Talla fuente 28 x 34 sin equivalencia exacta en Criterios para Cintura Jean + Largo Jean;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25" s="156" t="inlineStr">
        <is>
          <t>No</t>
        </is>
      </c>
      <c r="AJ125" s="156" t="n"/>
      <c r="AK125" s="155" t="inlineStr">
        <is>
          <t>ProductosCatalogoEstandar907.xlsx: fila 5176 [N,O,Q,R,S,U,Y]; G1522_Extraccion_Articulos_NetSuite_2026-09-30.xlsx: fila 56730 [P,V,Y,T] | Shopify WB: producto 8569961349305 / variante 47621325422777</t>
        </is>
      </c>
      <c r="AL125" s="58" t="n">
        <v>396.75</v>
      </c>
      <c r="AM125" s="58" t="n">
        <v>1199.0000004</v>
      </c>
      <c r="AN125" s="155" t="inlineStr">
        <is>
          <t>Shopify Western Brothers</t>
        </is>
      </c>
      <c r="AO125" s="59" t="n"/>
      <c r="AP125" s="59" t="n">
        <v>2</v>
      </c>
      <c r="AQ125" s="59" t="n"/>
      <c r="AR125" s="155" t="inlineStr">
        <is>
          <t>Shopify Western Brothers › Western Brothers Outlet Lerma: 2</t>
        </is>
      </c>
    </row>
    <row r="126">
      <c r="A126" s="50" t="inlineStr">
        <is>
          <t>7506499570888</t>
        </is>
      </c>
      <c r="B126" s="51" t="inlineStr">
        <is>
          <t>108572</t>
        </is>
      </c>
      <c r="C126" s="156" t="inlineStr">
        <is>
          <t>Multimarca</t>
        </is>
      </c>
      <c r="D126" s="156" t="inlineStr">
        <is>
          <t>JH010</t>
        </is>
      </c>
      <c r="E126" s="156" t="inlineStr">
        <is>
          <t>JH010-32-34</t>
        </is>
      </c>
      <c r="F126" s="156" t="inlineStr">
        <is>
          <t>32 x 34</t>
        </is>
      </c>
      <c r="G126" s="156" t="inlineStr">
        <is>
          <t>32W / 34L</t>
        </is>
      </c>
      <c r="H126" s="156" t="inlineStr">
        <is>
          <t>Denver</t>
        </is>
      </c>
      <c r="I126" s="156" t="inlineStr">
        <is>
          <t>Pantalon Denver caballero ajustado con tinte gris</t>
        </is>
      </c>
      <c r="J126" s="156" t="inlineStr">
        <is>
          <t>Denim</t>
        </is>
      </c>
      <c r="K126" s="156" t="inlineStr">
        <is>
          <t>Jeans</t>
        </is>
      </c>
      <c r="L126" s="156" t="inlineStr">
        <is>
          <t>Hombre</t>
        </is>
      </c>
      <c r="M126" s="156" t="inlineStr">
        <is>
          <t>Denver</t>
        </is>
      </c>
      <c r="N126" s="156" t="inlineStr">
        <is>
          <t>SS26</t>
        </is>
      </c>
      <c r="O126" s="156" t="inlineStr">
        <is>
          <t>Core</t>
        </is>
      </c>
      <c r="P126" s="156" t="inlineStr">
        <is>
          <t>Gris</t>
        </is>
      </c>
      <c r="Q126" s="156" t="inlineStr">
        <is>
          <t>Slim</t>
        </is>
      </c>
      <c r="R126" s="156" t="inlineStr">
        <is>
          <t>Recto</t>
        </is>
      </c>
      <c r="S126" s="156" t="inlineStr">
        <is>
          <t>97% Algodón 3% Elastano</t>
        </is>
      </c>
      <c r="T126" s="156" t="inlineStr">
        <is>
          <t>Pantalon Denver caballero ajustado con tinte gris Fitted Recto</t>
        </is>
      </c>
      <c r="U126" s="156" t="inlineStr">
        <is>
          <t>México</t>
        </is>
      </c>
      <c r="V126" s="156" t="inlineStr">
        <is>
          <t>PZS</t>
        </is>
      </c>
      <c r="W126" s="51" t="inlineStr">
        <is>
          <t>53101502</t>
        </is>
      </c>
      <c r="X126" s="156" t="n"/>
      <c r="Y126" s="54" t="n">
        <v>396.75</v>
      </c>
      <c r="Z126" s="54" t="n">
        <v>1033.62069</v>
      </c>
      <c r="AA126" s="55">
        <f>IF(AND(A126="", B126="", E126=""), "", IF(AB126="", "Válido", IF((LEN(AB126)-LEN(SUBSTITUTE(AB126,"; ","")))/2+1&gt;(LEN(AB126)-LEN(SUBSTITUTE(AB126,"[Aviso]","")))/7, "Con Incidencias", "Válido")))</f>
        <v/>
      </c>
      <c r="AB126" s="56">
        <f>IF(AND(A126="", B126="", E126=""), "", TEXTJOIN("; ", TRUE, IF(OR(TRIM(A126&amp;"")="", ISNUMBER(SEARCH("FALTA", A126))), "UPC faltante/inválido", ""), IF(AND(A126&lt;&gt;"", IFERROR(_xlfn.XMATCH(A126,$A$2:$A$204,0,1)&lt;&gt;_xlfn.XMATCH(A126,$A$2:$A$204,0,-1),FALSE)), "Código de barras duplicado", ""), IF(AND(E126&lt;&gt;"", COUNTIF($E$2:$E$204, E126)&gt;1), "SKU duplicado", ""), IF(OR(J126="", J126=""), "[Aviso] División no capturada ()", IF(ISNA(MATCH(J126, Criterios!$A$123:$A$126, 0)), "División no válida", "")), IF(OR(K126="", K126=""), "[Aviso] Categoría no capturada ()", IF(ISNA(MATCH(K126, Criterios!$A$81:$A$120, 0)), "Categoría no válida", IF(AND(J126&lt;&gt;"", J126&lt;&gt;"", J126&lt;&gt;VLOOKUP(K126, Criterios!$A$81:$B$120, 2, FALSE)), "División no coincide con Categoría", ""))), IF(OR(L126="", L126=""), "[Aviso] Género no capturado ()", IF(ISNA(MATCH(L126, Criterios!$B$123:$B$127, 0)), "Género no válido", "")), IF(OR(N126="", N126=""), "[Aviso] Temporada no capturada ()", IF(ISNA(MATCH(N126, Criterios!$C$123:$C$128, 0)), "Temporada no válida", "")), IF(OR(O126="", O126=""), "[Aviso] Ciclo de vida no capturado ()", IF(ISNA(MATCH(O126, Criterios!$D$123:$D$124, 0)), "Ciclo de vida no válido", ""))))</f>
        <v/>
      </c>
      <c r="AC126" s="56" t="n"/>
      <c r="AD126" s="51" t="n">
        <v>0</v>
      </c>
      <c r="AE126" s="156" t="n"/>
      <c r="AF126" s="51" t="n">
        <v>0</v>
      </c>
      <c r="AG126" s="156" t="inlineStr">
        <is>
          <t>Nuevo – NetSuite sin existencia</t>
        </is>
      </c>
      <c r="AH126" s="156" t="inlineStr">
        <is>
          <t>Revisión 29/09/2026: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26" s="156" t="inlineStr">
        <is>
          <t>No</t>
        </is>
      </c>
      <c r="AJ126" s="156" t="n"/>
      <c r="AK126" s="155" t="inlineStr">
        <is>
          <t>ProductosCatalogoEstandar907.xlsx: fila 5177 [N,O,Q,R,S,U,Y]; G1522_Extraccion_Articulos_NetSuite_2026-09-30.xlsx: fila 56731 [P,V,Y,T] | Shopify WB: producto 8569961349305 / variante 47621325455545</t>
        </is>
      </c>
      <c r="AL126" s="58" t="n">
        <v>396.75</v>
      </c>
      <c r="AM126" s="58" t="n">
        <v>1199.0000004</v>
      </c>
      <c r="AN126" s="155" t="inlineStr">
        <is>
          <t>Shopify Western Brothers</t>
        </is>
      </c>
      <c r="AO126" s="59" t="n"/>
      <c r="AP126" s="59" t="n">
        <v>0</v>
      </c>
      <c r="AQ126" s="59" t="n"/>
      <c r="AR126" s="155" t="n"/>
    </row>
    <row r="127">
      <c r="A127" s="50" t="inlineStr">
        <is>
          <t>7506499570889</t>
        </is>
      </c>
      <c r="B127" s="51" t="inlineStr">
        <is>
          <t>108573</t>
        </is>
      </c>
      <c r="C127" s="156" t="inlineStr">
        <is>
          <t>Multimarca</t>
        </is>
      </c>
      <c r="D127" s="156" t="inlineStr">
        <is>
          <t>JH010</t>
        </is>
      </c>
      <c r="E127" s="156" t="inlineStr">
        <is>
          <t>JH010-38-34</t>
        </is>
      </c>
      <c r="F127" s="156" t="inlineStr">
        <is>
          <t>38 x 34</t>
        </is>
      </c>
      <c r="G127" s="156" t="inlineStr">
        <is>
          <t>38W / 34L</t>
        </is>
      </c>
      <c r="H127" s="156" t="inlineStr">
        <is>
          <t>Denver</t>
        </is>
      </c>
      <c r="I127" s="156" t="inlineStr">
        <is>
          <t>Pantalon Denver caballero ajustado con tinte gris</t>
        </is>
      </c>
      <c r="J127" s="156" t="inlineStr">
        <is>
          <t>Denim</t>
        </is>
      </c>
      <c r="K127" s="156" t="inlineStr">
        <is>
          <t>Jeans</t>
        </is>
      </c>
      <c r="L127" s="156" t="inlineStr">
        <is>
          <t>Hombre</t>
        </is>
      </c>
      <c r="M127" s="156" t="inlineStr">
        <is>
          <t>Denver</t>
        </is>
      </c>
      <c r="N127" s="156" t="inlineStr">
        <is>
          <t>SS26</t>
        </is>
      </c>
      <c r="O127" s="156" t="inlineStr">
        <is>
          <t>Core</t>
        </is>
      </c>
      <c r="P127" s="156" t="inlineStr">
        <is>
          <t>Gris</t>
        </is>
      </c>
      <c r="Q127" s="156" t="inlineStr">
        <is>
          <t>Slim</t>
        </is>
      </c>
      <c r="R127" s="156" t="inlineStr">
        <is>
          <t>Recto</t>
        </is>
      </c>
      <c r="S127" s="156" t="inlineStr">
        <is>
          <t>97% Algodón 3% Elastano</t>
        </is>
      </c>
      <c r="T127" s="156" t="inlineStr">
        <is>
          <t>Pantalon Denver caballero ajustado con tinte gris Fitted Recto</t>
        </is>
      </c>
      <c r="U127" s="156" t="inlineStr">
        <is>
          <t>México</t>
        </is>
      </c>
      <c r="V127" s="156" t="inlineStr">
        <is>
          <t>PZS</t>
        </is>
      </c>
      <c r="W127" s="51" t="inlineStr">
        <is>
          <t>53101502</t>
        </is>
      </c>
      <c r="X127" s="156" t="n"/>
      <c r="Y127" s="54" t="n">
        <v>396.75</v>
      </c>
      <c r="Z127" s="54" t="n">
        <v>1033.62069</v>
      </c>
      <c r="AA127" s="55">
        <f>IF(AND(A127="", B127="", E127=""), "", IF(AB127="", "Válido", IF((LEN(AB127)-LEN(SUBSTITUTE(AB127,"; ","")))/2+1&gt;(LEN(AB127)-LEN(SUBSTITUTE(AB127,"[Aviso]","")))/7, "Con Incidencias", "Válido")))</f>
        <v/>
      </c>
      <c r="AB127" s="56">
        <f>IF(AND(A127="", B127="", E127=""), "", TEXTJOIN("; ", TRUE, IF(OR(TRIM(A127&amp;"")="", ISNUMBER(SEARCH("FALTA", A127))), "UPC faltante/inválido", ""), IF(AND(A127&lt;&gt;"", IFERROR(_xlfn.XMATCH(A127,$A$2:$A$204,0,1)&lt;&gt;_xlfn.XMATCH(A127,$A$2:$A$204,0,-1),FALSE)), "Código de barras duplicado", ""), IF(AND(E127&lt;&gt;"", COUNTIF($E$2:$E$204, E127)&gt;1), "SKU duplicado", ""), IF(OR(J127="", J127=""), "[Aviso] División no capturada ()", IF(ISNA(MATCH(J127, Criterios!$A$123:$A$126, 0)), "División no válida", "")), IF(OR(K127="", K127=""), "[Aviso] Categoría no capturada ()", IF(ISNA(MATCH(K127, Criterios!$A$81:$A$120, 0)), "Categoría no válida", IF(AND(J127&lt;&gt;"", J127&lt;&gt;"", J127&lt;&gt;VLOOKUP(K127, Criterios!$A$81:$B$120, 2, FALSE)), "División no coincide con Categoría", ""))), IF(OR(L127="", L127=""), "[Aviso] Género no capturado ()", IF(ISNA(MATCH(L127, Criterios!$B$123:$B$127, 0)), "Género no válido", "")), IF(OR(N127="", N127=""), "[Aviso] Temporada no capturada ()", IF(ISNA(MATCH(N127, Criterios!$C$123:$C$128, 0)), "Temporada no válida", "")), IF(OR(O127="", O127=""), "[Aviso] Ciclo de vida no capturado ()", IF(ISNA(MATCH(O127, Criterios!$D$123:$D$124, 0)), "Ciclo de vida no válido", ""))))</f>
        <v/>
      </c>
      <c r="AC127" s="56" t="n"/>
      <c r="AD127" s="51" t="n">
        <v>1</v>
      </c>
      <c r="AE127" s="156" t="inlineStr">
        <is>
          <t>WB OUTLET LERMA: 1</t>
        </is>
      </c>
      <c r="AF127" s="51" t="n">
        <v>1</v>
      </c>
      <c r="AG127" s="156" t="inlineStr">
        <is>
          <t>Nuevo – NetSuite con existencia</t>
        </is>
      </c>
      <c r="AH127" s="156" t="inlineStr">
        <is>
          <t>Revisión 29/09/2026: Talla fuente 38 x 34 sin equivalencia exacta en Criterios para Cintura Jean + Largo Jean; Campos sin respaldo: X; Auditoría NetSuite 30/09/2026: llenado desde NetSuite [P,V,Y,T] | 01/10/2026: Shopify Western Brothers trae Categoría «Pantalones» — se conservó el valor de Productos | Homologación G1522 06/10/2026: Validación G1522: Dígito de control del código de barras inválido</t>
        </is>
      </c>
      <c r="AI127" s="156" t="inlineStr">
        <is>
          <t>No</t>
        </is>
      </c>
      <c r="AJ127" s="156" t="n"/>
      <c r="AK127" s="155" t="inlineStr">
        <is>
          <t>ProductosCatalogoEstandar907.xlsx: fila 5178 [N,O,Q,R,S,U,Y]; G1522_Extraccion_Articulos_NetSuite_2026-09-30.xlsx: fila 56732 [P,V,Y,T] | Shopify WB: producto 8569961349305 / variante 47621325488313</t>
        </is>
      </c>
      <c r="AL127" s="58" t="n">
        <v>396.75</v>
      </c>
      <c r="AM127" s="58" t="n">
        <v>1199.0000004</v>
      </c>
      <c r="AN127" s="155" t="inlineStr">
        <is>
          <t>Shopify Western Brothers</t>
        </is>
      </c>
      <c r="AO127" s="59" t="n"/>
      <c r="AP127" s="59" t="n">
        <v>1</v>
      </c>
      <c r="AQ127" s="59" t="n"/>
      <c r="AR127" s="155" t="inlineStr">
        <is>
          <t>Shopify Western Brothers › Western Brothers Outlet Lerma: 1</t>
        </is>
      </c>
    </row>
    <row r="128">
      <c r="A128" s="50" t="inlineStr">
        <is>
          <t>7506499514002</t>
        </is>
      </c>
      <c r="B128" s="51" t="inlineStr">
        <is>
          <t>108454</t>
        </is>
      </c>
      <c r="C128" s="156" t="inlineStr">
        <is>
          <t>Multimarca</t>
        </is>
      </c>
      <c r="D128" s="156" t="inlineStr">
        <is>
          <t>JK1995-SP1-2</t>
        </is>
      </c>
      <c r="E128" s="156" t="inlineStr">
        <is>
          <t>JK1995-SP1-2-S</t>
        </is>
      </c>
      <c r="F128" s="156" t="inlineStr">
        <is>
          <t>S</t>
        </is>
      </c>
      <c r="G128" s="156" t="inlineStr">
        <is>
          <t>S</t>
        </is>
      </c>
      <c r="H128" s="156" t="inlineStr">
        <is>
          <t>Denver</t>
        </is>
      </c>
      <c r="I128" s="156" t="inlineStr">
        <is>
          <t>Chamarra Denver naranja</t>
        </is>
      </c>
      <c r="J128" s="156" t="inlineStr">
        <is>
          <t>Ropa</t>
        </is>
      </c>
      <c r="K128" s="156" t="inlineStr">
        <is>
          <t>Chamarras</t>
        </is>
      </c>
      <c r="L128" s="156" t="inlineStr">
        <is>
          <t>Hombre</t>
        </is>
      </c>
      <c r="M128" s="156" t="inlineStr">
        <is>
          <t>Denver</t>
        </is>
      </c>
      <c r="N128" s="156" t="inlineStr">
        <is>
          <t>FW26</t>
        </is>
      </c>
      <c r="O128" s="156" t="inlineStr">
        <is>
          <t>Core</t>
        </is>
      </c>
      <c r="P128" s="156" t="inlineStr">
        <is>
          <t>Negro</t>
        </is>
      </c>
      <c r="Q128" s="156" t="inlineStr">
        <is>
          <t>Regular</t>
        </is>
      </c>
      <c r="R128" s="156" t="n"/>
      <c r="S128" s="156" t="inlineStr">
        <is>
          <t>100% Poliéster</t>
        </is>
      </c>
      <c r="T128" s="156" t="inlineStr">
        <is>
          <t>Chamarra Denver naranja Regular</t>
        </is>
      </c>
      <c r="U128" s="156" t="inlineStr">
        <is>
          <t>China</t>
        </is>
      </c>
      <c r="V128" s="156" t="inlineStr">
        <is>
          <t>PZS</t>
        </is>
      </c>
      <c r="W128" s="51" t="inlineStr">
        <is>
          <t>53101800</t>
        </is>
      </c>
      <c r="X128" s="156" t="n"/>
      <c r="Y128" s="54" t="n">
        <v>605.2</v>
      </c>
      <c r="Z128" s="54" t="n">
        <v>1206.034483</v>
      </c>
      <c r="AA128" s="55">
        <f>IF(AND(A128="", B128="", E128=""), "", IF(AB128="", "Válido", IF((LEN(AB128)-LEN(SUBSTITUTE(AB128,"; ","")))/2+1&gt;(LEN(AB128)-LEN(SUBSTITUTE(AB128,"[Aviso]","")))/7, "Con Incidencias", "Válido")))</f>
        <v/>
      </c>
      <c r="AB128" s="56">
        <f>IF(AND(A128="", B128="", E128=""), "", TEXTJOIN("; ", TRUE, IF(OR(TRIM(A128&amp;"")="", ISNUMBER(SEARCH("FALTA", A128))), "UPC faltante/inválido", ""), IF(AND(A128&lt;&gt;"", IFERROR(_xlfn.XMATCH(A128,$A$2:$A$204,0,1)&lt;&gt;_xlfn.XMATCH(A128,$A$2:$A$204,0,-1),FALSE)), "Código de barras duplicado", ""), IF(AND(E128&lt;&gt;"", COUNTIF($E$2:$E$204, E128)&gt;1), "SKU duplicado", ""), IF(OR(J128="", J128=""), "[Aviso] División no capturada ()", IF(ISNA(MATCH(J128, Criterios!$A$123:$A$126, 0)), "División no válida", "")), IF(OR(K128="", K128=""), "[Aviso] Categoría no capturada ()", IF(ISNA(MATCH(K128, Criterios!$A$81:$A$120, 0)), "Categoría no válida", IF(AND(J128&lt;&gt;"", J128&lt;&gt;"", J128&lt;&gt;VLOOKUP(K128, Criterios!$A$81:$B$120, 2, FALSE)), "División no coincide con Categoría", ""))), IF(OR(L128="", L128=""), "[Aviso] Género no capturado ()", IF(ISNA(MATCH(L128, Criterios!$B$123:$B$127, 0)), "Género no válido", "")), IF(OR(N128="", N128=""), "[Aviso] Temporada no capturada ()", IF(ISNA(MATCH(N128, Criterios!$C$123:$C$128, 0)), "Temporada no válida", "")), IF(OR(O128="", O128=""), "[Aviso] Ciclo de vida no capturado ()", IF(ISNA(MATCH(O128, Criterios!$D$123:$D$124, 0)), "Ciclo de vida no válido", ""))))</f>
        <v/>
      </c>
      <c r="AC128" s="56" t="n"/>
      <c r="AD128" s="51" t="n">
        <v>0</v>
      </c>
      <c r="AE128" s="156" t="n"/>
      <c r="AF128" s="51" t="n">
        <v>0</v>
      </c>
      <c r="AG128" s="156" t="inlineStr">
        <is>
          <t>Nuevo – NetSuite sin existencia</t>
        </is>
      </c>
      <c r="AH128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01/10/2026: Shopify Western Brothers trae Color «Naranja» — se conservó el valor de Productos | Homologación G1522 06/10/2026: WB Composición: «100% Poliester» → «100% Poliéster» (Corrección aplicada)</t>
        </is>
      </c>
      <c r="AI128" s="156" t="inlineStr">
        <is>
          <t>No</t>
        </is>
      </c>
      <c r="AJ128" s="156" t="n"/>
      <c r="AK128" s="155" t="inlineStr">
        <is>
          <t>ProductosCatalogoEstandar907.xlsx: fila 5179 [L,N,O,Q,S,U,Y]; G1522_Extraccion_Articulos_NetSuite_2026-09-30.xlsx: fila 56613 [M,P,V,Y,T] | Shopify WB: producto 8569961513145 / variante 47621325815993</t>
        </is>
      </c>
      <c r="AL128" s="58" t="n">
        <v>605.2</v>
      </c>
      <c r="AM128" s="58" t="n">
        <v>1399.00000028</v>
      </c>
      <c r="AN128" s="155" t="inlineStr">
        <is>
          <t>Shopify Western Brothers</t>
        </is>
      </c>
      <c r="AO128" s="59" t="n"/>
      <c r="AP128" s="59" t="n">
        <v>0</v>
      </c>
      <c r="AQ128" s="59" t="n"/>
      <c r="AR128" s="155" t="n"/>
    </row>
    <row r="129">
      <c r="A129" s="50" t="inlineStr">
        <is>
          <t>7506499514019</t>
        </is>
      </c>
      <c r="B129" s="51" t="inlineStr">
        <is>
          <t>108455</t>
        </is>
      </c>
      <c r="C129" s="156" t="inlineStr">
        <is>
          <t>Multimarca</t>
        </is>
      </c>
      <c r="D129" s="156" t="inlineStr">
        <is>
          <t>JK1995-SP1-2</t>
        </is>
      </c>
      <c r="E129" s="156" t="inlineStr">
        <is>
          <t>JK1995-SP1-2-M</t>
        </is>
      </c>
      <c r="F129" s="156" t="inlineStr">
        <is>
          <t>M</t>
        </is>
      </c>
      <c r="G129" s="156" t="inlineStr">
        <is>
          <t>M</t>
        </is>
      </c>
      <c r="H129" s="156" t="inlineStr">
        <is>
          <t>Denver</t>
        </is>
      </c>
      <c r="I129" s="156" t="inlineStr">
        <is>
          <t>Chamarra Denver naranja</t>
        </is>
      </c>
      <c r="J129" s="156" t="inlineStr">
        <is>
          <t>Ropa</t>
        </is>
      </c>
      <c r="K129" s="156" t="inlineStr">
        <is>
          <t>Chamarras</t>
        </is>
      </c>
      <c r="L129" s="156" t="inlineStr">
        <is>
          <t>Hombre</t>
        </is>
      </c>
      <c r="M129" s="156" t="inlineStr">
        <is>
          <t>Denver</t>
        </is>
      </c>
      <c r="N129" s="156" t="inlineStr">
        <is>
          <t>FW26</t>
        </is>
      </c>
      <c r="O129" s="156" t="inlineStr">
        <is>
          <t>Core</t>
        </is>
      </c>
      <c r="P129" s="156" t="inlineStr">
        <is>
          <t>Negro</t>
        </is>
      </c>
      <c r="Q129" s="156" t="inlineStr">
        <is>
          <t>Regular</t>
        </is>
      </c>
      <c r="R129" s="156" t="n"/>
      <c r="S129" s="156" t="inlineStr">
        <is>
          <t>100% Poliéster</t>
        </is>
      </c>
      <c r="T129" s="156" t="inlineStr">
        <is>
          <t>Chamarra Denver naranja Regular</t>
        </is>
      </c>
      <c r="U129" s="156" t="inlineStr">
        <is>
          <t>China</t>
        </is>
      </c>
      <c r="V129" s="156" t="inlineStr">
        <is>
          <t>PZS</t>
        </is>
      </c>
      <c r="W129" s="51" t="inlineStr">
        <is>
          <t>53101800</t>
        </is>
      </c>
      <c r="X129" s="156" t="n"/>
      <c r="Y129" s="54" t="n">
        <v>605.2</v>
      </c>
      <c r="Z129" s="54" t="n">
        <v>1206.034483</v>
      </c>
      <c r="AA129" s="55">
        <f>IF(AND(A129="", B129="", E129=""), "", IF(AB129="", "Válido", IF((LEN(AB129)-LEN(SUBSTITUTE(AB129,"; ","")))/2+1&gt;(LEN(AB129)-LEN(SUBSTITUTE(AB129,"[Aviso]","")))/7, "Con Incidencias", "Válido")))</f>
        <v/>
      </c>
      <c r="AB129" s="56">
        <f>IF(AND(A129="", B129="", E129=""), "", TEXTJOIN("; ", TRUE, IF(OR(TRIM(A129&amp;"")="", ISNUMBER(SEARCH("FALTA", A129))), "UPC faltante/inválido", ""), IF(AND(A129&lt;&gt;"", IFERROR(_xlfn.XMATCH(A129,$A$2:$A$204,0,1)&lt;&gt;_xlfn.XMATCH(A129,$A$2:$A$204,0,-1),FALSE)), "Código de barras duplicado", ""), IF(AND(E129&lt;&gt;"", COUNTIF($E$2:$E$204, E129)&gt;1), "SKU duplicado", ""), IF(OR(J129="", J129=""), "[Aviso] División no capturada ()", IF(ISNA(MATCH(J129, Criterios!$A$123:$A$126, 0)), "División no válida", "")), IF(OR(K129="", K129=""), "[Aviso] Categoría no capturada ()", IF(ISNA(MATCH(K129, Criterios!$A$81:$A$120, 0)), "Categoría no válida", IF(AND(J129&lt;&gt;"", J129&lt;&gt;"", J129&lt;&gt;VLOOKUP(K129, Criterios!$A$81:$B$120, 2, FALSE)), "División no coincide con Categoría", ""))), IF(OR(L129="", L129=""), "[Aviso] Género no capturado ()", IF(ISNA(MATCH(L129, Criterios!$B$123:$B$127, 0)), "Género no válido", "")), IF(OR(N129="", N129=""), "[Aviso] Temporada no capturada ()", IF(ISNA(MATCH(N129, Criterios!$C$123:$C$128, 0)), "Temporada no válida", "")), IF(OR(O129="", O129=""), "[Aviso] Ciclo de vida no capturado ()", IF(ISNA(MATCH(O129, Criterios!$D$123:$D$124, 0)), "Ciclo de vida no válido", ""))))</f>
        <v/>
      </c>
      <c r="AC129" s="56" t="n"/>
      <c r="AD129" s="51" t="n">
        <v>0</v>
      </c>
      <c r="AE129" s="156" t="n"/>
      <c r="AF129" s="51" t="n">
        <v>0</v>
      </c>
      <c r="AG129" s="156" t="inlineStr">
        <is>
          <t>Nuevo – NetSuite sin existencia</t>
        </is>
      </c>
      <c r="AH129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01/10/2026: Shopify Western Brothers trae Color «Naranja» — se conservó el valor de Productos | Homologación G1522 06/10/2026: WB Composición: «100% Poliester» → «100% Poliéster» (Corrección aplicada)</t>
        </is>
      </c>
      <c r="AI129" s="156" t="inlineStr">
        <is>
          <t>No</t>
        </is>
      </c>
      <c r="AJ129" s="156" t="n"/>
      <c r="AK129" s="155" t="inlineStr">
        <is>
          <t>ProductosCatalogoEstandar907.xlsx: fila 5180 [L,N,O,Q,S,U,Y]; G1522_Extraccion_Articulos_NetSuite_2026-09-30.xlsx: fila 56614 [M,P,V,Y,T] | Shopify WB: producto 8569961513145 / variante 47621325848761</t>
        </is>
      </c>
      <c r="AL129" s="58" t="n">
        <v>605.2</v>
      </c>
      <c r="AM129" s="58" t="n">
        <v>1399.00000028</v>
      </c>
      <c r="AN129" s="155" t="inlineStr">
        <is>
          <t>Shopify Western Brothers</t>
        </is>
      </c>
      <c r="AO129" s="59" t="n"/>
      <c r="AP129" s="59" t="n">
        <v>0</v>
      </c>
      <c r="AQ129" s="59" t="n"/>
      <c r="AR129" s="155" t="n"/>
    </row>
    <row r="130">
      <c r="A130" s="50" t="inlineStr">
        <is>
          <t>7506499514026</t>
        </is>
      </c>
      <c r="B130" s="51" t="inlineStr">
        <is>
          <t>108456</t>
        </is>
      </c>
      <c r="C130" s="156" t="inlineStr">
        <is>
          <t>Multimarca</t>
        </is>
      </c>
      <c r="D130" s="156" t="inlineStr">
        <is>
          <t>JK1995-SP1-2</t>
        </is>
      </c>
      <c r="E130" s="156" t="inlineStr">
        <is>
          <t>JK1995-SP1-2-L</t>
        </is>
      </c>
      <c r="F130" s="156" t="inlineStr">
        <is>
          <t>L</t>
        </is>
      </c>
      <c r="G130" s="156" t="inlineStr">
        <is>
          <t>L</t>
        </is>
      </c>
      <c r="H130" s="156" t="inlineStr">
        <is>
          <t>Denver</t>
        </is>
      </c>
      <c r="I130" s="156" t="inlineStr">
        <is>
          <t>Chamarra Denver naranja</t>
        </is>
      </c>
      <c r="J130" s="156" t="inlineStr">
        <is>
          <t>Ropa</t>
        </is>
      </c>
      <c r="K130" s="156" t="inlineStr">
        <is>
          <t>Chamarras</t>
        </is>
      </c>
      <c r="L130" s="156" t="inlineStr">
        <is>
          <t>Hombre</t>
        </is>
      </c>
      <c r="M130" s="156" t="inlineStr">
        <is>
          <t>Denver</t>
        </is>
      </c>
      <c r="N130" s="156" t="inlineStr">
        <is>
          <t>FW26</t>
        </is>
      </c>
      <c r="O130" s="156" t="inlineStr">
        <is>
          <t>Core</t>
        </is>
      </c>
      <c r="P130" s="156" t="inlineStr">
        <is>
          <t>Negro</t>
        </is>
      </c>
      <c r="Q130" s="156" t="inlineStr">
        <is>
          <t>Regular</t>
        </is>
      </c>
      <c r="R130" s="156" t="n"/>
      <c r="S130" s="156" t="inlineStr">
        <is>
          <t>100% Poliéster</t>
        </is>
      </c>
      <c r="T130" s="156" t="inlineStr">
        <is>
          <t>Chamarra Denver naranja Regular</t>
        </is>
      </c>
      <c r="U130" s="156" t="inlineStr">
        <is>
          <t>China</t>
        </is>
      </c>
      <c r="V130" s="156" t="inlineStr">
        <is>
          <t>PZS</t>
        </is>
      </c>
      <c r="W130" s="51" t="inlineStr">
        <is>
          <t>53101800</t>
        </is>
      </c>
      <c r="X130" s="156" t="n"/>
      <c r="Y130" s="54" t="n">
        <v>605.2</v>
      </c>
      <c r="Z130" s="54" t="n">
        <v>1206.034483</v>
      </c>
      <c r="AA130" s="55">
        <f>IF(AND(A130="", B130="", E130=""), "", IF(AB130="", "Válido", IF((LEN(AB130)-LEN(SUBSTITUTE(AB130,"; ","")))/2+1&gt;(LEN(AB130)-LEN(SUBSTITUTE(AB130,"[Aviso]","")))/7, "Con Incidencias", "Válido")))</f>
        <v/>
      </c>
      <c r="AB130" s="56">
        <f>IF(AND(A130="", B130="", E130=""), "", TEXTJOIN("; ", TRUE, IF(OR(TRIM(A130&amp;"")="", ISNUMBER(SEARCH("FALTA", A130))), "UPC faltante/inválido", ""), IF(AND(A130&lt;&gt;"", IFERROR(_xlfn.XMATCH(A130,$A$2:$A$204,0,1)&lt;&gt;_xlfn.XMATCH(A130,$A$2:$A$204,0,-1),FALSE)), "Código de barras duplicado", ""), IF(AND(E130&lt;&gt;"", COUNTIF($E$2:$E$204, E130)&gt;1), "SKU duplicado", ""), IF(OR(J130="", J130=""), "[Aviso] División no capturada ()", IF(ISNA(MATCH(J130, Criterios!$A$123:$A$126, 0)), "División no válida", "")), IF(OR(K130="", K130=""), "[Aviso] Categoría no capturada ()", IF(ISNA(MATCH(K130, Criterios!$A$81:$A$120, 0)), "Categoría no válida", IF(AND(J130&lt;&gt;"", J130&lt;&gt;"", J130&lt;&gt;VLOOKUP(K130, Criterios!$A$81:$B$120, 2, FALSE)), "División no coincide con Categoría", ""))), IF(OR(L130="", L130=""), "[Aviso] Género no capturado ()", IF(ISNA(MATCH(L130, Criterios!$B$123:$B$127, 0)), "Género no válido", "")), IF(OR(N130="", N130=""), "[Aviso] Temporada no capturada ()", IF(ISNA(MATCH(N130, Criterios!$C$123:$C$128, 0)), "Temporada no válida", "")), IF(OR(O130="", O130=""), "[Aviso] Ciclo de vida no capturado ()", IF(ISNA(MATCH(O130, Criterios!$D$123:$D$124, 0)), "Ciclo de vida no válido", ""))))</f>
        <v/>
      </c>
      <c r="AC130" s="56" t="n"/>
      <c r="AD130" s="51" t="n">
        <v>0</v>
      </c>
      <c r="AE130" s="156" t="n"/>
      <c r="AF130" s="51" t="n">
        <v>0</v>
      </c>
      <c r="AG130" s="156" t="inlineStr">
        <is>
          <t>Nuevo – NetSuite sin existencia</t>
        </is>
      </c>
      <c r="AH130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01/10/2026: Shopify Western Brothers trae Color «Naranja» — se conservó el valor de Productos | Homologación G1522 06/10/2026: WB Composición: «100% Poliester» → «100% Poliéster» (Corrección aplicada)</t>
        </is>
      </c>
      <c r="AI130" s="156" t="inlineStr">
        <is>
          <t>No</t>
        </is>
      </c>
      <c r="AJ130" s="156" t="n"/>
      <c r="AK130" s="155" t="inlineStr">
        <is>
          <t>ProductosCatalogoEstandar907.xlsx: fila 5181 [L,N,O,Q,S,U,Y]; G1522_Extraccion_Articulos_NetSuite_2026-09-30.xlsx: fila 56615 [M,P,V,Y,T] | Shopify WB: producto 8569961513145 / variante 47621325881529</t>
        </is>
      </c>
      <c r="AL130" s="58" t="n">
        <v>605.2</v>
      </c>
      <c r="AM130" s="58" t="n">
        <v>1399.00000028</v>
      </c>
      <c r="AN130" s="155" t="inlineStr">
        <is>
          <t>Shopify Western Brothers</t>
        </is>
      </c>
      <c r="AO130" s="59" t="n"/>
      <c r="AP130" s="59" t="n">
        <v>0</v>
      </c>
      <c r="AQ130" s="59" t="n"/>
      <c r="AR130" s="155" t="n"/>
    </row>
    <row r="131">
      <c r="A131" s="50" t="inlineStr">
        <is>
          <t>7506499514033</t>
        </is>
      </c>
      <c r="B131" s="51" t="inlineStr">
        <is>
          <t>108457</t>
        </is>
      </c>
      <c r="C131" s="156" t="inlineStr">
        <is>
          <t>Multimarca</t>
        </is>
      </c>
      <c r="D131" s="156" t="inlineStr">
        <is>
          <t>JK1995-SP1-2</t>
        </is>
      </c>
      <c r="E131" s="156" t="inlineStr">
        <is>
          <t>JK1995-SP1-2-XL</t>
        </is>
      </c>
      <c r="F131" s="156" t="inlineStr">
        <is>
          <t>XL</t>
        </is>
      </c>
      <c r="G131" s="156" t="inlineStr">
        <is>
          <t>XL</t>
        </is>
      </c>
      <c r="H131" s="156" t="inlineStr">
        <is>
          <t>Denver</t>
        </is>
      </c>
      <c r="I131" s="156" t="inlineStr">
        <is>
          <t>Chamarra Denver naranja</t>
        </is>
      </c>
      <c r="J131" s="156" t="inlineStr">
        <is>
          <t>Ropa</t>
        </is>
      </c>
      <c r="K131" s="156" t="inlineStr">
        <is>
          <t>Chamarras</t>
        </is>
      </c>
      <c r="L131" s="156" t="inlineStr">
        <is>
          <t>Hombre</t>
        </is>
      </c>
      <c r="M131" s="156" t="inlineStr">
        <is>
          <t>Denver</t>
        </is>
      </c>
      <c r="N131" s="156" t="inlineStr">
        <is>
          <t>FW26</t>
        </is>
      </c>
      <c r="O131" s="156" t="inlineStr">
        <is>
          <t>Core</t>
        </is>
      </c>
      <c r="P131" s="156" t="inlineStr">
        <is>
          <t>Negro</t>
        </is>
      </c>
      <c r="Q131" s="156" t="inlineStr">
        <is>
          <t>Regular</t>
        </is>
      </c>
      <c r="R131" s="156" t="n"/>
      <c r="S131" s="156" t="inlineStr">
        <is>
          <t>100% Poliéster</t>
        </is>
      </c>
      <c r="T131" s="156" t="inlineStr">
        <is>
          <t>Chamarra Denver naranja Regular</t>
        </is>
      </c>
      <c r="U131" s="156" t="inlineStr">
        <is>
          <t>China</t>
        </is>
      </c>
      <c r="V131" s="156" t="inlineStr">
        <is>
          <t>PZS</t>
        </is>
      </c>
      <c r="W131" s="51" t="inlineStr">
        <is>
          <t>53101800</t>
        </is>
      </c>
      <c r="X131" s="156" t="n"/>
      <c r="Y131" s="54" t="n">
        <v>605.2</v>
      </c>
      <c r="Z131" s="54" t="n">
        <v>1206.034483</v>
      </c>
      <c r="AA131" s="55">
        <f>IF(AND(A131="", B131="", E131=""), "", IF(AB131="", "Válido", IF((LEN(AB131)-LEN(SUBSTITUTE(AB131,"; ","")))/2+1&gt;(LEN(AB131)-LEN(SUBSTITUTE(AB131,"[Aviso]","")))/7, "Con Incidencias", "Válido")))</f>
        <v/>
      </c>
      <c r="AB131" s="56">
        <f>IF(AND(A131="", B131="", E131=""), "", TEXTJOIN("; ", TRUE, IF(OR(TRIM(A131&amp;"")="", ISNUMBER(SEARCH("FALTA", A131))), "UPC faltante/inválido", ""), IF(AND(A131&lt;&gt;"", IFERROR(_xlfn.XMATCH(A131,$A$2:$A$204,0,1)&lt;&gt;_xlfn.XMATCH(A131,$A$2:$A$204,0,-1),FALSE)), "Código de barras duplicado", ""), IF(AND(E131&lt;&gt;"", COUNTIF($E$2:$E$204, E131)&gt;1), "SKU duplicado", ""), IF(OR(J131="", J131=""), "[Aviso] División no capturada ()", IF(ISNA(MATCH(J131, Criterios!$A$123:$A$126, 0)), "División no válida", "")), IF(OR(K131="", K131=""), "[Aviso] Categoría no capturada ()", IF(ISNA(MATCH(K131, Criterios!$A$81:$A$120, 0)), "Categoría no válida", IF(AND(J131&lt;&gt;"", J131&lt;&gt;"", J131&lt;&gt;VLOOKUP(K131, Criterios!$A$81:$B$120, 2, FALSE)), "División no coincide con Categoría", ""))), IF(OR(L131="", L131=""), "[Aviso] Género no capturado ()", IF(ISNA(MATCH(L131, Criterios!$B$123:$B$127, 0)), "Género no válido", "")), IF(OR(N131="", N131=""), "[Aviso] Temporada no capturada ()", IF(ISNA(MATCH(N131, Criterios!$C$123:$C$128, 0)), "Temporada no válida", "")), IF(OR(O131="", O131=""), "[Aviso] Ciclo de vida no capturado ()", IF(ISNA(MATCH(O131, Criterios!$D$123:$D$124, 0)), "Ciclo de vida no válido", ""))))</f>
        <v/>
      </c>
      <c r="AC131" s="56" t="n"/>
      <c r="AD131" s="51" t="n">
        <v>0</v>
      </c>
      <c r="AE131" s="156" t="n"/>
      <c r="AF131" s="51" t="n">
        <v>0</v>
      </c>
      <c r="AG131" s="156" t="inlineStr">
        <is>
          <t>Nuevo – NetSuite sin existencia</t>
        </is>
      </c>
      <c r="AH131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01/10/2026: Shopify Western Brothers trae Color «Naranja» — se conservó el valor de Productos | Homologación G1522 06/10/2026: WB Composición: «100% Poliester» → «100% Poliéster» (Corrección aplicada)</t>
        </is>
      </c>
      <c r="AI131" s="156" t="inlineStr">
        <is>
          <t>No</t>
        </is>
      </c>
      <c r="AJ131" s="156" t="n"/>
      <c r="AK131" s="155" t="inlineStr">
        <is>
          <t>ProductosCatalogoEstandar907.xlsx: fila 5182 [L,N,O,Q,S,U,Y]; G1522_Extraccion_Articulos_NetSuite_2026-09-30.xlsx: fila 56616 [M,P,V,Y,T] | Shopify WB: producto 8569961513145 / variante 47621325914297</t>
        </is>
      </c>
      <c r="AL131" s="58" t="n">
        <v>605.2</v>
      </c>
      <c r="AM131" s="58" t="n">
        <v>1399.00000028</v>
      </c>
      <c r="AN131" s="155" t="inlineStr">
        <is>
          <t>Shopify Western Brothers</t>
        </is>
      </c>
      <c r="AO131" s="59" t="n"/>
      <c r="AP131" s="59" t="n">
        <v>0</v>
      </c>
      <c r="AQ131" s="59" t="n"/>
      <c r="AR131" s="155" t="n"/>
    </row>
    <row r="132">
      <c r="A132" s="50" t="inlineStr">
        <is>
          <t>7506499531733</t>
        </is>
      </c>
      <c r="B132" s="51" t="inlineStr">
        <is>
          <t>108458</t>
        </is>
      </c>
      <c r="C132" s="156" t="inlineStr">
        <is>
          <t>Multimarca</t>
        </is>
      </c>
      <c r="D132" s="156" t="inlineStr">
        <is>
          <t>JK916-PP1</t>
        </is>
      </c>
      <c r="E132" s="156" t="inlineStr">
        <is>
          <t>JK916-PP1-S</t>
        </is>
      </c>
      <c r="F132" s="156" t="inlineStr">
        <is>
          <t>S</t>
        </is>
      </c>
      <c r="G132" s="156" t="inlineStr">
        <is>
          <t>S</t>
        </is>
      </c>
      <c r="H132" s="156" t="inlineStr">
        <is>
          <t>Denver</t>
        </is>
      </c>
      <c r="I132" s="156" t="inlineStr">
        <is>
          <t>Chamarra Denver kakhi</t>
        </is>
      </c>
      <c r="J132" s="156" t="inlineStr">
        <is>
          <t>Ropa</t>
        </is>
      </c>
      <c r="K132" s="156" t="inlineStr">
        <is>
          <t>Chamarras</t>
        </is>
      </c>
      <c r="L132" s="156" t="inlineStr">
        <is>
          <t>Hombre</t>
        </is>
      </c>
      <c r="M132" s="156" t="inlineStr">
        <is>
          <t>Denver</t>
        </is>
      </c>
      <c r="N132" s="156" t="inlineStr">
        <is>
          <t>FW26</t>
        </is>
      </c>
      <c r="O132" s="156" t="inlineStr">
        <is>
          <t>Core</t>
        </is>
      </c>
      <c r="P132" s="156" t="inlineStr">
        <is>
          <t>Negro</t>
        </is>
      </c>
      <c r="Q132" s="156" t="inlineStr">
        <is>
          <t>Regular</t>
        </is>
      </c>
      <c r="R132" s="156" t="n"/>
      <c r="S132" s="156" t="inlineStr">
        <is>
          <t>100% Poliéster</t>
        </is>
      </c>
      <c r="T132" s="156" t="inlineStr">
        <is>
          <t>Chamarra Denver kakhi Regular</t>
        </is>
      </c>
      <c r="U132" s="156" t="inlineStr">
        <is>
          <t>China</t>
        </is>
      </c>
      <c r="V132" s="156" t="inlineStr">
        <is>
          <t>PZS</t>
        </is>
      </c>
      <c r="W132" s="51" t="inlineStr">
        <is>
          <t>53101800</t>
        </is>
      </c>
      <c r="X132" s="156" t="n"/>
      <c r="Y132" s="54" t="n">
        <v>613.7</v>
      </c>
      <c r="Z132" s="54" t="n">
        <v>1249.137931</v>
      </c>
      <c r="AA132" s="55">
        <f>IF(AND(A132="", B132="", E132=""), "", IF(AB132="", "Válido", IF((LEN(AB132)-LEN(SUBSTITUTE(AB132,"; ","")))/2+1&gt;(LEN(AB132)-LEN(SUBSTITUTE(AB132,"[Aviso]","")))/7, "Con Incidencias", "Válido")))</f>
        <v/>
      </c>
      <c r="AB132" s="56">
        <f>IF(AND(A132="", B132="", E132=""), "", TEXTJOIN("; ", TRUE, IF(OR(TRIM(A132&amp;"")="", ISNUMBER(SEARCH("FALTA", A132))), "UPC faltante/inválido", ""), IF(AND(A132&lt;&gt;"", IFERROR(_xlfn.XMATCH(A132,$A$2:$A$204,0,1)&lt;&gt;_xlfn.XMATCH(A132,$A$2:$A$204,0,-1),FALSE)), "Código de barras duplicado", ""), IF(AND(E132&lt;&gt;"", COUNTIF($E$2:$E$204, E132)&gt;1), "SKU duplicado", ""), IF(OR(J132="", J132=""), "[Aviso] División no capturada ()", IF(ISNA(MATCH(J132, Criterios!$A$123:$A$126, 0)), "División no válida", "")), IF(OR(K132="", K132=""), "[Aviso] Categoría no capturada ()", IF(ISNA(MATCH(K132, Criterios!$A$81:$A$120, 0)), "Categoría no válida", IF(AND(J132&lt;&gt;"", J132&lt;&gt;"", J132&lt;&gt;VLOOKUP(K132, Criterios!$A$81:$B$120, 2, FALSE)), "División no coincide con Categoría", ""))), IF(OR(L132="", L132=""), "[Aviso] Género no capturado ()", IF(ISNA(MATCH(L132, Criterios!$B$123:$B$127, 0)), "Género no válido", "")), IF(OR(N132="", N132=""), "[Aviso] Temporada no capturada ()", IF(ISNA(MATCH(N132, Criterios!$C$123:$C$128, 0)), "Temporada no válida", "")), IF(OR(O132="", O132=""), "[Aviso] Ciclo de vida no capturado ()", IF(ISNA(MATCH(O132, Criterios!$D$123:$D$124, 0)), "Ciclo de vida no válido", ""))))</f>
        <v/>
      </c>
      <c r="AC132" s="56" t="n"/>
      <c r="AD132" s="51" t="n">
        <v>0</v>
      </c>
      <c r="AE132" s="156" t="n"/>
      <c r="AF132" s="51" t="n">
        <v>0</v>
      </c>
      <c r="AG132" s="156" t="inlineStr">
        <is>
          <t>Nuevo – NetSuite sin existencia</t>
        </is>
      </c>
      <c r="AH132" s="156" t="inlineStr">
        <is>
          <t>Color por validar; Género por validar | Revisión 29/09/2026: Campos sin respaldo: X; Auditoría NetSuite 30/09/2026: llenado desde NetSuite [M,V,Y,T] | 01/10/2026: complementado desde Shopify Western Brothers (match por código de barras): WB Silueta | Homologación G1522 06/10/2026: WB Composición: «100% Poliester» → «100% Poliéster» (Corrección aplicada)</t>
        </is>
      </c>
      <c r="AI132" s="156" t="inlineStr">
        <is>
          <t>No</t>
        </is>
      </c>
      <c r="AJ132" s="156" t="n"/>
      <c r="AK132" s="155" t="inlineStr">
        <is>
          <t>ProductosCatalogoEstandar907.xlsx: fila 5183 [L,N,O,P,Q,S,U,Y]; G1522_Extraccion_Articulos_NetSuite_2026-09-30.xlsx: fila 56617 [M,V,Y,T] | Shopify WB: producto 8569961611449 / variante 47621326078137</t>
        </is>
      </c>
      <c r="AL132" s="58" t="n">
        <v>613.7</v>
      </c>
      <c r="AM132" s="58" t="n">
        <v>1448.99999996</v>
      </c>
      <c r="AN132" s="155" t="inlineStr">
        <is>
          <t>Shopify Western Brothers</t>
        </is>
      </c>
      <c r="AO132" s="59" t="n"/>
      <c r="AP132" s="59" t="n">
        <v>0</v>
      </c>
      <c r="AQ132" s="59" t="n"/>
      <c r="AR132" s="155" t="n"/>
    </row>
    <row r="133">
      <c r="A133" s="50" t="inlineStr">
        <is>
          <t>7506499531740</t>
        </is>
      </c>
      <c r="B133" s="51" t="inlineStr">
        <is>
          <t>108459</t>
        </is>
      </c>
      <c r="C133" s="156" t="inlineStr">
        <is>
          <t>Multimarca</t>
        </is>
      </c>
      <c r="D133" s="156" t="inlineStr">
        <is>
          <t>JK916-PP1</t>
        </is>
      </c>
      <c r="E133" s="156" t="inlineStr">
        <is>
          <t>JK916-PP1-M</t>
        </is>
      </c>
      <c r="F133" s="156" t="inlineStr">
        <is>
          <t>M</t>
        </is>
      </c>
      <c r="G133" s="156" t="inlineStr">
        <is>
          <t>M</t>
        </is>
      </c>
      <c r="H133" s="156" t="inlineStr">
        <is>
          <t>Denver</t>
        </is>
      </c>
      <c r="I133" s="156" t="inlineStr">
        <is>
          <t>Chamarra Denver kakhi</t>
        </is>
      </c>
      <c r="J133" s="156" t="inlineStr">
        <is>
          <t>Ropa</t>
        </is>
      </c>
      <c r="K133" s="156" t="inlineStr">
        <is>
          <t>Chamarras</t>
        </is>
      </c>
      <c r="L133" s="156" t="inlineStr">
        <is>
          <t>Hombre</t>
        </is>
      </c>
      <c r="M133" s="156" t="inlineStr">
        <is>
          <t>Denver</t>
        </is>
      </c>
      <c r="N133" s="156" t="inlineStr">
        <is>
          <t>FW26</t>
        </is>
      </c>
      <c r="O133" s="156" t="inlineStr">
        <is>
          <t>Core</t>
        </is>
      </c>
      <c r="P133" s="156" t="inlineStr">
        <is>
          <t>Negro</t>
        </is>
      </c>
      <c r="Q133" s="156" t="inlineStr">
        <is>
          <t>Regular</t>
        </is>
      </c>
      <c r="R133" s="156" t="n"/>
      <c r="S133" s="156" t="inlineStr">
        <is>
          <t>100% Poliéster</t>
        </is>
      </c>
      <c r="T133" s="156" t="inlineStr">
        <is>
          <t>Chamarra Denver kakhi Regular</t>
        </is>
      </c>
      <c r="U133" s="156" t="inlineStr">
        <is>
          <t>China</t>
        </is>
      </c>
      <c r="V133" s="156" t="inlineStr">
        <is>
          <t>PZS</t>
        </is>
      </c>
      <c r="W133" s="51" t="inlineStr">
        <is>
          <t>53101800</t>
        </is>
      </c>
      <c r="X133" s="156" t="n"/>
      <c r="Y133" s="54" t="n">
        <v>613.7</v>
      </c>
      <c r="Z133" s="54" t="n">
        <v>1249.137931</v>
      </c>
      <c r="AA133" s="55">
        <f>IF(AND(A133="", B133="", E133=""), "", IF(AB133="", "Válido", IF((LEN(AB133)-LEN(SUBSTITUTE(AB133,"; ","")))/2+1&gt;(LEN(AB133)-LEN(SUBSTITUTE(AB133,"[Aviso]","")))/7, "Con Incidencias", "Válido")))</f>
        <v/>
      </c>
      <c r="AB133" s="56">
        <f>IF(AND(A133="", B133="", E133=""), "", TEXTJOIN("; ", TRUE, IF(OR(TRIM(A133&amp;"")="", ISNUMBER(SEARCH("FALTA", A133))), "UPC faltante/inválido", ""), IF(AND(A133&lt;&gt;"", IFERROR(_xlfn.XMATCH(A133,$A$2:$A$204,0,1)&lt;&gt;_xlfn.XMATCH(A133,$A$2:$A$204,0,-1),FALSE)), "Código de barras duplicado", ""), IF(AND(E133&lt;&gt;"", COUNTIF($E$2:$E$204, E133)&gt;1), "SKU duplicado", ""), IF(OR(J133="", J133=""), "[Aviso] División no capturada ()", IF(ISNA(MATCH(J133, Criterios!$A$123:$A$126, 0)), "División no válida", "")), IF(OR(K133="", K133=""), "[Aviso] Categoría no capturada ()", IF(ISNA(MATCH(K133, Criterios!$A$81:$A$120, 0)), "Categoría no válida", IF(AND(J133&lt;&gt;"", J133&lt;&gt;"", J133&lt;&gt;VLOOKUP(K133, Criterios!$A$81:$B$120, 2, FALSE)), "División no coincide con Categoría", ""))), IF(OR(L133="", L133=""), "[Aviso] Género no capturado ()", IF(ISNA(MATCH(L133, Criterios!$B$123:$B$127, 0)), "Género no válido", "")), IF(OR(N133="", N133=""), "[Aviso] Temporada no capturada ()", IF(ISNA(MATCH(N133, Criterios!$C$123:$C$128, 0)), "Temporada no válida", "")), IF(OR(O133="", O133=""), "[Aviso] Ciclo de vida no capturado ()", IF(ISNA(MATCH(O133, Criterios!$D$123:$D$124, 0)), "Ciclo de vida no válido", ""))))</f>
        <v/>
      </c>
      <c r="AC133" s="56" t="n"/>
      <c r="AD133" s="51" t="n">
        <v>0</v>
      </c>
      <c r="AE133" s="156" t="n"/>
      <c r="AF133" s="51" t="n">
        <v>0</v>
      </c>
      <c r="AG133" s="156" t="inlineStr">
        <is>
          <t>Nuevo – NetSuite sin existencia</t>
        </is>
      </c>
      <c r="AH133" s="156" t="inlineStr">
        <is>
          <t>Color por validar; Género por validar | Revisión 29/09/2026: Campos sin respaldo: X; Auditoría NetSuite 30/09/2026: llenado desde NetSuite [M,V,Y,T] | 01/10/2026: complementado desde Shopify Western Brothers (match por código de barras): WB Silueta | Homologación G1522 06/10/2026: WB Composición: «100% Poliester» → «100% Poliéster» (Corrección aplicada)</t>
        </is>
      </c>
      <c r="AI133" s="156" t="inlineStr">
        <is>
          <t>No</t>
        </is>
      </c>
      <c r="AJ133" s="156" t="n"/>
      <c r="AK133" s="155" t="inlineStr">
        <is>
          <t>ProductosCatalogoEstandar907.xlsx: fila 5184 [L,N,O,P,Q,S,U,Y]; G1522_Extraccion_Articulos_NetSuite_2026-09-30.xlsx: fila 56618 [M,V,Y,T] | Shopify WB: producto 8569961611449 / variante 47621326110905</t>
        </is>
      </c>
      <c r="AL133" s="58" t="n">
        <v>613.7</v>
      </c>
      <c r="AM133" s="58" t="n">
        <v>1448.99999996</v>
      </c>
      <c r="AN133" s="155" t="inlineStr">
        <is>
          <t>Shopify Western Brothers</t>
        </is>
      </c>
      <c r="AO133" s="59" t="n"/>
      <c r="AP133" s="59" t="n">
        <v>0</v>
      </c>
      <c r="AQ133" s="59" t="n"/>
      <c r="AR133" s="155" t="n"/>
    </row>
    <row r="134">
      <c r="A134" s="50" t="inlineStr">
        <is>
          <t>7506499531757</t>
        </is>
      </c>
      <c r="B134" s="51" t="inlineStr">
        <is>
          <t>108460</t>
        </is>
      </c>
      <c r="C134" s="156" t="inlineStr">
        <is>
          <t>Multimarca</t>
        </is>
      </c>
      <c r="D134" s="156" t="inlineStr">
        <is>
          <t>JK916-PP1</t>
        </is>
      </c>
      <c r="E134" s="156" t="inlineStr">
        <is>
          <t>JK916-PP1-L</t>
        </is>
      </c>
      <c r="F134" s="156" t="inlineStr">
        <is>
          <t>L</t>
        </is>
      </c>
      <c r="G134" s="156" t="inlineStr">
        <is>
          <t>L</t>
        </is>
      </c>
      <c r="H134" s="156" t="inlineStr">
        <is>
          <t>Denver</t>
        </is>
      </c>
      <c r="I134" s="156" t="inlineStr">
        <is>
          <t>Chamarra Denver kakhi</t>
        </is>
      </c>
      <c r="J134" s="156" t="inlineStr">
        <is>
          <t>Ropa</t>
        </is>
      </c>
      <c r="K134" s="156" t="inlineStr">
        <is>
          <t>Chamarras</t>
        </is>
      </c>
      <c r="L134" s="156" t="inlineStr">
        <is>
          <t>Hombre</t>
        </is>
      </c>
      <c r="M134" s="156" t="inlineStr">
        <is>
          <t>Denver</t>
        </is>
      </c>
      <c r="N134" s="156" t="inlineStr">
        <is>
          <t>FW26</t>
        </is>
      </c>
      <c r="O134" s="156" t="inlineStr">
        <is>
          <t>Core</t>
        </is>
      </c>
      <c r="P134" s="156" t="inlineStr">
        <is>
          <t>Negro</t>
        </is>
      </c>
      <c r="Q134" s="156" t="inlineStr">
        <is>
          <t>Regular</t>
        </is>
      </c>
      <c r="R134" s="156" t="n"/>
      <c r="S134" s="156" t="inlineStr">
        <is>
          <t>100% Poliéster</t>
        </is>
      </c>
      <c r="T134" s="156" t="inlineStr">
        <is>
          <t>Chamarra Denver kakhi Regular</t>
        </is>
      </c>
      <c r="U134" s="156" t="inlineStr">
        <is>
          <t>China</t>
        </is>
      </c>
      <c r="V134" s="156" t="inlineStr">
        <is>
          <t>PZS</t>
        </is>
      </c>
      <c r="W134" s="51" t="inlineStr">
        <is>
          <t>53101800</t>
        </is>
      </c>
      <c r="X134" s="156" t="n"/>
      <c r="Y134" s="54" t="n">
        <v>613.7</v>
      </c>
      <c r="Z134" s="54" t="n">
        <v>1249.137931</v>
      </c>
      <c r="AA134" s="55">
        <f>IF(AND(A134="", B134="", E134=""), "", IF(AB134="", "Válido", IF((LEN(AB134)-LEN(SUBSTITUTE(AB134,"; ","")))/2+1&gt;(LEN(AB134)-LEN(SUBSTITUTE(AB134,"[Aviso]","")))/7, "Con Incidencias", "Válido")))</f>
        <v/>
      </c>
      <c r="AB134" s="56">
        <f>IF(AND(A134="", B134="", E134=""), "", TEXTJOIN("; ", TRUE, IF(OR(TRIM(A134&amp;"")="", ISNUMBER(SEARCH("FALTA", A134))), "UPC faltante/inválido", ""), IF(AND(A134&lt;&gt;"", IFERROR(_xlfn.XMATCH(A134,$A$2:$A$204,0,1)&lt;&gt;_xlfn.XMATCH(A134,$A$2:$A$204,0,-1),FALSE)), "Código de barras duplicado", ""), IF(AND(E134&lt;&gt;"", COUNTIF($E$2:$E$204, E134)&gt;1), "SKU duplicado", ""), IF(OR(J134="", J134=""), "[Aviso] División no capturada ()", IF(ISNA(MATCH(J134, Criterios!$A$123:$A$126, 0)), "División no válida", "")), IF(OR(K134="", K134=""), "[Aviso] Categoría no capturada ()", IF(ISNA(MATCH(K134, Criterios!$A$81:$A$120, 0)), "Categoría no válida", IF(AND(J134&lt;&gt;"", J134&lt;&gt;"", J134&lt;&gt;VLOOKUP(K134, Criterios!$A$81:$B$120, 2, FALSE)), "División no coincide con Categoría", ""))), IF(OR(L134="", L134=""), "[Aviso] Género no capturado ()", IF(ISNA(MATCH(L134, Criterios!$B$123:$B$127, 0)), "Género no válido", "")), IF(OR(N134="", N134=""), "[Aviso] Temporada no capturada ()", IF(ISNA(MATCH(N134, Criterios!$C$123:$C$128, 0)), "Temporada no válida", "")), IF(OR(O134="", O134=""), "[Aviso] Ciclo de vida no capturado ()", IF(ISNA(MATCH(O134, Criterios!$D$123:$D$124, 0)), "Ciclo de vida no válido", ""))))</f>
        <v/>
      </c>
      <c r="AC134" s="56" t="n"/>
      <c r="AD134" s="51" t="n">
        <v>0</v>
      </c>
      <c r="AE134" s="156" t="n"/>
      <c r="AF134" s="51" t="n">
        <v>0</v>
      </c>
      <c r="AG134" s="156" t="inlineStr">
        <is>
          <t>Nuevo – NetSuite sin existencia</t>
        </is>
      </c>
      <c r="AH134" s="156" t="inlineStr">
        <is>
          <t>Color por validar; Género por validar | Revisión 29/09/2026: Campos sin respaldo: X; Auditoría NetSuite 30/09/2026: llenado desde NetSuite [M,V,Y,T] | 01/10/2026: complementado desde Shopify Western Brothers (match por código de barras): WB Silueta | Homologación G1522 06/10/2026: WB Composición: «100% Poliester» → «100% Poliéster» (Corrección aplicada)</t>
        </is>
      </c>
      <c r="AI134" s="156" t="inlineStr">
        <is>
          <t>No</t>
        </is>
      </c>
      <c r="AJ134" s="156" t="n"/>
      <c r="AK134" s="155" t="inlineStr">
        <is>
          <t>ProductosCatalogoEstandar907.xlsx: fila 5185 [L,N,O,P,Q,S,U,Y]; G1522_Extraccion_Articulos_NetSuite_2026-09-30.xlsx: fila 56619 [M,V,Y,T] | Shopify WB: producto 8569961611449 / variante 47621326143673</t>
        </is>
      </c>
      <c r="AL134" s="58" t="n">
        <v>613.7</v>
      </c>
      <c r="AM134" s="58" t="n">
        <v>1448.99999996</v>
      </c>
      <c r="AN134" s="155" t="inlineStr">
        <is>
          <t>Shopify Western Brothers</t>
        </is>
      </c>
      <c r="AO134" s="59" t="n"/>
      <c r="AP134" s="59" t="n">
        <v>0</v>
      </c>
      <c r="AQ134" s="59" t="n"/>
      <c r="AR134" s="155" t="n"/>
    </row>
    <row r="135">
      <c r="A135" s="50" t="inlineStr">
        <is>
          <t>7506499531764</t>
        </is>
      </c>
      <c r="B135" s="51" t="inlineStr">
        <is>
          <t>108461</t>
        </is>
      </c>
      <c r="C135" s="156" t="inlineStr">
        <is>
          <t>Multimarca</t>
        </is>
      </c>
      <c r="D135" s="156" t="inlineStr">
        <is>
          <t>JK916-PP1</t>
        </is>
      </c>
      <c r="E135" s="156" t="inlineStr">
        <is>
          <t>JK916-PP1-XL</t>
        </is>
      </c>
      <c r="F135" s="156" t="inlineStr">
        <is>
          <t>XL</t>
        </is>
      </c>
      <c r="G135" s="156" t="inlineStr">
        <is>
          <t>XL</t>
        </is>
      </c>
      <c r="H135" s="156" t="inlineStr">
        <is>
          <t>Denver</t>
        </is>
      </c>
      <c r="I135" s="156" t="inlineStr">
        <is>
          <t>Chamarra Denver kakhi</t>
        </is>
      </c>
      <c r="J135" s="156" t="inlineStr">
        <is>
          <t>Ropa</t>
        </is>
      </c>
      <c r="K135" s="156" t="inlineStr">
        <is>
          <t>Chamarras</t>
        </is>
      </c>
      <c r="L135" s="156" t="inlineStr">
        <is>
          <t>Hombre</t>
        </is>
      </c>
      <c r="M135" s="156" t="inlineStr">
        <is>
          <t>Denver</t>
        </is>
      </c>
      <c r="N135" s="156" t="inlineStr">
        <is>
          <t>FW26</t>
        </is>
      </c>
      <c r="O135" s="156" t="inlineStr">
        <is>
          <t>Core</t>
        </is>
      </c>
      <c r="P135" s="156" t="inlineStr">
        <is>
          <t>Negro</t>
        </is>
      </c>
      <c r="Q135" s="156" t="inlineStr">
        <is>
          <t>Regular</t>
        </is>
      </c>
      <c r="R135" s="156" t="n"/>
      <c r="S135" s="156" t="inlineStr">
        <is>
          <t>100% Poliéster</t>
        </is>
      </c>
      <c r="T135" s="156" t="inlineStr">
        <is>
          <t>Chamarra Denver kakhi Regular</t>
        </is>
      </c>
      <c r="U135" s="156" t="inlineStr">
        <is>
          <t>China</t>
        </is>
      </c>
      <c r="V135" s="156" t="inlineStr">
        <is>
          <t>PZS</t>
        </is>
      </c>
      <c r="W135" s="51" t="inlineStr">
        <is>
          <t>53101800</t>
        </is>
      </c>
      <c r="X135" s="156" t="n"/>
      <c r="Y135" s="54" t="n">
        <v>613.7</v>
      </c>
      <c r="Z135" s="54" t="n">
        <v>1249.137931</v>
      </c>
      <c r="AA135" s="55">
        <f>IF(AND(A135="", B135="", E135=""), "", IF(AB135="", "Válido", IF((LEN(AB135)-LEN(SUBSTITUTE(AB135,"; ","")))/2+1&gt;(LEN(AB135)-LEN(SUBSTITUTE(AB135,"[Aviso]","")))/7, "Con Incidencias", "Válido")))</f>
        <v/>
      </c>
      <c r="AB135" s="56">
        <f>IF(AND(A135="", B135="", E135=""), "", TEXTJOIN("; ", TRUE, IF(OR(TRIM(A135&amp;"")="", ISNUMBER(SEARCH("FALTA", A135))), "UPC faltante/inválido", ""), IF(AND(A135&lt;&gt;"", IFERROR(_xlfn.XMATCH(A135,$A$2:$A$204,0,1)&lt;&gt;_xlfn.XMATCH(A135,$A$2:$A$204,0,-1),FALSE)), "Código de barras duplicado", ""), IF(AND(E135&lt;&gt;"", COUNTIF($E$2:$E$204, E135)&gt;1), "SKU duplicado", ""), IF(OR(J135="", J135=""), "[Aviso] División no capturada ()", IF(ISNA(MATCH(J135, Criterios!$A$123:$A$126, 0)), "División no válida", "")), IF(OR(K135="", K135=""), "[Aviso] Categoría no capturada ()", IF(ISNA(MATCH(K135, Criterios!$A$81:$A$120, 0)), "Categoría no válida", IF(AND(J135&lt;&gt;"", J135&lt;&gt;"", J135&lt;&gt;VLOOKUP(K135, Criterios!$A$81:$B$120, 2, FALSE)), "División no coincide con Categoría", ""))), IF(OR(L135="", L135=""), "[Aviso] Género no capturado ()", IF(ISNA(MATCH(L135, Criterios!$B$123:$B$127, 0)), "Género no válido", "")), IF(OR(N135="", N135=""), "[Aviso] Temporada no capturada ()", IF(ISNA(MATCH(N135, Criterios!$C$123:$C$128, 0)), "Temporada no válida", "")), IF(OR(O135="", O135=""), "[Aviso] Ciclo de vida no capturado ()", IF(ISNA(MATCH(O135, Criterios!$D$123:$D$124, 0)), "Ciclo de vida no válido", ""))))</f>
        <v/>
      </c>
      <c r="AC135" s="56" t="n"/>
      <c r="AD135" s="51" t="n">
        <v>0</v>
      </c>
      <c r="AE135" s="156" t="n"/>
      <c r="AF135" s="51" t="n">
        <v>0</v>
      </c>
      <c r="AG135" s="156" t="inlineStr">
        <is>
          <t>Nuevo – NetSuite sin existencia</t>
        </is>
      </c>
      <c r="AH135" s="156" t="inlineStr">
        <is>
          <t>Color por validar; Género por validar | Revisión 29/09/2026: Campos sin respaldo: X; Auditoría NetSuite 30/09/2026: llenado desde NetSuite [M,V,Y,T] | 01/10/2026: complementado desde Shopify Western Brothers (match por código de barras): WB Silueta | Homologación G1522 06/10/2026: WB Composición: «100% Poliester» → «100% Poliéster» (Corrección aplicada)</t>
        </is>
      </c>
      <c r="AI135" s="156" t="inlineStr">
        <is>
          <t>No</t>
        </is>
      </c>
      <c r="AJ135" s="156" t="n"/>
      <c r="AK135" s="155" t="inlineStr">
        <is>
          <t>ProductosCatalogoEstandar907.xlsx: fila 5186 [L,N,O,P,Q,S,U,Y]; G1522_Extraccion_Articulos_NetSuite_2026-09-30.xlsx: fila 56620 [M,V,Y,T] | Shopify WB: producto 8569961611449 / variante 47621326176441</t>
        </is>
      </c>
      <c r="AL135" s="58" t="n">
        <v>613.7</v>
      </c>
      <c r="AM135" s="58" t="n">
        <v>1448.99999996</v>
      </c>
      <c r="AN135" s="155" t="inlineStr">
        <is>
          <t>Shopify Western Brothers</t>
        </is>
      </c>
      <c r="AO135" s="59" t="n"/>
      <c r="AP135" s="59" t="n">
        <v>0</v>
      </c>
      <c r="AQ135" s="59" t="n"/>
      <c r="AR135" s="155" t="n"/>
    </row>
    <row r="136">
      <c r="A136" s="50" t="inlineStr">
        <is>
          <t>7506499565813</t>
        </is>
      </c>
      <c r="B136" s="51" t="inlineStr">
        <is>
          <t>108462</t>
        </is>
      </c>
      <c r="C136" s="156" t="inlineStr">
        <is>
          <t>Multimarca</t>
        </is>
      </c>
      <c r="D136" s="156" t="inlineStr">
        <is>
          <t>JK927-AG7</t>
        </is>
      </c>
      <c r="E136" s="156" t="inlineStr">
        <is>
          <t>JK927-AG7-M</t>
        </is>
      </c>
      <c r="F136" s="156" t="inlineStr">
        <is>
          <t>M</t>
        </is>
      </c>
      <c r="G136" s="156" t="inlineStr">
        <is>
          <t>M</t>
        </is>
      </c>
      <c r="H136" s="156" t="inlineStr">
        <is>
          <t>Denver</t>
        </is>
      </c>
      <c r="I136" s="156" t="inlineStr">
        <is>
          <t>Chamarra Denver aguila gris</t>
        </is>
      </c>
      <c r="J136" s="156" t="inlineStr">
        <is>
          <t>Ropa</t>
        </is>
      </c>
      <c r="K136" s="156" t="inlineStr">
        <is>
          <t>Chamarras</t>
        </is>
      </c>
      <c r="L136" s="156" t="inlineStr">
        <is>
          <t>Hombre</t>
        </is>
      </c>
      <c r="M136" s="156" t="inlineStr">
        <is>
          <t>Denver</t>
        </is>
      </c>
      <c r="N136" s="156" t="inlineStr">
        <is>
          <t>FW26</t>
        </is>
      </c>
      <c r="O136" s="156" t="inlineStr">
        <is>
          <t>Core</t>
        </is>
      </c>
      <c r="P136" s="156" t="inlineStr">
        <is>
          <t>Gris</t>
        </is>
      </c>
      <c r="Q136" s="156" t="inlineStr">
        <is>
          <t>Regular</t>
        </is>
      </c>
      <c r="R136" s="156" t="n"/>
      <c r="S136" s="156" t="inlineStr">
        <is>
          <t>100% Poliéster</t>
        </is>
      </c>
      <c r="T136" s="156" t="inlineStr">
        <is>
          <t>Chamarra Denver aguila gris Regular</t>
        </is>
      </c>
      <c r="U136" s="156" t="inlineStr">
        <is>
          <t>China</t>
        </is>
      </c>
      <c r="V136" s="156" t="inlineStr">
        <is>
          <t>PZS</t>
        </is>
      </c>
      <c r="W136" s="51" t="inlineStr">
        <is>
          <t>53101800</t>
        </is>
      </c>
      <c r="X136" s="156" t="n"/>
      <c r="Y136" s="54" t="n">
        <v>595</v>
      </c>
      <c r="Z136" s="54" t="n">
        <v>1206.034483</v>
      </c>
      <c r="AA136" s="55">
        <f>IF(AND(A136="", B136="", E136=""), "", IF(AB136="", "Válido", IF((LEN(AB136)-LEN(SUBSTITUTE(AB136,"; ","")))/2+1&gt;(LEN(AB136)-LEN(SUBSTITUTE(AB136,"[Aviso]","")))/7, "Con Incidencias", "Válido")))</f>
        <v/>
      </c>
      <c r="AB136" s="56">
        <f>IF(AND(A136="", B136="", E136=""), "", TEXTJOIN("; ", TRUE, IF(OR(TRIM(A136&amp;"")="", ISNUMBER(SEARCH("FALTA", A136))), "UPC faltante/inválido", ""), IF(AND(A136&lt;&gt;"", IFERROR(_xlfn.XMATCH(A136,$A$2:$A$204,0,1)&lt;&gt;_xlfn.XMATCH(A136,$A$2:$A$204,0,-1),FALSE)), "Código de barras duplicado", ""), IF(AND(E136&lt;&gt;"", COUNTIF($E$2:$E$204, E136)&gt;1), "SKU duplicado", ""), IF(OR(J136="", J136=""), "[Aviso] División no capturada ()", IF(ISNA(MATCH(J136, Criterios!$A$123:$A$126, 0)), "División no válida", "")), IF(OR(K136="", K136=""), "[Aviso] Categoría no capturada ()", IF(ISNA(MATCH(K136, Criterios!$A$81:$A$120, 0)), "Categoría no válida", IF(AND(J136&lt;&gt;"", J136&lt;&gt;"", J136&lt;&gt;VLOOKUP(K136, Criterios!$A$81:$B$120, 2, FALSE)), "División no coincide con Categoría", ""))), IF(OR(L136="", L136=""), "[Aviso] Género no capturado ()", IF(ISNA(MATCH(L136, Criterios!$B$123:$B$127, 0)), "Género no válido", "")), IF(OR(N136="", N136=""), "[Aviso] Temporada no capturada ()", IF(ISNA(MATCH(N136, Criterios!$C$123:$C$128, 0)), "Temporada no válida", "")), IF(OR(O136="", O136=""), "[Aviso] Ciclo de vida no capturado ()", IF(ISNA(MATCH(O136, Criterios!$D$123:$D$124, 0)), "Ciclo de vida no válido", ""))))</f>
        <v/>
      </c>
      <c r="AC136" s="56" t="n"/>
      <c r="AD136" s="51" t="n">
        <v>0</v>
      </c>
      <c r="AE136" s="156" t="n"/>
      <c r="AF136" s="51" t="n">
        <v>0</v>
      </c>
      <c r="AG136" s="156" t="inlineStr">
        <is>
          <t>Nuevo – NetSuite sin existencia</t>
        </is>
      </c>
      <c r="AH136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36" s="156" t="inlineStr">
        <is>
          <t>No</t>
        </is>
      </c>
      <c r="AJ136" s="156" t="n"/>
      <c r="AK136" s="155" t="inlineStr">
        <is>
          <t>ProductosCatalogoEstandar907.xlsx: fila 5187 [L,N,O,Q,S,U,Y]; G1522_Extraccion_Articulos_NetSuite_2026-09-30.xlsx: fila 56621 [M,P,V,Y,T] | Shopify WB: producto 8569961742521 / variante 47621326307513</t>
        </is>
      </c>
      <c r="AL136" s="58" t="n">
        <v>595</v>
      </c>
      <c r="AM136" s="58" t="n">
        <v>1399.00000028</v>
      </c>
      <c r="AN136" s="155" t="inlineStr">
        <is>
          <t>Shopify Western Brothers</t>
        </is>
      </c>
      <c r="AO136" s="59" t="n"/>
      <c r="AP136" s="59" t="n">
        <v>0</v>
      </c>
      <c r="AQ136" s="59" t="n"/>
      <c r="AR136" s="155" t="n"/>
    </row>
    <row r="137">
      <c r="A137" s="50" t="inlineStr">
        <is>
          <t>7506499565820</t>
        </is>
      </c>
      <c r="B137" s="51" t="inlineStr">
        <is>
          <t>108463</t>
        </is>
      </c>
      <c r="C137" s="156" t="inlineStr">
        <is>
          <t>Multimarca</t>
        </is>
      </c>
      <c r="D137" s="156" t="inlineStr">
        <is>
          <t>JK927-AG7</t>
        </is>
      </c>
      <c r="E137" s="156" t="inlineStr">
        <is>
          <t>JK927-AG7-L</t>
        </is>
      </c>
      <c r="F137" s="156" t="inlineStr">
        <is>
          <t>L</t>
        </is>
      </c>
      <c r="G137" s="156" t="inlineStr">
        <is>
          <t>L</t>
        </is>
      </c>
      <c r="H137" s="156" t="inlineStr">
        <is>
          <t>Denver</t>
        </is>
      </c>
      <c r="I137" s="156" t="inlineStr">
        <is>
          <t>Chamarra Denver aguila gris</t>
        </is>
      </c>
      <c r="J137" s="156" t="inlineStr">
        <is>
          <t>Ropa</t>
        </is>
      </c>
      <c r="K137" s="156" t="inlineStr">
        <is>
          <t>Chamarras</t>
        </is>
      </c>
      <c r="L137" s="156" t="inlineStr">
        <is>
          <t>Hombre</t>
        </is>
      </c>
      <c r="M137" s="156" t="inlineStr">
        <is>
          <t>Denver</t>
        </is>
      </c>
      <c r="N137" s="156" t="inlineStr">
        <is>
          <t>FW26</t>
        </is>
      </c>
      <c r="O137" s="156" t="inlineStr">
        <is>
          <t>Core</t>
        </is>
      </c>
      <c r="P137" s="156" t="inlineStr">
        <is>
          <t>Gris</t>
        </is>
      </c>
      <c r="Q137" s="156" t="inlineStr">
        <is>
          <t>Regular</t>
        </is>
      </c>
      <c r="R137" s="156" t="n"/>
      <c r="S137" s="156" t="inlineStr">
        <is>
          <t>100% Poliéster</t>
        </is>
      </c>
      <c r="T137" s="156" t="inlineStr">
        <is>
          <t>Chamarra Denver aguila gris Regular</t>
        </is>
      </c>
      <c r="U137" s="156" t="inlineStr">
        <is>
          <t>China</t>
        </is>
      </c>
      <c r="V137" s="156" t="inlineStr">
        <is>
          <t>PZS</t>
        </is>
      </c>
      <c r="W137" s="51" t="inlineStr">
        <is>
          <t>53101800</t>
        </is>
      </c>
      <c r="X137" s="156" t="n"/>
      <c r="Y137" s="54" t="n">
        <v>595</v>
      </c>
      <c r="Z137" s="54" t="n">
        <v>1206.034483</v>
      </c>
      <c r="AA137" s="55">
        <f>IF(AND(A137="", B137="", E137=""), "", IF(AB137="", "Válido", IF((LEN(AB137)-LEN(SUBSTITUTE(AB137,"; ","")))/2+1&gt;(LEN(AB137)-LEN(SUBSTITUTE(AB137,"[Aviso]","")))/7, "Con Incidencias", "Válido")))</f>
        <v/>
      </c>
      <c r="AB137" s="56">
        <f>IF(AND(A137="", B137="", E137=""), "", TEXTJOIN("; ", TRUE, IF(OR(TRIM(A137&amp;"")="", ISNUMBER(SEARCH("FALTA", A137))), "UPC faltante/inválido", ""), IF(AND(A137&lt;&gt;"", IFERROR(_xlfn.XMATCH(A137,$A$2:$A$204,0,1)&lt;&gt;_xlfn.XMATCH(A137,$A$2:$A$204,0,-1),FALSE)), "Código de barras duplicado", ""), IF(AND(E137&lt;&gt;"", COUNTIF($E$2:$E$204, E137)&gt;1), "SKU duplicado", ""), IF(OR(J137="", J137=""), "[Aviso] División no capturada ()", IF(ISNA(MATCH(J137, Criterios!$A$123:$A$126, 0)), "División no válida", "")), IF(OR(K137="", K137=""), "[Aviso] Categoría no capturada ()", IF(ISNA(MATCH(K137, Criterios!$A$81:$A$120, 0)), "Categoría no válida", IF(AND(J137&lt;&gt;"", J137&lt;&gt;"", J137&lt;&gt;VLOOKUP(K137, Criterios!$A$81:$B$120, 2, FALSE)), "División no coincide con Categoría", ""))), IF(OR(L137="", L137=""), "[Aviso] Género no capturado ()", IF(ISNA(MATCH(L137, Criterios!$B$123:$B$127, 0)), "Género no válido", "")), IF(OR(N137="", N137=""), "[Aviso] Temporada no capturada ()", IF(ISNA(MATCH(N137, Criterios!$C$123:$C$128, 0)), "Temporada no válida", "")), IF(OR(O137="", O137=""), "[Aviso] Ciclo de vida no capturado ()", IF(ISNA(MATCH(O137, Criterios!$D$123:$D$124, 0)), "Ciclo de vida no válido", ""))))</f>
        <v/>
      </c>
      <c r="AC137" s="56" t="n"/>
      <c r="AD137" s="51" t="n">
        <v>0</v>
      </c>
      <c r="AE137" s="156" t="n"/>
      <c r="AF137" s="51" t="n">
        <v>0</v>
      </c>
      <c r="AG137" s="156" t="inlineStr">
        <is>
          <t>Nuevo – NetSuite sin existencia</t>
        </is>
      </c>
      <c r="AH137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37" s="156" t="inlineStr">
        <is>
          <t>No</t>
        </is>
      </c>
      <c r="AJ137" s="156" t="n"/>
      <c r="AK137" s="155" t="inlineStr">
        <is>
          <t>ProductosCatalogoEstandar907.xlsx: fila 5188 [L,N,O,Q,S,U,Y]; G1522_Extraccion_Articulos_NetSuite_2026-09-30.xlsx: fila 56622 [M,P,V,Y,T] | Shopify WB: producto 8569961742521 / variante 47621326340281</t>
        </is>
      </c>
      <c r="AL137" s="58" t="n">
        <v>595</v>
      </c>
      <c r="AM137" s="58" t="n">
        <v>1399.00000028</v>
      </c>
      <c r="AN137" s="155" t="inlineStr">
        <is>
          <t>Shopify Western Brothers</t>
        </is>
      </c>
      <c r="AO137" s="59" t="n"/>
      <c r="AP137" s="59" t="n">
        <v>0</v>
      </c>
      <c r="AQ137" s="59" t="n"/>
      <c r="AR137" s="155" t="n"/>
    </row>
    <row r="138">
      <c r="A138" s="50" t="inlineStr">
        <is>
          <t>7506499565837</t>
        </is>
      </c>
      <c r="B138" s="51" t="inlineStr">
        <is>
          <t>108464</t>
        </is>
      </c>
      <c r="C138" s="156" t="inlineStr">
        <is>
          <t>Multimarca</t>
        </is>
      </c>
      <c r="D138" s="156" t="inlineStr">
        <is>
          <t>JK927-AG7</t>
        </is>
      </c>
      <c r="E138" s="156" t="inlineStr">
        <is>
          <t>JK927-AG7-XL</t>
        </is>
      </c>
      <c r="F138" s="156" t="inlineStr">
        <is>
          <t>XL</t>
        </is>
      </c>
      <c r="G138" s="156" t="inlineStr">
        <is>
          <t>XL</t>
        </is>
      </c>
      <c r="H138" s="156" t="inlineStr">
        <is>
          <t>Denver</t>
        </is>
      </c>
      <c r="I138" s="156" t="inlineStr">
        <is>
          <t>Chamarra Denver aguila gris</t>
        </is>
      </c>
      <c r="J138" s="156" t="inlineStr">
        <is>
          <t>Ropa</t>
        </is>
      </c>
      <c r="K138" s="156" t="inlineStr">
        <is>
          <t>Chamarras</t>
        </is>
      </c>
      <c r="L138" s="156" t="inlineStr">
        <is>
          <t>Hombre</t>
        </is>
      </c>
      <c r="M138" s="156" t="inlineStr">
        <is>
          <t>Denver</t>
        </is>
      </c>
      <c r="N138" s="156" t="inlineStr">
        <is>
          <t>FW26</t>
        </is>
      </c>
      <c r="O138" s="156" t="inlineStr">
        <is>
          <t>Core</t>
        </is>
      </c>
      <c r="P138" s="156" t="inlineStr">
        <is>
          <t>Gris</t>
        </is>
      </c>
      <c r="Q138" s="156" t="inlineStr">
        <is>
          <t>Regular</t>
        </is>
      </c>
      <c r="R138" s="156" t="n"/>
      <c r="S138" s="156" t="inlineStr">
        <is>
          <t>100% Poliéster</t>
        </is>
      </c>
      <c r="T138" s="156" t="inlineStr">
        <is>
          <t>Chamarra Denver aguila gris Regular</t>
        </is>
      </c>
      <c r="U138" s="156" t="inlineStr">
        <is>
          <t>China</t>
        </is>
      </c>
      <c r="V138" s="156" t="inlineStr">
        <is>
          <t>PZS</t>
        </is>
      </c>
      <c r="W138" s="51" t="inlineStr">
        <is>
          <t>53101800</t>
        </is>
      </c>
      <c r="X138" s="156" t="n"/>
      <c r="Y138" s="54" t="n">
        <v>595</v>
      </c>
      <c r="Z138" s="54" t="n">
        <v>1206.034483</v>
      </c>
      <c r="AA138" s="55">
        <f>IF(AND(A138="", B138="", E138=""), "", IF(AB138="", "Válido", IF((LEN(AB138)-LEN(SUBSTITUTE(AB138,"; ","")))/2+1&gt;(LEN(AB138)-LEN(SUBSTITUTE(AB138,"[Aviso]","")))/7, "Con Incidencias", "Válido")))</f>
        <v/>
      </c>
      <c r="AB138" s="56">
        <f>IF(AND(A138="", B138="", E138=""), "", TEXTJOIN("; ", TRUE, IF(OR(TRIM(A138&amp;"")="", ISNUMBER(SEARCH("FALTA", A138))), "UPC faltante/inválido", ""), IF(AND(A138&lt;&gt;"", IFERROR(_xlfn.XMATCH(A138,$A$2:$A$204,0,1)&lt;&gt;_xlfn.XMATCH(A138,$A$2:$A$204,0,-1),FALSE)), "Código de barras duplicado", ""), IF(AND(E138&lt;&gt;"", COUNTIF($E$2:$E$204, E138)&gt;1), "SKU duplicado", ""), IF(OR(J138="", J138=""), "[Aviso] División no capturada ()", IF(ISNA(MATCH(J138, Criterios!$A$123:$A$126, 0)), "División no válida", "")), IF(OR(K138="", K138=""), "[Aviso] Categoría no capturada ()", IF(ISNA(MATCH(K138, Criterios!$A$81:$A$120, 0)), "Categoría no válida", IF(AND(J138&lt;&gt;"", J138&lt;&gt;"", J138&lt;&gt;VLOOKUP(K138, Criterios!$A$81:$B$120, 2, FALSE)), "División no coincide con Categoría", ""))), IF(OR(L138="", L138=""), "[Aviso] Género no capturado ()", IF(ISNA(MATCH(L138, Criterios!$B$123:$B$127, 0)), "Género no válido", "")), IF(OR(N138="", N138=""), "[Aviso] Temporada no capturada ()", IF(ISNA(MATCH(N138, Criterios!$C$123:$C$128, 0)), "Temporada no válida", "")), IF(OR(O138="", O138=""), "[Aviso] Ciclo de vida no capturado ()", IF(ISNA(MATCH(O138, Criterios!$D$123:$D$124, 0)), "Ciclo de vida no válido", ""))))</f>
        <v/>
      </c>
      <c r="AC138" s="56" t="n"/>
      <c r="AD138" s="51" t="n">
        <v>0</v>
      </c>
      <c r="AE138" s="156" t="n"/>
      <c r="AF138" s="51" t="n">
        <v>0</v>
      </c>
      <c r="AG138" s="156" t="inlineStr">
        <is>
          <t>Nuevo – NetSuite sin existencia</t>
        </is>
      </c>
      <c r="AH138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38" s="156" t="inlineStr">
        <is>
          <t>No</t>
        </is>
      </c>
      <c r="AJ138" s="156" t="n"/>
      <c r="AK138" s="155" t="inlineStr">
        <is>
          <t>ProductosCatalogoEstandar907.xlsx: fila 5189 [L,N,O,Q,S,U,Y]; G1522_Extraccion_Articulos_NetSuite_2026-09-30.xlsx: fila 56623 [M,P,V,Y,T] | Shopify WB: producto 8569961742521 / variante 47621326373049</t>
        </is>
      </c>
      <c r="AL138" s="58" t="n">
        <v>595</v>
      </c>
      <c r="AM138" s="58" t="n">
        <v>1399.00000028</v>
      </c>
      <c r="AN138" s="155" t="inlineStr">
        <is>
          <t>Shopify Western Brothers</t>
        </is>
      </c>
      <c r="AO138" s="59" t="n"/>
      <c r="AP138" s="59" t="n">
        <v>0</v>
      </c>
      <c r="AQ138" s="59" t="n"/>
      <c r="AR138" s="155" t="n"/>
    </row>
    <row r="139">
      <c r="A139" s="50" t="inlineStr">
        <is>
          <t>7506499565929</t>
        </is>
      </c>
      <c r="B139" s="51" t="inlineStr">
        <is>
          <t>108580</t>
        </is>
      </c>
      <c r="C139" s="156" t="inlineStr">
        <is>
          <t>Multimarca</t>
        </is>
      </c>
      <c r="D139" s="156" t="inlineStr">
        <is>
          <t>JK929-PT19</t>
        </is>
      </c>
      <c r="E139" s="156" t="inlineStr">
        <is>
          <t>JK929-PT19-S</t>
        </is>
      </c>
      <c r="F139" s="156" t="inlineStr">
        <is>
          <t>S</t>
        </is>
      </c>
      <c r="G139" s="156" t="inlineStr">
        <is>
          <t>S</t>
        </is>
      </c>
      <c r="H139" s="156" t="inlineStr">
        <is>
          <t>Denver</t>
        </is>
      </c>
      <c r="I139" s="156" t="inlineStr">
        <is>
          <t>Chamarra Denver café</t>
        </is>
      </c>
      <c r="J139" s="156" t="inlineStr">
        <is>
          <t>Ropa</t>
        </is>
      </c>
      <c r="K139" s="156" t="inlineStr">
        <is>
          <t>Chamarras</t>
        </is>
      </c>
      <c r="L139" s="156" t="inlineStr">
        <is>
          <t>Hombre</t>
        </is>
      </c>
      <c r="M139" s="156" t="inlineStr">
        <is>
          <t>Denver</t>
        </is>
      </c>
      <c r="N139" s="156" t="inlineStr">
        <is>
          <t>FW26</t>
        </is>
      </c>
      <c r="O139" s="156" t="inlineStr">
        <is>
          <t>Seasonal</t>
        </is>
      </c>
      <c r="P139" s="156" t="inlineStr">
        <is>
          <t>Cafe</t>
        </is>
      </c>
      <c r="Q139" s="156" t="inlineStr">
        <is>
          <t>Regular</t>
        </is>
      </c>
      <c r="R139" s="156" t="n"/>
      <c r="S139" s="156" t="inlineStr">
        <is>
          <t>100% Poliéster</t>
        </is>
      </c>
      <c r="T139" s="156" t="inlineStr">
        <is>
          <t>Chamarra Denver café Regular</t>
        </is>
      </c>
      <c r="U139" s="156" t="inlineStr">
        <is>
          <t>China</t>
        </is>
      </c>
      <c r="V139" s="156" t="inlineStr">
        <is>
          <t>PZS</t>
        </is>
      </c>
      <c r="W139" s="51" t="inlineStr">
        <is>
          <t>53101800</t>
        </is>
      </c>
      <c r="X139" s="156" t="n"/>
      <c r="Y139" s="54" t="n">
        <v>636.65</v>
      </c>
      <c r="Z139" s="54" t="n">
        <v>1292.241379</v>
      </c>
      <c r="AA139" s="55">
        <f>IF(AND(A139="", B139="", E139=""), "", IF(AB139="", "Válido", IF((LEN(AB139)-LEN(SUBSTITUTE(AB139,"; ","")))/2+1&gt;(LEN(AB139)-LEN(SUBSTITUTE(AB139,"[Aviso]","")))/7, "Con Incidencias", "Válido")))</f>
        <v/>
      </c>
      <c r="AB139" s="56">
        <f>IF(AND(A139="", B139="", E139=""), "", TEXTJOIN("; ", TRUE, IF(OR(TRIM(A139&amp;"")="", ISNUMBER(SEARCH("FALTA", A139))), "UPC faltante/inválido", ""), IF(AND(A139&lt;&gt;"", IFERROR(_xlfn.XMATCH(A139,$A$2:$A$204,0,1)&lt;&gt;_xlfn.XMATCH(A139,$A$2:$A$204,0,-1),FALSE)), "Código de barras duplicado", ""), IF(AND(E139&lt;&gt;"", COUNTIF($E$2:$E$204, E139)&gt;1), "SKU duplicado", ""), IF(OR(J139="", J139=""), "[Aviso] División no capturada ()", IF(ISNA(MATCH(J139, Criterios!$A$123:$A$126, 0)), "División no válida", "")), IF(OR(K139="", K139=""), "[Aviso] Categoría no capturada ()", IF(ISNA(MATCH(K139, Criterios!$A$81:$A$120, 0)), "Categoría no válida", IF(AND(J139&lt;&gt;"", J139&lt;&gt;"", J139&lt;&gt;VLOOKUP(K139, Criterios!$A$81:$B$120, 2, FALSE)), "División no coincide con Categoría", ""))), IF(OR(L139="", L139=""), "[Aviso] Género no capturado ()", IF(ISNA(MATCH(L139, Criterios!$B$123:$B$127, 0)), "Género no válido", "")), IF(OR(N139="", N139=""), "[Aviso] Temporada no capturada ()", IF(ISNA(MATCH(N139, Criterios!$C$123:$C$128, 0)), "Temporada no válida", "")), IF(OR(O139="", O139=""), "[Aviso] Ciclo de vida no capturado ()", IF(ISNA(MATCH(O139, Criterios!$D$123:$D$124, 0)), "Ciclo de vida no válido", ""))))</f>
        <v/>
      </c>
      <c r="AC139" s="56" t="n"/>
      <c r="AD139" s="51" t="n">
        <v>0</v>
      </c>
      <c r="AE139" s="156" t="n"/>
      <c r="AF139" s="51" t="n">
        <v>0</v>
      </c>
      <c r="AG139" s="156" t="inlineStr">
        <is>
          <t>Nuevo – NetSuite sin existencia</t>
        </is>
      </c>
      <c r="AH139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39" s="156" t="inlineStr">
        <is>
          <t>No</t>
        </is>
      </c>
      <c r="AJ139" s="156" t="n"/>
      <c r="AK139" s="155" t="inlineStr">
        <is>
          <t>ProductosCatalogoEstandar907.xlsx: fila 5190 [L,N,O,Q,S,U,Y]; G1522_Extraccion_Articulos_NetSuite_2026-09-30.xlsx: fila 56739 [M,P,V,Y,T] | Shopify WB: producto 8569961906361 / variante 47621326504121</t>
        </is>
      </c>
      <c r="AL139" s="58" t="n">
        <v>636.65</v>
      </c>
      <c r="AM139" s="58" t="n">
        <v>1498.99999964</v>
      </c>
      <c r="AN139" s="155" t="inlineStr">
        <is>
          <t>Shopify Western Brothers</t>
        </is>
      </c>
      <c r="AO139" s="59" t="n"/>
      <c r="AP139" s="59" t="n">
        <v>0</v>
      </c>
      <c r="AQ139" s="59" t="n"/>
      <c r="AR139" s="155" t="n"/>
    </row>
    <row r="140">
      <c r="A140" s="50" t="inlineStr">
        <is>
          <t>7506499565936</t>
        </is>
      </c>
      <c r="B140" s="51" t="inlineStr">
        <is>
          <t>108581</t>
        </is>
      </c>
      <c r="C140" s="156" t="inlineStr">
        <is>
          <t>Multimarca</t>
        </is>
      </c>
      <c r="D140" s="156" t="inlineStr">
        <is>
          <t>JK929-PT19</t>
        </is>
      </c>
      <c r="E140" s="156" t="inlineStr">
        <is>
          <t>JK929-PT19-M</t>
        </is>
      </c>
      <c r="F140" s="156" t="inlineStr">
        <is>
          <t>M</t>
        </is>
      </c>
      <c r="G140" s="156" t="inlineStr">
        <is>
          <t>M</t>
        </is>
      </c>
      <c r="H140" s="156" t="inlineStr">
        <is>
          <t>Denver</t>
        </is>
      </c>
      <c r="I140" s="156" t="inlineStr">
        <is>
          <t>Chamarra Denver café</t>
        </is>
      </c>
      <c r="J140" s="156" t="inlineStr">
        <is>
          <t>Ropa</t>
        </is>
      </c>
      <c r="K140" s="156" t="inlineStr">
        <is>
          <t>Chamarras</t>
        </is>
      </c>
      <c r="L140" s="156" t="inlineStr">
        <is>
          <t>Hombre</t>
        </is>
      </c>
      <c r="M140" s="156" t="inlineStr">
        <is>
          <t>Denver</t>
        </is>
      </c>
      <c r="N140" s="156" t="inlineStr">
        <is>
          <t>FW26</t>
        </is>
      </c>
      <c r="O140" s="156" t="inlineStr">
        <is>
          <t>Seasonal</t>
        </is>
      </c>
      <c r="P140" s="156" t="inlineStr">
        <is>
          <t>Cafe</t>
        </is>
      </c>
      <c r="Q140" s="156" t="inlineStr">
        <is>
          <t>Regular</t>
        </is>
      </c>
      <c r="R140" s="156" t="n"/>
      <c r="S140" s="156" t="inlineStr">
        <is>
          <t>100% Poliéster</t>
        </is>
      </c>
      <c r="T140" s="156" t="inlineStr">
        <is>
          <t>Chamarra Denver café Regular</t>
        </is>
      </c>
      <c r="U140" s="156" t="inlineStr">
        <is>
          <t>China</t>
        </is>
      </c>
      <c r="V140" s="156" t="inlineStr">
        <is>
          <t>PZS</t>
        </is>
      </c>
      <c r="W140" s="51" t="inlineStr">
        <is>
          <t>53101800</t>
        </is>
      </c>
      <c r="X140" s="156" t="n"/>
      <c r="Y140" s="54" t="n">
        <v>636.65</v>
      </c>
      <c r="Z140" s="54" t="n">
        <v>1292.241379</v>
      </c>
      <c r="AA140" s="55">
        <f>IF(AND(A140="", B140="", E140=""), "", IF(AB140="", "Válido", IF((LEN(AB140)-LEN(SUBSTITUTE(AB140,"; ","")))/2+1&gt;(LEN(AB140)-LEN(SUBSTITUTE(AB140,"[Aviso]","")))/7, "Con Incidencias", "Válido")))</f>
        <v/>
      </c>
      <c r="AB140" s="56">
        <f>IF(AND(A140="", B140="", E140=""), "", TEXTJOIN("; ", TRUE, IF(OR(TRIM(A140&amp;"")="", ISNUMBER(SEARCH("FALTA", A140))), "UPC faltante/inválido", ""), IF(AND(A140&lt;&gt;"", IFERROR(_xlfn.XMATCH(A140,$A$2:$A$204,0,1)&lt;&gt;_xlfn.XMATCH(A140,$A$2:$A$204,0,-1),FALSE)), "Código de barras duplicado", ""), IF(AND(E140&lt;&gt;"", COUNTIF($E$2:$E$204, E140)&gt;1), "SKU duplicado", ""), IF(OR(J140="", J140=""), "[Aviso] División no capturada ()", IF(ISNA(MATCH(J140, Criterios!$A$123:$A$126, 0)), "División no válida", "")), IF(OR(K140="", K140=""), "[Aviso] Categoría no capturada ()", IF(ISNA(MATCH(K140, Criterios!$A$81:$A$120, 0)), "Categoría no válida", IF(AND(J140&lt;&gt;"", J140&lt;&gt;"", J140&lt;&gt;VLOOKUP(K140, Criterios!$A$81:$B$120, 2, FALSE)), "División no coincide con Categoría", ""))), IF(OR(L140="", L140=""), "[Aviso] Género no capturado ()", IF(ISNA(MATCH(L140, Criterios!$B$123:$B$127, 0)), "Género no válido", "")), IF(OR(N140="", N140=""), "[Aviso] Temporada no capturada ()", IF(ISNA(MATCH(N140, Criterios!$C$123:$C$128, 0)), "Temporada no válida", "")), IF(OR(O140="", O140=""), "[Aviso] Ciclo de vida no capturado ()", IF(ISNA(MATCH(O140, Criterios!$D$123:$D$124, 0)), "Ciclo de vida no válido", ""))))</f>
        <v/>
      </c>
      <c r="AC140" s="56" t="n"/>
      <c r="AD140" s="51" t="n">
        <v>0</v>
      </c>
      <c r="AE140" s="156" t="n"/>
      <c r="AF140" s="51" t="n">
        <v>0</v>
      </c>
      <c r="AG140" s="156" t="inlineStr">
        <is>
          <t>Nuevo – NetSuite sin existencia</t>
        </is>
      </c>
      <c r="AH140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40" s="156" t="inlineStr">
        <is>
          <t>No</t>
        </is>
      </c>
      <c r="AJ140" s="156" t="n"/>
      <c r="AK140" s="155" t="inlineStr">
        <is>
          <t>ProductosCatalogoEstandar907.xlsx: fila 5191 [L,N,O,Q,S,U,Y]; G1522_Extraccion_Articulos_NetSuite_2026-09-30.xlsx: fila 56740 [M,P,V,Y,T] | Shopify WB: producto 8569961906361 / variante 47621326536889</t>
        </is>
      </c>
      <c r="AL140" s="58" t="n">
        <v>636.65</v>
      </c>
      <c r="AM140" s="58" t="n">
        <v>1498.99999964</v>
      </c>
      <c r="AN140" s="155" t="inlineStr">
        <is>
          <t>Shopify Western Brothers</t>
        </is>
      </c>
      <c r="AO140" s="59" t="n"/>
      <c r="AP140" s="59" t="n">
        <v>0</v>
      </c>
      <c r="AQ140" s="59" t="n"/>
      <c r="AR140" s="155" t="n"/>
    </row>
    <row r="141">
      <c r="A141" s="50" t="inlineStr">
        <is>
          <t>7506499565950</t>
        </is>
      </c>
      <c r="B141" s="51" t="inlineStr">
        <is>
          <t>108582</t>
        </is>
      </c>
      <c r="C141" s="156" t="inlineStr">
        <is>
          <t>Multimarca</t>
        </is>
      </c>
      <c r="D141" s="156" t="inlineStr">
        <is>
          <t>JK929-PT19</t>
        </is>
      </c>
      <c r="E141" s="156" t="inlineStr">
        <is>
          <t>JK929-PT19-XL</t>
        </is>
      </c>
      <c r="F141" s="156" t="inlineStr">
        <is>
          <t>XL</t>
        </is>
      </c>
      <c r="G141" s="156" t="inlineStr">
        <is>
          <t>XL</t>
        </is>
      </c>
      <c r="H141" s="156" t="inlineStr">
        <is>
          <t>Denver</t>
        </is>
      </c>
      <c r="I141" s="156" t="inlineStr">
        <is>
          <t>Chamarra Denver café</t>
        </is>
      </c>
      <c r="J141" s="156" t="inlineStr">
        <is>
          <t>Ropa</t>
        </is>
      </c>
      <c r="K141" s="156" t="inlineStr">
        <is>
          <t>Chamarras</t>
        </is>
      </c>
      <c r="L141" s="156" t="inlineStr">
        <is>
          <t>Hombre</t>
        </is>
      </c>
      <c r="M141" s="156" t="inlineStr">
        <is>
          <t>Denver</t>
        </is>
      </c>
      <c r="N141" s="156" t="inlineStr">
        <is>
          <t>FW26</t>
        </is>
      </c>
      <c r="O141" s="156" t="inlineStr">
        <is>
          <t>Seasonal</t>
        </is>
      </c>
      <c r="P141" s="156" t="inlineStr">
        <is>
          <t>Cafe</t>
        </is>
      </c>
      <c r="Q141" s="156" t="inlineStr">
        <is>
          <t>Regular</t>
        </is>
      </c>
      <c r="R141" s="156" t="n"/>
      <c r="S141" s="156" t="inlineStr">
        <is>
          <t>100% Poliéster</t>
        </is>
      </c>
      <c r="T141" s="156" t="inlineStr">
        <is>
          <t>Chamarra Denver café Regular</t>
        </is>
      </c>
      <c r="U141" s="156" t="inlineStr">
        <is>
          <t>China</t>
        </is>
      </c>
      <c r="V141" s="156" t="inlineStr">
        <is>
          <t>PZS</t>
        </is>
      </c>
      <c r="W141" s="51" t="inlineStr">
        <is>
          <t>53101800</t>
        </is>
      </c>
      <c r="X141" s="156" t="n"/>
      <c r="Y141" s="54" t="n">
        <v>636.65</v>
      </c>
      <c r="Z141" s="54" t="n">
        <v>1292.241379</v>
      </c>
      <c r="AA141" s="55">
        <f>IF(AND(A141="", B141="", E141=""), "", IF(AB141="", "Válido", IF((LEN(AB141)-LEN(SUBSTITUTE(AB141,"; ","")))/2+1&gt;(LEN(AB141)-LEN(SUBSTITUTE(AB141,"[Aviso]","")))/7, "Con Incidencias", "Válido")))</f>
        <v/>
      </c>
      <c r="AB141" s="56">
        <f>IF(AND(A141="", B141="", E141=""), "", TEXTJOIN("; ", TRUE, IF(OR(TRIM(A141&amp;"")="", ISNUMBER(SEARCH("FALTA", A141))), "UPC faltante/inválido", ""), IF(AND(A141&lt;&gt;"", IFERROR(_xlfn.XMATCH(A141,$A$2:$A$204,0,1)&lt;&gt;_xlfn.XMATCH(A141,$A$2:$A$204,0,-1),FALSE)), "Código de barras duplicado", ""), IF(AND(E141&lt;&gt;"", COUNTIF($E$2:$E$204, E141)&gt;1), "SKU duplicado", ""), IF(OR(J141="", J141=""), "[Aviso] División no capturada ()", IF(ISNA(MATCH(J141, Criterios!$A$123:$A$126, 0)), "División no válida", "")), IF(OR(K141="", K141=""), "[Aviso] Categoría no capturada ()", IF(ISNA(MATCH(K141, Criterios!$A$81:$A$120, 0)), "Categoría no válida", IF(AND(J141&lt;&gt;"", J141&lt;&gt;"", J141&lt;&gt;VLOOKUP(K141, Criterios!$A$81:$B$120, 2, FALSE)), "División no coincide con Categoría", ""))), IF(OR(L141="", L141=""), "[Aviso] Género no capturado ()", IF(ISNA(MATCH(L141, Criterios!$B$123:$B$127, 0)), "Género no válido", "")), IF(OR(N141="", N141=""), "[Aviso] Temporada no capturada ()", IF(ISNA(MATCH(N141, Criterios!$C$123:$C$128, 0)), "Temporada no válida", "")), IF(OR(O141="", O141=""), "[Aviso] Ciclo de vida no capturado ()", IF(ISNA(MATCH(O141, Criterios!$D$123:$D$124, 0)), "Ciclo de vida no válido", ""))))</f>
        <v/>
      </c>
      <c r="AC141" s="56" t="n"/>
      <c r="AD141" s="51" t="n">
        <v>0</v>
      </c>
      <c r="AE141" s="156" t="n"/>
      <c r="AF141" s="51" t="n">
        <v>0</v>
      </c>
      <c r="AG141" s="156" t="inlineStr">
        <is>
          <t>Nuevo – NetSuite sin existencia</t>
        </is>
      </c>
      <c r="AH141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41" s="156" t="inlineStr">
        <is>
          <t>No</t>
        </is>
      </c>
      <c r="AJ141" s="156" t="n"/>
      <c r="AK141" s="155" t="inlineStr">
        <is>
          <t>ProductosCatalogoEstandar907.xlsx: fila 5192 [L,N,O,Q,S,U,Y]; G1522_Extraccion_Articulos_NetSuite_2026-09-30.xlsx: fila 56741 [M,P,V,Y,T] | Shopify WB: producto 8569961906361 / variante 47621326569657</t>
        </is>
      </c>
      <c r="AL141" s="58" t="n">
        <v>636.65</v>
      </c>
      <c r="AM141" s="58" t="n">
        <v>1498.99999964</v>
      </c>
      <c r="AN141" s="155" t="inlineStr">
        <is>
          <t>Shopify Western Brothers</t>
        </is>
      </c>
      <c r="AO141" s="59" t="n"/>
      <c r="AP141" s="59" t="n">
        <v>0</v>
      </c>
      <c r="AQ141" s="59" t="n"/>
      <c r="AR141" s="155" t="n"/>
    </row>
    <row r="142">
      <c r="A142" s="50" t="inlineStr">
        <is>
          <t>7506499566100</t>
        </is>
      </c>
      <c r="B142" s="51" t="inlineStr">
        <is>
          <t>108583</t>
        </is>
      </c>
      <c r="C142" s="156" t="inlineStr">
        <is>
          <t>Multimarca</t>
        </is>
      </c>
      <c r="D142" s="156" t="inlineStr">
        <is>
          <t>JK932-CG22</t>
        </is>
      </c>
      <c r="E142" s="156" t="inlineStr">
        <is>
          <t>JK932-CG22-S</t>
        </is>
      </c>
      <c r="F142" s="156" t="inlineStr">
        <is>
          <t>S</t>
        </is>
      </c>
      <c r="G142" s="156" t="inlineStr">
        <is>
          <t>S</t>
        </is>
      </c>
      <c r="H142" s="156" t="inlineStr">
        <is>
          <t>Denver</t>
        </is>
      </c>
      <c r="I142" s="156" t="inlineStr">
        <is>
          <t>Chamarra Denver cuerdas café</t>
        </is>
      </c>
      <c r="J142" s="156" t="inlineStr">
        <is>
          <t>Ropa</t>
        </is>
      </c>
      <c r="K142" s="156" t="inlineStr">
        <is>
          <t>Chamarras</t>
        </is>
      </c>
      <c r="L142" s="156" t="inlineStr">
        <is>
          <t>Hombre</t>
        </is>
      </c>
      <c r="M142" s="156" t="inlineStr">
        <is>
          <t>Denver</t>
        </is>
      </c>
      <c r="N142" s="156" t="inlineStr">
        <is>
          <t>FW26</t>
        </is>
      </c>
      <c r="O142" s="156" t="inlineStr">
        <is>
          <t>Core</t>
        </is>
      </c>
      <c r="P142" s="156" t="inlineStr">
        <is>
          <t>Cafe</t>
        </is>
      </c>
      <c r="Q142" s="156" t="inlineStr">
        <is>
          <t>Regular</t>
        </is>
      </c>
      <c r="R142" s="156" t="n"/>
      <c r="S142" s="156" t="inlineStr">
        <is>
          <t>100% Poliéster</t>
        </is>
      </c>
      <c r="T142" s="156" t="inlineStr">
        <is>
          <t>Chamarra Denver cuerdas café Regular</t>
        </is>
      </c>
      <c r="U142" s="156" t="inlineStr">
        <is>
          <t>China</t>
        </is>
      </c>
      <c r="V142" s="156" t="inlineStr">
        <is>
          <t>PZS</t>
        </is>
      </c>
      <c r="W142" s="51" t="inlineStr">
        <is>
          <t>53101800</t>
        </is>
      </c>
      <c r="X142" s="156" t="n"/>
      <c r="Y142" s="54" t="n">
        <v>645.15</v>
      </c>
      <c r="Z142" s="54" t="n">
        <v>1292.241379</v>
      </c>
      <c r="AA142" s="55">
        <f>IF(AND(A142="", B142="", E142=""), "", IF(AB142="", "Válido", IF((LEN(AB142)-LEN(SUBSTITUTE(AB142,"; ","")))/2+1&gt;(LEN(AB142)-LEN(SUBSTITUTE(AB142,"[Aviso]","")))/7, "Con Incidencias", "Válido")))</f>
        <v/>
      </c>
      <c r="AB142" s="56">
        <f>IF(AND(A142="", B142="", E142=""), "", TEXTJOIN("; ", TRUE, IF(OR(TRIM(A142&amp;"")="", ISNUMBER(SEARCH("FALTA", A142))), "UPC faltante/inválido", ""), IF(AND(A142&lt;&gt;"", IFERROR(_xlfn.XMATCH(A142,$A$2:$A$204,0,1)&lt;&gt;_xlfn.XMATCH(A142,$A$2:$A$204,0,-1),FALSE)), "Código de barras duplicado", ""), IF(AND(E142&lt;&gt;"", COUNTIF($E$2:$E$204, E142)&gt;1), "SKU duplicado", ""), IF(OR(J142="", J142=""), "[Aviso] División no capturada ()", IF(ISNA(MATCH(J142, Criterios!$A$123:$A$126, 0)), "División no válida", "")), IF(OR(K142="", K142=""), "[Aviso] Categoría no capturada ()", IF(ISNA(MATCH(K142, Criterios!$A$81:$A$120, 0)), "Categoría no válida", IF(AND(J142&lt;&gt;"", J142&lt;&gt;"", J142&lt;&gt;VLOOKUP(K142, Criterios!$A$81:$B$120, 2, FALSE)), "División no coincide con Categoría", ""))), IF(OR(L142="", L142=""), "[Aviso] Género no capturado ()", IF(ISNA(MATCH(L142, Criterios!$B$123:$B$127, 0)), "Género no válido", "")), IF(OR(N142="", N142=""), "[Aviso] Temporada no capturada ()", IF(ISNA(MATCH(N142, Criterios!$C$123:$C$128, 0)), "Temporada no válida", "")), IF(OR(O142="", O142=""), "[Aviso] Ciclo de vida no capturado ()", IF(ISNA(MATCH(O142, Criterios!$D$123:$D$124, 0)), "Ciclo de vida no válido", ""))))</f>
        <v/>
      </c>
      <c r="AC142" s="56" t="n"/>
      <c r="AD142" s="51" t="n">
        <v>0</v>
      </c>
      <c r="AE142" s="156" t="n"/>
      <c r="AF142" s="51" t="n">
        <v>0</v>
      </c>
      <c r="AG142" s="156" t="inlineStr">
        <is>
          <t>Nuevo – NetSuite sin existencia</t>
        </is>
      </c>
      <c r="AH142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42" s="156" t="inlineStr">
        <is>
          <t>No</t>
        </is>
      </c>
      <c r="AJ142" s="156" t="n"/>
      <c r="AK142" s="155" t="inlineStr">
        <is>
          <t>ProductosCatalogoEstandar907.xlsx: fila 5193 [L,N,O,Q,S,U,Y]; G1522_Extraccion_Articulos_NetSuite_2026-09-30.xlsx: fila 56742 [M,P,V,Y,T] | Shopify WB: producto 8569961971897 / variante 47621326667961</t>
        </is>
      </c>
      <c r="AL142" s="58" t="n">
        <v>645.15</v>
      </c>
      <c r="AM142" s="58" t="n">
        <v>1498.99999964</v>
      </c>
      <c r="AN142" s="155" t="inlineStr">
        <is>
          <t>Shopify Western Brothers</t>
        </is>
      </c>
      <c r="AO142" s="59" t="n"/>
      <c r="AP142" s="59" t="n">
        <v>0</v>
      </c>
      <c r="AQ142" s="59" t="n"/>
      <c r="AR142" s="155" t="n"/>
    </row>
    <row r="143">
      <c r="A143" s="50" t="inlineStr">
        <is>
          <t>7506499566117</t>
        </is>
      </c>
      <c r="B143" s="51" t="inlineStr">
        <is>
          <t>108584</t>
        </is>
      </c>
      <c r="C143" s="156" t="inlineStr">
        <is>
          <t>Multimarca</t>
        </is>
      </c>
      <c r="D143" s="156" t="inlineStr">
        <is>
          <t>JK932-CG22</t>
        </is>
      </c>
      <c r="E143" s="156" t="inlineStr">
        <is>
          <t>JK932-CG22-M</t>
        </is>
      </c>
      <c r="F143" s="156" t="inlineStr">
        <is>
          <t>M</t>
        </is>
      </c>
      <c r="G143" s="156" t="inlineStr">
        <is>
          <t>M</t>
        </is>
      </c>
      <c r="H143" s="156" t="inlineStr">
        <is>
          <t>Denver</t>
        </is>
      </c>
      <c r="I143" s="156" t="inlineStr">
        <is>
          <t>Chamarra Denver cuerdas café</t>
        </is>
      </c>
      <c r="J143" s="156" t="inlineStr">
        <is>
          <t>Ropa</t>
        </is>
      </c>
      <c r="K143" s="156" t="inlineStr">
        <is>
          <t>Chamarras</t>
        </is>
      </c>
      <c r="L143" s="156" t="inlineStr">
        <is>
          <t>Hombre</t>
        </is>
      </c>
      <c r="M143" s="156" t="inlineStr">
        <is>
          <t>Denver</t>
        </is>
      </c>
      <c r="N143" s="156" t="inlineStr">
        <is>
          <t>FW26</t>
        </is>
      </c>
      <c r="O143" s="156" t="inlineStr">
        <is>
          <t>Core</t>
        </is>
      </c>
      <c r="P143" s="156" t="inlineStr">
        <is>
          <t>Cafe</t>
        </is>
      </c>
      <c r="Q143" s="156" t="inlineStr">
        <is>
          <t>Regular</t>
        </is>
      </c>
      <c r="R143" s="156" t="n"/>
      <c r="S143" s="156" t="inlineStr">
        <is>
          <t>100% Poliéster</t>
        </is>
      </c>
      <c r="T143" s="156" t="inlineStr">
        <is>
          <t>Chamarra Denver cuerdas café Regular</t>
        </is>
      </c>
      <c r="U143" s="156" t="inlineStr">
        <is>
          <t>China</t>
        </is>
      </c>
      <c r="V143" s="156" t="inlineStr">
        <is>
          <t>PZS</t>
        </is>
      </c>
      <c r="W143" s="51" t="inlineStr">
        <is>
          <t>53101800</t>
        </is>
      </c>
      <c r="X143" s="156" t="n"/>
      <c r="Y143" s="54" t="n">
        <v>645.15</v>
      </c>
      <c r="Z143" s="54" t="n">
        <v>1292.241379</v>
      </c>
      <c r="AA143" s="55">
        <f>IF(AND(A143="", B143="", E143=""), "", IF(AB143="", "Válido", IF((LEN(AB143)-LEN(SUBSTITUTE(AB143,"; ","")))/2+1&gt;(LEN(AB143)-LEN(SUBSTITUTE(AB143,"[Aviso]","")))/7, "Con Incidencias", "Válido")))</f>
        <v/>
      </c>
      <c r="AB143" s="56">
        <f>IF(AND(A143="", B143="", E143=""), "", TEXTJOIN("; ", TRUE, IF(OR(TRIM(A143&amp;"")="", ISNUMBER(SEARCH("FALTA", A143))), "UPC faltante/inválido", ""), IF(AND(A143&lt;&gt;"", IFERROR(_xlfn.XMATCH(A143,$A$2:$A$204,0,1)&lt;&gt;_xlfn.XMATCH(A143,$A$2:$A$204,0,-1),FALSE)), "Código de barras duplicado", ""), IF(AND(E143&lt;&gt;"", COUNTIF($E$2:$E$204, E143)&gt;1), "SKU duplicado", ""), IF(OR(J143="", J143=""), "[Aviso] División no capturada ()", IF(ISNA(MATCH(J143, Criterios!$A$123:$A$126, 0)), "División no válida", "")), IF(OR(K143="", K143=""), "[Aviso] Categoría no capturada ()", IF(ISNA(MATCH(K143, Criterios!$A$81:$A$120, 0)), "Categoría no válida", IF(AND(J143&lt;&gt;"", J143&lt;&gt;"", J143&lt;&gt;VLOOKUP(K143, Criterios!$A$81:$B$120, 2, FALSE)), "División no coincide con Categoría", ""))), IF(OR(L143="", L143=""), "[Aviso] Género no capturado ()", IF(ISNA(MATCH(L143, Criterios!$B$123:$B$127, 0)), "Género no válido", "")), IF(OR(N143="", N143=""), "[Aviso] Temporada no capturada ()", IF(ISNA(MATCH(N143, Criterios!$C$123:$C$128, 0)), "Temporada no válida", "")), IF(OR(O143="", O143=""), "[Aviso] Ciclo de vida no capturado ()", IF(ISNA(MATCH(O143, Criterios!$D$123:$D$124, 0)), "Ciclo de vida no válido", ""))))</f>
        <v/>
      </c>
      <c r="AC143" s="56" t="n"/>
      <c r="AD143" s="51" t="n">
        <v>0</v>
      </c>
      <c r="AE143" s="156" t="n"/>
      <c r="AF143" s="51" t="n">
        <v>0</v>
      </c>
      <c r="AG143" s="156" t="inlineStr">
        <is>
          <t>Nuevo – NetSuite sin existencia</t>
        </is>
      </c>
      <c r="AH143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43" s="156" t="inlineStr">
        <is>
          <t>No</t>
        </is>
      </c>
      <c r="AJ143" s="156" t="n"/>
      <c r="AK143" s="155" t="inlineStr">
        <is>
          <t>ProductosCatalogoEstandar907.xlsx: fila 5194 [L,N,O,Q,S,U,Y]; G1522_Extraccion_Articulos_NetSuite_2026-09-30.xlsx: fila 56743 [M,P,V,Y,T] | Shopify WB: producto 8569961971897 / variante 47621326700729</t>
        </is>
      </c>
      <c r="AL143" s="58" t="n">
        <v>645.15</v>
      </c>
      <c r="AM143" s="58" t="n">
        <v>1498.99999964</v>
      </c>
      <c r="AN143" s="155" t="inlineStr">
        <is>
          <t>Shopify Western Brothers</t>
        </is>
      </c>
      <c r="AO143" s="59" t="n"/>
      <c r="AP143" s="59" t="n">
        <v>0</v>
      </c>
      <c r="AQ143" s="59" t="n"/>
      <c r="AR143" s="155" t="n"/>
    </row>
    <row r="144">
      <c r="A144" s="50" t="inlineStr">
        <is>
          <t>7506499566124</t>
        </is>
      </c>
      <c r="B144" s="51" t="inlineStr">
        <is>
          <t>108585</t>
        </is>
      </c>
      <c r="C144" s="156" t="inlineStr">
        <is>
          <t>Multimarca</t>
        </is>
      </c>
      <c r="D144" s="156" t="inlineStr">
        <is>
          <t>JK932-CG22</t>
        </is>
      </c>
      <c r="E144" s="156" t="inlineStr">
        <is>
          <t>JK932-CG22-L</t>
        </is>
      </c>
      <c r="F144" s="156" t="inlineStr">
        <is>
          <t>L</t>
        </is>
      </c>
      <c r="G144" s="156" t="inlineStr">
        <is>
          <t>L</t>
        </is>
      </c>
      <c r="H144" s="156" t="inlineStr">
        <is>
          <t>Denver</t>
        </is>
      </c>
      <c r="I144" s="156" t="inlineStr">
        <is>
          <t>Chamarra Denver cuerdas café</t>
        </is>
      </c>
      <c r="J144" s="156" t="inlineStr">
        <is>
          <t>Ropa</t>
        </is>
      </c>
      <c r="K144" s="156" t="inlineStr">
        <is>
          <t>Chamarras</t>
        </is>
      </c>
      <c r="L144" s="156" t="inlineStr">
        <is>
          <t>Hombre</t>
        </is>
      </c>
      <c r="M144" s="156" t="inlineStr">
        <is>
          <t>Denver</t>
        </is>
      </c>
      <c r="N144" s="156" t="inlineStr">
        <is>
          <t>FW26</t>
        </is>
      </c>
      <c r="O144" s="156" t="inlineStr">
        <is>
          <t>Core</t>
        </is>
      </c>
      <c r="P144" s="156" t="inlineStr">
        <is>
          <t>Cafe</t>
        </is>
      </c>
      <c r="Q144" s="156" t="inlineStr">
        <is>
          <t>Regular</t>
        </is>
      </c>
      <c r="R144" s="156" t="n"/>
      <c r="S144" s="156" t="inlineStr">
        <is>
          <t>100% Poliéster</t>
        </is>
      </c>
      <c r="T144" s="156" t="inlineStr">
        <is>
          <t>Chamarra Denver cuerdas café Regular</t>
        </is>
      </c>
      <c r="U144" s="156" t="inlineStr">
        <is>
          <t>China</t>
        </is>
      </c>
      <c r="V144" s="156" t="inlineStr">
        <is>
          <t>PZS</t>
        </is>
      </c>
      <c r="W144" s="51" t="inlineStr">
        <is>
          <t>53101800</t>
        </is>
      </c>
      <c r="X144" s="156" t="n"/>
      <c r="Y144" s="54" t="n">
        <v>645.15</v>
      </c>
      <c r="Z144" s="54" t="n">
        <v>1292.241379</v>
      </c>
      <c r="AA144" s="55">
        <f>IF(AND(A144="", B144="", E144=""), "", IF(AB144="", "Válido", IF((LEN(AB144)-LEN(SUBSTITUTE(AB144,"; ","")))/2+1&gt;(LEN(AB144)-LEN(SUBSTITUTE(AB144,"[Aviso]","")))/7, "Con Incidencias", "Válido")))</f>
        <v/>
      </c>
      <c r="AB144" s="56">
        <f>IF(AND(A144="", B144="", E144=""), "", TEXTJOIN("; ", TRUE, IF(OR(TRIM(A144&amp;"")="", ISNUMBER(SEARCH("FALTA", A144))), "UPC faltante/inválido", ""), IF(AND(A144&lt;&gt;"", IFERROR(_xlfn.XMATCH(A144,$A$2:$A$204,0,1)&lt;&gt;_xlfn.XMATCH(A144,$A$2:$A$204,0,-1),FALSE)), "Código de barras duplicado", ""), IF(AND(E144&lt;&gt;"", COUNTIF($E$2:$E$204, E144)&gt;1), "SKU duplicado", ""), IF(OR(J144="", J144=""), "[Aviso] División no capturada ()", IF(ISNA(MATCH(J144, Criterios!$A$123:$A$126, 0)), "División no válida", "")), IF(OR(K144="", K144=""), "[Aviso] Categoría no capturada ()", IF(ISNA(MATCH(K144, Criterios!$A$81:$A$120, 0)), "Categoría no válida", IF(AND(J144&lt;&gt;"", J144&lt;&gt;"", J144&lt;&gt;VLOOKUP(K144, Criterios!$A$81:$B$120, 2, FALSE)), "División no coincide con Categoría", ""))), IF(OR(L144="", L144=""), "[Aviso] Género no capturado ()", IF(ISNA(MATCH(L144, Criterios!$B$123:$B$127, 0)), "Género no válido", "")), IF(OR(N144="", N144=""), "[Aviso] Temporada no capturada ()", IF(ISNA(MATCH(N144, Criterios!$C$123:$C$128, 0)), "Temporada no válida", "")), IF(OR(O144="", O144=""), "[Aviso] Ciclo de vida no capturado ()", IF(ISNA(MATCH(O144, Criterios!$D$123:$D$124, 0)), "Ciclo de vida no válido", ""))))</f>
        <v/>
      </c>
      <c r="AC144" s="56" t="n"/>
      <c r="AD144" s="51" t="n">
        <v>0</v>
      </c>
      <c r="AE144" s="156" t="n"/>
      <c r="AF144" s="51" t="n">
        <v>0</v>
      </c>
      <c r="AG144" s="156" t="inlineStr">
        <is>
          <t>Nuevo – NetSuite sin existencia</t>
        </is>
      </c>
      <c r="AH144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44" s="156" t="inlineStr">
        <is>
          <t>No</t>
        </is>
      </c>
      <c r="AJ144" s="156" t="n"/>
      <c r="AK144" s="155" t="inlineStr">
        <is>
          <t>ProductosCatalogoEstandar907.xlsx: fila 5195 [L,N,O,Q,S,U,Y]; G1522_Extraccion_Articulos_NetSuite_2026-09-30.xlsx: fila 56744 [M,P,V,Y,T] | Shopify WB: producto 8569961971897 / variante 47621326733497</t>
        </is>
      </c>
      <c r="AL144" s="58" t="n">
        <v>645.15</v>
      </c>
      <c r="AM144" s="58" t="n">
        <v>1498.99999964</v>
      </c>
      <c r="AN144" s="155" t="inlineStr">
        <is>
          <t>Shopify Western Brothers</t>
        </is>
      </c>
      <c r="AO144" s="59" t="n"/>
      <c r="AP144" s="59" t="n">
        <v>0</v>
      </c>
      <c r="AQ144" s="59" t="n"/>
      <c r="AR144" s="155" t="n"/>
    </row>
    <row r="145">
      <c r="A145" s="50" t="inlineStr">
        <is>
          <t>7506499566131</t>
        </is>
      </c>
      <c r="B145" s="51" t="inlineStr">
        <is>
          <t>108586</t>
        </is>
      </c>
      <c r="C145" s="156" t="inlineStr">
        <is>
          <t>Multimarca</t>
        </is>
      </c>
      <c r="D145" s="156" t="inlineStr">
        <is>
          <t>JK932-CG22</t>
        </is>
      </c>
      <c r="E145" s="156" t="inlineStr">
        <is>
          <t>JK932-CG22-XL</t>
        </is>
      </c>
      <c r="F145" s="156" t="inlineStr">
        <is>
          <t>XL</t>
        </is>
      </c>
      <c r="G145" s="156" t="inlineStr">
        <is>
          <t>XL</t>
        </is>
      </c>
      <c r="H145" s="156" t="inlineStr">
        <is>
          <t>Denver</t>
        </is>
      </c>
      <c r="I145" s="156" t="inlineStr">
        <is>
          <t>Chamarra Denver cuerdas café</t>
        </is>
      </c>
      <c r="J145" s="156" t="inlineStr">
        <is>
          <t>Ropa</t>
        </is>
      </c>
      <c r="K145" s="156" t="inlineStr">
        <is>
          <t>Chamarras</t>
        </is>
      </c>
      <c r="L145" s="156" t="inlineStr">
        <is>
          <t>Hombre</t>
        </is>
      </c>
      <c r="M145" s="156" t="inlineStr">
        <is>
          <t>Denver</t>
        </is>
      </c>
      <c r="N145" s="156" t="inlineStr">
        <is>
          <t>FW26</t>
        </is>
      </c>
      <c r="O145" s="156" t="inlineStr">
        <is>
          <t>Core</t>
        </is>
      </c>
      <c r="P145" s="156" t="inlineStr">
        <is>
          <t>Cafe</t>
        </is>
      </c>
      <c r="Q145" s="156" t="inlineStr">
        <is>
          <t>Regular</t>
        </is>
      </c>
      <c r="R145" s="156" t="n"/>
      <c r="S145" s="156" t="inlineStr">
        <is>
          <t>100% Poliéster</t>
        </is>
      </c>
      <c r="T145" s="156" t="inlineStr">
        <is>
          <t>Chamarra Denver cuerdas café Regular</t>
        </is>
      </c>
      <c r="U145" s="156" t="inlineStr">
        <is>
          <t>China</t>
        </is>
      </c>
      <c r="V145" s="156" t="inlineStr">
        <is>
          <t>PZS</t>
        </is>
      </c>
      <c r="W145" s="51" t="inlineStr">
        <is>
          <t>53101800</t>
        </is>
      </c>
      <c r="X145" s="156" t="n"/>
      <c r="Y145" s="54" t="n">
        <v>645.15</v>
      </c>
      <c r="Z145" s="54" t="n">
        <v>1292.241379</v>
      </c>
      <c r="AA145" s="55">
        <f>IF(AND(A145="", B145="", E145=""), "", IF(AB145="", "Válido", IF((LEN(AB145)-LEN(SUBSTITUTE(AB145,"; ","")))/2+1&gt;(LEN(AB145)-LEN(SUBSTITUTE(AB145,"[Aviso]","")))/7, "Con Incidencias", "Válido")))</f>
        <v/>
      </c>
      <c r="AB145" s="56">
        <f>IF(AND(A145="", B145="", E145=""), "", TEXTJOIN("; ", TRUE, IF(OR(TRIM(A145&amp;"")="", ISNUMBER(SEARCH("FALTA", A145))), "UPC faltante/inválido", ""), IF(AND(A145&lt;&gt;"", IFERROR(_xlfn.XMATCH(A145,$A$2:$A$204,0,1)&lt;&gt;_xlfn.XMATCH(A145,$A$2:$A$204,0,-1),FALSE)), "Código de barras duplicado", ""), IF(AND(E145&lt;&gt;"", COUNTIF($E$2:$E$204, E145)&gt;1), "SKU duplicado", ""), IF(OR(J145="", J145=""), "[Aviso] División no capturada ()", IF(ISNA(MATCH(J145, Criterios!$A$123:$A$126, 0)), "División no válida", "")), IF(OR(K145="", K145=""), "[Aviso] Categoría no capturada ()", IF(ISNA(MATCH(K145, Criterios!$A$81:$A$120, 0)), "Categoría no válida", IF(AND(J145&lt;&gt;"", J145&lt;&gt;"", J145&lt;&gt;VLOOKUP(K145, Criterios!$A$81:$B$120, 2, FALSE)), "División no coincide con Categoría", ""))), IF(OR(L145="", L145=""), "[Aviso] Género no capturado ()", IF(ISNA(MATCH(L145, Criterios!$B$123:$B$127, 0)), "Género no válido", "")), IF(OR(N145="", N145=""), "[Aviso] Temporada no capturada ()", IF(ISNA(MATCH(N145, Criterios!$C$123:$C$128, 0)), "Temporada no válida", "")), IF(OR(O145="", O145=""), "[Aviso] Ciclo de vida no capturado ()", IF(ISNA(MATCH(O145, Criterios!$D$123:$D$124, 0)), "Ciclo de vida no válido", ""))))</f>
        <v/>
      </c>
      <c r="AC145" s="56" t="n"/>
      <c r="AD145" s="51" t="n">
        <v>0</v>
      </c>
      <c r="AE145" s="156" t="n"/>
      <c r="AF145" s="51" t="n">
        <v>0</v>
      </c>
      <c r="AG145" s="156" t="inlineStr">
        <is>
          <t>Nuevo – NetSuite sin existencia</t>
        </is>
      </c>
      <c r="AH145" s="156" t="inlineStr">
        <is>
          <t>Género por validar | Revisión 29/09/2026: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45" s="156" t="inlineStr">
        <is>
          <t>No</t>
        </is>
      </c>
      <c r="AJ145" s="156" t="n"/>
      <c r="AK145" s="155" t="inlineStr">
        <is>
          <t>ProductosCatalogoEstandar907.xlsx: fila 5196 [L,N,O,Q,S,U,Y]; G1522_Extraccion_Articulos_NetSuite_2026-09-30.xlsx: fila 56745 [M,P,V,Y,T] | Shopify WB: producto 8569961971897 / variante 47621326766265</t>
        </is>
      </c>
      <c r="AL145" s="58" t="n">
        <v>645.15</v>
      </c>
      <c r="AM145" s="58" t="n">
        <v>1498.99999964</v>
      </c>
      <c r="AN145" s="155" t="inlineStr">
        <is>
          <t>Shopify Western Brothers</t>
        </is>
      </c>
      <c r="AO145" s="59" t="n"/>
      <c r="AP145" s="59" t="n">
        <v>0</v>
      </c>
      <c r="AQ145" s="59" t="n"/>
      <c r="AR145" s="155" t="n"/>
    </row>
    <row r="146">
      <c r="A146" s="50" t="inlineStr">
        <is>
          <t>7506499532341</t>
        </is>
      </c>
      <c r="B146" s="51" t="inlineStr">
        <is>
          <t>108465</t>
        </is>
      </c>
      <c r="C146" s="156" t="inlineStr">
        <is>
          <t>Multimarca</t>
        </is>
      </c>
      <c r="D146" s="156" t="inlineStr">
        <is>
          <t>KD920-PP1</t>
        </is>
      </c>
      <c r="E146" s="156" t="inlineStr">
        <is>
          <t>KD920-PP1-UNI-108465</t>
        </is>
      </c>
      <c r="F146" s="156" t="inlineStr">
        <is>
          <t>Talla única</t>
        </is>
      </c>
      <c r="G146" s="156" t="inlineStr">
        <is>
          <t>One Size</t>
        </is>
      </c>
      <c r="H146" s="156" t="inlineStr">
        <is>
          <t>Denver</t>
        </is>
      </c>
      <c r="I146" s="156" t="inlineStr">
        <is>
          <t>KD920-PP1 : 46240 : Chamarra Denver negra ribete café</t>
        </is>
      </c>
      <c r="J146" s="156" t="inlineStr">
        <is>
          <t>Ropa</t>
        </is>
      </c>
      <c r="K146" s="156" t="inlineStr">
        <is>
          <t>Chamarras</t>
        </is>
      </c>
      <c r="L146" s="156" t="inlineStr">
        <is>
          <t>Niño</t>
        </is>
      </c>
      <c r="M146" s="156" t="inlineStr">
        <is>
          <t>Denver</t>
        </is>
      </c>
      <c r="N146" s="156" t="inlineStr">
        <is>
          <t>FW26</t>
        </is>
      </c>
      <c r="O146" s="156" t="inlineStr">
        <is>
          <t>Core</t>
        </is>
      </c>
      <c r="P146" s="156" t="inlineStr">
        <is>
          <t>Negro</t>
        </is>
      </c>
      <c r="Q146" s="156" t="inlineStr">
        <is>
          <t>Regular</t>
        </is>
      </c>
      <c r="R146" s="156" t="n"/>
      <c r="S146" s="156" t="inlineStr">
        <is>
          <t>100% Poliéster</t>
        </is>
      </c>
      <c r="T146" s="156" t="inlineStr">
        <is>
          <t>Chamarra Denver negra ribete café Regular</t>
        </is>
      </c>
      <c r="U146" s="156" t="inlineStr">
        <is>
          <t>China</t>
        </is>
      </c>
      <c r="V146" s="156" t="inlineStr">
        <is>
          <t>PZS</t>
        </is>
      </c>
      <c r="W146" s="51" t="inlineStr">
        <is>
          <t>53101800</t>
        </is>
      </c>
      <c r="X146" s="156" t="n"/>
      <c r="Y146" s="54" t="n">
        <v>529.55</v>
      </c>
      <c r="Z146" s="54" t="n">
        <v>1076.724138</v>
      </c>
      <c r="AA146" s="55">
        <f>IF(AND(A146="", B146="", E146=""), "", IF(AB146="", "Válido", IF((LEN(AB146)-LEN(SUBSTITUTE(AB146,"; ","")))/2+1&gt;(LEN(AB146)-LEN(SUBSTITUTE(AB146,"[Aviso]","")))/7, "Con Incidencias", "Válido")))</f>
        <v/>
      </c>
      <c r="AB146" s="56">
        <f>IF(AND(A146="", B146="", E146=""), "", TEXTJOIN("; ", TRUE, IF(OR(TRIM(A146&amp;"")="", ISNUMBER(SEARCH("FALTA", A146))), "UPC faltante/inválido", ""), IF(AND(A146&lt;&gt;"", IFERROR(_xlfn.XMATCH(A146,$A$2:$A$204,0,1)&lt;&gt;_xlfn.XMATCH(A146,$A$2:$A$204,0,-1),FALSE)), "Código de barras duplicado", ""), IF(AND(E146&lt;&gt;"", COUNTIF($E$2:$E$204, E146)&gt;1), "SKU duplicado", ""), IF(OR(J146="", J146=""), "[Aviso] División no capturada ()", IF(ISNA(MATCH(J146, Criterios!$A$123:$A$126, 0)), "División no válida", "")), IF(OR(K146="", K146=""), "[Aviso] Categoría no capturada ()", IF(ISNA(MATCH(K146, Criterios!$A$81:$A$120, 0)), "Categoría no válida", IF(AND(J146&lt;&gt;"", J146&lt;&gt;"", J146&lt;&gt;VLOOKUP(K146, Criterios!$A$81:$B$120, 2, FALSE)), "División no coincide con Categoría", ""))), IF(OR(L146="", L146=""), "[Aviso] Género no capturado ()", IF(ISNA(MATCH(L146, Criterios!$B$123:$B$127, 0)), "Género no válido", "")), IF(OR(N146="", N146=""), "[Aviso] Temporada no capturada ()", IF(ISNA(MATCH(N146, Criterios!$C$123:$C$128, 0)), "Temporada no válida", "")), IF(OR(O146="", O146=""), "[Aviso] Ciclo de vida no capturado ()", IF(ISNA(MATCH(O146, Criterios!$D$123:$D$124, 0)), "Ciclo de vida no válido", ""))))</f>
        <v/>
      </c>
      <c r="AC146" s="56" t="n"/>
      <c r="AD146" s="51" t="n">
        <v>0</v>
      </c>
      <c r="AE146" s="156" t="n"/>
      <c r="AF146" s="51" t="n">
        <v>0</v>
      </c>
      <c r="AG146" s="156" t="inlineStr">
        <is>
          <t>Nuevo – NetSuite sin existencia</t>
        </is>
      </c>
      <c r="AH146" s="156" t="inlineStr">
        <is>
          <t>Género por validar; SKU base «KD920-PP1-UNI» repetido en NetSuite; se agregó el ID interno | Revisión 29/09/2026: Talla fuente Talla única sin equivalencia exacta en Criterios para Talla Niño (numérica); Campos sin respaldo: X; Auditoría NetSuite 30/09/2026: llenado desde NetSuite [M,P,V,Y,T] | 01/10/2026: complementado desde Shopify Western Brothers (match por código de barras): WB Silueta | Homologación G1522 06/10/2026: WB Composición: «100% Poliester» → «100% Poliéster» (Corrección aplicada)</t>
        </is>
      </c>
      <c r="AI146" s="156" t="inlineStr">
        <is>
          <t>No</t>
        </is>
      </c>
      <c r="AJ146" s="156" t="n"/>
      <c r="AK146" s="155" t="inlineStr">
        <is>
          <t>ProductosCatalogoEstandar907.xlsx: fila 5197 [L,N,O,Q,S,U,Y]; G1522_Extraccion_Articulos_NetSuite_2026-09-30.xlsx: fila 56624 [M,P,V,Y,T] | Shopify WB: producto 8569962135737 / variante 50521051889849</t>
        </is>
      </c>
      <c r="AL146" s="58" t="n">
        <v>529.55</v>
      </c>
      <c r="AM146" s="58" t="n">
        <v>1249.00000008</v>
      </c>
      <c r="AN146" s="155" t="inlineStr">
        <is>
          <t>Shopify Western Brothers</t>
        </is>
      </c>
      <c r="AO146" s="59" t="n"/>
      <c r="AP146" s="59" t="n">
        <v>0</v>
      </c>
      <c r="AQ146" s="59" t="n"/>
      <c r="AR146" s="155" t="n"/>
    </row>
    <row r="147">
      <c r="A147" s="50" t="inlineStr">
        <is>
          <t>7506499532358</t>
        </is>
      </c>
      <c r="B147" s="51" t="inlineStr">
        <is>
          <t>108466</t>
        </is>
      </c>
      <c r="C147" s="156" t="inlineStr">
        <is>
          <t>Multimarca</t>
        </is>
      </c>
      <c r="D147" s="156" t="inlineStr">
        <is>
          <t>KD920-PP1</t>
        </is>
      </c>
      <c r="E147" s="156" t="inlineStr">
        <is>
          <t>KD920-PP1-UNI-108466</t>
        </is>
      </c>
      <c r="F147" s="156" t="inlineStr">
        <is>
          <t>Talla única</t>
        </is>
      </c>
      <c r="G147" s="156" t="inlineStr">
        <is>
          <t>One Size</t>
        </is>
      </c>
      <c r="H147" s="156" t="inlineStr">
        <is>
          <t>Denver</t>
        </is>
      </c>
      <c r="I147" s="156" t="inlineStr">
        <is>
          <t>KD920-PP1 : 46366 : Chamarra Denver negra ribete café</t>
        </is>
      </c>
      <c r="J147" s="156" t="inlineStr">
        <is>
          <t>Ropa</t>
        </is>
      </c>
      <c r="K147" s="156" t="inlineStr">
        <is>
          <t>Chamarras</t>
        </is>
      </c>
      <c r="L147" s="156" t="inlineStr">
        <is>
          <t>Niño</t>
        </is>
      </c>
      <c r="M147" s="156" t="inlineStr">
        <is>
          <t>Denver</t>
        </is>
      </c>
      <c r="N147" s="156" t="inlineStr">
        <is>
          <t>FW26</t>
        </is>
      </c>
      <c r="O147" s="156" t="inlineStr">
        <is>
          <t>Core</t>
        </is>
      </c>
      <c r="P147" s="156" t="inlineStr">
        <is>
          <t>Negro</t>
        </is>
      </c>
      <c r="Q147" s="156" t="inlineStr">
        <is>
          <t>Regular</t>
        </is>
      </c>
      <c r="R147" s="156" t="n"/>
      <c r="S147" s="156" t="inlineStr">
        <is>
          <t>100% Poliéster</t>
        </is>
      </c>
      <c r="T147" s="156" t="inlineStr">
        <is>
          <t>Chamarra Denver negra ribete café Regular</t>
        </is>
      </c>
      <c r="U147" s="156" t="inlineStr">
        <is>
          <t>China</t>
        </is>
      </c>
      <c r="V147" s="156" t="inlineStr">
        <is>
          <t>PZS</t>
        </is>
      </c>
      <c r="W147" s="51" t="inlineStr">
        <is>
          <t>53101800</t>
        </is>
      </c>
      <c r="X147" s="156" t="n"/>
      <c r="Y147" s="54" t="n">
        <v>529.55</v>
      </c>
      <c r="Z147" s="54" t="n">
        <v>1076.724138</v>
      </c>
      <c r="AA147" s="55">
        <f>IF(AND(A147="", B147="", E147=""), "", IF(AB147="", "Válido", IF((LEN(AB147)-LEN(SUBSTITUTE(AB147,"; ","")))/2+1&gt;(LEN(AB147)-LEN(SUBSTITUTE(AB147,"[Aviso]","")))/7, "Con Incidencias", "Válido")))</f>
        <v/>
      </c>
      <c r="AB147" s="56">
        <f>IF(AND(A147="", B147="", E147=""), "", TEXTJOIN("; ", TRUE, IF(OR(TRIM(A147&amp;"")="", ISNUMBER(SEARCH("FALTA", A147))), "UPC faltante/inválido", ""), IF(AND(A147&lt;&gt;"", IFERROR(_xlfn.XMATCH(A147,$A$2:$A$204,0,1)&lt;&gt;_xlfn.XMATCH(A147,$A$2:$A$204,0,-1),FALSE)), "Código de barras duplicado", ""), IF(AND(E147&lt;&gt;"", COUNTIF($E$2:$E$204, E147)&gt;1), "SKU duplicado", ""), IF(OR(J147="", J147=""), "[Aviso] División no capturada ()", IF(ISNA(MATCH(J147, Criterios!$A$123:$A$126, 0)), "División no válida", "")), IF(OR(K147="", K147=""), "[Aviso] Categoría no capturada ()", IF(ISNA(MATCH(K147, Criterios!$A$81:$A$120, 0)), "Categoría no válida", IF(AND(J147&lt;&gt;"", J147&lt;&gt;"", J147&lt;&gt;VLOOKUP(K147, Criterios!$A$81:$B$120, 2, FALSE)), "División no coincide con Categoría", ""))), IF(OR(L147="", L147=""), "[Aviso] Género no capturado ()", IF(ISNA(MATCH(L147, Criterios!$B$123:$B$127, 0)), "Género no válido", "")), IF(OR(N147="", N147=""), "[Aviso] Temporada no capturada ()", IF(ISNA(MATCH(N147, Criterios!$C$123:$C$128, 0)), "Temporada no válida", "")), IF(OR(O147="", O147=""), "[Aviso] Ciclo de vida no capturado ()", IF(ISNA(MATCH(O147, Criterios!$D$123:$D$124, 0)), "Ciclo de vida no válido", ""))))</f>
        <v/>
      </c>
      <c r="AC147" s="56" t="n"/>
      <c r="AD147" s="51" t="n">
        <v>2</v>
      </c>
      <c r="AE147" s="156" t="inlineStr">
        <is>
          <t>WB OUTLET LERMA: 2</t>
        </is>
      </c>
      <c r="AF147" s="51" t="n">
        <v>2</v>
      </c>
      <c r="AG147" s="156" t="inlineStr">
        <is>
          <t>Nuevo – NetSuite con existencia</t>
        </is>
      </c>
      <c r="AH147" s="156" t="inlineStr">
        <is>
          <t>Género por validar; SKU base «KD920-PP1-UNI» repetido en NetSuite; se agregó el ID interno | Revisión 29/09/2026: Talla fuente Talla única sin equivalencia exacta en Criterios para Talla Niño (numérica); Campos sin respaldo: X; Auditoría NetSuite 30/09/2026: llenado desde NetSuite [M,P,V,Y,T] | 01/10/2026: complementado desde Shopify Western Brothers (match por código de barras): WB Silueta | 01/10/2026: Shopify Western Brothers trae Talla «10-12» — se conservó el valor de Productos | Homologación G1522 06/10/2026: WB Composición: «100% Poliester» → «100% Poliéster» (Corrección aplicada)</t>
        </is>
      </c>
      <c r="AI147" s="156" t="inlineStr">
        <is>
          <t>No</t>
        </is>
      </c>
      <c r="AJ147" s="156" t="n"/>
      <c r="AK147" s="155" t="inlineStr">
        <is>
          <t>ProductosCatalogoEstandar907.xlsx: fila 5198 [L,N,O,Q,S,U,Y]; G1522_Extraccion_Articulos_NetSuite_2026-09-30.xlsx: fila 56625 [M,P,V,Y,T] | Shopify WB: producto 8569962135737 / variante 50521051922617</t>
        </is>
      </c>
      <c r="AL147" s="58" t="n">
        <v>529.55</v>
      </c>
      <c r="AM147" s="58" t="n">
        <v>1249.00000008</v>
      </c>
      <c r="AN147" s="155" t="inlineStr">
        <is>
          <t>Shopify Western Brothers</t>
        </is>
      </c>
      <c r="AO147" s="59" t="n"/>
      <c r="AP147" s="59" t="n">
        <v>0</v>
      </c>
      <c r="AQ147" s="59" t="n"/>
      <c r="AR147" s="155" t="n"/>
    </row>
    <row r="148">
      <c r="A148" s="50" t="inlineStr">
        <is>
          <t>7506499532365</t>
        </is>
      </c>
      <c r="B148" s="51" t="inlineStr">
        <is>
          <t>108467</t>
        </is>
      </c>
      <c r="C148" s="156" t="inlineStr">
        <is>
          <t>Multimarca</t>
        </is>
      </c>
      <c r="D148" s="156" t="inlineStr">
        <is>
          <t>KD920-PP1</t>
        </is>
      </c>
      <c r="E148" s="156" t="inlineStr">
        <is>
          <t>KD920-PP1-14-16</t>
        </is>
      </c>
      <c r="F148" s="156" t="inlineStr">
        <is>
          <t>14 - 16</t>
        </is>
      </c>
      <c r="G148" s="156" t="inlineStr">
        <is>
          <t>XL</t>
        </is>
      </c>
      <c r="H148" s="156" t="inlineStr">
        <is>
          <t>Denver</t>
        </is>
      </c>
      <c r="I148" s="156" t="inlineStr">
        <is>
          <t>Chamarra Denver negra ribete café</t>
        </is>
      </c>
      <c r="J148" s="156" t="inlineStr">
        <is>
          <t>Ropa</t>
        </is>
      </c>
      <c r="K148" s="156" t="inlineStr">
        <is>
          <t>Chamarras</t>
        </is>
      </c>
      <c r="L148" s="156" t="inlineStr">
        <is>
          <t>Niño</t>
        </is>
      </c>
      <c r="M148" s="156" t="inlineStr">
        <is>
          <t>Denver</t>
        </is>
      </c>
      <c r="N148" s="156" t="inlineStr">
        <is>
          <t>FW26</t>
        </is>
      </c>
      <c r="O148" s="156" t="inlineStr">
        <is>
          <t>Core</t>
        </is>
      </c>
      <c r="P148" s="156" t="inlineStr">
        <is>
          <t>Negro</t>
        </is>
      </c>
      <c r="Q148" s="156" t="inlineStr">
        <is>
          <t>Regular</t>
        </is>
      </c>
      <c r="R148" s="156" t="n"/>
      <c r="S148" s="156" t="inlineStr">
        <is>
          <t>100% Poliéster</t>
        </is>
      </c>
      <c r="T148" s="156" t="inlineStr">
        <is>
          <t>Chamarra Denver negra ribete café Regular</t>
        </is>
      </c>
      <c r="U148" s="156" t="inlineStr">
        <is>
          <t>China</t>
        </is>
      </c>
      <c r="V148" s="156" t="inlineStr">
        <is>
          <t>PZS</t>
        </is>
      </c>
      <c r="W148" s="51" t="inlineStr">
        <is>
          <t>53101800</t>
        </is>
      </c>
      <c r="X148" s="156" t="n"/>
      <c r="Y148" s="54" t="n">
        <v>529.55</v>
      </c>
      <c r="Z148" s="54" t="n">
        <v>1076.724138</v>
      </c>
      <c r="AA148" s="55">
        <f>IF(AND(A148="", B148="", E148=""), "", IF(AB148="", "Válido", IF((LEN(AB148)-LEN(SUBSTITUTE(AB148,"; ","")))/2+1&gt;(LEN(AB148)-LEN(SUBSTITUTE(AB148,"[Aviso]","")))/7, "Con Incidencias", "Válido")))</f>
        <v/>
      </c>
      <c r="AB148" s="56">
        <f>IF(AND(A148="", B148="", E148=""), "", TEXTJOIN("; ", TRUE, IF(OR(TRIM(A148&amp;"")="", ISNUMBER(SEARCH("FALTA", A148))), "UPC faltante/inválido", ""), IF(AND(A148&lt;&gt;"", IFERROR(_xlfn.XMATCH(A148,$A$2:$A$204,0,1)&lt;&gt;_xlfn.XMATCH(A148,$A$2:$A$204,0,-1),FALSE)), "Código de barras duplicado", ""), IF(AND(E148&lt;&gt;"", COUNTIF($E$2:$E$204, E148)&gt;1), "SKU duplicado", ""), IF(OR(J148="", J148=""), "[Aviso] División no capturada ()", IF(ISNA(MATCH(J148, Criterios!$A$123:$A$126, 0)), "División no válida", "")), IF(OR(K148="", K148=""), "[Aviso] Categoría no capturada ()", IF(ISNA(MATCH(K148, Criterios!$A$81:$A$120, 0)), "Categoría no válida", IF(AND(J148&lt;&gt;"", J148&lt;&gt;"", J148&lt;&gt;VLOOKUP(K148, Criterios!$A$81:$B$120, 2, FALSE)), "División no coincide con Categoría", ""))), IF(OR(L148="", L148=""), "[Aviso] Género no capturado ()", IF(ISNA(MATCH(L148, Criterios!$B$123:$B$127, 0)), "Género no válido", "")), IF(OR(N148="", N148=""), "[Aviso] Temporada no capturada ()", IF(ISNA(MATCH(N148, Criterios!$C$123:$C$128, 0)), "Temporada no válida", "")), IF(OR(O148="", O148=""), "[Aviso] Ciclo de vida no capturado ()", IF(ISNA(MATCH(O148, Criterios!$D$123:$D$124, 0)), "Ciclo de vida no válido", ""))))</f>
        <v/>
      </c>
      <c r="AC148" s="56" t="n"/>
      <c r="AD148" s="51" t="n">
        <v>0</v>
      </c>
      <c r="AE148" s="156" t="n"/>
      <c r="AF148" s="51" t="n">
        <v>0</v>
      </c>
      <c r="AG148" s="156" t="inlineStr">
        <is>
          <t>Nuevo – NetSuite sin existencia</t>
        </is>
      </c>
      <c r="AH148" s="156" t="inlineStr">
        <is>
          <t>Talla: Talla no reconocida (origen «14 - 16»); Género por validar | Revisión 29/09/2026: Talla fuente 14 - 16 sin equivalencia exacta en Criterios para Talla Niño (numérica); Campos sin respaldo: F, X; Auditoría NetSuite 30/09/2026: llenado desde NetSuite [M,P,V,Y,T]; WB Talla NetSuite '14 - 16' sin equivalente en catálogo de tallas | 01/10/2026: complementado desde Shopify Western Brothers (match por código de barras): WB Talla de EE. UU. (antes «14 - 16», no válido en Criterios), WB Silueta | Homologación G1522 06/10/2026: WB Composición: «100% Poliester» → «100% Poliéster» (Corrección aplicada) · WB Talla: «» → «14 - 16» (Completado desde NetSuite) · Validación G1522: [Aviso] Pareja de tallas fuera del catálogo de Criterios</t>
        </is>
      </c>
      <c r="AI148" s="156" t="inlineStr">
        <is>
          <t>No</t>
        </is>
      </c>
      <c r="AJ148" s="156" t="n"/>
      <c r="AK148" s="155" t="inlineStr">
        <is>
          <t>ProductosCatalogoEstandar907.xlsx: fila 5199 [L,N,O,Q,S,U,Y]; G1522_Extraccion_Articulos_NetSuite_2026-09-30.xlsx: fila 56626 [M,P,V,Y,T] | Shopify WB: producto 8569962135737 / variante 47621326962873</t>
        </is>
      </c>
      <c r="AL148" s="58" t="n">
        <v>529.55</v>
      </c>
      <c r="AM148" s="58" t="n">
        <v>1249.00000008</v>
      </c>
      <c r="AN148" s="155" t="inlineStr">
        <is>
          <t>Shopify Western Brothers</t>
        </is>
      </c>
      <c r="AO148" s="59" t="n"/>
      <c r="AP148" s="59" t="n">
        <v>0</v>
      </c>
      <c r="AQ148" s="59" t="n"/>
      <c r="AR148" s="155" t="n"/>
    </row>
    <row r="149">
      <c r="A149" s="50" t="inlineStr">
        <is>
          <t>7506499570900</t>
        </is>
      </c>
      <c r="B149" s="51" t="inlineStr">
        <is>
          <t>108694</t>
        </is>
      </c>
      <c r="C149" s="156" t="inlineStr">
        <is>
          <t>Multimarca</t>
        </is>
      </c>
      <c r="D149" s="156" t="inlineStr">
        <is>
          <t>SBMQCAD-9</t>
        </is>
      </c>
      <c r="E149" s="156" t="inlineStr">
        <is>
          <t>SBMQCAD-9-63/4</t>
        </is>
      </c>
      <c r="F149" s="156" t="inlineStr">
        <is>
          <t>6 3/4</t>
        </is>
      </c>
      <c r="G149" s="156" t="inlineStr">
        <is>
          <t>6 3/4</t>
        </is>
      </c>
      <c r="H149" s="156" t="inlineStr">
        <is>
          <t>Denver</t>
        </is>
      </c>
      <c r="I149" s="156" t="inlineStr">
        <is>
          <t>Sombrero Denver marfil mezquite cuadro ancho</t>
        </is>
      </c>
      <c r="J149" s="156" t="inlineStr">
        <is>
          <t>Accesorios</t>
        </is>
      </c>
      <c r="K149" s="156" t="inlineStr">
        <is>
          <t>Sombreros</t>
        </is>
      </c>
      <c r="L149" s="156" t="inlineStr">
        <is>
          <t>Unisex</t>
        </is>
      </c>
      <c r="M149" s="156" t="inlineStr">
        <is>
          <t>Denver</t>
        </is>
      </c>
      <c r="N149" s="156" t="inlineStr">
        <is>
          <t>SS26</t>
        </is>
      </c>
      <c r="O149" s="156" t="inlineStr">
        <is>
          <t>Core</t>
        </is>
      </c>
      <c r="P149" s="156" t="inlineStr">
        <is>
          <t>Beige</t>
        </is>
      </c>
      <c r="Q149" s="156" t="n"/>
      <c r="R149" s="156" t="n"/>
      <c r="S149" s="156" t="inlineStr">
        <is>
          <t>100% Papel de Arroz</t>
        </is>
      </c>
      <c r="T149" s="156" t="inlineStr">
        <is>
          <t>Sombrero Denver marfil mezquite cuadro ancho. Sombrero de la marca Denver. Estilo SBMQCAD-9.</t>
        </is>
      </c>
      <c r="U149" s="156" t="inlineStr">
        <is>
          <t>México</t>
        </is>
      </c>
      <c r="V149" s="156" t="inlineStr">
        <is>
          <t>PZS</t>
        </is>
      </c>
      <c r="W149" s="51" t="inlineStr">
        <is>
          <t>53102503</t>
        </is>
      </c>
      <c r="X149" s="156" t="n"/>
      <c r="Y149" s="54" t="n">
        <v>1249</v>
      </c>
      <c r="Z149" s="54" t="n">
        <v>2154.310345</v>
      </c>
      <c r="AA149" s="55">
        <f>IF(AND(A149="", B149="", E149=""), "", IF(AB149="", "Válido", IF((LEN(AB149)-LEN(SUBSTITUTE(AB149,"; ","")))/2+1&gt;(LEN(AB149)-LEN(SUBSTITUTE(AB149,"[Aviso]","")))/7, "Con Incidencias", "Válido")))</f>
        <v/>
      </c>
      <c r="AB149" s="56">
        <f>IF(AND(A149="", B149="", E149=""), "", TEXTJOIN("; ", TRUE, IF(OR(TRIM(A149&amp;"")="", ISNUMBER(SEARCH("FALTA", A149))), "UPC faltante/inválido", ""), IF(AND(A149&lt;&gt;"", IFERROR(_xlfn.XMATCH(A149,$A$2:$A$204,0,1)&lt;&gt;_xlfn.XMATCH(A149,$A$2:$A$204,0,-1),FALSE)), "Código de barras duplicado", ""), IF(AND(E149&lt;&gt;"", COUNTIF($E$2:$E$204, E149)&gt;1), "SKU duplicado", ""), IF(OR(J149="", J149=""), "[Aviso] División no capturada ()", IF(ISNA(MATCH(J149, Criterios!$A$123:$A$126, 0)), "División no válida", "")), IF(OR(K149="", K149=""), "[Aviso] Categoría no capturada ()", IF(ISNA(MATCH(K149, Criterios!$A$81:$A$120, 0)), "Categoría no válida", IF(AND(J149&lt;&gt;"", J149&lt;&gt;"", J149&lt;&gt;VLOOKUP(K149, Criterios!$A$81:$B$120, 2, FALSE)), "División no coincide con Categoría", ""))), IF(OR(L149="", L149=""), "[Aviso] Género no capturado ()", IF(ISNA(MATCH(L149, Criterios!$B$123:$B$127, 0)), "Género no válido", "")), IF(OR(N149="", N149=""), "[Aviso] Temporada no capturada ()", IF(ISNA(MATCH(N149, Criterios!$C$123:$C$128, 0)), "Temporada no válida", "")), IF(OR(O149="", O149=""), "[Aviso] Ciclo de vida no capturado ()", IF(ISNA(MATCH(O149, Criterios!$D$123:$D$124, 0)), "Ciclo de vida no válido", ""))))</f>
        <v/>
      </c>
      <c r="AC149" s="56" t="n"/>
      <c r="AD149" s="51" t="n">
        <v>4</v>
      </c>
      <c r="AE149" s="156" t="inlineStr">
        <is>
          <t>WB OUTLET LERMA: 4</t>
        </is>
      </c>
      <c r="AF149" s="51" t="n">
        <v>4</v>
      </c>
      <c r="AG149" s="156" t="inlineStr">
        <is>
          <t>Nuevo – NetSuite con existencia</t>
        </is>
      </c>
      <c r="AH149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49" s="156" t="inlineStr">
        <is>
          <t>No</t>
        </is>
      </c>
      <c r="AJ149" s="156" t="n"/>
      <c r="AK149" s="155" t="inlineStr">
        <is>
          <t>ProductosCatalogoEstandar907.xlsx: fila 5251 [N,O,S,U,Y]; G1522_Extraccion_Articulos_NetSuite_2026-09-30.xlsx: fila 56777 [P,V,Y,S] | Shopify WB: producto 8569962266809 / variante 47621327061177</t>
        </is>
      </c>
      <c r="AL149" s="58" t="n">
        <v>1249</v>
      </c>
      <c r="AM149" s="58" t="n">
        <v>2499.0000002</v>
      </c>
      <c r="AN149" s="155" t="inlineStr">
        <is>
          <t>Shopify Western Brothers</t>
        </is>
      </c>
      <c r="AO149" s="59" t="n"/>
      <c r="AP149" s="59" t="n">
        <v>4</v>
      </c>
      <c r="AQ149" s="59" t="n"/>
      <c r="AR149" s="155" t="inlineStr">
        <is>
          <t>Shopify Western Brothers › Western Brothers Outlet Lerma: 4</t>
        </is>
      </c>
    </row>
    <row r="150">
      <c r="A150" s="50" t="inlineStr">
        <is>
          <t>7506499570901</t>
        </is>
      </c>
      <c r="B150" s="51" t="inlineStr">
        <is>
          <t>108695</t>
        </is>
      </c>
      <c r="C150" s="156" t="inlineStr">
        <is>
          <t>Multimarca</t>
        </is>
      </c>
      <c r="D150" s="156" t="inlineStr">
        <is>
          <t>SBMQCAD-9</t>
        </is>
      </c>
      <c r="E150" s="156" t="inlineStr">
        <is>
          <t>SBMQCAD-9-67/8</t>
        </is>
      </c>
      <c r="F150" s="156" t="inlineStr">
        <is>
          <t>6 7/8</t>
        </is>
      </c>
      <c r="G150" s="156" t="inlineStr">
        <is>
          <t>6 7/8</t>
        </is>
      </c>
      <c r="H150" s="156" t="inlineStr">
        <is>
          <t>Denver</t>
        </is>
      </c>
      <c r="I150" s="156" t="inlineStr">
        <is>
          <t>Sombrero Denver marfil mezquite cuadro ancho</t>
        </is>
      </c>
      <c r="J150" s="156" t="inlineStr">
        <is>
          <t>Accesorios</t>
        </is>
      </c>
      <c r="K150" s="156" t="inlineStr">
        <is>
          <t>Sombreros</t>
        </is>
      </c>
      <c r="L150" s="156" t="inlineStr">
        <is>
          <t>Unisex</t>
        </is>
      </c>
      <c r="M150" s="156" t="inlineStr">
        <is>
          <t>Denver</t>
        </is>
      </c>
      <c r="N150" s="156" t="inlineStr">
        <is>
          <t>SS26</t>
        </is>
      </c>
      <c r="O150" s="156" t="inlineStr">
        <is>
          <t>Core</t>
        </is>
      </c>
      <c r="P150" s="156" t="inlineStr">
        <is>
          <t>Beige</t>
        </is>
      </c>
      <c r="Q150" s="156" t="n"/>
      <c r="R150" s="156" t="n"/>
      <c r="S150" s="156" t="inlineStr">
        <is>
          <t>100% Papel de Arroz</t>
        </is>
      </c>
      <c r="T150" s="156" t="inlineStr">
        <is>
          <t>Sombrero Denver marfil mezquite cuadro ancho. Sombrero de la marca Denver. Estilo SBMQCAD-9.</t>
        </is>
      </c>
      <c r="U150" s="156" t="inlineStr">
        <is>
          <t>México</t>
        </is>
      </c>
      <c r="V150" s="156" t="inlineStr">
        <is>
          <t>PZS</t>
        </is>
      </c>
      <c r="W150" s="51" t="inlineStr">
        <is>
          <t>53102503</t>
        </is>
      </c>
      <c r="X150" s="156" t="n"/>
      <c r="Y150" s="54" t="n">
        <v>1249</v>
      </c>
      <c r="Z150" s="54" t="n">
        <v>2154.310345</v>
      </c>
      <c r="AA150" s="55">
        <f>IF(AND(A150="", B150="", E150=""), "", IF(AB150="", "Válido", IF((LEN(AB150)-LEN(SUBSTITUTE(AB150,"; ","")))/2+1&gt;(LEN(AB150)-LEN(SUBSTITUTE(AB150,"[Aviso]","")))/7, "Con Incidencias", "Válido")))</f>
        <v/>
      </c>
      <c r="AB150" s="56">
        <f>IF(AND(A150="", B150="", E150=""), "", TEXTJOIN("; ", TRUE, IF(OR(TRIM(A150&amp;"")="", ISNUMBER(SEARCH("FALTA", A150))), "UPC faltante/inválido", ""), IF(AND(A150&lt;&gt;"", IFERROR(_xlfn.XMATCH(A150,$A$2:$A$204,0,1)&lt;&gt;_xlfn.XMATCH(A150,$A$2:$A$204,0,-1),FALSE)), "Código de barras duplicado", ""), IF(AND(E150&lt;&gt;"", COUNTIF($E$2:$E$204, E150)&gt;1), "SKU duplicado", ""), IF(OR(J150="", J150=""), "[Aviso] División no capturada ()", IF(ISNA(MATCH(J150, Criterios!$A$123:$A$126, 0)), "División no válida", "")), IF(OR(K150="", K150=""), "[Aviso] Categoría no capturada ()", IF(ISNA(MATCH(K150, Criterios!$A$81:$A$120, 0)), "Categoría no válida", IF(AND(J150&lt;&gt;"", J150&lt;&gt;"", J150&lt;&gt;VLOOKUP(K150, Criterios!$A$81:$B$120, 2, FALSE)), "División no coincide con Categoría", ""))), IF(OR(L150="", L150=""), "[Aviso] Género no capturado ()", IF(ISNA(MATCH(L150, Criterios!$B$123:$B$127, 0)), "Género no válido", "")), IF(OR(N150="", N150=""), "[Aviso] Temporada no capturada ()", IF(ISNA(MATCH(N150, Criterios!$C$123:$C$128, 0)), "Temporada no válida", "")), IF(OR(O150="", O150=""), "[Aviso] Ciclo de vida no capturado ()", IF(ISNA(MATCH(O150, Criterios!$D$123:$D$124, 0)), "Ciclo de vida no válido", ""))))</f>
        <v/>
      </c>
      <c r="AC150" s="56" t="n"/>
      <c r="AD150" s="51" t="n">
        <v>4</v>
      </c>
      <c r="AE150" s="156" t="inlineStr">
        <is>
          <t>WB OUTLET LERMA: 4</t>
        </is>
      </c>
      <c r="AF150" s="51" t="n">
        <v>4</v>
      </c>
      <c r="AG150" s="156" t="inlineStr">
        <is>
          <t>Nuevo – NetSuite con existencia</t>
        </is>
      </c>
      <c r="AH150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50" s="156" t="inlineStr">
        <is>
          <t>No</t>
        </is>
      </c>
      <c r="AJ150" s="156" t="n"/>
      <c r="AK150" s="155" t="inlineStr">
        <is>
          <t>ProductosCatalogoEstandar907.xlsx: fila 5252 [N,O,S,U,Y]; G1522_Extraccion_Articulos_NetSuite_2026-09-30.xlsx: fila 56778 [P,V,Y,S] | Shopify WB: producto 8569962266809 / variante 47621327093945</t>
        </is>
      </c>
      <c r="AL150" s="58" t="n">
        <v>1249</v>
      </c>
      <c r="AM150" s="58" t="n">
        <v>2499.0000002</v>
      </c>
      <c r="AN150" s="155" t="inlineStr">
        <is>
          <t>Shopify Western Brothers</t>
        </is>
      </c>
      <c r="AO150" s="59" t="n"/>
      <c r="AP150" s="59" t="n">
        <v>4</v>
      </c>
      <c r="AQ150" s="59" t="n"/>
      <c r="AR150" s="155" t="inlineStr">
        <is>
          <t>Shopify Western Brothers › Western Brothers Outlet Lerma: 4</t>
        </is>
      </c>
    </row>
    <row r="151">
      <c r="A151" s="50" t="inlineStr">
        <is>
          <t>7506499570902</t>
        </is>
      </c>
      <c r="B151" s="51" t="inlineStr">
        <is>
          <t>108696</t>
        </is>
      </c>
      <c r="C151" s="156" t="inlineStr">
        <is>
          <t>Multimarca</t>
        </is>
      </c>
      <c r="D151" s="156" t="inlineStr">
        <is>
          <t>SBMQCAD-9</t>
        </is>
      </c>
      <c r="E151" s="156" t="inlineStr">
        <is>
          <t>SBMQCAD-9-7</t>
        </is>
      </c>
      <c r="F151" s="156" t="inlineStr">
        <is>
          <t>7</t>
        </is>
      </c>
      <c r="G151" s="156" t="inlineStr">
        <is>
          <t>7</t>
        </is>
      </c>
      <c r="H151" s="156" t="inlineStr">
        <is>
          <t>Denver</t>
        </is>
      </c>
      <c r="I151" s="156" t="inlineStr">
        <is>
          <t>Sombrero Denver marfil mezquite cuadro ancho</t>
        </is>
      </c>
      <c r="J151" s="156" t="inlineStr">
        <is>
          <t>Accesorios</t>
        </is>
      </c>
      <c r="K151" s="156" t="inlineStr">
        <is>
          <t>Sombreros</t>
        </is>
      </c>
      <c r="L151" s="156" t="inlineStr">
        <is>
          <t>Unisex</t>
        </is>
      </c>
      <c r="M151" s="156" t="inlineStr">
        <is>
          <t>Denver</t>
        </is>
      </c>
      <c r="N151" s="156" t="inlineStr">
        <is>
          <t>SS26</t>
        </is>
      </c>
      <c r="O151" s="156" t="inlineStr">
        <is>
          <t>Core</t>
        </is>
      </c>
      <c r="P151" s="156" t="inlineStr">
        <is>
          <t>Beige</t>
        </is>
      </c>
      <c r="Q151" s="156" t="n"/>
      <c r="R151" s="156" t="n"/>
      <c r="S151" s="156" t="inlineStr">
        <is>
          <t>100% Papel de Arroz</t>
        </is>
      </c>
      <c r="T151" s="156" t="inlineStr">
        <is>
          <t>Sombrero Denver marfil mezquite cuadro ancho. Sombrero de la marca Denver. Estilo SBMQCAD-9.</t>
        </is>
      </c>
      <c r="U151" s="156" t="inlineStr">
        <is>
          <t>México</t>
        </is>
      </c>
      <c r="V151" s="156" t="inlineStr">
        <is>
          <t>PZS</t>
        </is>
      </c>
      <c r="W151" s="51" t="inlineStr">
        <is>
          <t>53102503</t>
        </is>
      </c>
      <c r="X151" s="156" t="n"/>
      <c r="Y151" s="54" t="n">
        <v>1249</v>
      </c>
      <c r="Z151" s="54" t="n">
        <v>2154.310345</v>
      </c>
      <c r="AA151" s="55">
        <f>IF(AND(A151="", B151="", E151=""), "", IF(AB151="", "Válido", IF((LEN(AB151)-LEN(SUBSTITUTE(AB151,"; ","")))/2+1&gt;(LEN(AB151)-LEN(SUBSTITUTE(AB151,"[Aviso]","")))/7, "Con Incidencias", "Válido")))</f>
        <v/>
      </c>
      <c r="AB151" s="56">
        <f>IF(AND(A151="", B151="", E151=""), "", TEXTJOIN("; ", TRUE, IF(OR(TRIM(A151&amp;"")="", ISNUMBER(SEARCH("FALTA", A151))), "UPC faltante/inválido", ""), IF(AND(A151&lt;&gt;"", IFERROR(_xlfn.XMATCH(A151,$A$2:$A$204,0,1)&lt;&gt;_xlfn.XMATCH(A151,$A$2:$A$204,0,-1),FALSE)), "Código de barras duplicado", ""), IF(AND(E151&lt;&gt;"", COUNTIF($E$2:$E$204, E151)&gt;1), "SKU duplicado", ""), IF(OR(J151="", J151=""), "[Aviso] División no capturada ()", IF(ISNA(MATCH(J151, Criterios!$A$123:$A$126, 0)), "División no válida", "")), IF(OR(K151="", K151=""), "[Aviso] Categoría no capturada ()", IF(ISNA(MATCH(K151, Criterios!$A$81:$A$120, 0)), "Categoría no válida", IF(AND(J151&lt;&gt;"", J151&lt;&gt;"", J151&lt;&gt;VLOOKUP(K151, Criterios!$A$81:$B$120, 2, FALSE)), "División no coincide con Categoría", ""))), IF(OR(L151="", L151=""), "[Aviso] Género no capturado ()", IF(ISNA(MATCH(L151, Criterios!$B$123:$B$127, 0)), "Género no válido", "")), IF(OR(N151="", N151=""), "[Aviso] Temporada no capturada ()", IF(ISNA(MATCH(N151, Criterios!$C$123:$C$128, 0)), "Temporada no válida", "")), IF(OR(O151="", O151=""), "[Aviso] Ciclo de vida no capturado ()", IF(ISNA(MATCH(O151, Criterios!$D$123:$D$124, 0)), "Ciclo de vida no válido", ""))))</f>
        <v/>
      </c>
      <c r="AC151" s="56" t="n"/>
      <c r="AD151" s="51" t="n">
        <v>-1</v>
      </c>
      <c r="AE151" s="156" t="n"/>
      <c r="AF151" s="51" t="n">
        <v>0</v>
      </c>
      <c r="AG151" s="156" t="inlineStr">
        <is>
          <t>Nuevo – NetSuite con existencia</t>
        </is>
      </c>
      <c r="AH151" s="156" t="inlineStr">
        <is>
          <t>Stock negativo en sistema: revisar en conteo | 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51" s="156" t="inlineStr">
        <is>
          <t>Sí</t>
        </is>
      </c>
      <c r="AJ151" s="156" t="inlineStr">
        <is>
          <t>WB OUTLET LERMA: -1</t>
        </is>
      </c>
      <c r="AK151" s="155" t="inlineStr">
        <is>
          <t>ProductosCatalogoEstandar907.xlsx: fila 5253 [N,O,S,U,Y]; G1522_Extraccion_Articulos_NetSuite_2026-09-30.xlsx: fila 56779 [P,V,Y,S] | Shopify WB: producto 8569962266809 / variante 47621327126713</t>
        </is>
      </c>
      <c r="AL151" s="58" t="n">
        <v>1249</v>
      </c>
      <c r="AM151" s="58" t="n">
        <v>2499.0000002</v>
      </c>
      <c r="AN151" s="155" t="inlineStr">
        <is>
          <t>Shopify Western Brothers</t>
        </is>
      </c>
      <c r="AO151" s="59" t="n"/>
      <c r="AP151" s="59" t="n">
        <v>-1</v>
      </c>
      <c r="AQ151" s="59" t="n"/>
      <c r="AR151" s="155" t="n"/>
    </row>
    <row r="152">
      <c r="A152" s="50" t="inlineStr">
        <is>
          <t>7506499570903</t>
        </is>
      </c>
      <c r="B152" s="51" t="inlineStr">
        <is>
          <t>108697</t>
        </is>
      </c>
      <c r="C152" s="156" t="inlineStr">
        <is>
          <t>Multimarca</t>
        </is>
      </c>
      <c r="D152" s="156" t="inlineStr">
        <is>
          <t>SBMQCAD-9</t>
        </is>
      </c>
      <c r="E152" s="156" t="inlineStr">
        <is>
          <t>SBMQCAD-9-71/8</t>
        </is>
      </c>
      <c r="F152" s="156" t="inlineStr">
        <is>
          <t>7 1/8</t>
        </is>
      </c>
      <c r="G152" s="156" t="inlineStr">
        <is>
          <t>7 1/8</t>
        </is>
      </c>
      <c r="H152" s="156" t="inlineStr">
        <is>
          <t>Denver</t>
        </is>
      </c>
      <c r="I152" s="156" t="inlineStr">
        <is>
          <t>Sombrero Denver marfil mezquite cuadro ancho</t>
        </is>
      </c>
      <c r="J152" s="156" t="inlineStr">
        <is>
          <t>Accesorios</t>
        </is>
      </c>
      <c r="K152" s="156" t="inlineStr">
        <is>
          <t>Sombreros</t>
        </is>
      </c>
      <c r="L152" s="156" t="inlineStr">
        <is>
          <t>Unisex</t>
        </is>
      </c>
      <c r="M152" s="156" t="inlineStr">
        <is>
          <t>Denver</t>
        </is>
      </c>
      <c r="N152" s="156" t="inlineStr">
        <is>
          <t>SS26</t>
        </is>
      </c>
      <c r="O152" s="156" t="inlineStr">
        <is>
          <t>Core</t>
        </is>
      </c>
      <c r="P152" s="156" t="inlineStr">
        <is>
          <t>Beige</t>
        </is>
      </c>
      <c r="Q152" s="156" t="n"/>
      <c r="R152" s="156" t="n"/>
      <c r="S152" s="156" t="inlineStr">
        <is>
          <t>100% Papel de Arroz</t>
        </is>
      </c>
      <c r="T152" s="156" t="inlineStr">
        <is>
          <t>Sombrero Denver marfil mezquite cuadro ancho. Sombrero de la marca Denver. Estilo SBMQCAD-9.</t>
        </is>
      </c>
      <c r="U152" s="156" t="inlineStr">
        <is>
          <t>México</t>
        </is>
      </c>
      <c r="V152" s="156" t="inlineStr">
        <is>
          <t>PZS</t>
        </is>
      </c>
      <c r="W152" s="51" t="inlineStr">
        <is>
          <t>53102503</t>
        </is>
      </c>
      <c r="X152" s="156" t="n"/>
      <c r="Y152" s="54" t="n">
        <v>1249</v>
      </c>
      <c r="Z152" s="54" t="n">
        <v>2154.310345</v>
      </c>
      <c r="AA152" s="55">
        <f>IF(AND(A152="", B152="", E152=""), "", IF(AB152="", "Válido", IF((LEN(AB152)-LEN(SUBSTITUTE(AB152,"; ","")))/2+1&gt;(LEN(AB152)-LEN(SUBSTITUTE(AB152,"[Aviso]","")))/7, "Con Incidencias", "Válido")))</f>
        <v/>
      </c>
      <c r="AB152" s="56">
        <f>IF(AND(A152="", B152="", E152=""), "", TEXTJOIN("; ", TRUE, IF(OR(TRIM(A152&amp;"")="", ISNUMBER(SEARCH("FALTA", A152))), "UPC faltante/inválido", ""), IF(AND(A152&lt;&gt;"", IFERROR(_xlfn.XMATCH(A152,$A$2:$A$204,0,1)&lt;&gt;_xlfn.XMATCH(A152,$A$2:$A$204,0,-1),FALSE)), "Código de barras duplicado", ""), IF(AND(E152&lt;&gt;"", COUNTIF($E$2:$E$204, E152)&gt;1), "SKU duplicado", ""), IF(OR(J152="", J152=""), "[Aviso] División no capturada ()", IF(ISNA(MATCH(J152, Criterios!$A$123:$A$126, 0)), "División no válida", "")), IF(OR(K152="", K152=""), "[Aviso] Categoría no capturada ()", IF(ISNA(MATCH(K152, Criterios!$A$81:$A$120, 0)), "Categoría no válida", IF(AND(J152&lt;&gt;"", J152&lt;&gt;"", J152&lt;&gt;VLOOKUP(K152, Criterios!$A$81:$B$120, 2, FALSE)), "División no coincide con Categoría", ""))), IF(OR(L152="", L152=""), "[Aviso] Género no capturado ()", IF(ISNA(MATCH(L152, Criterios!$B$123:$B$127, 0)), "Género no válido", "")), IF(OR(N152="", N152=""), "[Aviso] Temporada no capturada ()", IF(ISNA(MATCH(N152, Criterios!$C$123:$C$128, 0)), "Temporada no válida", "")), IF(OR(O152="", O152=""), "[Aviso] Ciclo de vida no capturado ()", IF(ISNA(MATCH(O152, Criterios!$D$123:$D$124, 0)), "Ciclo de vida no válido", ""))))</f>
        <v/>
      </c>
      <c r="AC152" s="56" t="n"/>
      <c r="AD152" s="51" t="n">
        <v>0</v>
      </c>
      <c r="AE152" s="156" t="n"/>
      <c r="AF152" s="51" t="n">
        <v>0</v>
      </c>
      <c r="AG152" s="156" t="inlineStr">
        <is>
          <t>Nuevo – NetSuite con existencia</t>
        </is>
      </c>
      <c r="AH152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52" s="156" t="inlineStr">
        <is>
          <t>No</t>
        </is>
      </c>
      <c r="AJ152" s="156" t="n"/>
      <c r="AK152" s="155" t="inlineStr">
        <is>
          <t>ProductosCatalogoEstandar907.xlsx: fila 5254 [N,O,S,U,Y]; G1522_Extraccion_Articulos_NetSuite_2026-09-30.xlsx: fila 56780 [P,V,Y,S] | Shopify WB: producto 8569962266809 / variante 47621327159481</t>
        </is>
      </c>
      <c r="AL152" s="58" t="n">
        <v>1249</v>
      </c>
      <c r="AM152" s="58" t="n">
        <v>2499.0000002</v>
      </c>
      <c r="AN152" s="155" t="inlineStr">
        <is>
          <t>Shopify Western Brothers</t>
        </is>
      </c>
      <c r="AO152" s="59" t="n"/>
      <c r="AP152" s="59" t="n">
        <v>1</v>
      </c>
      <c r="AQ152" s="59" t="n"/>
      <c r="AR152" s="155" t="inlineStr">
        <is>
          <t>Shopify Western Brothers › Western Brothers Outlet Lerma: 1</t>
        </is>
      </c>
    </row>
    <row r="153">
      <c r="A153" s="50" t="inlineStr">
        <is>
          <t>7506499570904</t>
        </is>
      </c>
      <c r="B153" s="51" t="inlineStr">
        <is>
          <t>108698</t>
        </is>
      </c>
      <c r="C153" s="156" t="inlineStr">
        <is>
          <t>Multimarca</t>
        </is>
      </c>
      <c r="D153" s="156" t="inlineStr">
        <is>
          <t>SBMQCAD-9</t>
        </is>
      </c>
      <c r="E153" s="156" t="inlineStr">
        <is>
          <t>SBMQCAD-9-71/2</t>
        </is>
      </c>
      <c r="F153" s="156" t="inlineStr">
        <is>
          <t>7 1/2</t>
        </is>
      </c>
      <c r="G153" s="156" t="inlineStr">
        <is>
          <t>7 1/2</t>
        </is>
      </c>
      <c r="H153" s="156" t="inlineStr">
        <is>
          <t>Denver</t>
        </is>
      </c>
      <c r="I153" s="156" t="inlineStr">
        <is>
          <t>Sombrero Denver marfil mezquite cuadro ancho</t>
        </is>
      </c>
      <c r="J153" s="156" t="inlineStr">
        <is>
          <t>Accesorios</t>
        </is>
      </c>
      <c r="K153" s="156" t="inlineStr">
        <is>
          <t>Sombreros</t>
        </is>
      </c>
      <c r="L153" s="156" t="inlineStr">
        <is>
          <t>Unisex</t>
        </is>
      </c>
      <c r="M153" s="156" t="inlineStr">
        <is>
          <t>Denver</t>
        </is>
      </c>
      <c r="N153" s="156" t="inlineStr">
        <is>
          <t>SS26</t>
        </is>
      </c>
      <c r="O153" s="156" t="inlineStr">
        <is>
          <t>Core</t>
        </is>
      </c>
      <c r="P153" s="156" t="inlineStr">
        <is>
          <t>Beige</t>
        </is>
      </c>
      <c r="Q153" s="156" t="n"/>
      <c r="R153" s="156" t="n"/>
      <c r="S153" s="156" t="inlineStr">
        <is>
          <t>100% Papel de Arroz</t>
        </is>
      </c>
      <c r="T153" s="156" t="inlineStr">
        <is>
          <t>Sombrero Denver marfil mezquite cuadro ancho. Sombrero de la marca Denver. Estilo SBMQCAD-9.</t>
        </is>
      </c>
      <c r="U153" s="156" t="inlineStr">
        <is>
          <t>México</t>
        </is>
      </c>
      <c r="V153" s="156" t="inlineStr">
        <is>
          <t>PZS</t>
        </is>
      </c>
      <c r="W153" s="51" t="inlineStr">
        <is>
          <t>53102503</t>
        </is>
      </c>
      <c r="X153" s="156" t="n"/>
      <c r="Y153" s="54" t="n">
        <v>1249</v>
      </c>
      <c r="Z153" s="54" t="n">
        <v>2154.310345</v>
      </c>
      <c r="AA153" s="55">
        <f>IF(AND(A153="", B153="", E153=""), "", IF(AB153="", "Válido", IF((LEN(AB153)-LEN(SUBSTITUTE(AB153,"; ","")))/2+1&gt;(LEN(AB153)-LEN(SUBSTITUTE(AB153,"[Aviso]","")))/7, "Con Incidencias", "Válido")))</f>
        <v/>
      </c>
      <c r="AB153" s="56">
        <f>IF(AND(A153="", B153="", E153=""), "", TEXTJOIN("; ", TRUE, IF(OR(TRIM(A153&amp;"")="", ISNUMBER(SEARCH("FALTA", A153))), "UPC faltante/inválido", ""), IF(AND(A153&lt;&gt;"", IFERROR(_xlfn.XMATCH(A153,$A$2:$A$204,0,1)&lt;&gt;_xlfn.XMATCH(A153,$A$2:$A$204,0,-1),FALSE)), "Código de barras duplicado", ""), IF(AND(E153&lt;&gt;"", COUNTIF($E$2:$E$204, E153)&gt;1), "SKU duplicado", ""), IF(OR(J153="", J153=""), "[Aviso] División no capturada ()", IF(ISNA(MATCH(J153, Criterios!$A$123:$A$126, 0)), "División no válida", "")), IF(OR(K153="", K153=""), "[Aviso] Categoría no capturada ()", IF(ISNA(MATCH(K153, Criterios!$A$81:$A$120, 0)), "Categoría no válida", IF(AND(J153&lt;&gt;"", J153&lt;&gt;"", J153&lt;&gt;VLOOKUP(K153, Criterios!$A$81:$B$120, 2, FALSE)), "División no coincide con Categoría", ""))), IF(OR(L153="", L153=""), "[Aviso] Género no capturado ()", IF(ISNA(MATCH(L153, Criterios!$B$123:$B$127, 0)), "Género no válido", "")), IF(OR(N153="", N153=""), "[Aviso] Temporada no capturada ()", IF(ISNA(MATCH(N153, Criterios!$C$123:$C$128, 0)), "Temporada no válida", "")), IF(OR(O153="", O153=""), "[Aviso] Ciclo de vida no capturado ()", IF(ISNA(MATCH(O153, Criterios!$D$123:$D$124, 0)), "Ciclo de vida no válido", ""))))</f>
        <v/>
      </c>
      <c r="AC153" s="56" t="n"/>
      <c r="AD153" s="51" t="n">
        <v>1</v>
      </c>
      <c r="AE153" s="156" t="inlineStr">
        <is>
          <t>WB OUTLET LERMA: 1</t>
        </is>
      </c>
      <c r="AF153" s="51" t="n">
        <v>1</v>
      </c>
      <c r="AG153" s="156" t="inlineStr">
        <is>
          <t>Nuevo – NetSuite con existencia</t>
        </is>
      </c>
      <c r="AH153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53" s="156" t="inlineStr">
        <is>
          <t>No</t>
        </is>
      </c>
      <c r="AJ153" s="156" t="n"/>
      <c r="AK153" s="155" t="inlineStr">
        <is>
          <t>ProductosCatalogoEstandar907.xlsx: fila 5255 [N,O,S,U,Y]; G1522_Extraccion_Articulos_NetSuite_2026-09-30.xlsx: fila 56781 [P,V,Y,S] | Shopify WB: producto 8569962266809 / variante 47621327192249</t>
        </is>
      </c>
      <c r="AL153" s="58" t="n">
        <v>1249</v>
      </c>
      <c r="AM153" s="58" t="n">
        <v>2499.0000002</v>
      </c>
      <c r="AN153" s="155" t="inlineStr">
        <is>
          <t>Shopify Western Brothers</t>
        </is>
      </c>
      <c r="AO153" s="59" t="n"/>
      <c r="AP153" s="59" t="n">
        <v>1</v>
      </c>
      <c r="AQ153" s="59" t="n"/>
      <c r="AR153" s="155" t="inlineStr">
        <is>
          <t>Shopify Western Brothers › Western Brothers Outlet Lerma: 1</t>
        </is>
      </c>
    </row>
    <row r="154">
      <c r="A154" s="50" t="inlineStr">
        <is>
          <t>7506499570905</t>
        </is>
      </c>
      <c r="B154" s="51" t="inlineStr">
        <is>
          <t>108699</t>
        </is>
      </c>
      <c r="C154" s="156" t="inlineStr">
        <is>
          <t>Multimarca</t>
        </is>
      </c>
      <c r="D154" s="156" t="inlineStr">
        <is>
          <t>SBTEJTD-7</t>
        </is>
      </c>
      <c r="E154" s="156" t="inlineStr">
        <is>
          <t>SBTEJTD-7-63/4</t>
        </is>
      </c>
      <c r="F154" s="156" t="inlineStr">
        <is>
          <t>6 3/4</t>
        </is>
      </c>
      <c r="G154" s="156" t="inlineStr">
        <is>
          <t>6 3/4</t>
        </is>
      </c>
      <c r="H154" s="156" t="inlineStr">
        <is>
          <t>Denver</t>
        </is>
      </c>
      <c r="I154" s="156" t="inlineStr">
        <is>
          <t>Sombrero Denver marfil justin toro especial</t>
        </is>
      </c>
      <c r="J154" s="156" t="inlineStr">
        <is>
          <t>Accesorios</t>
        </is>
      </c>
      <c r="K154" s="156" t="inlineStr">
        <is>
          <t>Sombreros</t>
        </is>
      </c>
      <c r="L154" s="156" t="inlineStr">
        <is>
          <t>Unisex</t>
        </is>
      </c>
      <c r="M154" s="156" t="inlineStr">
        <is>
          <t>Denver</t>
        </is>
      </c>
      <c r="N154" s="156" t="inlineStr">
        <is>
          <t>SS26</t>
        </is>
      </c>
      <c r="O154" s="156" t="inlineStr">
        <is>
          <t>Core</t>
        </is>
      </c>
      <c r="P154" s="156" t="inlineStr">
        <is>
          <t>Beige</t>
        </is>
      </c>
      <c r="Q154" s="156" t="n"/>
      <c r="R154" s="156" t="n"/>
      <c r="S154" s="156" t="inlineStr">
        <is>
          <t>100% Papel de Arroz</t>
        </is>
      </c>
      <c r="T154" s="156" t="inlineStr">
        <is>
          <t>Sombrero Denver marfil justin toro especial. Sombrero de la marca Denver. Estilo SBTEJTD-7.</t>
        </is>
      </c>
      <c r="U154" s="156" t="inlineStr">
        <is>
          <t>México</t>
        </is>
      </c>
      <c r="V154" s="156" t="inlineStr">
        <is>
          <t>PZS</t>
        </is>
      </c>
      <c r="W154" s="51" t="inlineStr">
        <is>
          <t>53102503</t>
        </is>
      </c>
      <c r="X154" s="156" t="n"/>
      <c r="Y154" s="54" t="n">
        <v>1249</v>
      </c>
      <c r="Z154" s="54" t="n">
        <v>2154.310345</v>
      </c>
      <c r="AA154" s="55">
        <f>IF(AND(A154="", B154="", E154=""), "", IF(AB154="", "Válido", IF((LEN(AB154)-LEN(SUBSTITUTE(AB154,"; ","")))/2+1&gt;(LEN(AB154)-LEN(SUBSTITUTE(AB154,"[Aviso]","")))/7, "Con Incidencias", "Válido")))</f>
        <v/>
      </c>
      <c r="AB154" s="56">
        <f>IF(AND(A154="", B154="", E154=""), "", TEXTJOIN("; ", TRUE, IF(OR(TRIM(A154&amp;"")="", ISNUMBER(SEARCH("FALTA", A154))), "UPC faltante/inválido", ""), IF(AND(A154&lt;&gt;"", IFERROR(_xlfn.XMATCH(A154,$A$2:$A$204,0,1)&lt;&gt;_xlfn.XMATCH(A154,$A$2:$A$204,0,-1),FALSE)), "Código de barras duplicado", ""), IF(AND(E154&lt;&gt;"", COUNTIF($E$2:$E$204, E154)&gt;1), "SKU duplicado", ""), IF(OR(J154="", J154=""), "[Aviso] División no capturada ()", IF(ISNA(MATCH(J154, Criterios!$A$123:$A$126, 0)), "División no válida", "")), IF(OR(K154="", K154=""), "[Aviso] Categoría no capturada ()", IF(ISNA(MATCH(K154, Criterios!$A$81:$A$120, 0)), "Categoría no válida", IF(AND(J154&lt;&gt;"", J154&lt;&gt;"", J154&lt;&gt;VLOOKUP(K154, Criterios!$A$81:$B$120, 2, FALSE)), "División no coincide con Categoría", ""))), IF(OR(L154="", L154=""), "[Aviso] Género no capturado ()", IF(ISNA(MATCH(L154, Criterios!$B$123:$B$127, 0)), "Género no válido", "")), IF(OR(N154="", N154=""), "[Aviso] Temporada no capturada ()", IF(ISNA(MATCH(N154, Criterios!$C$123:$C$128, 0)), "Temporada no válida", "")), IF(OR(O154="", O154=""), "[Aviso] Ciclo de vida no capturado ()", IF(ISNA(MATCH(O154, Criterios!$D$123:$D$124, 0)), "Ciclo de vida no válido", ""))))</f>
        <v/>
      </c>
      <c r="AC154" s="56" t="n"/>
      <c r="AD154" s="51" t="n">
        <v>1</v>
      </c>
      <c r="AE154" s="156" t="inlineStr">
        <is>
          <t>WB OUTLET LERMA: 1</t>
        </is>
      </c>
      <c r="AF154" s="51" t="n">
        <v>1</v>
      </c>
      <c r="AG154" s="156" t="inlineStr">
        <is>
          <t>Nuevo – NetSuite con existencia</t>
        </is>
      </c>
      <c r="AH154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54" s="156" t="inlineStr">
        <is>
          <t>No</t>
        </is>
      </c>
      <c r="AJ154" s="156" t="n"/>
      <c r="AK154" s="155" t="inlineStr">
        <is>
          <t>ProductosCatalogoEstandar907.xlsx: fila 5256 [N,O,S,U,Y]; G1522_Extraccion_Articulos_NetSuite_2026-09-30.xlsx: fila 56782 [P,V,Y,S] | Shopify WB: producto 8569962397881 / variante 47621327323321</t>
        </is>
      </c>
      <c r="AL154" s="58" t="n">
        <v>1249</v>
      </c>
      <c r="AM154" s="58" t="n">
        <v>2499.0000002</v>
      </c>
      <c r="AN154" s="155" t="inlineStr">
        <is>
          <t>Shopify Western Brothers</t>
        </is>
      </c>
      <c r="AO154" s="59" t="n"/>
      <c r="AP154" s="59" t="n">
        <v>1</v>
      </c>
      <c r="AQ154" s="59" t="n"/>
      <c r="AR154" s="155" t="inlineStr">
        <is>
          <t>Shopify Western Brothers › Western Brothers Outlet Lerma: 1</t>
        </is>
      </c>
    </row>
    <row r="155">
      <c r="A155" s="50" t="inlineStr">
        <is>
          <t>7506499570906</t>
        </is>
      </c>
      <c r="B155" s="51" t="inlineStr">
        <is>
          <t>108700</t>
        </is>
      </c>
      <c r="C155" s="156" t="inlineStr">
        <is>
          <t>Multimarca</t>
        </is>
      </c>
      <c r="D155" s="156" t="inlineStr">
        <is>
          <t>SBTEJTD-7</t>
        </is>
      </c>
      <c r="E155" s="156" t="inlineStr">
        <is>
          <t>SBTEJTD-7-67/8</t>
        </is>
      </c>
      <c r="F155" s="156" t="inlineStr">
        <is>
          <t>6 7/8</t>
        </is>
      </c>
      <c r="G155" s="156" t="inlineStr">
        <is>
          <t>6 7/8</t>
        </is>
      </c>
      <c r="H155" s="156" t="inlineStr">
        <is>
          <t>Denver</t>
        </is>
      </c>
      <c r="I155" s="156" t="inlineStr">
        <is>
          <t>Sombrero Denver marfil justin toro especial</t>
        </is>
      </c>
      <c r="J155" s="156" t="inlineStr">
        <is>
          <t>Accesorios</t>
        </is>
      </c>
      <c r="K155" s="156" t="inlineStr">
        <is>
          <t>Sombreros</t>
        </is>
      </c>
      <c r="L155" s="156" t="inlineStr">
        <is>
          <t>Unisex</t>
        </is>
      </c>
      <c r="M155" s="156" t="inlineStr">
        <is>
          <t>Denver</t>
        </is>
      </c>
      <c r="N155" s="156" t="inlineStr">
        <is>
          <t>SS26</t>
        </is>
      </c>
      <c r="O155" s="156" t="inlineStr">
        <is>
          <t>Core</t>
        </is>
      </c>
      <c r="P155" s="156" t="inlineStr">
        <is>
          <t>Beige</t>
        </is>
      </c>
      <c r="Q155" s="156" t="n"/>
      <c r="R155" s="156" t="n"/>
      <c r="S155" s="156" t="inlineStr">
        <is>
          <t>100% Papel de Arroz</t>
        </is>
      </c>
      <c r="T155" s="156" t="inlineStr">
        <is>
          <t>Sombrero Denver marfil justin toro especial. Sombrero de la marca Denver. Estilo SBTEJTD-7.</t>
        </is>
      </c>
      <c r="U155" s="156" t="inlineStr">
        <is>
          <t>México</t>
        </is>
      </c>
      <c r="V155" s="156" t="inlineStr">
        <is>
          <t>PZS</t>
        </is>
      </c>
      <c r="W155" s="51" t="inlineStr">
        <is>
          <t>53102503</t>
        </is>
      </c>
      <c r="X155" s="156" t="n"/>
      <c r="Y155" s="54" t="n">
        <v>1249</v>
      </c>
      <c r="Z155" s="54" t="n">
        <v>2154.310345</v>
      </c>
      <c r="AA155" s="55">
        <f>IF(AND(A155="", B155="", E155=""), "", IF(AB155="", "Válido", IF((LEN(AB155)-LEN(SUBSTITUTE(AB155,"; ","")))/2+1&gt;(LEN(AB155)-LEN(SUBSTITUTE(AB155,"[Aviso]","")))/7, "Con Incidencias", "Válido")))</f>
        <v/>
      </c>
      <c r="AB155" s="56">
        <f>IF(AND(A155="", B155="", E155=""), "", TEXTJOIN("; ", TRUE, IF(OR(TRIM(A155&amp;"")="", ISNUMBER(SEARCH("FALTA", A155))), "UPC faltante/inválido", ""), IF(AND(A155&lt;&gt;"", IFERROR(_xlfn.XMATCH(A155,$A$2:$A$204,0,1)&lt;&gt;_xlfn.XMATCH(A155,$A$2:$A$204,0,-1),FALSE)), "Código de barras duplicado", ""), IF(AND(E155&lt;&gt;"", COUNTIF($E$2:$E$204, E155)&gt;1), "SKU duplicado", ""), IF(OR(J155="", J155=""), "[Aviso] División no capturada ()", IF(ISNA(MATCH(J155, Criterios!$A$123:$A$126, 0)), "División no válida", "")), IF(OR(K155="", K155=""), "[Aviso] Categoría no capturada ()", IF(ISNA(MATCH(K155, Criterios!$A$81:$A$120, 0)), "Categoría no válida", IF(AND(J155&lt;&gt;"", J155&lt;&gt;"", J155&lt;&gt;VLOOKUP(K155, Criterios!$A$81:$B$120, 2, FALSE)), "División no coincide con Categoría", ""))), IF(OR(L155="", L155=""), "[Aviso] Género no capturado ()", IF(ISNA(MATCH(L155, Criterios!$B$123:$B$127, 0)), "Género no válido", "")), IF(OR(N155="", N155=""), "[Aviso] Temporada no capturada ()", IF(ISNA(MATCH(N155, Criterios!$C$123:$C$128, 0)), "Temporada no válida", "")), IF(OR(O155="", O155=""), "[Aviso] Ciclo de vida no capturado ()", IF(ISNA(MATCH(O155, Criterios!$D$123:$D$124, 0)), "Ciclo de vida no válido", ""))))</f>
        <v/>
      </c>
      <c r="AC155" s="56" t="n"/>
      <c r="AD155" s="51" t="n">
        <v>3</v>
      </c>
      <c r="AE155" s="156" t="inlineStr">
        <is>
          <t>WB OUTLET LERMA: 3</t>
        </is>
      </c>
      <c r="AF155" s="51" t="n">
        <v>3</v>
      </c>
      <c r="AG155" s="156" t="inlineStr">
        <is>
          <t>Nuevo – NetSuite con existencia</t>
        </is>
      </c>
      <c r="AH155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55" s="156" t="inlineStr">
        <is>
          <t>No</t>
        </is>
      </c>
      <c r="AJ155" s="156" t="n"/>
      <c r="AK155" s="155" t="inlineStr">
        <is>
          <t>ProductosCatalogoEstandar907.xlsx: fila 5257 [N,O,S,U,Y]; G1522_Extraccion_Articulos_NetSuite_2026-09-30.xlsx: fila 56783 [P,V,Y,S] | Shopify WB: producto 8569962397881 / variante 47621327356089</t>
        </is>
      </c>
      <c r="AL155" s="58" t="n">
        <v>1249</v>
      </c>
      <c r="AM155" s="58" t="n">
        <v>2499.0000002</v>
      </c>
      <c r="AN155" s="155" t="inlineStr">
        <is>
          <t>Shopify Western Brothers</t>
        </is>
      </c>
      <c r="AO155" s="59" t="n"/>
      <c r="AP155" s="59" t="n">
        <v>3</v>
      </c>
      <c r="AQ155" s="59" t="n"/>
      <c r="AR155" s="155" t="inlineStr">
        <is>
          <t>Shopify Western Brothers › Western Brothers Outlet Lerma: 3</t>
        </is>
      </c>
    </row>
    <row r="156">
      <c r="A156" s="50" t="inlineStr">
        <is>
          <t>7506499570907</t>
        </is>
      </c>
      <c r="B156" s="51" t="inlineStr">
        <is>
          <t>108701</t>
        </is>
      </c>
      <c r="C156" s="156" t="inlineStr">
        <is>
          <t>Multimarca</t>
        </is>
      </c>
      <c r="D156" s="156" t="inlineStr">
        <is>
          <t>SBTEJTD-7</t>
        </is>
      </c>
      <c r="E156" s="156" t="inlineStr">
        <is>
          <t>SBTEJTD-7-7</t>
        </is>
      </c>
      <c r="F156" s="156" t="inlineStr">
        <is>
          <t>7</t>
        </is>
      </c>
      <c r="G156" s="156" t="inlineStr">
        <is>
          <t>7</t>
        </is>
      </c>
      <c r="H156" s="156" t="inlineStr">
        <is>
          <t>Denver</t>
        </is>
      </c>
      <c r="I156" s="156" t="inlineStr">
        <is>
          <t>Sombrero Denver marfil justin toro especial</t>
        </is>
      </c>
      <c r="J156" s="156" t="inlineStr">
        <is>
          <t>Accesorios</t>
        </is>
      </c>
      <c r="K156" s="156" t="inlineStr">
        <is>
          <t>Sombreros</t>
        </is>
      </c>
      <c r="L156" s="156" t="inlineStr">
        <is>
          <t>Unisex</t>
        </is>
      </c>
      <c r="M156" s="156" t="inlineStr">
        <is>
          <t>Denver</t>
        </is>
      </c>
      <c r="N156" s="156" t="inlineStr">
        <is>
          <t>SS26</t>
        </is>
      </c>
      <c r="O156" s="156" t="inlineStr">
        <is>
          <t>Core</t>
        </is>
      </c>
      <c r="P156" s="156" t="inlineStr">
        <is>
          <t>Beige</t>
        </is>
      </c>
      <c r="Q156" s="156" t="n"/>
      <c r="R156" s="156" t="n"/>
      <c r="S156" s="156" t="inlineStr">
        <is>
          <t>100% Papel de Arroz</t>
        </is>
      </c>
      <c r="T156" s="156" t="inlineStr">
        <is>
          <t>Sombrero Denver marfil justin toro especial. Sombrero de la marca Denver. Estilo SBTEJTD-7.</t>
        </is>
      </c>
      <c r="U156" s="156" t="inlineStr">
        <is>
          <t>México</t>
        </is>
      </c>
      <c r="V156" s="156" t="inlineStr">
        <is>
          <t>PZS</t>
        </is>
      </c>
      <c r="W156" s="51" t="inlineStr">
        <is>
          <t>53102503</t>
        </is>
      </c>
      <c r="X156" s="156" t="n"/>
      <c r="Y156" s="54" t="n">
        <v>1249</v>
      </c>
      <c r="Z156" s="54" t="n">
        <v>2154.310345</v>
      </c>
      <c r="AA156" s="55">
        <f>IF(AND(A156="", B156="", E156=""), "", IF(AB156="", "Válido", IF((LEN(AB156)-LEN(SUBSTITUTE(AB156,"; ","")))/2+1&gt;(LEN(AB156)-LEN(SUBSTITUTE(AB156,"[Aviso]","")))/7, "Con Incidencias", "Válido")))</f>
        <v/>
      </c>
      <c r="AB156" s="56">
        <f>IF(AND(A156="", B156="", E156=""), "", TEXTJOIN("; ", TRUE, IF(OR(TRIM(A156&amp;"")="", ISNUMBER(SEARCH("FALTA", A156))), "UPC faltante/inválido", ""), IF(AND(A156&lt;&gt;"", IFERROR(_xlfn.XMATCH(A156,$A$2:$A$204,0,1)&lt;&gt;_xlfn.XMATCH(A156,$A$2:$A$204,0,-1),FALSE)), "Código de barras duplicado", ""), IF(AND(E156&lt;&gt;"", COUNTIF($E$2:$E$204, E156)&gt;1), "SKU duplicado", ""), IF(OR(J156="", J156=""), "[Aviso] División no capturada ()", IF(ISNA(MATCH(J156, Criterios!$A$123:$A$126, 0)), "División no válida", "")), IF(OR(K156="", K156=""), "[Aviso] Categoría no capturada ()", IF(ISNA(MATCH(K156, Criterios!$A$81:$A$120, 0)), "Categoría no válida", IF(AND(J156&lt;&gt;"", J156&lt;&gt;"", J156&lt;&gt;VLOOKUP(K156, Criterios!$A$81:$B$120, 2, FALSE)), "División no coincide con Categoría", ""))), IF(OR(L156="", L156=""), "[Aviso] Género no capturado ()", IF(ISNA(MATCH(L156, Criterios!$B$123:$B$127, 0)), "Género no válido", "")), IF(OR(N156="", N156=""), "[Aviso] Temporada no capturada ()", IF(ISNA(MATCH(N156, Criterios!$C$123:$C$128, 0)), "Temporada no válida", "")), IF(OR(O156="", O156=""), "[Aviso] Ciclo de vida no capturado ()", IF(ISNA(MATCH(O156, Criterios!$D$123:$D$124, 0)), "Ciclo de vida no válido", ""))))</f>
        <v/>
      </c>
      <c r="AC156" s="56" t="n"/>
      <c r="AD156" s="51" t="n">
        <v>3</v>
      </c>
      <c r="AE156" s="156" t="inlineStr">
        <is>
          <t>WB OUTLET LERMA: 3</t>
        </is>
      </c>
      <c r="AF156" s="51" t="n">
        <v>3</v>
      </c>
      <c r="AG156" s="156" t="inlineStr">
        <is>
          <t>Nuevo – NetSuite con existencia</t>
        </is>
      </c>
      <c r="AH156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56" s="156" t="inlineStr">
        <is>
          <t>No</t>
        </is>
      </c>
      <c r="AJ156" s="156" t="n"/>
      <c r="AK156" s="155" t="inlineStr">
        <is>
          <t>ProductosCatalogoEstandar907.xlsx: fila 5258 [N,O,S,U,Y]; G1522_Extraccion_Articulos_NetSuite_2026-09-30.xlsx: fila 56784 [P,V,Y,S] | Shopify WB: producto 8569962397881 / variante 47621327388857</t>
        </is>
      </c>
      <c r="AL156" s="58" t="n">
        <v>1249</v>
      </c>
      <c r="AM156" s="58" t="n">
        <v>2499.0000002</v>
      </c>
      <c r="AN156" s="155" t="inlineStr">
        <is>
          <t>Shopify Western Brothers</t>
        </is>
      </c>
      <c r="AO156" s="59" t="n"/>
      <c r="AP156" s="59" t="n">
        <v>3</v>
      </c>
      <c r="AQ156" s="59" t="n"/>
      <c r="AR156" s="155" t="inlineStr">
        <is>
          <t>Shopify Western Brothers › Western Brothers Outlet Lerma: 3</t>
        </is>
      </c>
    </row>
    <row r="157">
      <c r="A157" s="50" t="inlineStr">
        <is>
          <t>7506499570908</t>
        </is>
      </c>
      <c r="B157" s="51" t="inlineStr">
        <is>
          <t>108702</t>
        </is>
      </c>
      <c r="C157" s="156" t="inlineStr">
        <is>
          <t>Multimarca</t>
        </is>
      </c>
      <c r="D157" s="156" t="inlineStr">
        <is>
          <t>SBTEJTD-7</t>
        </is>
      </c>
      <c r="E157" s="156" t="inlineStr">
        <is>
          <t>SBTEJTD-7-71/8</t>
        </is>
      </c>
      <c r="F157" s="156" t="inlineStr">
        <is>
          <t>7 1/8</t>
        </is>
      </c>
      <c r="G157" s="156" t="inlineStr">
        <is>
          <t>7 1/8</t>
        </is>
      </c>
      <c r="H157" s="156" t="inlineStr">
        <is>
          <t>Denver</t>
        </is>
      </c>
      <c r="I157" s="156" t="inlineStr">
        <is>
          <t>Sombrero Denver marfil justin toro especial</t>
        </is>
      </c>
      <c r="J157" s="156" t="inlineStr">
        <is>
          <t>Accesorios</t>
        </is>
      </c>
      <c r="K157" s="156" t="inlineStr">
        <is>
          <t>Sombreros</t>
        </is>
      </c>
      <c r="L157" s="156" t="inlineStr">
        <is>
          <t>Unisex</t>
        </is>
      </c>
      <c r="M157" s="156" t="inlineStr">
        <is>
          <t>Denver</t>
        </is>
      </c>
      <c r="N157" s="156" t="inlineStr">
        <is>
          <t>SS26</t>
        </is>
      </c>
      <c r="O157" s="156" t="inlineStr">
        <is>
          <t>Core</t>
        </is>
      </c>
      <c r="P157" s="156" t="inlineStr">
        <is>
          <t>Beige</t>
        </is>
      </c>
      <c r="Q157" s="156" t="n"/>
      <c r="R157" s="156" t="n"/>
      <c r="S157" s="156" t="inlineStr">
        <is>
          <t>100% Papel de Arroz</t>
        </is>
      </c>
      <c r="T157" s="156" t="inlineStr">
        <is>
          <t>Sombrero Denver marfil justin toro especial. Sombrero de la marca Denver. Estilo SBTEJTD-7.</t>
        </is>
      </c>
      <c r="U157" s="156" t="inlineStr">
        <is>
          <t>México</t>
        </is>
      </c>
      <c r="V157" s="156" t="inlineStr">
        <is>
          <t>PZS</t>
        </is>
      </c>
      <c r="W157" s="51" t="inlineStr">
        <is>
          <t>53102503</t>
        </is>
      </c>
      <c r="X157" s="156" t="n"/>
      <c r="Y157" s="54" t="n">
        <v>1249</v>
      </c>
      <c r="Z157" s="54" t="n">
        <v>2154.310345</v>
      </c>
      <c r="AA157" s="55">
        <f>IF(AND(A157="", B157="", E157=""), "", IF(AB157="", "Válido", IF((LEN(AB157)-LEN(SUBSTITUTE(AB157,"; ","")))/2+1&gt;(LEN(AB157)-LEN(SUBSTITUTE(AB157,"[Aviso]","")))/7, "Con Incidencias", "Válido")))</f>
        <v/>
      </c>
      <c r="AB157" s="56">
        <f>IF(AND(A157="", B157="", E157=""), "", TEXTJOIN("; ", TRUE, IF(OR(TRIM(A157&amp;"")="", ISNUMBER(SEARCH("FALTA", A157))), "UPC faltante/inválido", ""), IF(AND(A157&lt;&gt;"", IFERROR(_xlfn.XMATCH(A157,$A$2:$A$204,0,1)&lt;&gt;_xlfn.XMATCH(A157,$A$2:$A$204,0,-1),FALSE)), "Código de barras duplicado", ""), IF(AND(E157&lt;&gt;"", COUNTIF($E$2:$E$204, E157)&gt;1), "SKU duplicado", ""), IF(OR(J157="", J157=""), "[Aviso] División no capturada ()", IF(ISNA(MATCH(J157, Criterios!$A$123:$A$126, 0)), "División no válida", "")), IF(OR(K157="", K157=""), "[Aviso] Categoría no capturada ()", IF(ISNA(MATCH(K157, Criterios!$A$81:$A$120, 0)), "Categoría no válida", IF(AND(J157&lt;&gt;"", J157&lt;&gt;"", J157&lt;&gt;VLOOKUP(K157, Criterios!$A$81:$B$120, 2, FALSE)), "División no coincide con Categoría", ""))), IF(OR(L157="", L157=""), "[Aviso] Género no capturado ()", IF(ISNA(MATCH(L157, Criterios!$B$123:$B$127, 0)), "Género no válido", "")), IF(OR(N157="", N157=""), "[Aviso] Temporada no capturada ()", IF(ISNA(MATCH(N157, Criterios!$C$123:$C$128, 0)), "Temporada no válida", "")), IF(OR(O157="", O157=""), "[Aviso] Ciclo de vida no capturado ()", IF(ISNA(MATCH(O157, Criterios!$D$123:$D$124, 0)), "Ciclo de vida no válido", ""))))</f>
        <v/>
      </c>
      <c r="AC157" s="56" t="n"/>
      <c r="AD157" s="51" t="n">
        <v>0</v>
      </c>
      <c r="AE157" s="156" t="n"/>
      <c r="AF157" s="51" t="n">
        <v>0</v>
      </c>
      <c r="AG157" s="156" t="inlineStr">
        <is>
          <t>Nuevo – NetSuite sin existencia</t>
        </is>
      </c>
      <c r="AH157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57" s="156" t="inlineStr">
        <is>
          <t>No</t>
        </is>
      </c>
      <c r="AJ157" s="156" t="n"/>
      <c r="AK157" s="155" t="inlineStr">
        <is>
          <t>ProductosCatalogoEstandar907.xlsx: fila 5259 [N,O,S,U,Y]; G1522_Extraccion_Articulos_NetSuite_2026-09-30.xlsx: fila 56785 [P,V,Y,S] | Shopify WB: producto 8569962397881 / variante 47621327421625</t>
        </is>
      </c>
      <c r="AL157" s="58" t="n">
        <v>1249</v>
      </c>
      <c r="AM157" s="58" t="n">
        <v>2499.0000002</v>
      </c>
      <c r="AN157" s="155" t="inlineStr">
        <is>
          <t>Shopify Western Brothers</t>
        </is>
      </c>
      <c r="AO157" s="59" t="n"/>
      <c r="AP157" s="59" t="n">
        <v>0</v>
      </c>
      <c r="AQ157" s="59" t="n"/>
      <c r="AR157" s="155" t="n"/>
    </row>
    <row r="158">
      <c r="A158" s="50" t="inlineStr">
        <is>
          <t>7506499570909</t>
        </is>
      </c>
      <c r="B158" s="51" t="inlineStr">
        <is>
          <t>108703</t>
        </is>
      </c>
      <c r="C158" s="156" t="inlineStr">
        <is>
          <t>Multimarca</t>
        </is>
      </c>
      <c r="D158" s="156" t="inlineStr">
        <is>
          <t>SBTEJTD-7</t>
        </is>
      </c>
      <c r="E158" s="156" t="inlineStr">
        <is>
          <t>SBTEJTD-7-71/4</t>
        </is>
      </c>
      <c r="F158" s="156" t="inlineStr">
        <is>
          <t>7 1/4</t>
        </is>
      </c>
      <c r="G158" s="156" t="inlineStr">
        <is>
          <t>7 1/4</t>
        </is>
      </c>
      <c r="H158" s="156" t="inlineStr">
        <is>
          <t>Denver</t>
        </is>
      </c>
      <c r="I158" s="156" t="inlineStr">
        <is>
          <t>Sombrero Denver marfil justin toro especial</t>
        </is>
      </c>
      <c r="J158" s="156" t="inlineStr">
        <is>
          <t>Accesorios</t>
        </is>
      </c>
      <c r="K158" s="156" t="inlineStr">
        <is>
          <t>Sombreros</t>
        </is>
      </c>
      <c r="L158" s="156" t="inlineStr">
        <is>
          <t>Unisex</t>
        </is>
      </c>
      <c r="M158" s="156" t="inlineStr">
        <is>
          <t>Denver</t>
        </is>
      </c>
      <c r="N158" s="156" t="inlineStr">
        <is>
          <t>SS26</t>
        </is>
      </c>
      <c r="O158" s="156" t="inlineStr">
        <is>
          <t>Core</t>
        </is>
      </c>
      <c r="P158" s="156" t="inlineStr">
        <is>
          <t>Beige</t>
        </is>
      </c>
      <c r="Q158" s="156" t="n"/>
      <c r="R158" s="156" t="n"/>
      <c r="S158" s="156" t="inlineStr">
        <is>
          <t>100% Papel de Arroz</t>
        </is>
      </c>
      <c r="T158" s="156" t="inlineStr">
        <is>
          <t>Sombrero Denver marfil justin toro especial. Sombrero de la marca Denver. Estilo SBTEJTD-7.</t>
        </is>
      </c>
      <c r="U158" s="156" t="inlineStr">
        <is>
          <t>México</t>
        </is>
      </c>
      <c r="V158" s="156" t="inlineStr">
        <is>
          <t>PZS</t>
        </is>
      </c>
      <c r="W158" s="51" t="inlineStr">
        <is>
          <t>53102503</t>
        </is>
      </c>
      <c r="X158" s="156" t="n"/>
      <c r="Y158" s="54" t="n">
        <v>1249</v>
      </c>
      <c r="Z158" s="54" t="n">
        <v>2154.310345</v>
      </c>
      <c r="AA158" s="55">
        <f>IF(AND(A158="", B158="", E158=""), "", IF(AB158="", "Válido", IF((LEN(AB158)-LEN(SUBSTITUTE(AB158,"; ","")))/2+1&gt;(LEN(AB158)-LEN(SUBSTITUTE(AB158,"[Aviso]","")))/7, "Con Incidencias", "Válido")))</f>
        <v/>
      </c>
      <c r="AB158" s="56">
        <f>IF(AND(A158="", B158="", E158=""), "", TEXTJOIN("; ", TRUE, IF(OR(TRIM(A158&amp;"")="", ISNUMBER(SEARCH("FALTA", A158))), "UPC faltante/inválido", ""), IF(AND(A158&lt;&gt;"", IFERROR(_xlfn.XMATCH(A158,$A$2:$A$204,0,1)&lt;&gt;_xlfn.XMATCH(A158,$A$2:$A$204,0,-1),FALSE)), "Código de barras duplicado", ""), IF(AND(E158&lt;&gt;"", COUNTIF($E$2:$E$204, E158)&gt;1), "SKU duplicado", ""), IF(OR(J158="", J158=""), "[Aviso] División no capturada ()", IF(ISNA(MATCH(J158, Criterios!$A$123:$A$126, 0)), "División no válida", "")), IF(OR(K158="", K158=""), "[Aviso] Categoría no capturada ()", IF(ISNA(MATCH(K158, Criterios!$A$81:$A$120, 0)), "Categoría no válida", IF(AND(J158&lt;&gt;"", J158&lt;&gt;"", J158&lt;&gt;VLOOKUP(K158, Criterios!$A$81:$B$120, 2, FALSE)), "División no coincide con Categoría", ""))), IF(OR(L158="", L158=""), "[Aviso] Género no capturado ()", IF(ISNA(MATCH(L158, Criterios!$B$123:$B$127, 0)), "Género no válido", "")), IF(OR(N158="", N158=""), "[Aviso] Temporada no capturada ()", IF(ISNA(MATCH(N158, Criterios!$C$123:$C$128, 0)), "Temporada no válida", "")), IF(OR(O158="", O158=""), "[Aviso] Ciclo de vida no capturado ()", IF(ISNA(MATCH(O158, Criterios!$D$123:$D$124, 0)), "Ciclo de vida no válido", ""))))</f>
        <v/>
      </c>
      <c r="AC158" s="56" t="n"/>
      <c r="AD158" s="51" t="n">
        <v>1</v>
      </c>
      <c r="AE158" s="156" t="inlineStr">
        <is>
          <t>WB OUTLET LERMA: 1</t>
        </is>
      </c>
      <c r="AF158" s="51" t="n">
        <v>1</v>
      </c>
      <c r="AG158" s="156" t="inlineStr">
        <is>
          <t>Nuevo – NetSuite con existencia</t>
        </is>
      </c>
      <c r="AH158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</t>
        </is>
      </c>
      <c r="AI158" s="156" t="inlineStr">
        <is>
          <t>No</t>
        </is>
      </c>
      <c r="AJ158" s="156" t="n"/>
      <c r="AK158" s="155" t="inlineStr">
        <is>
          <t>ProductosCatalogoEstandar907.xlsx: fila 5260 [N,O,S,U,Y]; G1522_Extraccion_Articulos_NetSuite_2026-09-30.xlsx: fila 56786 [P,V,Y,S] | Shopify WB: producto 8569962397881 / variante 47621327454393</t>
        </is>
      </c>
      <c r="AL158" s="58" t="n">
        <v>1249</v>
      </c>
      <c r="AM158" s="58" t="n">
        <v>2499.0000002</v>
      </c>
      <c r="AN158" s="155" t="inlineStr">
        <is>
          <t>Shopify Western Brothers</t>
        </is>
      </c>
      <c r="AO158" s="59" t="n"/>
      <c r="AP158" s="59" t="n">
        <v>1</v>
      </c>
      <c r="AQ158" s="59" t="n"/>
      <c r="AR158" s="155" t="inlineStr">
        <is>
          <t>Shopify Western Brothers › Western Brothers Outlet Lerma: 1</t>
        </is>
      </c>
    </row>
    <row r="159">
      <c r="A159" s="50" t="inlineStr">
        <is>
          <t>7506499570910</t>
        </is>
      </c>
      <c r="B159" s="51" t="inlineStr">
        <is>
          <t>108704</t>
        </is>
      </c>
      <c r="C159" s="156" t="inlineStr">
        <is>
          <t>Multimarca</t>
        </is>
      </c>
      <c r="D159" s="156" t="inlineStr">
        <is>
          <t>SBTEJTD-7</t>
        </is>
      </c>
      <c r="E159" s="156" t="inlineStr">
        <is>
          <t>SBTEJTD-7-73/8</t>
        </is>
      </c>
      <c r="F159" s="156" t="inlineStr">
        <is>
          <t>7 3/8</t>
        </is>
      </c>
      <c r="G159" s="156" t="inlineStr">
        <is>
          <t>7 3/8</t>
        </is>
      </c>
      <c r="H159" s="156" t="inlineStr">
        <is>
          <t>Denver</t>
        </is>
      </c>
      <c r="I159" s="156" t="inlineStr">
        <is>
          <t>Sombrero Denver marfil justin toro especial</t>
        </is>
      </c>
      <c r="J159" s="156" t="inlineStr">
        <is>
          <t>Accesorios</t>
        </is>
      </c>
      <c r="K159" s="156" t="inlineStr">
        <is>
          <t>Sombreros</t>
        </is>
      </c>
      <c r="L159" s="156" t="inlineStr">
        <is>
          <t>Unisex</t>
        </is>
      </c>
      <c r="M159" s="156" t="inlineStr">
        <is>
          <t>Denver</t>
        </is>
      </c>
      <c r="N159" s="156" t="inlineStr">
        <is>
          <t>SS26</t>
        </is>
      </c>
      <c r="O159" s="156" t="inlineStr">
        <is>
          <t>Core</t>
        </is>
      </c>
      <c r="P159" s="156" t="inlineStr">
        <is>
          <t>Beige</t>
        </is>
      </c>
      <c r="Q159" s="156" t="n"/>
      <c r="R159" s="156" t="n"/>
      <c r="S159" s="156" t="inlineStr">
        <is>
          <t>100% Papel de Arroz</t>
        </is>
      </c>
      <c r="T159" s="156" t="inlineStr">
        <is>
          <t>Sombrero Denver marfil justin toro especial. Sombrero de la marca Denver. Estilo SBTEJTD-7.</t>
        </is>
      </c>
      <c r="U159" s="156" t="inlineStr">
        <is>
          <t>México</t>
        </is>
      </c>
      <c r="V159" s="156" t="inlineStr">
        <is>
          <t>PZS</t>
        </is>
      </c>
      <c r="W159" s="51" t="inlineStr">
        <is>
          <t>53102503</t>
        </is>
      </c>
      <c r="X159" s="156" t="n"/>
      <c r="Y159" s="54" t="n">
        <v>1249</v>
      </c>
      <c r="Z159" s="54" t="n">
        <v>2154.310345</v>
      </c>
      <c r="AA159" s="55">
        <f>IF(AND(A159="", B159="", E159=""), "", IF(AB159="", "Válido", IF((LEN(AB159)-LEN(SUBSTITUTE(AB159,"; ","")))/2+1&gt;(LEN(AB159)-LEN(SUBSTITUTE(AB159,"[Aviso]","")))/7, "Con Incidencias", "Válido")))</f>
        <v/>
      </c>
      <c r="AB159" s="56">
        <f>IF(AND(A159="", B159="", E159=""), "", TEXTJOIN("; ", TRUE, IF(OR(TRIM(A159&amp;"")="", ISNUMBER(SEARCH("FALTA", A159))), "UPC faltante/inválido", ""), IF(AND(A159&lt;&gt;"", IFERROR(_xlfn.XMATCH(A159,$A$2:$A$204,0,1)&lt;&gt;_xlfn.XMATCH(A159,$A$2:$A$204,0,-1),FALSE)), "Código de barras duplicado", ""), IF(AND(E159&lt;&gt;"", COUNTIF($E$2:$E$204, E159)&gt;1), "SKU duplicado", ""), IF(OR(J159="", J159=""), "[Aviso] División no capturada ()", IF(ISNA(MATCH(J159, Criterios!$A$123:$A$126, 0)), "División no válida", "")), IF(OR(K159="", K159=""), "[Aviso] Categoría no capturada ()", IF(ISNA(MATCH(K159, Criterios!$A$81:$A$120, 0)), "Categoría no válida", IF(AND(J159&lt;&gt;"", J159&lt;&gt;"", J159&lt;&gt;VLOOKUP(K159, Criterios!$A$81:$B$120, 2, FALSE)), "División no coincide con Categoría", ""))), IF(OR(L159="", L159=""), "[Aviso] Género no capturado ()", IF(ISNA(MATCH(L159, Criterios!$B$123:$B$127, 0)), "Género no válido", "")), IF(OR(N159="", N159=""), "[Aviso] Temporada no capturada ()", IF(ISNA(MATCH(N159, Criterios!$C$123:$C$128, 0)), "Temporada no válida", "")), IF(OR(O159="", O159=""), "[Aviso] Ciclo de vida no capturado ()", IF(ISNA(MATCH(O159, Criterios!$D$123:$D$124, 0)), "Ciclo de vida no válido", ""))))</f>
        <v/>
      </c>
      <c r="AC159" s="56" t="n"/>
      <c r="AD159" s="51" t="n">
        <v>1</v>
      </c>
      <c r="AE159" s="156" t="inlineStr">
        <is>
          <t>WB OUTLET LERMA: 1</t>
        </is>
      </c>
      <c r="AF159" s="51" t="n">
        <v>1</v>
      </c>
      <c r="AG159" s="156" t="inlineStr">
        <is>
          <t>Nuevo – NetSuite con existencia</t>
        </is>
      </c>
      <c r="AH159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59" s="156" t="inlineStr">
        <is>
          <t>No</t>
        </is>
      </c>
      <c r="AJ159" s="156" t="n"/>
      <c r="AK159" s="155" t="inlineStr">
        <is>
          <t>ProductosCatalogoEstandar907.xlsx: fila 5261 [N,O,S,U,Y]; G1522_Extraccion_Articulos_NetSuite_2026-09-30.xlsx: fila 56787 [P,V,Y,S] | Shopify WB: producto 8569962397881 / variante 47621327487161</t>
        </is>
      </c>
      <c r="AL159" s="58" t="n">
        <v>1249</v>
      </c>
      <c r="AM159" s="58" t="n">
        <v>2499.0000002</v>
      </c>
      <c r="AN159" s="155" t="inlineStr">
        <is>
          <t>Shopify Western Brothers</t>
        </is>
      </c>
      <c r="AO159" s="59" t="n"/>
      <c r="AP159" s="59" t="n">
        <v>1</v>
      </c>
      <c r="AQ159" s="59" t="n"/>
      <c r="AR159" s="155" t="inlineStr">
        <is>
          <t>Shopify Western Brothers › Western Brothers Outlet Lerma: 1</t>
        </is>
      </c>
    </row>
    <row r="160">
      <c r="A160" s="50" t="inlineStr">
        <is>
          <t>7506499551809</t>
        </is>
      </c>
      <c r="B160" s="51" t="inlineStr">
        <is>
          <t>108468</t>
        </is>
      </c>
      <c r="C160" s="156" t="inlineStr">
        <is>
          <t>Multimarca</t>
        </is>
      </c>
      <c r="D160" s="156" t="inlineStr">
        <is>
          <t>TSCP-002</t>
        </is>
      </c>
      <c r="E160" s="156" t="inlineStr">
        <is>
          <t>TSCP-002-S</t>
        </is>
      </c>
      <c r="F160" s="156" t="inlineStr">
        <is>
          <t>S</t>
        </is>
      </c>
      <c r="G160" s="156" t="inlineStr">
        <is>
          <t>S</t>
        </is>
      </c>
      <c r="H160" s="156" t="inlineStr">
        <is>
          <t>Denver</t>
        </is>
      </c>
      <c r="I160" s="156" t="inlineStr">
        <is>
          <t>Playera Denver Hombre Gris</t>
        </is>
      </c>
      <c r="J160" s="156" t="inlineStr">
        <is>
          <t>Ropa</t>
        </is>
      </c>
      <c r="K160" s="156" t="inlineStr">
        <is>
          <t>Playeras</t>
        </is>
      </c>
      <c r="L160" s="156" t="inlineStr">
        <is>
          <t>Hombre</t>
        </is>
      </c>
      <c r="M160" s="156" t="inlineStr">
        <is>
          <t>Denver</t>
        </is>
      </c>
      <c r="N160" s="156" t="inlineStr">
        <is>
          <t>SS26</t>
        </is>
      </c>
      <c r="O160" s="156" t="inlineStr">
        <is>
          <t>Seasonal</t>
        </is>
      </c>
      <c r="P160" s="156" t="inlineStr">
        <is>
          <t>Gris</t>
        </is>
      </c>
      <c r="Q160" s="156" t="inlineStr">
        <is>
          <t>Regular</t>
        </is>
      </c>
      <c r="R160" s="156" t="n"/>
      <c r="S160" s="156" t="inlineStr">
        <is>
          <t>100% Poliéster</t>
        </is>
      </c>
      <c r="T160" s="156" t="inlineStr">
        <is>
          <t>Playera Denver Hombre Gris Regular</t>
        </is>
      </c>
      <c r="U160" s="156" t="inlineStr">
        <is>
          <t>México</t>
        </is>
      </c>
      <c r="V160" s="156" t="inlineStr">
        <is>
          <t>PZS</t>
        </is>
      </c>
      <c r="W160" s="51" t="inlineStr">
        <is>
          <t>53101602</t>
        </is>
      </c>
      <c r="X160" s="156" t="n"/>
      <c r="Y160" s="54" t="n">
        <v>359</v>
      </c>
      <c r="Z160" s="54" t="n">
        <v>775</v>
      </c>
      <c r="AA160" s="55">
        <f>IF(AND(A160="", B160="", E160=""), "", IF(AB160="", "Válido", IF((LEN(AB160)-LEN(SUBSTITUTE(AB160,"; ","")))/2+1&gt;(LEN(AB160)-LEN(SUBSTITUTE(AB160,"[Aviso]","")))/7, "Con Incidencias", "Válido")))</f>
        <v/>
      </c>
      <c r="AB160" s="56">
        <f>IF(AND(A160="", B160="", E160=""), "", TEXTJOIN("; ", TRUE, IF(OR(TRIM(A160&amp;"")="", ISNUMBER(SEARCH("FALTA", A160))), "UPC faltante/inválido", ""), IF(AND(A160&lt;&gt;"", IFERROR(_xlfn.XMATCH(A160,$A$2:$A$204,0,1)&lt;&gt;_xlfn.XMATCH(A160,$A$2:$A$204,0,-1),FALSE)), "Código de barras duplicado", ""), IF(AND(E160&lt;&gt;"", COUNTIF($E$2:$E$204, E160)&gt;1), "SKU duplicado", ""), IF(OR(J160="", J160=""), "[Aviso] División no capturada ()", IF(ISNA(MATCH(J160, Criterios!$A$123:$A$126, 0)), "División no válida", "")), IF(OR(K160="", K160=""), "[Aviso] Categoría no capturada ()", IF(ISNA(MATCH(K160, Criterios!$A$81:$A$120, 0)), "Categoría no válida", IF(AND(J160&lt;&gt;"", J160&lt;&gt;"", J160&lt;&gt;VLOOKUP(K160, Criterios!$A$81:$B$120, 2, FALSE)), "División no coincide con Categoría", ""))), IF(OR(L160="", L160=""), "[Aviso] Género no capturado ()", IF(ISNA(MATCH(L160, Criterios!$B$123:$B$127, 0)), "Género no válido", "")), IF(OR(N160="", N160=""), "[Aviso] Temporada no capturada ()", IF(ISNA(MATCH(N160, Criterios!$C$123:$C$128, 0)), "Temporada no válida", "")), IF(OR(O160="", O160=""), "[Aviso] Ciclo de vida no capturado ()", IF(ISNA(MATCH(O160, Criterios!$D$123:$D$124, 0)), "Ciclo de vida no válido", ""))))</f>
        <v/>
      </c>
      <c r="AC160" s="56" t="n"/>
      <c r="AD160" s="51" t="n">
        <v>3</v>
      </c>
      <c r="AE160" s="156" t="inlineStr">
        <is>
          <t>WB OUTLET LERMA: 3</t>
        </is>
      </c>
      <c r="AF160" s="51" t="n">
        <v>3</v>
      </c>
      <c r="AG160" s="156" t="inlineStr">
        <is>
          <t>Nuevo – NetSuite con existencia</t>
        </is>
      </c>
      <c r="AH160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60" s="156" t="inlineStr">
        <is>
          <t>No</t>
        </is>
      </c>
      <c r="AJ160" s="156" t="n"/>
      <c r="AK160" s="155" t="inlineStr">
        <is>
          <t>ProductosCatalogoEstandar907.xlsx: fila 5986 [N,O,Q,S,U,Y]; G1522_Extraccion_Articulos_NetSuite_2026-09-30.xlsx: fila 56627 [P,V,Y,T] | Shopify WB: producto 8569962496185 / variante 47621327585465</t>
        </is>
      </c>
      <c r="AL160" s="58" t="n">
        <v>359</v>
      </c>
      <c r="AM160" s="58" t="n">
        <v>899</v>
      </c>
      <c r="AN160" s="155" t="inlineStr">
        <is>
          <t>Shopify Western Brothers</t>
        </is>
      </c>
      <c r="AO160" s="59" t="n"/>
      <c r="AP160" s="59" t="n">
        <v>3</v>
      </c>
      <c r="AQ160" s="59" t="n"/>
      <c r="AR160" s="155" t="inlineStr">
        <is>
          <t>Shopify Western Brothers › Western Brothers Outlet Lerma: 3</t>
        </is>
      </c>
    </row>
    <row r="161">
      <c r="A161" s="50" t="inlineStr">
        <is>
          <t>7506499551816</t>
        </is>
      </c>
      <c r="B161" s="51" t="inlineStr">
        <is>
          <t>108469</t>
        </is>
      </c>
      <c r="C161" s="156" t="inlineStr">
        <is>
          <t>Multimarca</t>
        </is>
      </c>
      <c r="D161" s="156" t="inlineStr">
        <is>
          <t>TSCP-002</t>
        </is>
      </c>
      <c r="E161" s="156" t="inlineStr">
        <is>
          <t>TSCP-002-M</t>
        </is>
      </c>
      <c r="F161" s="156" t="inlineStr">
        <is>
          <t>M</t>
        </is>
      </c>
      <c r="G161" s="156" t="inlineStr">
        <is>
          <t>M</t>
        </is>
      </c>
      <c r="H161" s="156" t="inlineStr">
        <is>
          <t>Denver</t>
        </is>
      </c>
      <c r="I161" s="156" t="inlineStr">
        <is>
          <t>Playera Denver Hombre Gris</t>
        </is>
      </c>
      <c r="J161" s="156" t="inlineStr">
        <is>
          <t>Ropa</t>
        </is>
      </c>
      <c r="K161" s="156" t="inlineStr">
        <is>
          <t>Playeras</t>
        </is>
      </c>
      <c r="L161" s="156" t="inlineStr">
        <is>
          <t>Hombre</t>
        </is>
      </c>
      <c r="M161" s="156" t="inlineStr">
        <is>
          <t>Denver</t>
        </is>
      </c>
      <c r="N161" s="156" t="inlineStr">
        <is>
          <t>SS26</t>
        </is>
      </c>
      <c r="O161" s="156" t="inlineStr">
        <is>
          <t>Seasonal</t>
        </is>
      </c>
      <c r="P161" s="156" t="inlineStr">
        <is>
          <t>Gris</t>
        </is>
      </c>
      <c r="Q161" s="156" t="inlineStr">
        <is>
          <t>Regular</t>
        </is>
      </c>
      <c r="R161" s="156" t="n"/>
      <c r="S161" s="156" t="inlineStr">
        <is>
          <t>100% Poliéster</t>
        </is>
      </c>
      <c r="T161" s="156" t="inlineStr">
        <is>
          <t>Playera Denver Hombre Gris Regular</t>
        </is>
      </c>
      <c r="U161" s="156" t="inlineStr">
        <is>
          <t>México</t>
        </is>
      </c>
      <c r="V161" s="156" t="inlineStr">
        <is>
          <t>PZS</t>
        </is>
      </c>
      <c r="W161" s="51" t="inlineStr">
        <is>
          <t>53101602</t>
        </is>
      </c>
      <c r="X161" s="156" t="n"/>
      <c r="Y161" s="54" t="n">
        <v>359</v>
      </c>
      <c r="Z161" s="54" t="n">
        <v>775</v>
      </c>
      <c r="AA161" s="55">
        <f>IF(AND(A161="", B161="", E161=""), "", IF(AB161="", "Válido", IF((LEN(AB161)-LEN(SUBSTITUTE(AB161,"; ","")))/2+1&gt;(LEN(AB161)-LEN(SUBSTITUTE(AB161,"[Aviso]","")))/7, "Con Incidencias", "Válido")))</f>
        <v/>
      </c>
      <c r="AB161" s="56">
        <f>IF(AND(A161="", B161="", E161=""), "", TEXTJOIN("; ", TRUE, IF(OR(TRIM(A161&amp;"")="", ISNUMBER(SEARCH("FALTA", A161))), "UPC faltante/inválido", ""), IF(AND(A161&lt;&gt;"", IFERROR(_xlfn.XMATCH(A161,$A$2:$A$204,0,1)&lt;&gt;_xlfn.XMATCH(A161,$A$2:$A$204,0,-1),FALSE)), "Código de barras duplicado", ""), IF(AND(E161&lt;&gt;"", COUNTIF($E$2:$E$204, E161)&gt;1), "SKU duplicado", ""), IF(OR(J161="", J161=""), "[Aviso] División no capturada ()", IF(ISNA(MATCH(J161, Criterios!$A$123:$A$126, 0)), "División no válida", "")), IF(OR(K161="", K161=""), "[Aviso] Categoría no capturada ()", IF(ISNA(MATCH(K161, Criterios!$A$81:$A$120, 0)), "Categoría no válida", IF(AND(J161&lt;&gt;"", J161&lt;&gt;"", J161&lt;&gt;VLOOKUP(K161, Criterios!$A$81:$B$120, 2, FALSE)), "División no coincide con Categoría", ""))), IF(OR(L161="", L161=""), "[Aviso] Género no capturado ()", IF(ISNA(MATCH(L161, Criterios!$B$123:$B$127, 0)), "Género no válido", "")), IF(OR(N161="", N161=""), "[Aviso] Temporada no capturada ()", IF(ISNA(MATCH(N161, Criterios!$C$123:$C$128, 0)), "Temporada no válida", "")), IF(OR(O161="", O161=""), "[Aviso] Ciclo de vida no capturado ()", IF(ISNA(MATCH(O161, Criterios!$D$123:$D$124, 0)), "Ciclo de vida no válido", ""))))</f>
        <v/>
      </c>
      <c r="AC161" s="56" t="n"/>
      <c r="AD161" s="51" t="n">
        <v>3</v>
      </c>
      <c r="AE161" s="156" t="inlineStr">
        <is>
          <t>WB OUTLET LERMA: 3</t>
        </is>
      </c>
      <c r="AF161" s="51" t="n">
        <v>3</v>
      </c>
      <c r="AG161" s="156" t="inlineStr">
        <is>
          <t>Nuevo – NetSuite con existencia</t>
        </is>
      </c>
      <c r="AH161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61" s="156" t="inlineStr">
        <is>
          <t>No</t>
        </is>
      </c>
      <c r="AJ161" s="156" t="n"/>
      <c r="AK161" s="155" t="inlineStr">
        <is>
          <t>ProductosCatalogoEstandar907.xlsx: fila 5987 [N,O,Q,S,U,Y]; G1522_Extraccion_Articulos_NetSuite_2026-09-30.xlsx: fila 56628 [P,V,Y,T] | Shopify WB: producto 8569962496185 / variante 47621327618233</t>
        </is>
      </c>
      <c r="AL161" s="58" t="n">
        <v>359</v>
      </c>
      <c r="AM161" s="58" t="n">
        <v>899</v>
      </c>
      <c r="AN161" s="155" t="inlineStr">
        <is>
          <t>Shopify Western Brothers</t>
        </is>
      </c>
      <c r="AO161" s="59" t="n"/>
      <c r="AP161" s="59" t="n">
        <v>3</v>
      </c>
      <c r="AQ161" s="59" t="n"/>
      <c r="AR161" s="155" t="inlineStr">
        <is>
          <t>Shopify Western Brothers › Western Brothers Outlet Lerma: 3</t>
        </is>
      </c>
    </row>
    <row r="162">
      <c r="A162" s="50" t="inlineStr">
        <is>
          <t>7506499551823</t>
        </is>
      </c>
      <c r="B162" s="51" t="inlineStr">
        <is>
          <t>108470</t>
        </is>
      </c>
      <c r="C162" s="156" t="inlineStr">
        <is>
          <t>Multimarca</t>
        </is>
      </c>
      <c r="D162" s="156" t="inlineStr">
        <is>
          <t>TSCP-002</t>
        </is>
      </c>
      <c r="E162" s="156" t="inlineStr">
        <is>
          <t>TSCP-002-L</t>
        </is>
      </c>
      <c r="F162" s="156" t="inlineStr">
        <is>
          <t>L</t>
        </is>
      </c>
      <c r="G162" s="156" t="inlineStr">
        <is>
          <t>L</t>
        </is>
      </c>
      <c r="H162" s="156" t="inlineStr">
        <is>
          <t>Denver</t>
        </is>
      </c>
      <c r="I162" s="156" t="inlineStr">
        <is>
          <t>Playera Denver Hombre Gris</t>
        </is>
      </c>
      <c r="J162" s="156" t="inlineStr">
        <is>
          <t>Ropa</t>
        </is>
      </c>
      <c r="K162" s="156" t="inlineStr">
        <is>
          <t>Playeras</t>
        </is>
      </c>
      <c r="L162" s="156" t="inlineStr">
        <is>
          <t>Hombre</t>
        </is>
      </c>
      <c r="M162" s="156" t="inlineStr">
        <is>
          <t>Denver</t>
        </is>
      </c>
      <c r="N162" s="156" t="inlineStr">
        <is>
          <t>SS26</t>
        </is>
      </c>
      <c r="O162" s="156" t="inlineStr">
        <is>
          <t>Seasonal</t>
        </is>
      </c>
      <c r="P162" s="156" t="inlineStr">
        <is>
          <t>Gris</t>
        </is>
      </c>
      <c r="Q162" s="156" t="inlineStr">
        <is>
          <t>Regular</t>
        </is>
      </c>
      <c r="R162" s="156" t="n"/>
      <c r="S162" s="156" t="inlineStr">
        <is>
          <t>100% Poliéster</t>
        </is>
      </c>
      <c r="T162" s="156" t="inlineStr">
        <is>
          <t>Playera Denver Hombre Gris Regular</t>
        </is>
      </c>
      <c r="U162" s="156" t="inlineStr">
        <is>
          <t>México</t>
        </is>
      </c>
      <c r="V162" s="156" t="inlineStr">
        <is>
          <t>PZS</t>
        </is>
      </c>
      <c r="W162" s="51" t="inlineStr">
        <is>
          <t>53101602</t>
        </is>
      </c>
      <c r="X162" s="156" t="n"/>
      <c r="Y162" s="54" t="n">
        <v>359</v>
      </c>
      <c r="Z162" s="54" t="n">
        <v>775</v>
      </c>
      <c r="AA162" s="55">
        <f>IF(AND(A162="", B162="", E162=""), "", IF(AB162="", "Válido", IF((LEN(AB162)-LEN(SUBSTITUTE(AB162,"; ","")))/2+1&gt;(LEN(AB162)-LEN(SUBSTITUTE(AB162,"[Aviso]","")))/7, "Con Incidencias", "Válido")))</f>
        <v/>
      </c>
      <c r="AB162" s="56">
        <f>IF(AND(A162="", B162="", E162=""), "", TEXTJOIN("; ", TRUE, IF(OR(TRIM(A162&amp;"")="", ISNUMBER(SEARCH("FALTA", A162))), "UPC faltante/inválido", ""), IF(AND(A162&lt;&gt;"", IFERROR(_xlfn.XMATCH(A162,$A$2:$A$204,0,1)&lt;&gt;_xlfn.XMATCH(A162,$A$2:$A$204,0,-1),FALSE)), "Código de barras duplicado", ""), IF(AND(E162&lt;&gt;"", COUNTIF($E$2:$E$204, E162)&gt;1), "SKU duplicado", ""), IF(OR(J162="", J162=""), "[Aviso] División no capturada ()", IF(ISNA(MATCH(J162, Criterios!$A$123:$A$126, 0)), "División no válida", "")), IF(OR(K162="", K162=""), "[Aviso] Categoría no capturada ()", IF(ISNA(MATCH(K162, Criterios!$A$81:$A$120, 0)), "Categoría no válida", IF(AND(J162&lt;&gt;"", J162&lt;&gt;"", J162&lt;&gt;VLOOKUP(K162, Criterios!$A$81:$B$120, 2, FALSE)), "División no coincide con Categoría", ""))), IF(OR(L162="", L162=""), "[Aviso] Género no capturado ()", IF(ISNA(MATCH(L162, Criterios!$B$123:$B$127, 0)), "Género no válido", "")), IF(OR(N162="", N162=""), "[Aviso] Temporada no capturada ()", IF(ISNA(MATCH(N162, Criterios!$C$123:$C$128, 0)), "Temporada no válida", "")), IF(OR(O162="", O162=""), "[Aviso] Ciclo de vida no capturado ()", IF(ISNA(MATCH(O162, Criterios!$D$123:$D$124, 0)), "Ciclo de vida no válido", ""))))</f>
        <v/>
      </c>
      <c r="AC162" s="56" t="n"/>
      <c r="AD162" s="51" t="n">
        <v>0</v>
      </c>
      <c r="AE162" s="156" t="n"/>
      <c r="AF162" s="51" t="n">
        <v>0</v>
      </c>
      <c r="AG162" s="156" t="inlineStr">
        <is>
          <t>Nuevo – NetSuite sin existencia</t>
        </is>
      </c>
      <c r="AH162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62" s="156" t="inlineStr">
        <is>
          <t>No</t>
        </is>
      </c>
      <c r="AJ162" s="156" t="n"/>
      <c r="AK162" s="155" t="inlineStr">
        <is>
          <t>ProductosCatalogoEstandar907.xlsx: fila 5988 [N,O,Q,S,U,Y]; G1522_Extraccion_Articulos_NetSuite_2026-09-30.xlsx: fila 56629 [P,V,Y,T] | Shopify WB: producto 8569962496185 / variante 47621327651001</t>
        </is>
      </c>
      <c r="AL162" s="58" t="n">
        <v>359</v>
      </c>
      <c r="AM162" s="58" t="n">
        <v>899</v>
      </c>
      <c r="AN162" s="155" t="inlineStr">
        <is>
          <t>Shopify Western Brothers</t>
        </is>
      </c>
      <c r="AO162" s="59" t="n"/>
      <c r="AP162" s="59" t="n">
        <v>0</v>
      </c>
      <c r="AQ162" s="59" t="n"/>
      <c r="AR162" s="155" t="n"/>
    </row>
    <row r="163">
      <c r="A163" s="50" t="inlineStr">
        <is>
          <t>7506499551830</t>
        </is>
      </c>
      <c r="B163" s="51" t="inlineStr">
        <is>
          <t>108471</t>
        </is>
      </c>
      <c r="C163" s="156" t="inlineStr">
        <is>
          <t>Multimarca</t>
        </is>
      </c>
      <c r="D163" s="156" t="inlineStr">
        <is>
          <t>TSCP-002</t>
        </is>
      </c>
      <c r="E163" s="156" t="inlineStr">
        <is>
          <t>TSCP-002-XL</t>
        </is>
      </c>
      <c r="F163" s="156" t="inlineStr">
        <is>
          <t>XL</t>
        </is>
      </c>
      <c r="G163" s="156" t="inlineStr">
        <is>
          <t>XL</t>
        </is>
      </c>
      <c r="H163" s="156" t="inlineStr">
        <is>
          <t>Denver</t>
        </is>
      </c>
      <c r="I163" s="156" t="inlineStr">
        <is>
          <t>Playera Denver Hombre Gris</t>
        </is>
      </c>
      <c r="J163" s="156" t="inlineStr">
        <is>
          <t>Ropa</t>
        </is>
      </c>
      <c r="K163" s="156" t="inlineStr">
        <is>
          <t>Playeras</t>
        </is>
      </c>
      <c r="L163" s="156" t="inlineStr">
        <is>
          <t>Hombre</t>
        </is>
      </c>
      <c r="M163" s="156" t="inlineStr">
        <is>
          <t>Denver</t>
        </is>
      </c>
      <c r="N163" s="156" t="inlineStr">
        <is>
          <t>SS26</t>
        </is>
      </c>
      <c r="O163" s="156" t="inlineStr">
        <is>
          <t>Seasonal</t>
        </is>
      </c>
      <c r="P163" s="156" t="inlineStr">
        <is>
          <t>Gris</t>
        </is>
      </c>
      <c r="Q163" s="156" t="inlineStr">
        <is>
          <t>Regular</t>
        </is>
      </c>
      <c r="R163" s="156" t="n"/>
      <c r="S163" s="156" t="inlineStr">
        <is>
          <t>100% Poliéster</t>
        </is>
      </c>
      <c r="T163" s="156" t="inlineStr">
        <is>
          <t>Playera Denver Hombre Gris Regular</t>
        </is>
      </c>
      <c r="U163" s="156" t="inlineStr">
        <is>
          <t>México</t>
        </is>
      </c>
      <c r="V163" s="156" t="inlineStr">
        <is>
          <t>PZS</t>
        </is>
      </c>
      <c r="W163" s="51" t="inlineStr">
        <is>
          <t>53101602</t>
        </is>
      </c>
      <c r="X163" s="156" t="n"/>
      <c r="Y163" s="54" t="n">
        <v>359</v>
      </c>
      <c r="Z163" s="54" t="n">
        <v>775</v>
      </c>
      <c r="AA163" s="55">
        <f>IF(AND(A163="", B163="", E163=""), "", IF(AB163="", "Válido", IF((LEN(AB163)-LEN(SUBSTITUTE(AB163,"; ","")))/2+1&gt;(LEN(AB163)-LEN(SUBSTITUTE(AB163,"[Aviso]","")))/7, "Con Incidencias", "Válido")))</f>
        <v/>
      </c>
      <c r="AB163" s="56">
        <f>IF(AND(A163="", B163="", E163=""), "", TEXTJOIN("; ", TRUE, IF(OR(TRIM(A163&amp;"")="", ISNUMBER(SEARCH("FALTA", A163))), "UPC faltante/inválido", ""), IF(AND(A163&lt;&gt;"", IFERROR(_xlfn.XMATCH(A163,$A$2:$A$204,0,1)&lt;&gt;_xlfn.XMATCH(A163,$A$2:$A$204,0,-1),FALSE)), "Código de barras duplicado", ""), IF(AND(E163&lt;&gt;"", COUNTIF($E$2:$E$204, E163)&gt;1), "SKU duplicado", ""), IF(OR(J163="", J163=""), "[Aviso] División no capturada ()", IF(ISNA(MATCH(J163, Criterios!$A$123:$A$126, 0)), "División no válida", "")), IF(OR(K163="", K163=""), "[Aviso] Categoría no capturada ()", IF(ISNA(MATCH(K163, Criterios!$A$81:$A$120, 0)), "Categoría no válida", IF(AND(J163&lt;&gt;"", J163&lt;&gt;"", J163&lt;&gt;VLOOKUP(K163, Criterios!$A$81:$B$120, 2, FALSE)), "División no coincide con Categoría", ""))), IF(OR(L163="", L163=""), "[Aviso] Género no capturado ()", IF(ISNA(MATCH(L163, Criterios!$B$123:$B$127, 0)), "Género no válido", "")), IF(OR(N163="", N163=""), "[Aviso] Temporada no capturada ()", IF(ISNA(MATCH(N163, Criterios!$C$123:$C$128, 0)), "Temporada no válida", "")), IF(OR(O163="", O163=""), "[Aviso] Ciclo de vida no capturado ()", IF(ISNA(MATCH(O163, Criterios!$D$123:$D$124, 0)), "Ciclo de vida no válido", ""))))</f>
        <v/>
      </c>
      <c r="AC163" s="56" t="n"/>
      <c r="AD163" s="51" t="n">
        <v>1</v>
      </c>
      <c r="AE163" s="156" t="inlineStr">
        <is>
          <t>WB OUTLET LERMA: 1</t>
        </is>
      </c>
      <c r="AF163" s="51" t="n">
        <v>1</v>
      </c>
      <c r="AG163" s="156" t="inlineStr">
        <is>
          <t>Nuevo – NetSuite con existencia</t>
        </is>
      </c>
      <c r="AH163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63" s="156" t="inlineStr">
        <is>
          <t>No</t>
        </is>
      </c>
      <c r="AJ163" s="156" t="n"/>
      <c r="AK163" s="155" t="inlineStr">
        <is>
          <t>ProductosCatalogoEstandar907.xlsx: fila 5989 [N,O,Q,S,U,Y]; G1522_Extraccion_Articulos_NetSuite_2026-09-30.xlsx: fila 56630 [P,V,Y,T] | Shopify WB: producto 8569962496185 / variante 47621327683769</t>
        </is>
      </c>
      <c r="AL163" s="58" t="n">
        <v>359</v>
      </c>
      <c r="AM163" s="58" t="n">
        <v>899</v>
      </c>
      <c r="AN163" s="155" t="inlineStr">
        <is>
          <t>Shopify Western Brothers</t>
        </is>
      </c>
      <c r="AO163" s="59" t="n"/>
      <c r="AP163" s="59" t="n">
        <v>1</v>
      </c>
      <c r="AQ163" s="59" t="n"/>
      <c r="AR163" s="155" t="inlineStr">
        <is>
          <t>Shopify Western Brothers › Western Brothers Outlet Lerma: 1</t>
        </is>
      </c>
    </row>
    <row r="164">
      <c r="A164" s="50" t="inlineStr">
        <is>
          <t>7506499552004</t>
        </is>
      </c>
      <c r="B164" s="51" t="inlineStr">
        <is>
          <t>108472</t>
        </is>
      </c>
      <c r="C164" s="156" t="inlineStr">
        <is>
          <t>Multimarca</t>
        </is>
      </c>
      <c r="D164" s="156" t="inlineStr">
        <is>
          <t>TSCP-006</t>
        </is>
      </c>
      <c r="E164" s="156" t="inlineStr">
        <is>
          <t>TSCP-006-S</t>
        </is>
      </c>
      <c r="F164" s="156" t="inlineStr">
        <is>
          <t>S</t>
        </is>
      </c>
      <c r="G164" s="156" t="inlineStr">
        <is>
          <t>S</t>
        </is>
      </c>
      <c r="H164" s="156" t="inlineStr">
        <is>
          <t>Denver</t>
        </is>
      </c>
      <c r="I164" s="156" t="inlineStr">
        <is>
          <t>Playera Denver Hombre Beige</t>
        </is>
      </c>
      <c r="J164" s="156" t="inlineStr">
        <is>
          <t>Ropa</t>
        </is>
      </c>
      <c r="K164" s="156" t="inlineStr">
        <is>
          <t>Playeras</t>
        </is>
      </c>
      <c r="L164" s="156" t="inlineStr">
        <is>
          <t>Hombre</t>
        </is>
      </c>
      <c r="M164" s="156" t="inlineStr">
        <is>
          <t>Denver</t>
        </is>
      </c>
      <c r="N164" s="156" t="inlineStr">
        <is>
          <t>SS26</t>
        </is>
      </c>
      <c r="O164" s="156" t="inlineStr">
        <is>
          <t>Seasonal</t>
        </is>
      </c>
      <c r="P164" s="156" t="inlineStr">
        <is>
          <t>Beige</t>
        </is>
      </c>
      <c r="Q164" s="156" t="inlineStr">
        <is>
          <t>Regular</t>
        </is>
      </c>
      <c r="R164" s="156" t="n"/>
      <c r="S164" s="156" t="inlineStr">
        <is>
          <t>100% Poliéster</t>
        </is>
      </c>
      <c r="T164" s="156" t="inlineStr">
        <is>
          <t>Playera Denver Hombre Beige Regular</t>
        </is>
      </c>
      <c r="U164" s="156" t="inlineStr">
        <is>
          <t>México</t>
        </is>
      </c>
      <c r="V164" s="156" t="inlineStr">
        <is>
          <t>PZS</t>
        </is>
      </c>
      <c r="W164" s="51" t="inlineStr">
        <is>
          <t>53101602</t>
        </is>
      </c>
      <c r="X164" s="156" t="n"/>
      <c r="Y164" s="54" t="n">
        <v>359</v>
      </c>
      <c r="Z164" s="54" t="n">
        <v>775</v>
      </c>
      <c r="AA164" s="55">
        <f>IF(AND(A164="", B164="", E164=""), "", IF(AB164="", "Válido", IF((LEN(AB164)-LEN(SUBSTITUTE(AB164,"; ","")))/2+1&gt;(LEN(AB164)-LEN(SUBSTITUTE(AB164,"[Aviso]","")))/7, "Con Incidencias", "Válido")))</f>
        <v/>
      </c>
      <c r="AB164" s="56">
        <f>IF(AND(A164="", B164="", E164=""), "", TEXTJOIN("; ", TRUE, IF(OR(TRIM(A164&amp;"")="", ISNUMBER(SEARCH("FALTA", A164))), "UPC faltante/inválido", ""), IF(AND(A164&lt;&gt;"", IFERROR(_xlfn.XMATCH(A164,$A$2:$A$204,0,1)&lt;&gt;_xlfn.XMATCH(A164,$A$2:$A$204,0,-1),FALSE)), "Código de barras duplicado", ""), IF(AND(E164&lt;&gt;"", COUNTIF($E$2:$E$204, E164)&gt;1), "SKU duplicado", ""), IF(OR(J164="", J164=""), "[Aviso] División no capturada ()", IF(ISNA(MATCH(J164, Criterios!$A$123:$A$126, 0)), "División no válida", "")), IF(OR(K164="", K164=""), "[Aviso] Categoría no capturada ()", IF(ISNA(MATCH(K164, Criterios!$A$81:$A$120, 0)), "Categoría no válida", IF(AND(J164&lt;&gt;"", J164&lt;&gt;"", J164&lt;&gt;VLOOKUP(K164, Criterios!$A$81:$B$120, 2, FALSE)), "División no coincide con Categoría", ""))), IF(OR(L164="", L164=""), "[Aviso] Género no capturado ()", IF(ISNA(MATCH(L164, Criterios!$B$123:$B$127, 0)), "Género no válido", "")), IF(OR(N164="", N164=""), "[Aviso] Temporada no capturada ()", IF(ISNA(MATCH(N164, Criterios!$C$123:$C$128, 0)), "Temporada no válida", "")), IF(OR(O164="", O164=""), "[Aviso] Ciclo de vida no capturado ()", IF(ISNA(MATCH(O164, Criterios!$D$123:$D$124, 0)), "Ciclo de vida no válido", ""))))</f>
        <v/>
      </c>
      <c r="AC164" s="56" t="n"/>
      <c r="AD164" s="51" t="n">
        <v>4</v>
      </c>
      <c r="AE164" s="156" t="inlineStr">
        <is>
          <t>WB OUTLET LERMA: 4</t>
        </is>
      </c>
      <c r="AF164" s="51" t="n">
        <v>4</v>
      </c>
      <c r="AG164" s="156" t="inlineStr">
        <is>
          <t>Nuevo – NetSuite con existencia</t>
        </is>
      </c>
      <c r="AH164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64" s="156" t="inlineStr">
        <is>
          <t>No</t>
        </is>
      </c>
      <c r="AJ164" s="156" t="n"/>
      <c r="AK164" s="155" t="inlineStr">
        <is>
          <t>ProductosCatalogoEstandar907.xlsx: fila 5990 [N,O,Q,S,U,Y]; G1522_Extraccion_Articulos_NetSuite_2026-09-30.xlsx: fila 56631 [P,V,Y,T] | Shopify WB: producto 8569962660025 / variante 47621327847609</t>
        </is>
      </c>
      <c r="AL164" s="58" t="n">
        <v>359</v>
      </c>
      <c r="AM164" s="58" t="n">
        <v>899</v>
      </c>
      <c r="AN164" s="155" t="inlineStr">
        <is>
          <t>Shopify Western Brothers</t>
        </is>
      </c>
      <c r="AO164" s="59" t="n"/>
      <c r="AP164" s="59" t="n">
        <v>4</v>
      </c>
      <c r="AQ164" s="59" t="n"/>
      <c r="AR164" s="155" t="inlineStr">
        <is>
          <t>Shopify Western Brothers › Western Brothers Outlet Lerma: 4</t>
        </is>
      </c>
    </row>
    <row r="165">
      <c r="A165" s="50" t="inlineStr">
        <is>
          <t>7506499552011</t>
        </is>
      </c>
      <c r="B165" s="51" t="inlineStr">
        <is>
          <t>108473</t>
        </is>
      </c>
      <c r="C165" s="156" t="inlineStr">
        <is>
          <t>Multimarca</t>
        </is>
      </c>
      <c r="D165" s="156" t="inlineStr">
        <is>
          <t>TSCP-006</t>
        </is>
      </c>
      <c r="E165" s="156" t="inlineStr">
        <is>
          <t>TSCP-006-M</t>
        </is>
      </c>
      <c r="F165" s="156" t="inlineStr">
        <is>
          <t>M</t>
        </is>
      </c>
      <c r="G165" s="156" t="inlineStr">
        <is>
          <t>M</t>
        </is>
      </c>
      <c r="H165" s="156" t="inlineStr">
        <is>
          <t>Denver</t>
        </is>
      </c>
      <c r="I165" s="156" t="inlineStr">
        <is>
          <t>Playera Denver Hombre Beige</t>
        </is>
      </c>
      <c r="J165" s="156" t="inlineStr">
        <is>
          <t>Ropa</t>
        </is>
      </c>
      <c r="K165" s="156" t="inlineStr">
        <is>
          <t>Playeras</t>
        </is>
      </c>
      <c r="L165" s="156" t="inlineStr">
        <is>
          <t>Hombre</t>
        </is>
      </c>
      <c r="M165" s="156" t="inlineStr">
        <is>
          <t>Denver</t>
        </is>
      </c>
      <c r="N165" s="156" t="inlineStr">
        <is>
          <t>SS26</t>
        </is>
      </c>
      <c r="O165" s="156" t="inlineStr">
        <is>
          <t>Seasonal</t>
        </is>
      </c>
      <c r="P165" s="156" t="inlineStr">
        <is>
          <t>Beige</t>
        </is>
      </c>
      <c r="Q165" s="156" t="inlineStr">
        <is>
          <t>Regular</t>
        </is>
      </c>
      <c r="R165" s="156" t="n"/>
      <c r="S165" s="156" t="inlineStr">
        <is>
          <t>100% Poliéster</t>
        </is>
      </c>
      <c r="T165" s="156" t="inlineStr">
        <is>
          <t>Playera Denver Hombre Beige Regular</t>
        </is>
      </c>
      <c r="U165" s="156" t="inlineStr">
        <is>
          <t>México</t>
        </is>
      </c>
      <c r="V165" s="156" t="inlineStr">
        <is>
          <t>PZS</t>
        </is>
      </c>
      <c r="W165" s="51" t="inlineStr">
        <is>
          <t>53101602</t>
        </is>
      </c>
      <c r="X165" s="156" t="n"/>
      <c r="Y165" s="54" t="n">
        <v>359</v>
      </c>
      <c r="Z165" s="54" t="n">
        <v>775</v>
      </c>
      <c r="AA165" s="55">
        <f>IF(AND(A165="", B165="", E165=""), "", IF(AB165="", "Válido", IF((LEN(AB165)-LEN(SUBSTITUTE(AB165,"; ","")))/2+1&gt;(LEN(AB165)-LEN(SUBSTITUTE(AB165,"[Aviso]","")))/7, "Con Incidencias", "Válido")))</f>
        <v/>
      </c>
      <c r="AB165" s="56">
        <f>IF(AND(A165="", B165="", E165=""), "", TEXTJOIN("; ", TRUE, IF(OR(TRIM(A165&amp;"")="", ISNUMBER(SEARCH("FALTA", A165))), "UPC faltante/inválido", ""), IF(AND(A165&lt;&gt;"", IFERROR(_xlfn.XMATCH(A165,$A$2:$A$204,0,1)&lt;&gt;_xlfn.XMATCH(A165,$A$2:$A$204,0,-1),FALSE)), "Código de barras duplicado", ""), IF(AND(E165&lt;&gt;"", COUNTIF($E$2:$E$204, E165)&gt;1), "SKU duplicado", ""), IF(OR(J165="", J165=""), "[Aviso] División no capturada ()", IF(ISNA(MATCH(J165, Criterios!$A$123:$A$126, 0)), "División no válida", "")), IF(OR(K165="", K165=""), "[Aviso] Categoría no capturada ()", IF(ISNA(MATCH(K165, Criterios!$A$81:$A$120, 0)), "Categoría no válida", IF(AND(J165&lt;&gt;"", J165&lt;&gt;"", J165&lt;&gt;VLOOKUP(K165, Criterios!$A$81:$B$120, 2, FALSE)), "División no coincide con Categoría", ""))), IF(OR(L165="", L165=""), "[Aviso] Género no capturado ()", IF(ISNA(MATCH(L165, Criterios!$B$123:$B$127, 0)), "Género no válido", "")), IF(OR(N165="", N165=""), "[Aviso] Temporada no capturada ()", IF(ISNA(MATCH(N165, Criterios!$C$123:$C$128, 0)), "Temporada no válida", "")), IF(OR(O165="", O165=""), "[Aviso] Ciclo de vida no capturado ()", IF(ISNA(MATCH(O165, Criterios!$D$123:$D$124, 0)), "Ciclo de vida no válido", ""))))</f>
        <v/>
      </c>
      <c r="AC165" s="56" t="n"/>
      <c r="AD165" s="51" t="n">
        <v>2</v>
      </c>
      <c r="AE165" s="156" t="inlineStr">
        <is>
          <t>WB OUTLET LERMA: 2</t>
        </is>
      </c>
      <c r="AF165" s="51" t="n">
        <v>2</v>
      </c>
      <c r="AG165" s="156" t="inlineStr">
        <is>
          <t>Nuevo – NetSuite con existencia</t>
        </is>
      </c>
      <c r="AH165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65" s="156" t="inlineStr">
        <is>
          <t>No</t>
        </is>
      </c>
      <c r="AJ165" s="156" t="n"/>
      <c r="AK165" s="155" t="inlineStr">
        <is>
          <t>ProductosCatalogoEstandar907.xlsx: fila 5991 [N,O,Q,S,U,Y]; G1522_Extraccion_Articulos_NetSuite_2026-09-30.xlsx: fila 56632 [P,V,Y,T] | Shopify WB: producto 8569962660025 / variante 47621327880377</t>
        </is>
      </c>
      <c r="AL165" s="58" t="n">
        <v>359</v>
      </c>
      <c r="AM165" s="58" t="n">
        <v>899</v>
      </c>
      <c r="AN165" s="155" t="inlineStr">
        <is>
          <t>Shopify Western Brothers</t>
        </is>
      </c>
      <c r="AO165" s="59" t="n"/>
      <c r="AP165" s="59" t="n">
        <v>2</v>
      </c>
      <c r="AQ165" s="59" t="n"/>
      <c r="AR165" s="155" t="inlineStr">
        <is>
          <t>Shopify Western Brothers › Western Brothers Outlet Lerma: 2</t>
        </is>
      </c>
    </row>
    <row r="166">
      <c r="A166" s="50" t="inlineStr">
        <is>
          <t>7506499552028</t>
        </is>
      </c>
      <c r="B166" s="51" t="inlineStr">
        <is>
          <t>108474</t>
        </is>
      </c>
      <c r="C166" s="156" t="inlineStr">
        <is>
          <t>Multimarca</t>
        </is>
      </c>
      <c r="D166" s="156" t="inlineStr">
        <is>
          <t>TSCP-006</t>
        </is>
      </c>
      <c r="E166" s="156" t="inlineStr">
        <is>
          <t>TSCP-006-L</t>
        </is>
      </c>
      <c r="F166" s="156" t="inlineStr">
        <is>
          <t>L</t>
        </is>
      </c>
      <c r="G166" s="156" t="inlineStr">
        <is>
          <t>L</t>
        </is>
      </c>
      <c r="H166" s="156" t="inlineStr">
        <is>
          <t>Denver</t>
        </is>
      </c>
      <c r="I166" s="156" t="inlineStr">
        <is>
          <t>Playera Denver Hombre Beige</t>
        </is>
      </c>
      <c r="J166" s="156" t="inlineStr">
        <is>
          <t>Ropa</t>
        </is>
      </c>
      <c r="K166" s="156" t="inlineStr">
        <is>
          <t>Playeras</t>
        </is>
      </c>
      <c r="L166" s="156" t="inlineStr">
        <is>
          <t>Hombre</t>
        </is>
      </c>
      <c r="M166" s="156" t="inlineStr">
        <is>
          <t>Denver</t>
        </is>
      </c>
      <c r="N166" s="156" t="inlineStr">
        <is>
          <t>SS26</t>
        </is>
      </c>
      <c r="O166" s="156" t="inlineStr">
        <is>
          <t>Seasonal</t>
        </is>
      </c>
      <c r="P166" s="156" t="inlineStr">
        <is>
          <t>Beige</t>
        </is>
      </c>
      <c r="Q166" s="156" t="inlineStr">
        <is>
          <t>Regular</t>
        </is>
      </c>
      <c r="R166" s="156" t="n"/>
      <c r="S166" s="156" t="inlineStr">
        <is>
          <t>100% Poliéster</t>
        </is>
      </c>
      <c r="T166" s="156" t="inlineStr">
        <is>
          <t>Playera Denver Hombre Beige Regular</t>
        </is>
      </c>
      <c r="U166" s="156" t="inlineStr">
        <is>
          <t>México</t>
        </is>
      </c>
      <c r="V166" s="156" t="inlineStr">
        <is>
          <t>PZS</t>
        </is>
      </c>
      <c r="W166" s="51" t="inlineStr">
        <is>
          <t>53101602</t>
        </is>
      </c>
      <c r="X166" s="156" t="n"/>
      <c r="Y166" s="54" t="n">
        <v>359</v>
      </c>
      <c r="Z166" s="54" t="n">
        <v>775</v>
      </c>
      <c r="AA166" s="55">
        <f>IF(AND(A166="", B166="", E166=""), "", IF(AB166="", "Válido", IF((LEN(AB166)-LEN(SUBSTITUTE(AB166,"; ","")))/2+1&gt;(LEN(AB166)-LEN(SUBSTITUTE(AB166,"[Aviso]","")))/7, "Con Incidencias", "Válido")))</f>
        <v/>
      </c>
      <c r="AB166" s="56">
        <f>IF(AND(A166="", B166="", E166=""), "", TEXTJOIN("; ", TRUE, IF(OR(TRIM(A166&amp;"")="", ISNUMBER(SEARCH("FALTA", A166))), "UPC faltante/inválido", ""), IF(AND(A166&lt;&gt;"", IFERROR(_xlfn.XMATCH(A166,$A$2:$A$204,0,1)&lt;&gt;_xlfn.XMATCH(A166,$A$2:$A$204,0,-1),FALSE)), "Código de barras duplicado", ""), IF(AND(E166&lt;&gt;"", COUNTIF($E$2:$E$204, E166)&gt;1), "SKU duplicado", ""), IF(OR(J166="", J166=""), "[Aviso] División no capturada ()", IF(ISNA(MATCH(J166, Criterios!$A$123:$A$126, 0)), "División no válida", "")), IF(OR(K166="", K166=""), "[Aviso] Categoría no capturada ()", IF(ISNA(MATCH(K166, Criterios!$A$81:$A$120, 0)), "Categoría no válida", IF(AND(J166&lt;&gt;"", J166&lt;&gt;"", J166&lt;&gt;VLOOKUP(K166, Criterios!$A$81:$B$120, 2, FALSE)), "División no coincide con Categoría", ""))), IF(OR(L166="", L166=""), "[Aviso] Género no capturado ()", IF(ISNA(MATCH(L166, Criterios!$B$123:$B$127, 0)), "Género no válido", "")), IF(OR(N166="", N166=""), "[Aviso] Temporada no capturada ()", IF(ISNA(MATCH(N166, Criterios!$C$123:$C$128, 0)), "Temporada no válida", "")), IF(OR(O166="", O166=""), "[Aviso] Ciclo de vida no capturado ()", IF(ISNA(MATCH(O166, Criterios!$D$123:$D$124, 0)), "Ciclo de vida no válido", ""))))</f>
        <v/>
      </c>
      <c r="AC166" s="56" t="n"/>
      <c r="AD166" s="51" t="n">
        <v>0</v>
      </c>
      <c r="AE166" s="156" t="n"/>
      <c r="AF166" s="51" t="n">
        <v>0</v>
      </c>
      <c r="AG166" s="156" t="inlineStr">
        <is>
          <t>Nuevo – NetSuite sin existencia</t>
        </is>
      </c>
      <c r="AH166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66" s="156" t="inlineStr">
        <is>
          <t>No</t>
        </is>
      </c>
      <c r="AJ166" s="156" t="n"/>
      <c r="AK166" s="155" t="inlineStr">
        <is>
          <t>ProductosCatalogoEstandar907.xlsx: fila 5992 [N,O,Q,S,U,Y]; G1522_Extraccion_Articulos_NetSuite_2026-09-30.xlsx: fila 56633 [P,V,Y,T] | Shopify WB: producto 8569962660025 / variante 47621327913145</t>
        </is>
      </c>
      <c r="AL166" s="58" t="n">
        <v>359</v>
      </c>
      <c r="AM166" s="58" t="n">
        <v>899</v>
      </c>
      <c r="AN166" s="155" t="inlineStr">
        <is>
          <t>Shopify Western Brothers</t>
        </is>
      </c>
      <c r="AO166" s="59" t="n"/>
      <c r="AP166" s="59" t="n">
        <v>0</v>
      </c>
      <c r="AQ166" s="59" t="n"/>
      <c r="AR166" s="155" t="n"/>
    </row>
    <row r="167">
      <c r="A167" s="50" t="inlineStr">
        <is>
          <t>7506499552035</t>
        </is>
      </c>
      <c r="B167" s="51" t="inlineStr">
        <is>
          <t>108475</t>
        </is>
      </c>
      <c r="C167" s="156" t="inlineStr">
        <is>
          <t>Multimarca</t>
        </is>
      </c>
      <c r="D167" s="156" t="inlineStr">
        <is>
          <t>TSCP-006</t>
        </is>
      </c>
      <c r="E167" s="156" t="inlineStr">
        <is>
          <t>TSCP-006-XL</t>
        </is>
      </c>
      <c r="F167" s="156" t="inlineStr">
        <is>
          <t>XL</t>
        </is>
      </c>
      <c r="G167" s="156" t="inlineStr">
        <is>
          <t>XL</t>
        </is>
      </c>
      <c r="H167" s="156" t="inlineStr">
        <is>
          <t>Denver</t>
        </is>
      </c>
      <c r="I167" s="156" t="inlineStr">
        <is>
          <t>Playera Denver Hombre Beige</t>
        </is>
      </c>
      <c r="J167" s="156" t="inlineStr">
        <is>
          <t>Ropa</t>
        </is>
      </c>
      <c r="K167" s="156" t="inlineStr">
        <is>
          <t>Playeras</t>
        </is>
      </c>
      <c r="L167" s="156" t="inlineStr">
        <is>
          <t>Hombre</t>
        </is>
      </c>
      <c r="M167" s="156" t="inlineStr">
        <is>
          <t>Denver</t>
        </is>
      </c>
      <c r="N167" s="156" t="inlineStr">
        <is>
          <t>SS26</t>
        </is>
      </c>
      <c r="O167" s="156" t="inlineStr">
        <is>
          <t>Seasonal</t>
        </is>
      </c>
      <c r="P167" s="156" t="inlineStr">
        <is>
          <t>Beige</t>
        </is>
      </c>
      <c r="Q167" s="156" t="inlineStr">
        <is>
          <t>Regular</t>
        </is>
      </c>
      <c r="R167" s="156" t="n"/>
      <c r="S167" s="156" t="inlineStr">
        <is>
          <t>100% Poliéster</t>
        </is>
      </c>
      <c r="T167" s="156" t="inlineStr">
        <is>
          <t>Playera Denver Hombre Beige Regular</t>
        </is>
      </c>
      <c r="U167" s="156" t="inlineStr">
        <is>
          <t>México</t>
        </is>
      </c>
      <c r="V167" s="156" t="inlineStr">
        <is>
          <t>PZS</t>
        </is>
      </c>
      <c r="W167" s="51" t="inlineStr">
        <is>
          <t>53101602</t>
        </is>
      </c>
      <c r="X167" s="156" t="n"/>
      <c r="Y167" s="54" t="n">
        <v>359</v>
      </c>
      <c r="Z167" s="54" t="n">
        <v>775</v>
      </c>
      <c r="AA167" s="55">
        <f>IF(AND(A167="", B167="", E167=""), "", IF(AB167="", "Válido", IF((LEN(AB167)-LEN(SUBSTITUTE(AB167,"; ","")))/2+1&gt;(LEN(AB167)-LEN(SUBSTITUTE(AB167,"[Aviso]","")))/7, "Con Incidencias", "Válido")))</f>
        <v/>
      </c>
      <c r="AB167" s="56">
        <f>IF(AND(A167="", B167="", E167=""), "", TEXTJOIN("; ", TRUE, IF(OR(TRIM(A167&amp;"")="", ISNUMBER(SEARCH("FALTA", A167))), "UPC faltante/inválido", ""), IF(AND(A167&lt;&gt;"", IFERROR(_xlfn.XMATCH(A167,$A$2:$A$204,0,1)&lt;&gt;_xlfn.XMATCH(A167,$A$2:$A$204,0,-1),FALSE)), "Código de barras duplicado", ""), IF(AND(E167&lt;&gt;"", COUNTIF($E$2:$E$204, E167)&gt;1), "SKU duplicado", ""), IF(OR(J167="", J167=""), "[Aviso] División no capturada ()", IF(ISNA(MATCH(J167, Criterios!$A$123:$A$126, 0)), "División no válida", "")), IF(OR(K167="", K167=""), "[Aviso] Categoría no capturada ()", IF(ISNA(MATCH(K167, Criterios!$A$81:$A$120, 0)), "Categoría no válida", IF(AND(J167&lt;&gt;"", J167&lt;&gt;"", J167&lt;&gt;VLOOKUP(K167, Criterios!$A$81:$B$120, 2, FALSE)), "División no coincide con Categoría", ""))), IF(OR(L167="", L167=""), "[Aviso] Género no capturado ()", IF(ISNA(MATCH(L167, Criterios!$B$123:$B$127, 0)), "Género no válido", "")), IF(OR(N167="", N167=""), "[Aviso] Temporada no capturada ()", IF(ISNA(MATCH(N167, Criterios!$C$123:$C$128, 0)), "Temporada no válida", "")), IF(OR(O167="", O167=""), "[Aviso] Ciclo de vida no capturado ()", IF(ISNA(MATCH(O167, Criterios!$D$123:$D$124, 0)), "Ciclo de vida no válido", ""))))</f>
        <v/>
      </c>
      <c r="AC167" s="56" t="n"/>
      <c r="AD167" s="51" t="n">
        <v>0</v>
      </c>
      <c r="AE167" s="156" t="n"/>
      <c r="AF167" s="51" t="n">
        <v>0</v>
      </c>
      <c r="AG167" s="156" t="inlineStr">
        <is>
          <t>Nuevo – NetSuite sin existencia</t>
        </is>
      </c>
      <c r="AH167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67" s="156" t="inlineStr">
        <is>
          <t>No</t>
        </is>
      </c>
      <c r="AJ167" s="156" t="n"/>
      <c r="AK167" s="155" t="inlineStr">
        <is>
          <t>ProductosCatalogoEstandar907.xlsx: fila 5993 [N,O,Q,S,U,Y]; G1522_Extraccion_Articulos_NetSuite_2026-09-30.xlsx: fila 56634 [P,V,Y,T] | Shopify WB: producto 8569962660025 / variante 47621327945913</t>
        </is>
      </c>
      <c r="AL167" s="58" t="n">
        <v>359</v>
      </c>
      <c r="AM167" s="58" t="n">
        <v>899</v>
      </c>
      <c r="AN167" s="155" t="inlineStr">
        <is>
          <t>Shopify Western Brothers</t>
        </is>
      </c>
      <c r="AO167" s="59" t="n"/>
      <c r="AP167" s="59" t="n">
        <v>0</v>
      </c>
      <c r="AQ167" s="59" t="n"/>
      <c r="AR167" s="155" t="n"/>
    </row>
    <row r="168">
      <c r="A168" s="50" t="inlineStr">
        <is>
          <t>7506499570918</t>
        </is>
      </c>
      <c r="B168" s="51" t="inlineStr">
        <is>
          <t>108712</t>
        </is>
      </c>
      <c r="C168" s="156" t="inlineStr">
        <is>
          <t>Multimarca</t>
        </is>
      </c>
      <c r="D168" s="156" t="inlineStr">
        <is>
          <t>TXMQCAD-1</t>
        </is>
      </c>
      <c r="E168" s="156" t="inlineStr">
        <is>
          <t>TXMQCAD-1-63/4</t>
        </is>
      </c>
      <c r="F168" s="156" t="inlineStr">
        <is>
          <t>6 3/4</t>
        </is>
      </c>
      <c r="G168" s="156" t="inlineStr">
        <is>
          <t>6 3/4</t>
        </is>
      </c>
      <c r="H168" s="156" t="inlineStr">
        <is>
          <t>Denver</t>
        </is>
      </c>
      <c r="I168" s="156" t="inlineStr">
        <is>
          <t>Texana Denver mezquite cuadro ancho negro</t>
        </is>
      </c>
      <c r="J168" s="156" t="inlineStr">
        <is>
          <t>Accesorios</t>
        </is>
      </c>
      <c r="K168" s="156" t="inlineStr">
        <is>
          <t>Sombreros</t>
        </is>
      </c>
      <c r="L168" s="156" t="inlineStr">
        <is>
          <t>Unisex</t>
        </is>
      </c>
      <c r="M168" s="156" t="inlineStr">
        <is>
          <t>Denver</t>
        </is>
      </c>
      <c r="N168" s="156" t="inlineStr">
        <is>
          <t>SS26</t>
        </is>
      </c>
      <c r="O168" s="156" t="inlineStr">
        <is>
          <t>Core</t>
        </is>
      </c>
      <c r="P168" s="156" t="inlineStr">
        <is>
          <t>Negro</t>
        </is>
      </c>
      <c r="Q168" s="156" t="n"/>
      <c r="R168" s="156" t="n"/>
      <c r="S168" s="156" t="inlineStr">
        <is>
          <t>100% Lana</t>
        </is>
      </c>
      <c r="T168" s="156" t="inlineStr">
        <is>
          <t>Texana Denver mezquite cuadro ancho negro. Sombrero de la marca Denver. Estilo TXMQCAD-1.</t>
        </is>
      </c>
      <c r="U168" s="156" t="inlineStr">
        <is>
          <t>México</t>
        </is>
      </c>
      <c r="V168" s="156" t="inlineStr">
        <is>
          <t>PZS</t>
        </is>
      </c>
      <c r="W168" s="51" t="inlineStr">
        <is>
          <t>53102503</t>
        </is>
      </c>
      <c r="X168" s="156" t="n"/>
      <c r="Y168" s="54" t="n">
        <v>869</v>
      </c>
      <c r="Z168" s="54" t="n">
        <v>1550.862069</v>
      </c>
      <c r="AA168" s="55">
        <f>IF(AND(A168="", B168="", E168=""), "", IF(AB168="", "Válido", IF((LEN(AB168)-LEN(SUBSTITUTE(AB168,"; ","")))/2+1&gt;(LEN(AB168)-LEN(SUBSTITUTE(AB168,"[Aviso]","")))/7, "Con Incidencias", "Válido")))</f>
        <v/>
      </c>
      <c r="AB168" s="56">
        <f>IF(AND(A168="", B168="", E168=""), "", TEXTJOIN("; ", TRUE, IF(OR(TRIM(A168&amp;"")="", ISNUMBER(SEARCH("FALTA", A168))), "UPC faltante/inválido", ""), IF(AND(A168&lt;&gt;"", IFERROR(_xlfn.XMATCH(A168,$A$2:$A$204,0,1)&lt;&gt;_xlfn.XMATCH(A168,$A$2:$A$204,0,-1),FALSE)), "Código de barras duplicado", ""), IF(AND(E168&lt;&gt;"", COUNTIF($E$2:$E$204, E168)&gt;1), "SKU duplicado", ""), IF(OR(J168="", J168=""), "[Aviso] División no capturada ()", IF(ISNA(MATCH(J168, Criterios!$A$123:$A$126, 0)), "División no válida", "")), IF(OR(K168="", K168=""), "[Aviso] Categoría no capturada ()", IF(ISNA(MATCH(K168, Criterios!$A$81:$A$120, 0)), "Categoría no válida", IF(AND(J168&lt;&gt;"", J168&lt;&gt;"", J168&lt;&gt;VLOOKUP(K168, Criterios!$A$81:$B$120, 2, FALSE)), "División no coincide con Categoría", ""))), IF(OR(L168="", L168=""), "[Aviso] Género no capturado ()", IF(ISNA(MATCH(L168, Criterios!$B$123:$B$127, 0)), "Género no válido", "")), IF(OR(N168="", N168=""), "[Aviso] Temporada no capturada ()", IF(ISNA(MATCH(N168, Criterios!$C$123:$C$128, 0)), "Temporada no válida", "")), IF(OR(O168="", O168=""), "[Aviso] Ciclo de vida no capturado ()", IF(ISNA(MATCH(O168, Criterios!$D$123:$D$124, 0)), "Ciclo de vida no válido", ""))))</f>
        <v/>
      </c>
      <c r="AC168" s="56" t="n"/>
      <c r="AD168" s="51" t="n">
        <v>0</v>
      </c>
      <c r="AE168" s="156" t="n"/>
      <c r="AF168" s="51" t="n">
        <v>0</v>
      </c>
      <c r="AG168" s="156" t="inlineStr">
        <is>
          <t>Nuevo – NetSuite sin existencia</t>
        </is>
      </c>
      <c r="AH168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68" s="156" t="inlineStr">
        <is>
          <t>No</t>
        </is>
      </c>
      <c r="AJ168" s="156" t="n"/>
      <c r="AK168" s="155" t="inlineStr">
        <is>
          <t>ProductosCatalogoEstandar907.xlsx: fila 6025 [N,O,S,U,Y]; G1522_Extraccion_Articulos_NetSuite_2026-09-30.xlsx: fila 56795 [P,V,Y,S] | Shopify WB: producto 8569962791097 / variante 47621328076985</t>
        </is>
      </c>
      <c r="AL168" s="58" t="n">
        <v>869</v>
      </c>
      <c r="AM168" s="58" t="n">
        <v>1799.00000004</v>
      </c>
      <c r="AN168" s="155" t="inlineStr">
        <is>
          <t>Shopify Western Brothers</t>
        </is>
      </c>
      <c r="AO168" s="59" t="n"/>
      <c r="AP168" s="59" t="n">
        <v>0</v>
      </c>
      <c r="AQ168" s="59" t="n"/>
      <c r="AR168" s="155" t="n"/>
    </row>
    <row r="169">
      <c r="A169" s="50" t="inlineStr">
        <is>
          <t>7506499570919</t>
        </is>
      </c>
      <c r="B169" s="51" t="inlineStr">
        <is>
          <t>108713</t>
        </is>
      </c>
      <c r="C169" s="156" t="inlineStr">
        <is>
          <t>Multimarca</t>
        </is>
      </c>
      <c r="D169" s="156" t="inlineStr">
        <is>
          <t>TXMQCAD-1</t>
        </is>
      </c>
      <c r="E169" s="156" t="inlineStr">
        <is>
          <t>TXMQCAD-1-7</t>
        </is>
      </c>
      <c r="F169" s="156" t="inlineStr">
        <is>
          <t>7</t>
        </is>
      </c>
      <c r="G169" s="156" t="inlineStr">
        <is>
          <t>7</t>
        </is>
      </c>
      <c r="H169" s="156" t="inlineStr">
        <is>
          <t>Denver</t>
        </is>
      </c>
      <c r="I169" s="156" t="inlineStr">
        <is>
          <t>Texana Denver mezquite cuadro ancho negro</t>
        </is>
      </c>
      <c r="J169" s="156" t="inlineStr">
        <is>
          <t>Accesorios</t>
        </is>
      </c>
      <c r="K169" s="156" t="inlineStr">
        <is>
          <t>Sombreros</t>
        </is>
      </c>
      <c r="L169" s="156" t="inlineStr">
        <is>
          <t>Unisex</t>
        </is>
      </c>
      <c r="M169" s="156" t="inlineStr">
        <is>
          <t>Denver</t>
        </is>
      </c>
      <c r="N169" s="156" t="inlineStr">
        <is>
          <t>SS26</t>
        </is>
      </c>
      <c r="O169" s="156" t="inlineStr">
        <is>
          <t>Core</t>
        </is>
      </c>
      <c r="P169" s="156" t="inlineStr">
        <is>
          <t>Negro</t>
        </is>
      </c>
      <c r="Q169" s="156" t="n"/>
      <c r="R169" s="156" t="n"/>
      <c r="S169" s="156" t="inlineStr">
        <is>
          <t>100% Lana</t>
        </is>
      </c>
      <c r="T169" s="156" t="inlineStr">
        <is>
          <t>Texana Denver mezquite cuadro ancho negro. Sombrero de la marca Denver. Estilo TXMQCAD-1.</t>
        </is>
      </c>
      <c r="U169" s="156" t="inlineStr">
        <is>
          <t>México</t>
        </is>
      </c>
      <c r="V169" s="156" t="inlineStr">
        <is>
          <t>PZS</t>
        </is>
      </c>
      <c r="W169" s="51" t="inlineStr">
        <is>
          <t>53102503</t>
        </is>
      </c>
      <c r="X169" s="156" t="n"/>
      <c r="Y169" s="54" t="n">
        <v>869</v>
      </c>
      <c r="Z169" s="54" t="n">
        <v>1550.862069</v>
      </c>
      <c r="AA169" s="55">
        <f>IF(AND(A169="", B169="", E169=""), "", IF(AB169="", "Válido", IF((LEN(AB169)-LEN(SUBSTITUTE(AB169,"; ","")))/2+1&gt;(LEN(AB169)-LEN(SUBSTITUTE(AB169,"[Aviso]","")))/7, "Con Incidencias", "Válido")))</f>
        <v/>
      </c>
      <c r="AB169" s="56">
        <f>IF(AND(A169="", B169="", E169=""), "", TEXTJOIN("; ", TRUE, IF(OR(TRIM(A169&amp;"")="", ISNUMBER(SEARCH("FALTA", A169))), "UPC faltante/inválido", ""), IF(AND(A169&lt;&gt;"", IFERROR(_xlfn.XMATCH(A169,$A$2:$A$204,0,1)&lt;&gt;_xlfn.XMATCH(A169,$A$2:$A$204,0,-1),FALSE)), "Código de barras duplicado", ""), IF(AND(E169&lt;&gt;"", COUNTIF($E$2:$E$204, E169)&gt;1), "SKU duplicado", ""), IF(OR(J169="", J169=""), "[Aviso] División no capturada ()", IF(ISNA(MATCH(J169, Criterios!$A$123:$A$126, 0)), "División no válida", "")), IF(OR(K169="", K169=""), "[Aviso] Categoría no capturada ()", IF(ISNA(MATCH(K169, Criterios!$A$81:$A$120, 0)), "Categoría no válida", IF(AND(J169&lt;&gt;"", J169&lt;&gt;"", J169&lt;&gt;VLOOKUP(K169, Criterios!$A$81:$B$120, 2, FALSE)), "División no coincide con Categoría", ""))), IF(OR(L169="", L169=""), "[Aviso] Género no capturado ()", IF(ISNA(MATCH(L169, Criterios!$B$123:$B$127, 0)), "Género no válido", "")), IF(OR(N169="", N169=""), "[Aviso] Temporada no capturada ()", IF(ISNA(MATCH(N169, Criterios!$C$123:$C$128, 0)), "Temporada no válida", "")), IF(OR(O169="", O169=""), "[Aviso] Ciclo de vida no capturado ()", IF(ISNA(MATCH(O169, Criterios!$D$123:$D$124, 0)), "Ciclo de vida no válido", ""))))</f>
        <v/>
      </c>
      <c r="AC169" s="56" t="n"/>
      <c r="AD169" s="51" t="n">
        <v>0</v>
      </c>
      <c r="AE169" s="156" t="n"/>
      <c r="AF169" s="51" t="n">
        <v>0</v>
      </c>
      <c r="AG169" s="156" t="inlineStr">
        <is>
          <t>Nuevo – NetSuite sin existencia</t>
        </is>
      </c>
      <c r="AH169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69" s="156" t="inlineStr">
        <is>
          <t>No</t>
        </is>
      </c>
      <c r="AJ169" s="156" t="n"/>
      <c r="AK169" s="155" t="inlineStr">
        <is>
          <t>ProductosCatalogoEstandar907.xlsx: fila 6026 [N,O,S,U,Y]; G1522_Extraccion_Articulos_NetSuite_2026-09-30.xlsx: fila 56796 [P,V,Y,S] | Shopify WB: producto 8569962791097 / variante 47621328109753</t>
        </is>
      </c>
      <c r="AL169" s="58" t="n">
        <v>869</v>
      </c>
      <c r="AM169" s="58" t="n">
        <v>1799.00000004</v>
      </c>
      <c r="AN169" s="155" t="inlineStr">
        <is>
          <t>Shopify Western Brothers</t>
        </is>
      </c>
      <c r="AO169" s="59" t="n"/>
      <c r="AP169" s="59" t="n">
        <v>0</v>
      </c>
      <c r="AQ169" s="59" t="n"/>
      <c r="AR169" s="155" t="n"/>
    </row>
    <row r="170">
      <c r="A170" s="50" t="inlineStr">
        <is>
          <t>7506499570897</t>
        </is>
      </c>
      <c r="B170" s="51" t="inlineStr">
        <is>
          <t>108691</t>
        </is>
      </c>
      <c r="C170" s="156" t="inlineStr">
        <is>
          <t>Multimarca</t>
        </is>
      </c>
      <c r="D170" s="156" t="inlineStr">
        <is>
          <t>TXMQCAD-3</t>
        </is>
      </c>
      <c r="E170" s="156" t="inlineStr">
        <is>
          <t>TXMQCAD-3-63/4</t>
        </is>
      </c>
      <c r="F170" s="156" t="inlineStr">
        <is>
          <t>6 3/4</t>
        </is>
      </c>
      <c r="G170" s="156" t="inlineStr">
        <is>
          <t>6 3/4</t>
        </is>
      </c>
      <c r="H170" s="156" t="inlineStr">
        <is>
          <t>Denver</t>
        </is>
      </c>
      <c r="I170" s="156" t="inlineStr">
        <is>
          <t>Texana Denver mezquite cuadro ancho granito</t>
        </is>
      </c>
      <c r="J170" s="156" t="inlineStr">
        <is>
          <t>Accesorios</t>
        </is>
      </c>
      <c r="K170" s="156" t="inlineStr">
        <is>
          <t>Sombreros</t>
        </is>
      </c>
      <c r="L170" s="156" t="inlineStr">
        <is>
          <t>Unisex</t>
        </is>
      </c>
      <c r="M170" s="156" t="inlineStr">
        <is>
          <t>Denver</t>
        </is>
      </c>
      <c r="N170" s="156" t="inlineStr">
        <is>
          <t>SS26</t>
        </is>
      </c>
      <c r="O170" s="156" t="inlineStr">
        <is>
          <t>Core</t>
        </is>
      </c>
      <c r="P170" s="156" t="inlineStr">
        <is>
          <t>Gris</t>
        </is>
      </c>
      <c r="Q170" s="156" t="n"/>
      <c r="R170" s="156" t="n"/>
      <c r="S170" s="156" t="inlineStr">
        <is>
          <t>100% Lana</t>
        </is>
      </c>
      <c r="T170" s="156" t="inlineStr">
        <is>
          <t>Texana Denver mezquite cuadro ancho granito. Sombrero de la marca Denver. Estilo TXMQCAD-3.</t>
        </is>
      </c>
      <c r="U170" s="156" t="inlineStr">
        <is>
          <t>México</t>
        </is>
      </c>
      <c r="V170" s="156" t="inlineStr">
        <is>
          <t>PZS</t>
        </is>
      </c>
      <c r="W170" s="51" t="inlineStr">
        <is>
          <t>53102503</t>
        </is>
      </c>
      <c r="X170" s="156" t="n"/>
      <c r="Y170" s="54" t="n">
        <v>869</v>
      </c>
      <c r="Z170" s="54" t="n">
        <v>1550.862069</v>
      </c>
      <c r="AA170" s="55">
        <f>IF(AND(A170="", B170="", E170=""), "", IF(AB170="", "Válido", IF((LEN(AB170)-LEN(SUBSTITUTE(AB170,"; ","")))/2+1&gt;(LEN(AB170)-LEN(SUBSTITUTE(AB170,"[Aviso]","")))/7, "Con Incidencias", "Válido")))</f>
        <v/>
      </c>
      <c r="AB170" s="56">
        <f>IF(AND(A170="", B170="", E170=""), "", TEXTJOIN("; ", TRUE, IF(OR(TRIM(A170&amp;"")="", ISNUMBER(SEARCH("FALTA", A170))), "UPC faltante/inválido", ""), IF(AND(A170&lt;&gt;"", IFERROR(_xlfn.XMATCH(A170,$A$2:$A$204,0,1)&lt;&gt;_xlfn.XMATCH(A170,$A$2:$A$204,0,-1),FALSE)), "Código de barras duplicado", ""), IF(AND(E170&lt;&gt;"", COUNTIF($E$2:$E$204, E170)&gt;1), "SKU duplicado", ""), IF(OR(J170="", J170=""), "[Aviso] División no capturada ()", IF(ISNA(MATCH(J170, Criterios!$A$123:$A$126, 0)), "División no válida", "")), IF(OR(K170="", K170=""), "[Aviso] Categoría no capturada ()", IF(ISNA(MATCH(K170, Criterios!$A$81:$A$120, 0)), "Categoría no válida", IF(AND(J170&lt;&gt;"", J170&lt;&gt;"", J170&lt;&gt;VLOOKUP(K170, Criterios!$A$81:$B$120, 2, FALSE)), "División no coincide con Categoría", ""))), IF(OR(L170="", L170=""), "[Aviso] Género no capturado ()", IF(ISNA(MATCH(L170, Criterios!$B$123:$B$127, 0)), "Género no válido", "")), IF(OR(N170="", N170=""), "[Aviso] Temporada no capturada ()", IF(ISNA(MATCH(N170, Criterios!$C$123:$C$128, 0)), "Temporada no válida", "")), IF(OR(O170="", O170=""), "[Aviso] Ciclo de vida no capturado ()", IF(ISNA(MATCH(O170, Criterios!$D$123:$D$124, 0)), "Ciclo de vida no válido", ""))))</f>
        <v/>
      </c>
      <c r="AC170" s="56" t="n"/>
      <c r="AD170" s="51" t="n">
        <v>0</v>
      </c>
      <c r="AE170" s="156" t="n"/>
      <c r="AF170" s="51" t="n">
        <v>0</v>
      </c>
      <c r="AG170" s="156" t="inlineStr">
        <is>
          <t>Nuevo – NetSuite sin existencia</t>
        </is>
      </c>
      <c r="AH170" s="156" t="inlineStr">
        <is>
          <t>Color por validar | Revisión 29/09/2026: Campos sin respaldo: R, X; Auditoría NetSuite 30/09/2026: llenado desde NetSuite [Q,V,Y,S]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70" s="156" t="inlineStr">
        <is>
          <t>No</t>
        </is>
      </c>
      <c r="AJ170" s="156" t="n"/>
      <c r="AK170" s="155" t="inlineStr">
        <is>
          <t>ProductosCatalogoEstandar907.xlsx: fila 6027 [N,O,P,S,U,Y]; G1522_Extraccion_Articulos_NetSuite_2026-09-30.xlsx: fila 56774 [Q,V,Y,S] | Shopify WB: producto 8569962856633 / variante 47621328175289</t>
        </is>
      </c>
      <c r="AL170" s="58" t="n"/>
      <c r="AM170" s="58" t="n">
        <v>1799.00000004</v>
      </c>
      <c r="AN170" s="155" t="inlineStr">
        <is>
          <t>Shopify Western Brothers</t>
        </is>
      </c>
      <c r="AO170" s="59" t="n"/>
      <c r="AP170" s="59" t="n">
        <v>0</v>
      </c>
      <c r="AQ170" s="59" t="n"/>
      <c r="AR170" s="155" t="n"/>
    </row>
    <row r="171">
      <c r="A171" s="50" t="inlineStr">
        <is>
          <t>7506499570898</t>
        </is>
      </c>
      <c r="B171" s="51" t="inlineStr">
        <is>
          <t>108692</t>
        </is>
      </c>
      <c r="C171" s="156" t="inlineStr">
        <is>
          <t>Multimarca</t>
        </is>
      </c>
      <c r="D171" s="156" t="inlineStr">
        <is>
          <t>TXMQCAD-3</t>
        </is>
      </c>
      <c r="E171" s="156" t="inlineStr">
        <is>
          <t>TXMQCAD-3-71/4</t>
        </is>
      </c>
      <c r="F171" s="156" t="inlineStr">
        <is>
          <t>7 1/4</t>
        </is>
      </c>
      <c r="G171" s="156" t="inlineStr">
        <is>
          <t>7 1/4</t>
        </is>
      </c>
      <c r="H171" s="156" t="inlineStr">
        <is>
          <t>Denver</t>
        </is>
      </c>
      <c r="I171" s="156" t="inlineStr">
        <is>
          <t>Texana Denver mezquite cuadro ancho granito</t>
        </is>
      </c>
      <c r="J171" s="156" t="inlineStr">
        <is>
          <t>Accesorios</t>
        </is>
      </c>
      <c r="K171" s="156" t="inlineStr">
        <is>
          <t>Sombreros</t>
        </is>
      </c>
      <c r="L171" s="156" t="inlineStr">
        <is>
          <t>Unisex</t>
        </is>
      </c>
      <c r="M171" s="156" t="inlineStr">
        <is>
          <t>Denver</t>
        </is>
      </c>
      <c r="N171" s="156" t="inlineStr">
        <is>
          <t>SS26</t>
        </is>
      </c>
      <c r="O171" s="156" t="inlineStr">
        <is>
          <t>Core</t>
        </is>
      </c>
      <c r="P171" s="156" t="inlineStr">
        <is>
          <t>Gris</t>
        </is>
      </c>
      <c r="Q171" s="156" t="n"/>
      <c r="R171" s="156" t="n"/>
      <c r="S171" s="156" t="inlineStr">
        <is>
          <t>100% Lana</t>
        </is>
      </c>
      <c r="T171" s="156" t="inlineStr">
        <is>
          <t>Texana Denver mezquite cuadro ancho granito. Sombrero de la marca Denver. Estilo TXMQCAD-3.</t>
        </is>
      </c>
      <c r="U171" s="156" t="inlineStr">
        <is>
          <t>México</t>
        </is>
      </c>
      <c r="V171" s="156" t="inlineStr">
        <is>
          <t>PZS</t>
        </is>
      </c>
      <c r="W171" s="51" t="inlineStr">
        <is>
          <t>53102503</t>
        </is>
      </c>
      <c r="X171" s="156" t="n"/>
      <c r="Y171" s="54" t="n">
        <v>869</v>
      </c>
      <c r="Z171" s="54" t="n">
        <v>1550.862069</v>
      </c>
      <c r="AA171" s="55">
        <f>IF(AND(A171="", B171="", E171=""), "", IF(AB171="", "Válido", IF((LEN(AB171)-LEN(SUBSTITUTE(AB171,"; ","")))/2+1&gt;(LEN(AB171)-LEN(SUBSTITUTE(AB171,"[Aviso]","")))/7, "Con Incidencias", "Válido")))</f>
        <v/>
      </c>
      <c r="AB171" s="56">
        <f>IF(AND(A171="", B171="", E171=""), "", TEXTJOIN("; ", TRUE, IF(OR(TRIM(A171&amp;"")="", ISNUMBER(SEARCH("FALTA", A171))), "UPC faltante/inválido", ""), IF(AND(A171&lt;&gt;"", IFERROR(_xlfn.XMATCH(A171,$A$2:$A$204,0,1)&lt;&gt;_xlfn.XMATCH(A171,$A$2:$A$204,0,-1),FALSE)), "Código de barras duplicado", ""), IF(AND(E171&lt;&gt;"", COUNTIF($E$2:$E$204, E171)&gt;1), "SKU duplicado", ""), IF(OR(J171="", J171=""), "[Aviso] División no capturada ()", IF(ISNA(MATCH(J171, Criterios!$A$123:$A$126, 0)), "División no válida", "")), IF(OR(K171="", K171=""), "[Aviso] Categoría no capturada ()", IF(ISNA(MATCH(K171, Criterios!$A$81:$A$120, 0)), "Categoría no válida", IF(AND(J171&lt;&gt;"", J171&lt;&gt;"", J171&lt;&gt;VLOOKUP(K171, Criterios!$A$81:$B$120, 2, FALSE)), "División no coincide con Categoría", ""))), IF(OR(L171="", L171=""), "[Aviso] Género no capturado ()", IF(ISNA(MATCH(L171, Criterios!$B$123:$B$127, 0)), "Género no válido", "")), IF(OR(N171="", N171=""), "[Aviso] Temporada no capturada ()", IF(ISNA(MATCH(N171, Criterios!$C$123:$C$128, 0)), "Temporada no válida", "")), IF(OR(O171="", O171=""), "[Aviso] Ciclo de vida no capturado ()", IF(ISNA(MATCH(O171, Criterios!$D$123:$D$124, 0)), "Ciclo de vida no válido", ""))))</f>
        <v/>
      </c>
      <c r="AC171" s="56" t="n"/>
      <c r="AD171" s="51" t="n">
        <v>0</v>
      </c>
      <c r="AE171" s="156" t="n"/>
      <c r="AF171" s="51" t="n">
        <v>0</v>
      </c>
      <c r="AG171" s="156" t="inlineStr">
        <is>
          <t>Nuevo – NetSuite sin existencia</t>
        </is>
      </c>
      <c r="AH171" s="156" t="inlineStr">
        <is>
          <t>Color por validar | Revisión 29/09/2026: Campos sin respaldo: R, X; Auditoría NetSuite 30/09/2026: llenado desde NetSuite [Q,V,Y,S]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71" s="156" t="inlineStr">
        <is>
          <t>No</t>
        </is>
      </c>
      <c r="AJ171" s="156" t="n"/>
      <c r="AK171" s="155" t="inlineStr">
        <is>
          <t>ProductosCatalogoEstandar907.xlsx: fila 6028 [N,O,P,S,U,Y]; G1522_Extraccion_Articulos_NetSuite_2026-09-30.xlsx: fila 56775 [Q,V,Y,S] | Shopify WB: producto 8569962856633 / variante 47621328208057</t>
        </is>
      </c>
      <c r="AL171" s="58" t="n">
        <v>869</v>
      </c>
      <c r="AM171" s="58" t="n">
        <v>1799.00000004</v>
      </c>
      <c r="AN171" s="155" t="inlineStr">
        <is>
          <t>Shopify Western Brothers</t>
        </is>
      </c>
      <c r="AO171" s="59" t="n"/>
      <c r="AP171" s="59" t="n">
        <v>0</v>
      </c>
      <c r="AQ171" s="59" t="n"/>
      <c r="AR171" s="155" t="n"/>
    </row>
    <row r="172">
      <c r="A172" s="50" t="inlineStr">
        <is>
          <t>7506499570899</t>
        </is>
      </c>
      <c r="B172" s="51" t="inlineStr">
        <is>
          <t>108693</t>
        </is>
      </c>
      <c r="C172" s="156" t="inlineStr">
        <is>
          <t>Multimarca</t>
        </is>
      </c>
      <c r="D172" s="156" t="inlineStr">
        <is>
          <t>TXMQCAD-3</t>
        </is>
      </c>
      <c r="E172" s="156" t="inlineStr">
        <is>
          <t>TXMQCAD-3-73/8</t>
        </is>
      </c>
      <c r="F172" s="156" t="inlineStr">
        <is>
          <t>7 3/8</t>
        </is>
      </c>
      <c r="G172" s="156" t="inlineStr">
        <is>
          <t>7 3/8</t>
        </is>
      </c>
      <c r="H172" s="156" t="inlineStr">
        <is>
          <t>Denver</t>
        </is>
      </c>
      <c r="I172" s="156" t="inlineStr">
        <is>
          <t>Texana Denver mezquite cuadro ancho granito</t>
        </is>
      </c>
      <c r="J172" s="156" t="inlineStr">
        <is>
          <t>Accesorios</t>
        </is>
      </c>
      <c r="K172" s="156" t="inlineStr">
        <is>
          <t>Sombreros</t>
        </is>
      </c>
      <c r="L172" s="156" t="inlineStr">
        <is>
          <t>Unisex</t>
        </is>
      </c>
      <c r="M172" s="156" t="inlineStr">
        <is>
          <t>Denver</t>
        </is>
      </c>
      <c r="N172" s="156" t="inlineStr">
        <is>
          <t>SS26</t>
        </is>
      </c>
      <c r="O172" s="156" t="inlineStr">
        <is>
          <t>Core</t>
        </is>
      </c>
      <c r="P172" s="156" t="inlineStr">
        <is>
          <t>Gris</t>
        </is>
      </c>
      <c r="Q172" s="156" t="n"/>
      <c r="R172" s="156" t="n"/>
      <c r="S172" s="156" t="inlineStr">
        <is>
          <t>100% Lana</t>
        </is>
      </c>
      <c r="T172" s="156" t="inlineStr">
        <is>
          <t>Texana Denver mezquite cuadro ancho granito. Sombrero de la marca Denver. Estilo TXMQCAD-3.</t>
        </is>
      </c>
      <c r="U172" s="156" t="inlineStr">
        <is>
          <t>México</t>
        </is>
      </c>
      <c r="V172" s="156" t="inlineStr">
        <is>
          <t>PZS</t>
        </is>
      </c>
      <c r="W172" s="51" t="inlineStr">
        <is>
          <t>53102503</t>
        </is>
      </c>
      <c r="X172" s="156" t="n"/>
      <c r="Y172" s="54" t="n">
        <v>869</v>
      </c>
      <c r="Z172" s="54" t="n">
        <v>1550.862069</v>
      </c>
      <c r="AA172" s="55">
        <f>IF(AND(A172="", B172="", E172=""), "", IF(AB172="", "Válido", IF((LEN(AB172)-LEN(SUBSTITUTE(AB172,"; ","")))/2+1&gt;(LEN(AB172)-LEN(SUBSTITUTE(AB172,"[Aviso]","")))/7, "Con Incidencias", "Válido")))</f>
        <v/>
      </c>
      <c r="AB172" s="56">
        <f>IF(AND(A172="", B172="", E172=""), "", TEXTJOIN("; ", TRUE, IF(OR(TRIM(A172&amp;"")="", ISNUMBER(SEARCH("FALTA", A172))), "UPC faltante/inválido", ""), IF(AND(A172&lt;&gt;"", IFERROR(_xlfn.XMATCH(A172,$A$2:$A$204,0,1)&lt;&gt;_xlfn.XMATCH(A172,$A$2:$A$204,0,-1),FALSE)), "Código de barras duplicado", ""), IF(AND(E172&lt;&gt;"", COUNTIF($E$2:$E$204, E172)&gt;1), "SKU duplicado", ""), IF(OR(J172="", J172=""), "[Aviso] División no capturada ()", IF(ISNA(MATCH(J172, Criterios!$A$123:$A$126, 0)), "División no válida", "")), IF(OR(K172="", K172=""), "[Aviso] Categoría no capturada ()", IF(ISNA(MATCH(K172, Criterios!$A$81:$A$120, 0)), "Categoría no válida", IF(AND(J172&lt;&gt;"", J172&lt;&gt;"", J172&lt;&gt;VLOOKUP(K172, Criterios!$A$81:$B$120, 2, FALSE)), "División no coincide con Categoría", ""))), IF(OR(L172="", L172=""), "[Aviso] Género no capturado ()", IF(ISNA(MATCH(L172, Criterios!$B$123:$B$127, 0)), "Género no válido", "")), IF(OR(N172="", N172=""), "[Aviso] Temporada no capturada ()", IF(ISNA(MATCH(N172, Criterios!$C$123:$C$128, 0)), "Temporada no válida", "")), IF(OR(O172="", O172=""), "[Aviso] Ciclo de vida no capturado ()", IF(ISNA(MATCH(O172, Criterios!$D$123:$D$124, 0)), "Ciclo de vida no válido", ""))))</f>
        <v/>
      </c>
      <c r="AC172" s="56" t="n"/>
      <c r="AD172" s="51" t="n">
        <v>0</v>
      </c>
      <c r="AE172" s="156" t="n"/>
      <c r="AF172" s="51" t="n">
        <v>0</v>
      </c>
      <c r="AG172" s="156" t="inlineStr">
        <is>
          <t>Nuevo – NetSuite sin existencia</t>
        </is>
      </c>
      <c r="AH172" s="156" t="inlineStr">
        <is>
          <t>Color por validar | Revisión 29/09/2026: Campos sin respaldo: R, X; Auditoría NetSuite 30/09/2026: llenado desde NetSuite [Q,V,Y,S]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72" s="156" t="inlineStr">
        <is>
          <t>No</t>
        </is>
      </c>
      <c r="AJ172" s="156" t="n"/>
      <c r="AK172" s="155" t="inlineStr">
        <is>
          <t>ProductosCatalogoEstandar907.xlsx: fila 6029 [N,O,P,S,U,Y]; G1522_Extraccion_Articulos_NetSuite_2026-09-30.xlsx: fila 56776 [Q,V,Y,S] | Shopify WB: producto 8569962856633 / variante 47621328240825</t>
        </is>
      </c>
      <c r="AL172" s="58" t="n">
        <v>869</v>
      </c>
      <c r="AM172" s="58" t="n">
        <v>1799.00000004</v>
      </c>
      <c r="AN172" s="155" t="inlineStr">
        <is>
          <t>Shopify Western Brothers</t>
        </is>
      </c>
      <c r="AO172" s="59" t="n"/>
      <c r="AP172" s="59" t="n">
        <v>0</v>
      </c>
      <c r="AQ172" s="59" t="n"/>
      <c r="AR172" s="155" t="n"/>
    </row>
    <row r="173">
      <c r="A173" s="50" t="inlineStr">
        <is>
          <t>7506499570917</t>
        </is>
      </c>
      <c r="B173" s="51" t="inlineStr">
        <is>
          <t>108711</t>
        </is>
      </c>
      <c r="C173" s="156" t="inlineStr">
        <is>
          <t>Multimarca</t>
        </is>
      </c>
      <c r="D173" s="156" t="inlineStr">
        <is>
          <t>TXMQCAD-7</t>
        </is>
      </c>
      <c r="E173" s="156" t="inlineStr">
        <is>
          <t>TXMQCAD-7-7</t>
        </is>
      </c>
      <c r="F173" s="156" t="inlineStr">
        <is>
          <t>7</t>
        </is>
      </c>
      <c r="G173" s="156" t="inlineStr">
        <is>
          <t>7</t>
        </is>
      </c>
      <c r="H173" s="156" t="inlineStr">
        <is>
          <t>Denver</t>
        </is>
      </c>
      <c r="I173" s="156" t="inlineStr">
        <is>
          <t>Texana Denver mezquite cuadro ancho beige</t>
        </is>
      </c>
      <c r="J173" s="156" t="inlineStr">
        <is>
          <t>Accesorios</t>
        </is>
      </c>
      <c r="K173" s="156" t="inlineStr">
        <is>
          <t>Sombreros</t>
        </is>
      </c>
      <c r="L173" s="156" t="inlineStr">
        <is>
          <t>Unisex</t>
        </is>
      </c>
      <c r="M173" s="156" t="inlineStr">
        <is>
          <t>Denver</t>
        </is>
      </c>
      <c r="N173" s="156" t="inlineStr">
        <is>
          <t>SS26</t>
        </is>
      </c>
      <c r="O173" s="156" t="inlineStr">
        <is>
          <t>Core</t>
        </is>
      </c>
      <c r="P173" s="156" t="inlineStr">
        <is>
          <t>Beige</t>
        </is>
      </c>
      <c r="Q173" s="156" t="n"/>
      <c r="R173" s="156" t="n"/>
      <c r="S173" s="156" t="inlineStr">
        <is>
          <t>100% Lana</t>
        </is>
      </c>
      <c r="T173" s="156" t="inlineStr">
        <is>
          <t>Texana Denver mezquite cuadro ancho beige. Sombrero de la marca Denver. Estilo TXMQCAD-7.</t>
        </is>
      </c>
      <c r="U173" s="156" t="inlineStr">
        <is>
          <t>México</t>
        </is>
      </c>
      <c r="V173" s="156" t="inlineStr">
        <is>
          <t>PZS</t>
        </is>
      </c>
      <c r="W173" s="51" t="inlineStr">
        <is>
          <t>53102503</t>
        </is>
      </c>
      <c r="X173" s="156" t="n"/>
      <c r="Y173" s="54" t="n">
        <v>889</v>
      </c>
      <c r="Z173" s="54" t="n">
        <v>1550.862069</v>
      </c>
      <c r="AA173" s="55">
        <f>IF(AND(A173="", B173="", E173=""), "", IF(AB173="", "Válido", IF((LEN(AB173)-LEN(SUBSTITUTE(AB173,"; ","")))/2+1&gt;(LEN(AB173)-LEN(SUBSTITUTE(AB173,"[Aviso]","")))/7, "Con Incidencias", "Válido")))</f>
        <v/>
      </c>
      <c r="AB173" s="56">
        <f>IF(AND(A173="", B173="", E173=""), "", TEXTJOIN("; ", TRUE, IF(OR(TRIM(A173&amp;"")="", ISNUMBER(SEARCH("FALTA", A173))), "UPC faltante/inválido", ""), IF(AND(A173&lt;&gt;"", IFERROR(_xlfn.XMATCH(A173,$A$2:$A$204,0,1)&lt;&gt;_xlfn.XMATCH(A173,$A$2:$A$204,0,-1),FALSE)), "Código de barras duplicado", ""), IF(AND(E173&lt;&gt;"", COUNTIF($E$2:$E$204, E173)&gt;1), "SKU duplicado", ""), IF(OR(J173="", J173=""), "[Aviso] División no capturada ()", IF(ISNA(MATCH(J173, Criterios!$A$123:$A$126, 0)), "División no válida", "")), IF(OR(K173="", K173=""), "[Aviso] Categoría no capturada ()", IF(ISNA(MATCH(K173, Criterios!$A$81:$A$120, 0)), "Categoría no válida", IF(AND(J173&lt;&gt;"", J173&lt;&gt;"", J173&lt;&gt;VLOOKUP(K173, Criterios!$A$81:$B$120, 2, FALSE)), "División no coincide con Categoría", ""))), IF(OR(L173="", L173=""), "[Aviso] Género no capturado ()", IF(ISNA(MATCH(L173, Criterios!$B$123:$B$127, 0)), "Género no válido", "")), IF(OR(N173="", N173=""), "[Aviso] Temporada no capturada ()", IF(ISNA(MATCH(N173, Criterios!$C$123:$C$128, 0)), "Temporada no válida", "")), IF(OR(O173="", O173=""), "[Aviso] Ciclo de vida no capturado ()", IF(ISNA(MATCH(O173, Criterios!$D$123:$D$124, 0)), "Ciclo de vida no válido", ""))))</f>
        <v/>
      </c>
      <c r="AC173" s="56" t="n"/>
      <c r="AD173" s="51" t="n">
        <v>0</v>
      </c>
      <c r="AE173" s="156" t="n"/>
      <c r="AF173" s="51" t="n">
        <v>0</v>
      </c>
      <c r="AG173" s="156" t="inlineStr">
        <is>
          <t>Nuevo – NetSuite sin existencia</t>
        </is>
      </c>
      <c r="AH173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73" s="156" t="inlineStr">
        <is>
          <t>No</t>
        </is>
      </c>
      <c r="AJ173" s="156" t="n"/>
      <c r="AK173" s="155" t="inlineStr">
        <is>
          <t>ProductosCatalogoEstandar907.xlsx: fila 6030 [N,O,S,U,Y]; G1522_Extraccion_Articulos_NetSuite_2026-09-30.xlsx: fila 56794 [P,V,Y,S] | Shopify WB: producto 8569962987705 / variante 47621328339129</t>
        </is>
      </c>
      <c r="AL173" s="58" t="n">
        <v>889</v>
      </c>
      <c r="AM173" s="58" t="n">
        <v>1799.00000004</v>
      </c>
      <c r="AN173" s="155" t="inlineStr">
        <is>
          <t>Shopify Western Brothers</t>
        </is>
      </c>
      <c r="AO173" s="59" t="n"/>
      <c r="AP173" s="59" t="n">
        <v>0</v>
      </c>
      <c r="AQ173" s="59" t="n"/>
      <c r="AR173" s="155" t="n"/>
    </row>
    <row r="174">
      <c r="A174" s="50" t="inlineStr">
        <is>
          <t>7506499570920</t>
        </is>
      </c>
      <c r="B174" s="51" t="inlineStr">
        <is>
          <t>108714</t>
        </is>
      </c>
      <c r="C174" s="156" t="inlineStr">
        <is>
          <t>Multimarca</t>
        </is>
      </c>
      <c r="D174" s="156" t="inlineStr">
        <is>
          <t>TXMTYMRD-3</t>
        </is>
      </c>
      <c r="E174" s="156" t="inlineStr">
        <is>
          <t>TXMTYMRD-3-63/4</t>
        </is>
      </c>
      <c r="F174" s="156" t="inlineStr">
        <is>
          <t>6 3/4</t>
        </is>
      </c>
      <c r="G174" s="156" t="inlineStr">
        <is>
          <t>6 3/4</t>
        </is>
      </c>
      <c r="H174" s="156" t="inlineStr">
        <is>
          <t>Denver</t>
        </is>
      </c>
      <c r="I174" s="156" t="inlineStr">
        <is>
          <t>Texana Denver granito monterrey marlboro</t>
        </is>
      </c>
      <c r="J174" s="156" t="inlineStr">
        <is>
          <t>Accesorios</t>
        </is>
      </c>
      <c r="K174" s="156" t="inlineStr">
        <is>
          <t>Sombreros</t>
        </is>
      </c>
      <c r="L174" s="156" t="inlineStr">
        <is>
          <t>Unisex</t>
        </is>
      </c>
      <c r="M174" s="156" t="inlineStr">
        <is>
          <t>Denver</t>
        </is>
      </c>
      <c r="N174" s="156" t="inlineStr">
        <is>
          <t>SS26</t>
        </is>
      </c>
      <c r="O174" s="156" t="inlineStr">
        <is>
          <t>Core</t>
        </is>
      </c>
      <c r="P174" s="156" t="inlineStr">
        <is>
          <t>Gris</t>
        </is>
      </c>
      <c r="Q174" s="156" t="n"/>
      <c r="R174" s="156" t="n"/>
      <c r="S174" s="156" t="inlineStr">
        <is>
          <t>100% Lana</t>
        </is>
      </c>
      <c r="T174" s="156" t="inlineStr">
        <is>
          <t>Texana Denver granito monterrey marlboro. Sombrero de la marca Denver. Estilo TXMTYMRD-3.</t>
        </is>
      </c>
      <c r="U174" s="156" t="inlineStr">
        <is>
          <t>México</t>
        </is>
      </c>
      <c r="V174" s="156" t="inlineStr">
        <is>
          <t>PZS</t>
        </is>
      </c>
      <c r="W174" s="51" t="inlineStr">
        <is>
          <t>53102503</t>
        </is>
      </c>
      <c r="X174" s="156" t="n"/>
      <c r="Y174" s="54" t="n">
        <v>889</v>
      </c>
      <c r="Z174" s="54" t="n">
        <v>1550.862069</v>
      </c>
      <c r="AA174" s="55">
        <f>IF(AND(A174="", B174="", E174=""), "", IF(AB174="", "Válido", IF((LEN(AB174)-LEN(SUBSTITUTE(AB174,"; ","")))/2+1&gt;(LEN(AB174)-LEN(SUBSTITUTE(AB174,"[Aviso]","")))/7, "Con Incidencias", "Válido")))</f>
        <v/>
      </c>
      <c r="AB174" s="56">
        <f>IF(AND(A174="", B174="", E174=""), "", TEXTJOIN("; ", TRUE, IF(OR(TRIM(A174&amp;"")="", ISNUMBER(SEARCH("FALTA", A174))), "UPC faltante/inválido", ""), IF(AND(A174&lt;&gt;"", IFERROR(_xlfn.XMATCH(A174,$A$2:$A$204,0,1)&lt;&gt;_xlfn.XMATCH(A174,$A$2:$A$204,0,-1),FALSE)), "Código de barras duplicado", ""), IF(AND(E174&lt;&gt;"", COUNTIF($E$2:$E$204, E174)&gt;1), "SKU duplicado", ""), IF(OR(J174="", J174=""), "[Aviso] División no capturada ()", IF(ISNA(MATCH(J174, Criterios!$A$123:$A$126, 0)), "División no válida", "")), IF(OR(K174="", K174=""), "[Aviso] Categoría no capturada ()", IF(ISNA(MATCH(K174, Criterios!$A$81:$A$120, 0)), "Categoría no válida", IF(AND(J174&lt;&gt;"", J174&lt;&gt;"", J174&lt;&gt;VLOOKUP(K174, Criterios!$A$81:$B$120, 2, FALSE)), "División no coincide con Categoría", ""))), IF(OR(L174="", L174=""), "[Aviso] Género no capturado ()", IF(ISNA(MATCH(L174, Criterios!$B$123:$B$127, 0)), "Género no válido", "")), IF(OR(N174="", N174=""), "[Aviso] Temporada no capturada ()", IF(ISNA(MATCH(N174, Criterios!$C$123:$C$128, 0)), "Temporada no válida", "")), IF(OR(O174="", O174=""), "[Aviso] Ciclo de vida no capturado ()", IF(ISNA(MATCH(O174, Criterios!$D$123:$D$124, 0)), "Ciclo de vida no válido", ""))))</f>
        <v/>
      </c>
      <c r="AC174" s="56" t="n"/>
      <c r="AD174" s="51" t="n">
        <v>0</v>
      </c>
      <c r="AE174" s="156" t="n"/>
      <c r="AF174" s="51" t="n">
        <v>0</v>
      </c>
      <c r="AG174" s="156" t="inlineStr">
        <is>
          <t>Nuevo – NetSuite sin existencia</t>
        </is>
      </c>
      <c r="AH174" s="156" t="inlineStr">
        <is>
          <t>Color por validar | Revisión 29/09/2026: Campos sin respaldo: R, X; Auditoría NetSuite 30/09/2026: llenado desde NetSuite [Q,V,Y,S]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74" s="156" t="inlineStr">
        <is>
          <t>No</t>
        </is>
      </c>
      <c r="AJ174" s="156" t="n"/>
      <c r="AK174" s="155" t="inlineStr">
        <is>
          <t>ProductosCatalogoEstandar907.xlsx: fila 6031 [N,O,P,S,U,Y]; G1522_Extraccion_Articulos_NetSuite_2026-09-30.xlsx: fila 56797 [Q,V,Y,S] | Shopify WB: producto 8569963118777 / variante 47621328830649</t>
        </is>
      </c>
      <c r="AL174" s="58" t="n">
        <v>889</v>
      </c>
      <c r="AM174" s="58" t="n">
        <v>1799.00000004</v>
      </c>
      <c r="AN174" s="155" t="inlineStr">
        <is>
          <t>Shopify Western Brothers</t>
        </is>
      </c>
      <c r="AO174" s="59" t="n"/>
      <c r="AP174" s="59" t="n">
        <v>0</v>
      </c>
      <c r="AQ174" s="59" t="n"/>
      <c r="AR174" s="155" t="n"/>
    </row>
    <row r="175">
      <c r="A175" s="50" t="inlineStr">
        <is>
          <t>7506499570892</t>
        </is>
      </c>
      <c r="B175" s="51" t="inlineStr">
        <is>
          <t>108686</t>
        </is>
      </c>
      <c r="C175" s="156" t="inlineStr">
        <is>
          <t>Multimarca</t>
        </is>
      </c>
      <c r="D175" s="156" t="inlineStr">
        <is>
          <t>TXMTYSLD-17</t>
        </is>
      </c>
      <c r="E175" s="156" t="inlineStr">
        <is>
          <t>TXMTYSLD-17-63/4</t>
        </is>
      </c>
      <c r="F175" s="156" t="inlineStr">
        <is>
          <t>6 3/4</t>
        </is>
      </c>
      <c r="G175" s="156" t="inlineStr">
        <is>
          <t>6 3/4</t>
        </is>
      </c>
      <c r="H175" s="156" t="inlineStr">
        <is>
          <t>Denver</t>
        </is>
      </c>
      <c r="I175" s="156" t="inlineStr">
        <is>
          <t>Texana Denver sinaloa vino</t>
        </is>
      </c>
      <c r="J175" s="156" t="inlineStr">
        <is>
          <t>Accesorios</t>
        </is>
      </c>
      <c r="K175" s="156" t="inlineStr">
        <is>
          <t>Sombreros</t>
        </is>
      </c>
      <c r="L175" s="156" t="inlineStr">
        <is>
          <t>Unisex</t>
        </is>
      </c>
      <c r="M175" s="156" t="inlineStr">
        <is>
          <t>Denver</t>
        </is>
      </c>
      <c r="N175" s="156" t="inlineStr">
        <is>
          <t>SS26</t>
        </is>
      </c>
      <c r="O175" s="156" t="inlineStr">
        <is>
          <t>Core</t>
        </is>
      </c>
      <c r="P175" s="156" t="inlineStr">
        <is>
          <t>Rojo</t>
        </is>
      </c>
      <c r="Q175" s="156" t="n"/>
      <c r="R175" s="156" t="n"/>
      <c r="S175" s="156" t="inlineStr">
        <is>
          <t>100% Lana</t>
        </is>
      </c>
      <c r="T175" s="156" t="inlineStr">
        <is>
          <t>Texana Denver sinaloa vino. Sombrero de la marca Denver. Estilo TXMTYSLD-17.</t>
        </is>
      </c>
      <c r="U175" s="156" t="inlineStr">
        <is>
          <t>México</t>
        </is>
      </c>
      <c r="V175" s="156" t="inlineStr">
        <is>
          <t>PZS</t>
        </is>
      </c>
      <c r="W175" s="51" t="inlineStr">
        <is>
          <t>53102503</t>
        </is>
      </c>
      <c r="X175" s="156" t="n"/>
      <c r="Y175" s="54" t="n">
        <v>869</v>
      </c>
      <c r="Z175" s="54" t="n">
        <v>1550.862069</v>
      </c>
      <c r="AA175" s="55">
        <f>IF(AND(A175="", B175="", E175=""), "", IF(AB175="", "Válido", IF((LEN(AB175)-LEN(SUBSTITUTE(AB175,"; ","")))/2+1&gt;(LEN(AB175)-LEN(SUBSTITUTE(AB175,"[Aviso]","")))/7, "Con Incidencias", "Válido")))</f>
        <v/>
      </c>
      <c r="AB175" s="56">
        <f>IF(AND(A175="", B175="", E175=""), "", TEXTJOIN("; ", TRUE, IF(OR(TRIM(A175&amp;"")="", ISNUMBER(SEARCH("FALTA", A175))), "UPC faltante/inválido", ""), IF(AND(A175&lt;&gt;"", IFERROR(_xlfn.XMATCH(A175,$A$2:$A$204,0,1)&lt;&gt;_xlfn.XMATCH(A175,$A$2:$A$204,0,-1),FALSE)), "Código de barras duplicado", ""), IF(AND(E175&lt;&gt;"", COUNTIF($E$2:$E$204, E175)&gt;1), "SKU duplicado", ""), IF(OR(J175="", J175=""), "[Aviso] División no capturada ()", IF(ISNA(MATCH(J175, Criterios!$A$123:$A$126, 0)), "División no válida", "")), IF(OR(K175="", K175=""), "[Aviso] Categoría no capturada ()", IF(ISNA(MATCH(K175, Criterios!$A$81:$A$120, 0)), "Categoría no válida", IF(AND(J175&lt;&gt;"", J175&lt;&gt;"", J175&lt;&gt;VLOOKUP(K175, Criterios!$A$81:$B$120, 2, FALSE)), "División no coincide con Categoría", ""))), IF(OR(L175="", L175=""), "[Aviso] Género no capturado ()", IF(ISNA(MATCH(L175, Criterios!$B$123:$B$127, 0)), "Género no válido", "")), IF(OR(N175="", N175=""), "[Aviso] Temporada no capturada ()", IF(ISNA(MATCH(N175, Criterios!$C$123:$C$128, 0)), "Temporada no válida", "")), IF(OR(O175="", O175=""), "[Aviso] Ciclo de vida no capturado ()", IF(ISNA(MATCH(O175, Criterios!$D$123:$D$124, 0)), "Ciclo de vida no válido", ""))))</f>
        <v/>
      </c>
      <c r="AC175" s="56" t="n"/>
      <c r="AD175" s="51" t="n">
        <v>2</v>
      </c>
      <c r="AE175" s="156" t="inlineStr">
        <is>
          <t>WB OUTLET LERMA: 2</t>
        </is>
      </c>
      <c r="AF175" s="51" t="n">
        <v>2</v>
      </c>
      <c r="AG175" s="156" t="inlineStr">
        <is>
          <t>Nuevo – NetSuite con existencia</t>
        </is>
      </c>
      <c r="AH175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75" s="156" t="inlineStr">
        <is>
          <t>No</t>
        </is>
      </c>
      <c r="AJ175" s="156" t="n"/>
      <c r="AK175" s="155" t="inlineStr">
        <is>
          <t>ProductosCatalogoEstandar907.xlsx: fila 6032 [N,O,S,U,Y]; G1522_Extraccion_Articulos_NetSuite_2026-09-30.xlsx: fila 56769 [P,V,Y,S] | Shopify WB: producto 8569963184313 / variante 47621328896185</t>
        </is>
      </c>
      <c r="AL175" s="58" t="n">
        <v>869</v>
      </c>
      <c r="AM175" s="58" t="n">
        <v>1799.00000004</v>
      </c>
      <c r="AN175" s="155" t="inlineStr">
        <is>
          <t>Shopify Western Brothers</t>
        </is>
      </c>
      <c r="AO175" s="59" t="n"/>
      <c r="AP175" s="59" t="n">
        <v>2</v>
      </c>
      <c r="AQ175" s="59" t="n"/>
      <c r="AR175" s="155" t="inlineStr">
        <is>
          <t>Shopify Western Brothers › Western Brothers Outlet Lerma: 2</t>
        </is>
      </c>
    </row>
    <row r="176">
      <c r="A176" s="50" t="inlineStr">
        <is>
          <t>7506499570893</t>
        </is>
      </c>
      <c r="B176" s="51" t="inlineStr">
        <is>
          <t>108687</t>
        </is>
      </c>
      <c r="C176" s="156" t="inlineStr">
        <is>
          <t>Multimarca</t>
        </is>
      </c>
      <c r="D176" s="156" t="inlineStr">
        <is>
          <t>TXMTYSLD-17</t>
        </is>
      </c>
      <c r="E176" s="156" t="inlineStr">
        <is>
          <t>TXMTYSLD-17-71/8</t>
        </is>
      </c>
      <c r="F176" s="156" t="inlineStr">
        <is>
          <t>7 1/8</t>
        </is>
      </c>
      <c r="G176" s="156" t="inlineStr">
        <is>
          <t>7 1/8</t>
        </is>
      </c>
      <c r="H176" s="156" t="inlineStr">
        <is>
          <t>Denver</t>
        </is>
      </c>
      <c r="I176" s="156" t="inlineStr">
        <is>
          <t>Texana Denver sinaloa vino</t>
        </is>
      </c>
      <c r="J176" s="156" t="inlineStr">
        <is>
          <t>Accesorios</t>
        </is>
      </c>
      <c r="K176" s="156" t="inlineStr">
        <is>
          <t>Sombreros</t>
        </is>
      </c>
      <c r="L176" s="156" t="inlineStr">
        <is>
          <t>Unisex</t>
        </is>
      </c>
      <c r="M176" s="156" t="inlineStr">
        <is>
          <t>Denver</t>
        </is>
      </c>
      <c r="N176" s="156" t="inlineStr">
        <is>
          <t>SS26</t>
        </is>
      </c>
      <c r="O176" s="156" t="inlineStr">
        <is>
          <t>Core</t>
        </is>
      </c>
      <c r="P176" s="156" t="inlineStr">
        <is>
          <t>Rojo</t>
        </is>
      </c>
      <c r="Q176" s="156" t="n"/>
      <c r="R176" s="156" t="n"/>
      <c r="S176" s="156" t="inlineStr">
        <is>
          <t>100% Lana</t>
        </is>
      </c>
      <c r="T176" s="156" t="inlineStr">
        <is>
          <t>Texana Denver sinaloa vino. Sombrero de la marca Denver. Estilo TXMTYSLD-17.</t>
        </is>
      </c>
      <c r="U176" s="156" t="inlineStr">
        <is>
          <t>México</t>
        </is>
      </c>
      <c r="V176" s="156" t="inlineStr">
        <is>
          <t>PZS</t>
        </is>
      </c>
      <c r="W176" s="51" t="inlineStr">
        <is>
          <t>53102503</t>
        </is>
      </c>
      <c r="X176" s="156" t="n"/>
      <c r="Y176" s="54" t="n">
        <v>869</v>
      </c>
      <c r="Z176" s="54" t="n">
        <v>1550.862069</v>
      </c>
      <c r="AA176" s="55">
        <f>IF(AND(A176="", B176="", E176=""), "", IF(AB176="", "Válido", IF((LEN(AB176)-LEN(SUBSTITUTE(AB176,"; ","")))/2+1&gt;(LEN(AB176)-LEN(SUBSTITUTE(AB176,"[Aviso]","")))/7, "Con Incidencias", "Válido")))</f>
        <v/>
      </c>
      <c r="AB176" s="56">
        <f>IF(AND(A176="", B176="", E176=""), "", TEXTJOIN("; ", TRUE, IF(OR(TRIM(A176&amp;"")="", ISNUMBER(SEARCH("FALTA", A176))), "UPC faltante/inválido", ""), IF(AND(A176&lt;&gt;"", IFERROR(_xlfn.XMATCH(A176,$A$2:$A$204,0,1)&lt;&gt;_xlfn.XMATCH(A176,$A$2:$A$204,0,-1),FALSE)), "Código de barras duplicado", ""), IF(AND(E176&lt;&gt;"", COUNTIF($E$2:$E$204, E176)&gt;1), "SKU duplicado", ""), IF(OR(J176="", J176=""), "[Aviso] División no capturada ()", IF(ISNA(MATCH(J176, Criterios!$A$123:$A$126, 0)), "División no válida", "")), IF(OR(K176="", K176=""), "[Aviso] Categoría no capturada ()", IF(ISNA(MATCH(K176, Criterios!$A$81:$A$120, 0)), "Categoría no válida", IF(AND(J176&lt;&gt;"", J176&lt;&gt;"", J176&lt;&gt;VLOOKUP(K176, Criterios!$A$81:$B$120, 2, FALSE)), "División no coincide con Categoría", ""))), IF(OR(L176="", L176=""), "[Aviso] Género no capturado ()", IF(ISNA(MATCH(L176, Criterios!$B$123:$B$127, 0)), "Género no válido", "")), IF(OR(N176="", N176=""), "[Aviso] Temporada no capturada ()", IF(ISNA(MATCH(N176, Criterios!$C$123:$C$128, 0)), "Temporada no válida", "")), IF(OR(O176="", O176=""), "[Aviso] Ciclo de vida no capturado ()", IF(ISNA(MATCH(O176, Criterios!$D$123:$D$124, 0)), "Ciclo de vida no válido", ""))))</f>
        <v/>
      </c>
      <c r="AC176" s="56" t="n"/>
      <c r="AD176" s="51" t="n">
        <v>1</v>
      </c>
      <c r="AE176" s="156" t="inlineStr">
        <is>
          <t>WB OUTLET LERMA: 1</t>
        </is>
      </c>
      <c r="AF176" s="51" t="n">
        <v>1</v>
      </c>
      <c r="AG176" s="156" t="inlineStr">
        <is>
          <t>Nuevo – NetSuite con existencia</t>
        </is>
      </c>
      <c r="AH176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</t>
        </is>
      </c>
      <c r="AI176" s="156" t="inlineStr">
        <is>
          <t>No</t>
        </is>
      </c>
      <c r="AJ176" s="156" t="n"/>
      <c r="AK176" s="155" t="inlineStr">
        <is>
          <t>ProductosCatalogoEstandar907.xlsx: fila 6033 [N,O,S,U,Y]; G1522_Extraccion_Articulos_NetSuite_2026-09-30.xlsx: fila 56770 [P,V,Y,S] | Shopify WB: producto 8569963184313 / variante 47621328928953</t>
        </is>
      </c>
      <c r="AL176" s="58" t="n">
        <v>869</v>
      </c>
      <c r="AM176" s="58" t="n">
        <v>1799.00000004</v>
      </c>
      <c r="AN176" s="155" t="inlineStr">
        <is>
          <t>Shopify Western Brothers</t>
        </is>
      </c>
      <c r="AO176" s="59" t="n"/>
      <c r="AP176" s="59" t="n">
        <v>1</v>
      </c>
      <c r="AQ176" s="59" t="n"/>
      <c r="AR176" s="155" t="inlineStr">
        <is>
          <t>Shopify Western Brothers › Western Brothers Outlet Lerma: 1</t>
        </is>
      </c>
    </row>
    <row r="177">
      <c r="A177" s="50" t="inlineStr">
        <is>
          <t>7506499570894</t>
        </is>
      </c>
      <c r="B177" s="51" t="inlineStr">
        <is>
          <t>108688</t>
        </is>
      </c>
      <c r="C177" s="156" t="inlineStr">
        <is>
          <t>Multimarca</t>
        </is>
      </c>
      <c r="D177" s="156" t="inlineStr">
        <is>
          <t>TXMTYSLD-17</t>
        </is>
      </c>
      <c r="E177" s="156" t="inlineStr">
        <is>
          <t>TXMTYSLD-17-71/4</t>
        </is>
      </c>
      <c r="F177" s="156" t="inlineStr">
        <is>
          <t>7 1/4</t>
        </is>
      </c>
      <c r="G177" s="156" t="inlineStr">
        <is>
          <t>7 1/4</t>
        </is>
      </c>
      <c r="H177" s="156" t="inlineStr">
        <is>
          <t>Denver</t>
        </is>
      </c>
      <c r="I177" s="156" t="inlineStr">
        <is>
          <t>Texana Denver sinaloa vino</t>
        </is>
      </c>
      <c r="J177" s="156" t="inlineStr">
        <is>
          <t>Accesorios</t>
        </is>
      </c>
      <c r="K177" s="156" t="inlineStr">
        <is>
          <t>Sombreros</t>
        </is>
      </c>
      <c r="L177" s="156" t="inlineStr">
        <is>
          <t>Unisex</t>
        </is>
      </c>
      <c r="M177" s="156" t="inlineStr">
        <is>
          <t>Denver</t>
        </is>
      </c>
      <c r="N177" s="156" t="inlineStr">
        <is>
          <t>SS26</t>
        </is>
      </c>
      <c r="O177" s="156" t="inlineStr">
        <is>
          <t>Core</t>
        </is>
      </c>
      <c r="P177" s="156" t="inlineStr">
        <is>
          <t>Rojo</t>
        </is>
      </c>
      <c r="Q177" s="156" t="n"/>
      <c r="R177" s="156" t="n"/>
      <c r="S177" s="156" t="inlineStr">
        <is>
          <t>100% Lana</t>
        </is>
      </c>
      <c r="T177" s="156" t="inlineStr">
        <is>
          <t>Texana Denver sinaloa vino. Sombrero de la marca Denver. Estilo TXMTYSLD-17.</t>
        </is>
      </c>
      <c r="U177" s="156" t="inlineStr">
        <is>
          <t>México</t>
        </is>
      </c>
      <c r="V177" s="156" t="inlineStr">
        <is>
          <t>PZS</t>
        </is>
      </c>
      <c r="W177" s="51" t="inlineStr">
        <is>
          <t>53102503</t>
        </is>
      </c>
      <c r="X177" s="156" t="n"/>
      <c r="Y177" s="54" t="n">
        <v>869</v>
      </c>
      <c r="Z177" s="54" t="n">
        <v>1550.862069</v>
      </c>
      <c r="AA177" s="55">
        <f>IF(AND(A177="", B177="", E177=""), "", IF(AB177="", "Válido", IF((LEN(AB177)-LEN(SUBSTITUTE(AB177,"; ","")))/2+1&gt;(LEN(AB177)-LEN(SUBSTITUTE(AB177,"[Aviso]","")))/7, "Con Incidencias", "Válido")))</f>
        <v/>
      </c>
      <c r="AB177" s="56">
        <f>IF(AND(A177="", B177="", E177=""), "", TEXTJOIN("; ", TRUE, IF(OR(TRIM(A177&amp;"")="", ISNUMBER(SEARCH("FALTA", A177))), "UPC faltante/inválido", ""), IF(AND(A177&lt;&gt;"", IFERROR(_xlfn.XMATCH(A177,$A$2:$A$204,0,1)&lt;&gt;_xlfn.XMATCH(A177,$A$2:$A$204,0,-1),FALSE)), "Código de barras duplicado", ""), IF(AND(E177&lt;&gt;"", COUNTIF($E$2:$E$204, E177)&gt;1), "SKU duplicado", ""), IF(OR(J177="", J177=""), "[Aviso] División no capturada ()", IF(ISNA(MATCH(J177, Criterios!$A$123:$A$126, 0)), "División no válida", "")), IF(OR(K177="", K177=""), "[Aviso] Categoría no capturada ()", IF(ISNA(MATCH(K177, Criterios!$A$81:$A$120, 0)), "Categoría no válida", IF(AND(J177&lt;&gt;"", J177&lt;&gt;"", J177&lt;&gt;VLOOKUP(K177, Criterios!$A$81:$B$120, 2, FALSE)), "División no coincide con Categoría", ""))), IF(OR(L177="", L177=""), "[Aviso] Género no capturado ()", IF(ISNA(MATCH(L177, Criterios!$B$123:$B$127, 0)), "Género no válido", "")), IF(OR(N177="", N177=""), "[Aviso] Temporada no capturada ()", IF(ISNA(MATCH(N177, Criterios!$C$123:$C$128, 0)), "Temporada no válida", "")), IF(OR(O177="", O177=""), "[Aviso] Ciclo de vida no capturado ()", IF(ISNA(MATCH(O177, Criterios!$D$123:$D$124, 0)), "Ciclo de vida no válido", ""))))</f>
        <v/>
      </c>
      <c r="AC177" s="56" t="n"/>
      <c r="AD177" s="51" t="n">
        <v>3</v>
      </c>
      <c r="AE177" s="156" t="inlineStr">
        <is>
          <t>WB OUTLET LERMA: 3</t>
        </is>
      </c>
      <c r="AF177" s="51" t="n">
        <v>3</v>
      </c>
      <c r="AG177" s="156" t="inlineStr">
        <is>
          <t>Nuevo – NetSuite con existencia</t>
        </is>
      </c>
      <c r="AH177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77" s="156" t="inlineStr">
        <is>
          <t>No</t>
        </is>
      </c>
      <c r="AJ177" s="156" t="n"/>
      <c r="AK177" s="155" t="inlineStr">
        <is>
          <t>ProductosCatalogoEstandar907.xlsx: fila 6034 [N,O,S,U,Y]; G1522_Extraccion_Articulos_NetSuite_2026-09-30.xlsx: fila 56771 [P,V,Y,S] | Shopify WB: producto 8569963184313 / variante 47621328961721</t>
        </is>
      </c>
      <c r="AL177" s="58" t="n">
        <v>869</v>
      </c>
      <c r="AM177" s="58" t="n">
        <v>1799.00000004</v>
      </c>
      <c r="AN177" s="155" t="inlineStr">
        <is>
          <t>Shopify Western Brothers</t>
        </is>
      </c>
      <c r="AO177" s="59" t="n"/>
      <c r="AP177" s="59" t="n">
        <v>3</v>
      </c>
      <c r="AQ177" s="59" t="n"/>
      <c r="AR177" s="155" t="inlineStr">
        <is>
          <t>Shopify Western Brothers › Western Brothers Outlet Lerma: 3</t>
        </is>
      </c>
    </row>
    <row r="178">
      <c r="A178" s="50" t="inlineStr">
        <is>
          <t>7506499570895</t>
        </is>
      </c>
      <c r="B178" s="51" t="inlineStr">
        <is>
          <t>108689</t>
        </is>
      </c>
      <c r="C178" s="156" t="inlineStr">
        <is>
          <t>Multimarca</t>
        </is>
      </c>
      <c r="D178" s="156" t="inlineStr">
        <is>
          <t>TXMTYSLD-17</t>
        </is>
      </c>
      <c r="E178" s="156" t="inlineStr">
        <is>
          <t>TXMTYSLD-17-73/8</t>
        </is>
      </c>
      <c r="F178" s="156" t="inlineStr">
        <is>
          <t>7 3/8</t>
        </is>
      </c>
      <c r="G178" s="156" t="inlineStr">
        <is>
          <t>7 3/8</t>
        </is>
      </c>
      <c r="H178" s="156" t="inlineStr">
        <is>
          <t>Denver</t>
        </is>
      </c>
      <c r="I178" s="156" t="inlineStr">
        <is>
          <t>Texana Denver sinaloa vino</t>
        </is>
      </c>
      <c r="J178" s="156" t="inlineStr">
        <is>
          <t>Accesorios</t>
        </is>
      </c>
      <c r="K178" s="156" t="inlineStr">
        <is>
          <t>Sombreros</t>
        </is>
      </c>
      <c r="L178" s="156" t="inlineStr">
        <is>
          <t>Unisex</t>
        </is>
      </c>
      <c r="M178" s="156" t="inlineStr">
        <is>
          <t>Denver</t>
        </is>
      </c>
      <c r="N178" s="156" t="inlineStr">
        <is>
          <t>SS26</t>
        </is>
      </c>
      <c r="O178" s="156" t="inlineStr">
        <is>
          <t>Core</t>
        </is>
      </c>
      <c r="P178" s="156" t="inlineStr">
        <is>
          <t>Rojo</t>
        </is>
      </c>
      <c r="Q178" s="156" t="n"/>
      <c r="R178" s="156" t="n"/>
      <c r="S178" s="156" t="inlineStr">
        <is>
          <t>100% Lana</t>
        </is>
      </c>
      <c r="T178" s="156" t="inlineStr">
        <is>
          <t>Texana Denver sinaloa vino. Sombrero de la marca Denver. Estilo TXMTYSLD-17.</t>
        </is>
      </c>
      <c r="U178" s="156" t="inlineStr">
        <is>
          <t>México</t>
        </is>
      </c>
      <c r="V178" s="156" t="inlineStr">
        <is>
          <t>PZS</t>
        </is>
      </c>
      <c r="W178" s="51" t="inlineStr">
        <is>
          <t>53102503</t>
        </is>
      </c>
      <c r="X178" s="156" t="n"/>
      <c r="Y178" s="54" t="n">
        <v>869</v>
      </c>
      <c r="Z178" s="54" t="n">
        <v>1550.862069</v>
      </c>
      <c r="AA178" s="55">
        <f>IF(AND(A178="", B178="", E178=""), "", IF(AB178="", "Válido", IF((LEN(AB178)-LEN(SUBSTITUTE(AB178,"; ","")))/2+1&gt;(LEN(AB178)-LEN(SUBSTITUTE(AB178,"[Aviso]","")))/7, "Con Incidencias", "Válido")))</f>
        <v/>
      </c>
      <c r="AB178" s="56">
        <f>IF(AND(A178="", B178="", E178=""), "", TEXTJOIN("; ", TRUE, IF(OR(TRIM(A178&amp;"")="", ISNUMBER(SEARCH("FALTA", A178))), "UPC faltante/inválido", ""), IF(AND(A178&lt;&gt;"", IFERROR(_xlfn.XMATCH(A178,$A$2:$A$204,0,1)&lt;&gt;_xlfn.XMATCH(A178,$A$2:$A$204,0,-1),FALSE)), "Código de barras duplicado", ""), IF(AND(E178&lt;&gt;"", COUNTIF($E$2:$E$204, E178)&gt;1), "SKU duplicado", ""), IF(OR(J178="", J178=""), "[Aviso] División no capturada ()", IF(ISNA(MATCH(J178, Criterios!$A$123:$A$126, 0)), "División no válida", "")), IF(OR(K178="", K178=""), "[Aviso] Categoría no capturada ()", IF(ISNA(MATCH(K178, Criterios!$A$81:$A$120, 0)), "Categoría no válida", IF(AND(J178&lt;&gt;"", J178&lt;&gt;"", J178&lt;&gt;VLOOKUP(K178, Criterios!$A$81:$B$120, 2, FALSE)), "División no coincide con Categoría", ""))), IF(OR(L178="", L178=""), "[Aviso] Género no capturado ()", IF(ISNA(MATCH(L178, Criterios!$B$123:$B$127, 0)), "Género no válido", "")), IF(OR(N178="", N178=""), "[Aviso] Temporada no capturada ()", IF(ISNA(MATCH(N178, Criterios!$C$123:$C$128, 0)), "Temporada no válida", "")), IF(OR(O178="", O178=""), "[Aviso] Ciclo de vida no capturado ()", IF(ISNA(MATCH(O178, Criterios!$D$123:$D$124, 0)), "Ciclo de vida no válido", ""))))</f>
        <v/>
      </c>
      <c r="AC178" s="56" t="n"/>
      <c r="AD178" s="51" t="n">
        <v>3</v>
      </c>
      <c r="AE178" s="156" t="inlineStr">
        <is>
          <t>WB OUTLET LERMA: 3</t>
        </is>
      </c>
      <c r="AF178" s="51" t="n">
        <v>3</v>
      </c>
      <c r="AG178" s="156" t="inlineStr">
        <is>
          <t>Nuevo – NetSuite con existencia</t>
        </is>
      </c>
      <c r="AH178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78" s="156" t="inlineStr">
        <is>
          <t>No</t>
        </is>
      </c>
      <c r="AJ178" s="156" t="n"/>
      <c r="AK178" s="155" t="inlineStr">
        <is>
          <t>ProductosCatalogoEstandar907.xlsx: fila 6035 [N,O,S,U,Y]; G1522_Extraccion_Articulos_NetSuite_2026-09-30.xlsx: fila 56772 [P,V,Y,S] | Shopify WB: producto 8569963184313 / variante 47621328994489</t>
        </is>
      </c>
      <c r="AL178" s="58" t="n">
        <v>869</v>
      </c>
      <c r="AM178" s="58" t="n">
        <v>1799.00000004</v>
      </c>
      <c r="AN178" s="155" t="inlineStr">
        <is>
          <t>Shopify Western Brothers</t>
        </is>
      </c>
      <c r="AO178" s="59" t="n"/>
      <c r="AP178" s="59" t="n">
        <v>4</v>
      </c>
      <c r="AQ178" s="59" t="n"/>
      <c r="AR178" s="155" t="inlineStr">
        <is>
          <t>Shopify Western Brothers › Western Brothers Outlet Lerma: 4</t>
        </is>
      </c>
    </row>
    <row r="179">
      <c r="A179" s="50" t="inlineStr">
        <is>
          <t>7506499570896</t>
        </is>
      </c>
      <c r="B179" s="51" t="inlineStr">
        <is>
          <t>108690</t>
        </is>
      </c>
      <c r="C179" s="156" t="inlineStr">
        <is>
          <t>Multimarca</t>
        </is>
      </c>
      <c r="D179" s="156" t="inlineStr">
        <is>
          <t>TXMTYSLD-17</t>
        </is>
      </c>
      <c r="E179" s="156" t="inlineStr">
        <is>
          <t>TXMTYSLD-17-71/2</t>
        </is>
      </c>
      <c r="F179" s="156" t="inlineStr">
        <is>
          <t>7 1/2</t>
        </is>
      </c>
      <c r="G179" s="156" t="inlineStr">
        <is>
          <t>7 1/2</t>
        </is>
      </c>
      <c r="H179" s="156" t="inlineStr">
        <is>
          <t>Denver</t>
        </is>
      </c>
      <c r="I179" s="156" t="inlineStr">
        <is>
          <t>Texana Denver sinaloa vino</t>
        </is>
      </c>
      <c r="J179" s="156" t="inlineStr">
        <is>
          <t>Accesorios</t>
        </is>
      </c>
      <c r="K179" s="156" t="inlineStr">
        <is>
          <t>Sombreros</t>
        </is>
      </c>
      <c r="L179" s="156" t="inlineStr">
        <is>
          <t>Unisex</t>
        </is>
      </c>
      <c r="M179" s="156" t="inlineStr">
        <is>
          <t>Denver</t>
        </is>
      </c>
      <c r="N179" s="156" t="inlineStr">
        <is>
          <t>SS26</t>
        </is>
      </c>
      <c r="O179" s="156" t="inlineStr">
        <is>
          <t>Core</t>
        </is>
      </c>
      <c r="P179" s="156" t="inlineStr">
        <is>
          <t>Rojo</t>
        </is>
      </c>
      <c r="Q179" s="156" t="n"/>
      <c r="R179" s="156" t="n"/>
      <c r="S179" s="156" t="inlineStr">
        <is>
          <t>100% Lana</t>
        </is>
      </c>
      <c r="T179" s="156" t="inlineStr">
        <is>
          <t>Texana Denver sinaloa vino. Sombrero de la marca Denver. Estilo TXMTYSLD-17.</t>
        </is>
      </c>
      <c r="U179" s="156" t="inlineStr">
        <is>
          <t>México</t>
        </is>
      </c>
      <c r="V179" s="156" t="inlineStr">
        <is>
          <t>PZS</t>
        </is>
      </c>
      <c r="W179" s="51" t="inlineStr">
        <is>
          <t>53102503</t>
        </is>
      </c>
      <c r="X179" s="156" t="n"/>
      <c r="Y179" s="54" t="n">
        <v>869</v>
      </c>
      <c r="Z179" s="54" t="n">
        <v>1550.862069</v>
      </c>
      <c r="AA179" s="55">
        <f>IF(AND(A179="", B179="", E179=""), "", IF(AB179="", "Válido", IF((LEN(AB179)-LEN(SUBSTITUTE(AB179,"; ","")))/2+1&gt;(LEN(AB179)-LEN(SUBSTITUTE(AB179,"[Aviso]","")))/7, "Con Incidencias", "Válido")))</f>
        <v/>
      </c>
      <c r="AB179" s="56">
        <f>IF(AND(A179="", B179="", E179=""), "", TEXTJOIN("; ", TRUE, IF(OR(TRIM(A179&amp;"")="", ISNUMBER(SEARCH("FALTA", A179))), "UPC faltante/inválido", ""), IF(AND(A179&lt;&gt;"", IFERROR(_xlfn.XMATCH(A179,$A$2:$A$204,0,1)&lt;&gt;_xlfn.XMATCH(A179,$A$2:$A$204,0,-1),FALSE)), "Código de barras duplicado", ""), IF(AND(E179&lt;&gt;"", COUNTIF($E$2:$E$204, E179)&gt;1), "SKU duplicado", ""), IF(OR(J179="", J179=""), "[Aviso] División no capturada ()", IF(ISNA(MATCH(J179, Criterios!$A$123:$A$126, 0)), "División no válida", "")), IF(OR(K179="", K179=""), "[Aviso] Categoría no capturada ()", IF(ISNA(MATCH(K179, Criterios!$A$81:$A$120, 0)), "Categoría no válida", IF(AND(J179&lt;&gt;"", J179&lt;&gt;"", J179&lt;&gt;VLOOKUP(K179, Criterios!$A$81:$B$120, 2, FALSE)), "División no coincide con Categoría", ""))), IF(OR(L179="", L179=""), "[Aviso] Género no capturado ()", IF(ISNA(MATCH(L179, Criterios!$B$123:$B$127, 0)), "Género no válido", "")), IF(OR(N179="", N179=""), "[Aviso] Temporada no capturada ()", IF(ISNA(MATCH(N179, Criterios!$C$123:$C$128, 0)), "Temporada no válida", "")), IF(OR(O179="", O179=""), "[Aviso] Ciclo de vida no capturado ()", IF(ISNA(MATCH(O179, Criterios!$D$123:$D$124, 0)), "Ciclo de vida no válido", ""))))</f>
        <v/>
      </c>
      <c r="AC179" s="56" t="n"/>
      <c r="AD179" s="51" t="n">
        <v>4</v>
      </c>
      <c r="AE179" s="156" t="inlineStr">
        <is>
          <t>WB OUTLET LERMA: 4</t>
        </is>
      </c>
      <c r="AF179" s="51" t="n">
        <v>4</v>
      </c>
      <c r="AG179" s="156" t="inlineStr">
        <is>
          <t>Nuevo – NetSuite con existencia</t>
        </is>
      </c>
      <c r="AH179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79" s="156" t="inlineStr">
        <is>
          <t>No</t>
        </is>
      </c>
      <c r="AJ179" s="156" t="n"/>
      <c r="AK179" s="155" t="inlineStr">
        <is>
          <t>ProductosCatalogoEstandar907.xlsx: fila 6036 [N,O,S,U,Y]; G1522_Extraccion_Articulos_NetSuite_2026-09-30.xlsx: fila 56773 [P,V,Y,S] | Shopify WB: producto 8569963184313 / variante 47621329027257</t>
        </is>
      </c>
      <c r="AL179" s="58" t="n">
        <v>869</v>
      </c>
      <c r="AM179" s="58" t="n">
        <v>1799.00000004</v>
      </c>
      <c r="AN179" s="155" t="inlineStr">
        <is>
          <t>Shopify Western Brothers</t>
        </is>
      </c>
      <c r="AO179" s="59" t="n"/>
      <c r="AP179" s="59" t="n">
        <v>4</v>
      </c>
      <c r="AQ179" s="59" t="n"/>
      <c r="AR179" s="155" t="inlineStr">
        <is>
          <t>Shopify Western Brothers › Western Brothers Outlet Lerma: 4</t>
        </is>
      </c>
    </row>
    <row r="180">
      <c r="A180" s="50" t="inlineStr">
        <is>
          <t>7506499570911</t>
        </is>
      </c>
      <c r="B180" s="51" t="inlineStr">
        <is>
          <t>108705</t>
        </is>
      </c>
      <c r="C180" s="156" t="inlineStr">
        <is>
          <t>Multimarca</t>
        </is>
      </c>
      <c r="D180" s="156" t="inlineStr">
        <is>
          <t>TXMTYSLD-19</t>
        </is>
      </c>
      <c r="E180" s="156" t="inlineStr">
        <is>
          <t>TXMTYSLD-19-63/4</t>
        </is>
      </c>
      <c r="F180" s="156" t="inlineStr">
        <is>
          <t>6 3/4</t>
        </is>
      </c>
      <c r="G180" s="156" t="inlineStr">
        <is>
          <t>6 3/4</t>
        </is>
      </c>
      <c r="H180" s="156" t="inlineStr">
        <is>
          <t>Denver</t>
        </is>
      </c>
      <c r="I180" s="156" t="inlineStr">
        <is>
          <t>Texana Denver sinaloa marino</t>
        </is>
      </c>
      <c r="J180" s="156" t="inlineStr">
        <is>
          <t>Accesorios</t>
        </is>
      </c>
      <c r="K180" s="156" t="inlineStr">
        <is>
          <t>Sombreros</t>
        </is>
      </c>
      <c r="L180" s="156" t="inlineStr">
        <is>
          <t>Unisex</t>
        </is>
      </c>
      <c r="M180" s="156" t="inlineStr">
        <is>
          <t>Denver</t>
        </is>
      </c>
      <c r="N180" s="156" t="inlineStr">
        <is>
          <t>SS26</t>
        </is>
      </c>
      <c r="O180" s="156" t="inlineStr">
        <is>
          <t>Core</t>
        </is>
      </c>
      <c r="P180" s="156" t="inlineStr">
        <is>
          <t>Azul</t>
        </is>
      </c>
      <c r="Q180" s="156" t="n"/>
      <c r="R180" s="156" t="n"/>
      <c r="S180" s="156" t="inlineStr">
        <is>
          <t>100% Lana</t>
        </is>
      </c>
      <c r="T180" s="156" t="inlineStr">
        <is>
          <t>Texana Denver sinaloa marino. Sombrero de la marca Denver. Estilo TXMTYSLD-19.</t>
        </is>
      </c>
      <c r="U180" s="156" t="inlineStr">
        <is>
          <t>México</t>
        </is>
      </c>
      <c r="V180" s="156" t="inlineStr">
        <is>
          <t>PZS</t>
        </is>
      </c>
      <c r="W180" s="51" t="inlineStr">
        <is>
          <t>53102503</t>
        </is>
      </c>
      <c r="X180" s="156" t="n"/>
      <c r="Y180" s="54" t="n">
        <v>869</v>
      </c>
      <c r="Z180" s="54" t="n">
        <v>1550.862069</v>
      </c>
      <c r="AA180" s="55">
        <f>IF(AND(A180="", B180="", E180=""), "", IF(AB180="", "Válido", IF((LEN(AB180)-LEN(SUBSTITUTE(AB180,"; ","")))/2+1&gt;(LEN(AB180)-LEN(SUBSTITUTE(AB180,"[Aviso]","")))/7, "Con Incidencias", "Válido")))</f>
        <v/>
      </c>
      <c r="AB180" s="56">
        <f>IF(AND(A180="", B180="", E180=""), "", TEXTJOIN("; ", TRUE, IF(OR(TRIM(A180&amp;"")="", ISNUMBER(SEARCH("FALTA", A180))), "UPC faltante/inválido", ""), IF(AND(A180&lt;&gt;"", IFERROR(_xlfn.XMATCH(A180,$A$2:$A$204,0,1)&lt;&gt;_xlfn.XMATCH(A180,$A$2:$A$204,0,-1),FALSE)), "Código de barras duplicado", ""), IF(AND(E180&lt;&gt;"", COUNTIF($E$2:$E$204, E180)&gt;1), "SKU duplicado", ""), IF(OR(J180="", J180=""), "[Aviso] División no capturada ()", IF(ISNA(MATCH(J180, Criterios!$A$123:$A$126, 0)), "División no válida", "")), IF(OR(K180="", K180=""), "[Aviso] Categoría no capturada ()", IF(ISNA(MATCH(K180, Criterios!$A$81:$A$120, 0)), "Categoría no válida", IF(AND(J180&lt;&gt;"", J180&lt;&gt;"", J180&lt;&gt;VLOOKUP(K180, Criterios!$A$81:$B$120, 2, FALSE)), "División no coincide con Categoría", ""))), IF(OR(L180="", L180=""), "[Aviso] Género no capturado ()", IF(ISNA(MATCH(L180, Criterios!$B$123:$B$127, 0)), "Género no válido", "")), IF(OR(N180="", N180=""), "[Aviso] Temporada no capturada ()", IF(ISNA(MATCH(N180, Criterios!$C$123:$C$128, 0)), "Temporada no válida", "")), IF(OR(O180="", O180=""), "[Aviso] Ciclo de vida no capturado ()", IF(ISNA(MATCH(O180, Criterios!$D$123:$D$124, 0)), "Ciclo de vida no válido", ""))))</f>
        <v/>
      </c>
      <c r="AC180" s="56" t="n"/>
      <c r="AD180" s="51" t="n">
        <v>2</v>
      </c>
      <c r="AE180" s="156" t="inlineStr">
        <is>
          <t>WB OUTLET LERMA: 2</t>
        </is>
      </c>
      <c r="AF180" s="51" t="n">
        <v>2</v>
      </c>
      <c r="AG180" s="156" t="inlineStr">
        <is>
          <t>Nuevo – NetSuite con existencia</t>
        </is>
      </c>
      <c r="AH180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80" s="156" t="inlineStr">
        <is>
          <t>No</t>
        </is>
      </c>
      <c r="AJ180" s="156" t="n"/>
      <c r="AK180" s="155" t="inlineStr">
        <is>
          <t>ProductosCatalogoEstandar907.xlsx: fila 6037 [N,O,S,U,Y]; G1522_Extraccion_Articulos_NetSuite_2026-09-30.xlsx: fila 56788 [P,V,Y,S] | Shopify WB: producto 8569963348153 / variante 47621329191097</t>
        </is>
      </c>
      <c r="AL180" s="58" t="n">
        <v>869</v>
      </c>
      <c r="AM180" s="58" t="n">
        <v>1799.00000004</v>
      </c>
      <c r="AN180" s="155" t="inlineStr">
        <is>
          <t>Shopify Western Brothers</t>
        </is>
      </c>
      <c r="AO180" s="59" t="n"/>
      <c r="AP180" s="59" t="n">
        <v>2</v>
      </c>
      <c r="AQ180" s="59" t="n"/>
      <c r="AR180" s="155" t="inlineStr">
        <is>
          <t>Shopify Western Brothers › Western Brothers Outlet Lerma: 2</t>
        </is>
      </c>
    </row>
    <row r="181">
      <c r="A181" s="50" t="inlineStr">
        <is>
          <t>7506499570912</t>
        </is>
      </c>
      <c r="B181" s="51" t="inlineStr">
        <is>
          <t>108706</t>
        </is>
      </c>
      <c r="C181" s="156" t="inlineStr">
        <is>
          <t>Multimarca</t>
        </is>
      </c>
      <c r="D181" s="156" t="inlineStr">
        <is>
          <t>TXMTYSLD-19</t>
        </is>
      </c>
      <c r="E181" s="156" t="inlineStr">
        <is>
          <t>TXMTYSLD-19-67/8</t>
        </is>
      </c>
      <c r="F181" s="156" t="inlineStr">
        <is>
          <t>6 7/8</t>
        </is>
      </c>
      <c r="G181" s="156" t="inlineStr">
        <is>
          <t>6 7/8</t>
        </is>
      </c>
      <c r="H181" s="156" t="inlineStr">
        <is>
          <t>Denver</t>
        </is>
      </c>
      <c r="I181" s="156" t="inlineStr">
        <is>
          <t>Texana Denver sinaloa marino</t>
        </is>
      </c>
      <c r="J181" s="156" t="inlineStr">
        <is>
          <t>Accesorios</t>
        </is>
      </c>
      <c r="K181" s="156" t="inlineStr">
        <is>
          <t>Sombreros</t>
        </is>
      </c>
      <c r="L181" s="156" t="inlineStr">
        <is>
          <t>Unisex</t>
        </is>
      </c>
      <c r="M181" s="156" t="inlineStr">
        <is>
          <t>Denver</t>
        </is>
      </c>
      <c r="N181" s="156" t="inlineStr">
        <is>
          <t>SS26</t>
        </is>
      </c>
      <c r="O181" s="156" t="inlineStr">
        <is>
          <t>Core</t>
        </is>
      </c>
      <c r="P181" s="156" t="inlineStr">
        <is>
          <t>Azul</t>
        </is>
      </c>
      <c r="Q181" s="156" t="n"/>
      <c r="R181" s="156" t="n"/>
      <c r="S181" s="156" t="inlineStr">
        <is>
          <t>100% Lana</t>
        </is>
      </c>
      <c r="T181" s="156" t="inlineStr">
        <is>
          <t>Texana Denver sinaloa marino. Sombrero de la marca Denver. Estilo TXMTYSLD-19.</t>
        </is>
      </c>
      <c r="U181" s="156" t="inlineStr">
        <is>
          <t>México</t>
        </is>
      </c>
      <c r="V181" s="156" t="inlineStr">
        <is>
          <t>PZS</t>
        </is>
      </c>
      <c r="W181" s="51" t="inlineStr">
        <is>
          <t>53102503</t>
        </is>
      </c>
      <c r="X181" s="156" t="n"/>
      <c r="Y181" s="54" t="n">
        <v>869</v>
      </c>
      <c r="Z181" s="54" t="n">
        <v>1550.862069</v>
      </c>
      <c r="AA181" s="55">
        <f>IF(AND(A181="", B181="", E181=""), "", IF(AB181="", "Válido", IF((LEN(AB181)-LEN(SUBSTITUTE(AB181,"; ","")))/2+1&gt;(LEN(AB181)-LEN(SUBSTITUTE(AB181,"[Aviso]","")))/7, "Con Incidencias", "Válido")))</f>
        <v/>
      </c>
      <c r="AB181" s="56">
        <f>IF(AND(A181="", B181="", E181=""), "", TEXTJOIN("; ", TRUE, IF(OR(TRIM(A181&amp;"")="", ISNUMBER(SEARCH("FALTA", A181))), "UPC faltante/inválido", ""), IF(AND(A181&lt;&gt;"", IFERROR(_xlfn.XMATCH(A181,$A$2:$A$204,0,1)&lt;&gt;_xlfn.XMATCH(A181,$A$2:$A$204,0,-1),FALSE)), "Código de barras duplicado", ""), IF(AND(E181&lt;&gt;"", COUNTIF($E$2:$E$204, E181)&gt;1), "SKU duplicado", ""), IF(OR(J181="", J181=""), "[Aviso] División no capturada ()", IF(ISNA(MATCH(J181, Criterios!$A$123:$A$126, 0)), "División no válida", "")), IF(OR(K181="", K181=""), "[Aviso] Categoría no capturada ()", IF(ISNA(MATCH(K181, Criterios!$A$81:$A$120, 0)), "Categoría no válida", IF(AND(J181&lt;&gt;"", J181&lt;&gt;"", J181&lt;&gt;VLOOKUP(K181, Criterios!$A$81:$B$120, 2, FALSE)), "División no coincide con Categoría", ""))), IF(OR(L181="", L181=""), "[Aviso] Género no capturado ()", IF(ISNA(MATCH(L181, Criterios!$B$123:$B$127, 0)), "Género no válido", "")), IF(OR(N181="", N181=""), "[Aviso] Temporada no capturada ()", IF(ISNA(MATCH(N181, Criterios!$C$123:$C$128, 0)), "Temporada no válida", "")), IF(OR(O181="", O181=""), "[Aviso] Ciclo de vida no capturado ()", IF(ISNA(MATCH(O181, Criterios!$D$123:$D$124, 0)), "Ciclo de vida no válido", ""))))</f>
        <v/>
      </c>
      <c r="AC181" s="56" t="n"/>
      <c r="AD181" s="51" t="n">
        <v>0</v>
      </c>
      <c r="AE181" s="156" t="n"/>
      <c r="AF181" s="51" t="n">
        <v>0</v>
      </c>
      <c r="AG181" s="156" t="inlineStr">
        <is>
          <t>Nuevo – NetSuite sin existencia</t>
        </is>
      </c>
      <c r="AH181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81" s="156" t="inlineStr">
        <is>
          <t>No</t>
        </is>
      </c>
      <c r="AJ181" s="156" t="n"/>
      <c r="AK181" s="155" t="inlineStr">
        <is>
          <t>ProductosCatalogoEstandar907.xlsx: fila 6038 [N,O,S,U,Y]; G1522_Extraccion_Articulos_NetSuite_2026-09-30.xlsx: fila 56789 [P,V,Y,S] | Shopify WB: producto 8569963348153 / variante 47621329223865</t>
        </is>
      </c>
      <c r="AL181" s="58" t="n">
        <v>869</v>
      </c>
      <c r="AM181" s="58" t="n">
        <v>1799.00000004</v>
      </c>
      <c r="AN181" s="155" t="inlineStr">
        <is>
          <t>Shopify Western Brothers</t>
        </is>
      </c>
      <c r="AO181" s="59" t="n"/>
      <c r="AP181" s="59" t="n">
        <v>0</v>
      </c>
      <c r="AQ181" s="59" t="n"/>
      <c r="AR181" s="155" t="n"/>
    </row>
    <row r="182">
      <c r="A182" s="50" t="inlineStr">
        <is>
          <t>7506499570913</t>
        </is>
      </c>
      <c r="B182" s="51" t="inlineStr">
        <is>
          <t>108707</t>
        </is>
      </c>
      <c r="C182" s="156" t="inlineStr">
        <is>
          <t>Multimarca</t>
        </is>
      </c>
      <c r="D182" s="156" t="inlineStr">
        <is>
          <t>TXMTYSLD-19</t>
        </is>
      </c>
      <c r="E182" s="156" t="inlineStr">
        <is>
          <t>TXMTYSLD-19-7</t>
        </is>
      </c>
      <c r="F182" s="156" t="inlineStr">
        <is>
          <t>7</t>
        </is>
      </c>
      <c r="G182" s="156" t="inlineStr">
        <is>
          <t>7</t>
        </is>
      </c>
      <c r="H182" s="156" t="inlineStr">
        <is>
          <t>Denver</t>
        </is>
      </c>
      <c r="I182" s="156" t="inlineStr">
        <is>
          <t>Texana Denver sinaloa marino</t>
        </is>
      </c>
      <c r="J182" s="156" t="inlineStr">
        <is>
          <t>Accesorios</t>
        </is>
      </c>
      <c r="K182" s="156" t="inlineStr">
        <is>
          <t>Sombreros</t>
        </is>
      </c>
      <c r="L182" s="156" t="inlineStr">
        <is>
          <t>Unisex</t>
        </is>
      </c>
      <c r="M182" s="156" t="inlineStr">
        <is>
          <t>Denver</t>
        </is>
      </c>
      <c r="N182" s="156" t="inlineStr">
        <is>
          <t>SS26</t>
        </is>
      </c>
      <c r="O182" s="156" t="inlineStr">
        <is>
          <t>Core</t>
        </is>
      </c>
      <c r="P182" s="156" t="inlineStr">
        <is>
          <t>Azul</t>
        </is>
      </c>
      <c r="Q182" s="156" t="n"/>
      <c r="R182" s="156" t="n"/>
      <c r="S182" s="156" t="inlineStr">
        <is>
          <t>100% Lana</t>
        </is>
      </c>
      <c r="T182" s="156" t="inlineStr">
        <is>
          <t>Texana Denver sinaloa marino. Sombrero de la marca Denver. Estilo TXMTYSLD-19.</t>
        </is>
      </c>
      <c r="U182" s="156" t="inlineStr">
        <is>
          <t>México</t>
        </is>
      </c>
      <c r="V182" s="156" t="inlineStr">
        <is>
          <t>PZS</t>
        </is>
      </c>
      <c r="W182" s="51" t="inlineStr">
        <is>
          <t>53102503</t>
        </is>
      </c>
      <c r="X182" s="156" t="n"/>
      <c r="Y182" s="54" t="n">
        <v>869</v>
      </c>
      <c r="Z182" s="54" t="n">
        <v>1550.862069</v>
      </c>
      <c r="AA182" s="55">
        <f>IF(AND(A182="", B182="", E182=""), "", IF(AB182="", "Válido", IF((LEN(AB182)-LEN(SUBSTITUTE(AB182,"; ","")))/2+1&gt;(LEN(AB182)-LEN(SUBSTITUTE(AB182,"[Aviso]","")))/7, "Con Incidencias", "Válido")))</f>
        <v/>
      </c>
      <c r="AB182" s="56">
        <f>IF(AND(A182="", B182="", E182=""), "", TEXTJOIN("; ", TRUE, IF(OR(TRIM(A182&amp;"")="", ISNUMBER(SEARCH("FALTA", A182))), "UPC faltante/inválido", ""), IF(AND(A182&lt;&gt;"", IFERROR(_xlfn.XMATCH(A182,$A$2:$A$204,0,1)&lt;&gt;_xlfn.XMATCH(A182,$A$2:$A$204,0,-1),FALSE)), "Código de barras duplicado", ""), IF(AND(E182&lt;&gt;"", COUNTIF($E$2:$E$204, E182)&gt;1), "SKU duplicado", ""), IF(OR(J182="", J182=""), "[Aviso] División no capturada ()", IF(ISNA(MATCH(J182, Criterios!$A$123:$A$126, 0)), "División no válida", "")), IF(OR(K182="", K182=""), "[Aviso] Categoría no capturada ()", IF(ISNA(MATCH(K182, Criterios!$A$81:$A$120, 0)), "Categoría no válida", IF(AND(J182&lt;&gt;"", J182&lt;&gt;"", J182&lt;&gt;VLOOKUP(K182, Criterios!$A$81:$B$120, 2, FALSE)), "División no coincide con Categoría", ""))), IF(OR(L182="", L182=""), "[Aviso] Género no capturado ()", IF(ISNA(MATCH(L182, Criterios!$B$123:$B$127, 0)), "Género no válido", "")), IF(OR(N182="", N182=""), "[Aviso] Temporada no capturada ()", IF(ISNA(MATCH(N182, Criterios!$C$123:$C$128, 0)), "Temporada no válida", "")), IF(OR(O182="", O182=""), "[Aviso] Ciclo de vida no capturado ()", IF(ISNA(MATCH(O182, Criterios!$D$123:$D$124, 0)), "Ciclo de vida no válido", ""))))</f>
        <v/>
      </c>
      <c r="AC182" s="56" t="n"/>
      <c r="AD182" s="51" t="n">
        <v>0</v>
      </c>
      <c r="AE182" s="156" t="n"/>
      <c r="AF182" s="51" t="n">
        <v>0</v>
      </c>
      <c r="AG182" s="156" t="inlineStr">
        <is>
          <t>Nuevo – NetSuite sin existencia</t>
        </is>
      </c>
      <c r="AH182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82" s="156" t="inlineStr">
        <is>
          <t>No</t>
        </is>
      </c>
      <c r="AJ182" s="156" t="n"/>
      <c r="AK182" s="155" t="inlineStr">
        <is>
          <t>ProductosCatalogoEstandar907.xlsx: fila 6039 [N,O,S,U,Y]; G1522_Extraccion_Articulos_NetSuite_2026-09-30.xlsx: fila 56790 [P,V,Y,S] | Shopify WB: producto 8569963348153 / variante 47621329256633</t>
        </is>
      </c>
      <c r="AL182" s="58" t="n">
        <v>869</v>
      </c>
      <c r="AM182" s="58" t="n">
        <v>1799.00000004</v>
      </c>
      <c r="AN182" s="155" t="inlineStr">
        <is>
          <t>Shopify Western Brothers</t>
        </is>
      </c>
      <c r="AO182" s="59" t="n"/>
      <c r="AP182" s="59" t="n">
        <v>0</v>
      </c>
      <c r="AQ182" s="59" t="n"/>
      <c r="AR182" s="155" t="n"/>
    </row>
    <row r="183">
      <c r="A183" s="50" t="inlineStr">
        <is>
          <t>7506499570914</t>
        </is>
      </c>
      <c r="B183" s="51" t="inlineStr">
        <is>
          <t>108708</t>
        </is>
      </c>
      <c r="C183" s="156" t="inlineStr">
        <is>
          <t>Multimarca</t>
        </is>
      </c>
      <c r="D183" s="156" t="inlineStr">
        <is>
          <t>TXMTYSLD-19</t>
        </is>
      </c>
      <c r="E183" s="156" t="inlineStr">
        <is>
          <t>TXMTYSLD-19-71/4</t>
        </is>
      </c>
      <c r="F183" s="156" t="inlineStr">
        <is>
          <t>7 1/4</t>
        </is>
      </c>
      <c r="G183" s="156" t="inlineStr">
        <is>
          <t>7 1/4</t>
        </is>
      </c>
      <c r="H183" s="156" t="inlineStr">
        <is>
          <t>Denver</t>
        </is>
      </c>
      <c r="I183" s="156" t="inlineStr">
        <is>
          <t>Texana Denver sinaloa marino</t>
        </is>
      </c>
      <c r="J183" s="156" t="inlineStr">
        <is>
          <t>Accesorios</t>
        </is>
      </c>
      <c r="K183" s="156" t="inlineStr">
        <is>
          <t>Sombreros</t>
        </is>
      </c>
      <c r="L183" s="156" t="inlineStr">
        <is>
          <t>Unisex</t>
        </is>
      </c>
      <c r="M183" s="156" t="inlineStr">
        <is>
          <t>Denver</t>
        </is>
      </c>
      <c r="N183" s="156" t="inlineStr">
        <is>
          <t>SS26</t>
        </is>
      </c>
      <c r="O183" s="156" t="inlineStr">
        <is>
          <t>Core</t>
        </is>
      </c>
      <c r="P183" s="156" t="inlineStr">
        <is>
          <t>Azul</t>
        </is>
      </c>
      <c r="Q183" s="156" t="n"/>
      <c r="R183" s="156" t="n"/>
      <c r="S183" s="156" t="inlineStr">
        <is>
          <t>100% Lana</t>
        </is>
      </c>
      <c r="T183" s="156" t="inlineStr">
        <is>
          <t>Texana Denver sinaloa marino. Sombrero de la marca Denver. Estilo TXMTYSLD-19.</t>
        </is>
      </c>
      <c r="U183" s="156" t="inlineStr">
        <is>
          <t>México</t>
        </is>
      </c>
      <c r="V183" s="156" t="inlineStr">
        <is>
          <t>PZS</t>
        </is>
      </c>
      <c r="W183" s="51" t="inlineStr">
        <is>
          <t>53102503</t>
        </is>
      </c>
      <c r="X183" s="156" t="n"/>
      <c r="Y183" s="54" t="n">
        <v>869</v>
      </c>
      <c r="Z183" s="54" t="n">
        <v>1550.862069</v>
      </c>
      <c r="AA183" s="55">
        <f>IF(AND(A183="", B183="", E183=""), "", IF(AB183="", "Válido", IF((LEN(AB183)-LEN(SUBSTITUTE(AB183,"; ","")))/2+1&gt;(LEN(AB183)-LEN(SUBSTITUTE(AB183,"[Aviso]","")))/7, "Con Incidencias", "Válido")))</f>
        <v/>
      </c>
      <c r="AB183" s="56">
        <f>IF(AND(A183="", B183="", E183=""), "", TEXTJOIN("; ", TRUE, IF(OR(TRIM(A183&amp;"")="", ISNUMBER(SEARCH("FALTA", A183))), "UPC faltante/inválido", ""), IF(AND(A183&lt;&gt;"", IFERROR(_xlfn.XMATCH(A183,$A$2:$A$204,0,1)&lt;&gt;_xlfn.XMATCH(A183,$A$2:$A$204,0,-1),FALSE)), "Código de barras duplicado", ""), IF(AND(E183&lt;&gt;"", COUNTIF($E$2:$E$204, E183)&gt;1), "SKU duplicado", ""), IF(OR(J183="", J183=""), "[Aviso] División no capturada ()", IF(ISNA(MATCH(J183, Criterios!$A$123:$A$126, 0)), "División no válida", "")), IF(OR(K183="", K183=""), "[Aviso] Categoría no capturada ()", IF(ISNA(MATCH(K183, Criterios!$A$81:$A$120, 0)), "Categoría no válida", IF(AND(J183&lt;&gt;"", J183&lt;&gt;"", J183&lt;&gt;VLOOKUP(K183, Criterios!$A$81:$B$120, 2, FALSE)), "División no coincide con Categoría", ""))), IF(OR(L183="", L183=""), "[Aviso] Género no capturado ()", IF(ISNA(MATCH(L183, Criterios!$B$123:$B$127, 0)), "Género no válido", "")), IF(OR(N183="", N183=""), "[Aviso] Temporada no capturada ()", IF(ISNA(MATCH(N183, Criterios!$C$123:$C$128, 0)), "Temporada no válida", "")), IF(OR(O183="", O183=""), "[Aviso] Ciclo de vida no capturado ()", IF(ISNA(MATCH(O183, Criterios!$D$123:$D$124, 0)), "Ciclo de vida no válido", ""))))</f>
        <v/>
      </c>
      <c r="AC183" s="56" t="n"/>
      <c r="AD183" s="51" t="n">
        <v>0</v>
      </c>
      <c r="AE183" s="156" t="n"/>
      <c r="AF183" s="51" t="n">
        <v>0</v>
      </c>
      <c r="AG183" s="156" t="inlineStr">
        <is>
          <t>Nuevo – NetSuite sin existencia</t>
        </is>
      </c>
      <c r="AH183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83" s="156" t="inlineStr">
        <is>
          <t>No</t>
        </is>
      </c>
      <c r="AJ183" s="156" t="n"/>
      <c r="AK183" s="155" t="inlineStr">
        <is>
          <t>ProductosCatalogoEstandar907.xlsx: fila 6040 [N,O,S,U,Y]; G1522_Extraccion_Articulos_NetSuite_2026-09-30.xlsx: fila 56791 [P,V,Y,S] | Shopify WB: producto 8569963348153 / variante 47621329289401</t>
        </is>
      </c>
      <c r="AL183" s="58" t="n">
        <v>869</v>
      </c>
      <c r="AM183" s="58" t="n">
        <v>1799.00000004</v>
      </c>
      <c r="AN183" s="155" t="inlineStr">
        <is>
          <t>Shopify Western Brothers</t>
        </is>
      </c>
      <c r="AO183" s="59" t="n"/>
      <c r="AP183" s="59" t="n">
        <v>0</v>
      </c>
      <c r="AQ183" s="59" t="n"/>
      <c r="AR183" s="155" t="n"/>
    </row>
    <row r="184">
      <c r="A184" s="50" t="inlineStr">
        <is>
          <t>7506499570915</t>
        </is>
      </c>
      <c r="B184" s="51" t="inlineStr">
        <is>
          <t>108709</t>
        </is>
      </c>
      <c r="C184" s="156" t="inlineStr">
        <is>
          <t>Multimarca</t>
        </is>
      </c>
      <c r="D184" s="156" t="inlineStr">
        <is>
          <t>TXMTYSLD-19</t>
        </is>
      </c>
      <c r="E184" s="156" t="inlineStr">
        <is>
          <t>TXMTYSLD-19-73/8</t>
        </is>
      </c>
      <c r="F184" s="156" t="inlineStr">
        <is>
          <t>7 3/8</t>
        </is>
      </c>
      <c r="G184" s="156" t="inlineStr">
        <is>
          <t>7 3/8</t>
        </is>
      </c>
      <c r="H184" s="156" t="inlineStr">
        <is>
          <t>Denver</t>
        </is>
      </c>
      <c r="I184" s="156" t="inlineStr">
        <is>
          <t>Texana Denver sinaloa marino</t>
        </is>
      </c>
      <c r="J184" s="156" t="inlineStr">
        <is>
          <t>Accesorios</t>
        </is>
      </c>
      <c r="K184" s="156" t="inlineStr">
        <is>
          <t>Sombreros</t>
        </is>
      </c>
      <c r="L184" s="156" t="inlineStr">
        <is>
          <t>Unisex</t>
        </is>
      </c>
      <c r="M184" s="156" t="inlineStr">
        <is>
          <t>Denver</t>
        </is>
      </c>
      <c r="N184" s="156" t="inlineStr">
        <is>
          <t>SS26</t>
        </is>
      </c>
      <c r="O184" s="156" t="inlineStr">
        <is>
          <t>Core</t>
        </is>
      </c>
      <c r="P184" s="156" t="inlineStr">
        <is>
          <t>Azul</t>
        </is>
      </c>
      <c r="Q184" s="156" t="n"/>
      <c r="R184" s="156" t="n"/>
      <c r="S184" s="156" t="inlineStr">
        <is>
          <t>100% Lana</t>
        </is>
      </c>
      <c r="T184" s="156" t="inlineStr">
        <is>
          <t>Texana Denver sinaloa marino. Sombrero de la marca Denver. Estilo TXMTYSLD-19.</t>
        </is>
      </c>
      <c r="U184" s="156" t="inlineStr">
        <is>
          <t>México</t>
        </is>
      </c>
      <c r="V184" s="156" t="inlineStr">
        <is>
          <t>PZS</t>
        </is>
      </c>
      <c r="W184" s="51" t="inlineStr">
        <is>
          <t>53102503</t>
        </is>
      </c>
      <c r="X184" s="156" t="n"/>
      <c r="Y184" s="54" t="n">
        <v>869</v>
      </c>
      <c r="Z184" s="54" t="n">
        <v>1550.862069</v>
      </c>
      <c r="AA184" s="55">
        <f>IF(AND(A184="", B184="", E184=""), "", IF(AB184="", "Válido", IF((LEN(AB184)-LEN(SUBSTITUTE(AB184,"; ","")))/2+1&gt;(LEN(AB184)-LEN(SUBSTITUTE(AB184,"[Aviso]","")))/7, "Con Incidencias", "Válido")))</f>
        <v/>
      </c>
      <c r="AB184" s="56">
        <f>IF(AND(A184="", B184="", E184=""), "", TEXTJOIN("; ", TRUE, IF(OR(TRIM(A184&amp;"")="", ISNUMBER(SEARCH("FALTA", A184))), "UPC faltante/inválido", ""), IF(AND(A184&lt;&gt;"", IFERROR(_xlfn.XMATCH(A184,$A$2:$A$204,0,1)&lt;&gt;_xlfn.XMATCH(A184,$A$2:$A$204,0,-1),FALSE)), "Código de barras duplicado", ""), IF(AND(E184&lt;&gt;"", COUNTIF($E$2:$E$204, E184)&gt;1), "SKU duplicado", ""), IF(OR(J184="", J184=""), "[Aviso] División no capturada ()", IF(ISNA(MATCH(J184, Criterios!$A$123:$A$126, 0)), "División no válida", "")), IF(OR(K184="", K184=""), "[Aviso] Categoría no capturada ()", IF(ISNA(MATCH(K184, Criterios!$A$81:$A$120, 0)), "Categoría no válida", IF(AND(J184&lt;&gt;"", J184&lt;&gt;"", J184&lt;&gt;VLOOKUP(K184, Criterios!$A$81:$B$120, 2, FALSE)), "División no coincide con Categoría", ""))), IF(OR(L184="", L184=""), "[Aviso] Género no capturado ()", IF(ISNA(MATCH(L184, Criterios!$B$123:$B$127, 0)), "Género no válido", "")), IF(OR(N184="", N184=""), "[Aviso] Temporada no capturada ()", IF(ISNA(MATCH(N184, Criterios!$C$123:$C$128, 0)), "Temporada no válida", "")), IF(OR(O184="", O184=""), "[Aviso] Ciclo de vida no capturado ()", IF(ISNA(MATCH(O184, Criterios!$D$123:$D$124, 0)), "Ciclo de vida no válido", ""))))</f>
        <v/>
      </c>
      <c r="AC184" s="56" t="n"/>
      <c r="AD184" s="51" t="n">
        <v>0</v>
      </c>
      <c r="AE184" s="156" t="n"/>
      <c r="AF184" s="51" t="n">
        <v>0</v>
      </c>
      <c r="AG184" s="156" t="inlineStr">
        <is>
          <t>Nuevo – NetSuite sin existencia</t>
        </is>
      </c>
      <c r="AH184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 · Validación G1522: Dígito de control del código de barras inválido</t>
        </is>
      </c>
      <c r="AI184" s="156" t="inlineStr">
        <is>
          <t>No</t>
        </is>
      </c>
      <c r="AJ184" s="156" t="n"/>
      <c r="AK184" s="155" t="inlineStr">
        <is>
          <t>ProductosCatalogoEstandar907.xlsx: fila 6041 [N,O,S,U,Y]; G1522_Extraccion_Articulos_NetSuite_2026-09-30.xlsx: fila 56792 [P,V,Y,S] | Shopify WB: producto 8569963348153 / variante 47621329322169</t>
        </is>
      </c>
      <c r="AL184" s="58" t="n">
        <v>869</v>
      </c>
      <c r="AM184" s="58" t="n">
        <v>1799.00000004</v>
      </c>
      <c r="AN184" s="155" t="inlineStr">
        <is>
          <t>Shopify Western Brothers</t>
        </is>
      </c>
      <c r="AO184" s="59" t="n"/>
      <c r="AP184" s="59" t="n">
        <v>0</v>
      </c>
      <c r="AQ184" s="59" t="n"/>
      <c r="AR184" s="155" t="n"/>
    </row>
    <row r="185">
      <c r="A185" s="50" t="inlineStr">
        <is>
          <t>7506499570916</t>
        </is>
      </c>
      <c r="B185" s="51" t="inlineStr">
        <is>
          <t>108710</t>
        </is>
      </c>
      <c r="C185" s="156" t="inlineStr">
        <is>
          <t>Multimarca</t>
        </is>
      </c>
      <c r="D185" s="156" t="inlineStr">
        <is>
          <t>TXMTYSLD-19</t>
        </is>
      </c>
      <c r="E185" s="156" t="inlineStr">
        <is>
          <t>TXMTYSLD-19-71/2</t>
        </is>
      </c>
      <c r="F185" s="156" t="inlineStr">
        <is>
          <t>7 1/2</t>
        </is>
      </c>
      <c r="G185" s="156" t="inlineStr">
        <is>
          <t>7 1/2</t>
        </is>
      </c>
      <c r="H185" s="156" t="inlineStr">
        <is>
          <t>Denver</t>
        </is>
      </c>
      <c r="I185" s="156" t="inlineStr">
        <is>
          <t>Texana Denver sinaloa marino</t>
        </is>
      </c>
      <c r="J185" s="156" t="inlineStr">
        <is>
          <t>Accesorios</t>
        </is>
      </c>
      <c r="K185" s="156" t="inlineStr">
        <is>
          <t>Sombreros</t>
        </is>
      </c>
      <c r="L185" s="156" t="inlineStr">
        <is>
          <t>Unisex</t>
        </is>
      </c>
      <c r="M185" s="156" t="inlineStr">
        <is>
          <t>Denver</t>
        </is>
      </c>
      <c r="N185" s="156" t="inlineStr">
        <is>
          <t>SS26</t>
        </is>
      </c>
      <c r="O185" s="156" t="inlineStr">
        <is>
          <t>Core</t>
        </is>
      </c>
      <c r="P185" s="156" t="inlineStr">
        <is>
          <t>Azul</t>
        </is>
      </c>
      <c r="Q185" s="156" t="n"/>
      <c r="R185" s="156" t="n"/>
      <c r="S185" s="156" t="inlineStr">
        <is>
          <t>100% Lana</t>
        </is>
      </c>
      <c r="T185" s="156" t="inlineStr">
        <is>
          <t>Texana Denver sinaloa marino. Sombrero de la marca Denver. Estilo TXMTYSLD-19.</t>
        </is>
      </c>
      <c r="U185" s="156" t="inlineStr">
        <is>
          <t>México</t>
        </is>
      </c>
      <c r="V185" s="156" t="inlineStr">
        <is>
          <t>PZS</t>
        </is>
      </c>
      <c r="W185" s="51" t="inlineStr">
        <is>
          <t>53102503</t>
        </is>
      </c>
      <c r="X185" s="156" t="n"/>
      <c r="Y185" s="54" t="n">
        <v>869</v>
      </c>
      <c r="Z185" s="54" t="n">
        <v>1550.862069</v>
      </c>
      <c r="AA185" s="55">
        <f>IF(AND(A185="", B185="", E185=""), "", IF(AB185="", "Válido", IF((LEN(AB185)-LEN(SUBSTITUTE(AB185,"; ","")))/2+1&gt;(LEN(AB185)-LEN(SUBSTITUTE(AB185,"[Aviso]","")))/7, "Con Incidencias", "Válido")))</f>
        <v/>
      </c>
      <c r="AB185" s="56">
        <f>IF(AND(A185="", B185="", E185=""), "", TEXTJOIN("; ", TRUE, IF(OR(TRIM(A185&amp;"")="", ISNUMBER(SEARCH("FALTA", A185))), "UPC faltante/inválido", ""), IF(AND(A185&lt;&gt;"", IFERROR(_xlfn.XMATCH(A185,$A$2:$A$204,0,1)&lt;&gt;_xlfn.XMATCH(A185,$A$2:$A$204,0,-1),FALSE)), "Código de barras duplicado", ""), IF(AND(E185&lt;&gt;"", COUNTIF($E$2:$E$204, E185)&gt;1), "SKU duplicado", ""), IF(OR(J185="", J185=""), "[Aviso] División no capturada ()", IF(ISNA(MATCH(J185, Criterios!$A$123:$A$126, 0)), "División no válida", "")), IF(OR(K185="", K185=""), "[Aviso] Categoría no capturada ()", IF(ISNA(MATCH(K185, Criterios!$A$81:$A$120, 0)), "Categoría no válida", IF(AND(J185&lt;&gt;"", J185&lt;&gt;"", J185&lt;&gt;VLOOKUP(K185, Criterios!$A$81:$B$120, 2, FALSE)), "División no coincide con Categoría", ""))), IF(OR(L185="", L185=""), "[Aviso] Género no capturado ()", IF(ISNA(MATCH(L185, Criterios!$B$123:$B$127, 0)), "Género no válido", "")), IF(OR(N185="", N185=""), "[Aviso] Temporada no capturada ()", IF(ISNA(MATCH(N185, Criterios!$C$123:$C$128, 0)), "Temporada no válida", "")), IF(OR(O185="", O185=""), "[Aviso] Ciclo de vida no capturado ()", IF(ISNA(MATCH(O185, Criterios!$D$123:$D$124, 0)), "Ciclo de vida no válido", ""))))</f>
        <v/>
      </c>
      <c r="AC185" s="56" t="n"/>
      <c r="AD185" s="51" t="n">
        <v>0</v>
      </c>
      <c r="AE185" s="156" t="n"/>
      <c r="AF185" s="51" t="n">
        <v>0</v>
      </c>
      <c r="AG185" s="156" t="inlineStr">
        <is>
          <t>Nuevo – NetSuite sin existencia</t>
        </is>
      </c>
      <c r="AH185" s="156" t="inlineStr">
        <is>
          <t>Revisión 29/09/2026: Campos sin respaldo: R, X; Auditoría NetSuite 30/09/2026: llenado desde NetSuite [P,V,Y,S] | 01/10/2026: complementado desde Shopify Western Brothers (match por código de barras): WB Fit | Homologación G1522 06/10/2026: WB Fit: «» → «Regular» (Completado desde NetSuite) · WB Fit: «Regular» → «» (Corrección aplicada)</t>
        </is>
      </c>
      <c r="AI185" s="156" t="inlineStr">
        <is>
          <t>No</t>
        </is>
      </c>
      <c r="AJ185" s="156" t="n"/>
      <c r="AK185" s="155" t="inlineStr">
        <is>
          <t>ProductosCatalogoEstandar907.xlsx: fila 6042 [N,O,S,U,Y]; G1522_Extraccion_Articulos_NetSuite_2026-09-30.xlsx: fila 56793 [P,V,Y,S] | Shopify WB: producto 8569963348153 / variante 47621329354937</t>
        </is>
      </c>
      <c r="AL185" s="58" t="n">
        <v>869</v>
      </c>
      <c r="AM185" s="58" t="n">
        <v>1799.00000004</v>
      </c>
      <c r="AN185" s="155" t="inlineStr">
        <is>
          <t>Shopify Western Brothers</t>
        </is>
      </c>
      <c r="AO185" s="59" t="n"/>
      <c r="AP185" s="59" t="n">
        <v>0</v>
      </c>
      <c r="AQ185" s="59" t="n"/>
      <c r="AR185" s="155" t="n"/>
    </row>
    <row r="186">
      <c r="A186" s="50" t="inlineStr">
        <is>
          <t>7506499566926</t>
        </is>
      </c>
      <c r="B186" s="51" t="inlineStr">
        <is>
          <t>108476</t>
        </is>
      </c>
      <c r="C186" s="156" t="inlineStr">
        <is>
          <t>Multimarca</t>
        </is>
      </c>
      <c r="D186" s="156" t="inlineStr">
        <is>
          <t>VE908-PP4</t>
        </is>
      </c>
      <c r="E186" s="156" t="inlineStr">
        <is>
          <t>VE908-PP4-S</t>
        </is>
      </c>
      <c r="F186" s="156" t="inlineStr">
        <is>
          <t>S</t>
        </is>
      </c>
      <c r="G186" s="156" t="inlineStr">
        <is>
          <t>S</t>
        </is>
      </c>
      <c r="H186" s="156" t="inlineStr">
        <is>
          <t>Denver</t>
        </is>
      </c>
      <c r="I186" s="156" t="inlineStr">
        <is>
          <t>Chaleco Denver Hombre Azul</t>
        </is>
      </c>
      <c r="J186" s="156" t="inlineStr">
        <is>
          <t>Ropa</t>
        </is>
      </c>
      <c r="K186" s="156" t="inlineStr">
        <is>
          <t>Chalecos</t>
        </is>
      </c>
      <c r="L186" s="156" t="inlineStr">
        <is>
          <t>Hombre</t>
        </is>
      </c>
      <c r="M186" s="156" t="inlineStr">
        <is>
          <t>Denver</t>
        </is>
      </c>
      <c r="N186" s="156" t="inlineStr">
        <is>
          <t>FW26</t>
        </is>
      </c>
      <c r="O186" s="156" t="inlineStr">
        <is>
          <t>Seasonal</t>
        </is>
      </c>
      <c r="P186" s="156" t="inlineStr">
        <is>
          <t>Azul</t>
        </is>
      </c>
      <c r="Q186" s="156" t="inlineStr">
        <is>
          <t>Regular</t>
        </is>
      </c>
      <c r="R186" s="156" t="n"/>
      <c r="S186" s="156" t="inlineStr">
        <is>
          <t>100% Poliéster</t>
        </is>
      </c>
      <c r="T186" s="156" t="inlineStr">
        <is>
          <t>Chaleco Denver Hombre Azul Regular</t>
        </is>
      </c>
      <c r="U186" s="156" t="inlineStr">
        <is>
          <t>China</t>
        </is>
      </c>
      <c r="V186" s="156" t="inlineStr">
        <is>
          <t>PZS</t>
        </is>
      </c>
      <c r="W186" s="51" t="inlineStr">
        <is>
          <t>53101802</t>
        </is>
      </c>
      <c r="X186" s="156" t="n"/>
      <c r="Y186" s="54" t="n">
        <v>534.65</v>
      </c>
      <c r="Z186" s="54" t="n">
        <v>1076.724138</v>
      </c>
      <c r="AA186" s="55">
        <f>IF(AND(A186="", B186="", E186=""), "", IF(AB186="", "Válido", IF((LEN(AB186)-LEN(SUBSTITUTE(AB186,"; ","")))/2+1&gt;(LEN(AB186)-LEN(SUBSTITUTE(AB186,"[Aviso]","")))/7, "Con Incidencias", "Válido")))</f>
        <v/>
      </c>
      <c r="AB186" s="56">
        <f>IF(AND(A186="", B186="", E186=""), "", TEXTJOIN("; ", TRUE, IF(OR(TRIM(A186&amp;"")="", ISNUMBER(SEARCH("FALTA", A186))), "UPC faltante/inválido", ""), IF(AND(A186&lt;&gt;"", IFERROR(_xlfn.XMATCH(A186,$A$2:$A$204,0,1)&lt;&gt;_xlfn.XMATCH(A186,$A$2:$A$204,0,-1),FALSE)), "Código de barras duplicado", ""), IF(AND(E186&lt;&gt;"", COUNTIF($E$2:$E$204, E186)&gt;1), "SKU duplicado", ""), IF(OR(J186="", J186=""), "[Aviso] División no capturada ()", IF(ISNA(MATCH(J186, Criterios!$A$123:$A$126, 0)), "División no válida", "")), IF(OR(K186="", K186=""), "[Aviso] Categoría no capturada ()", IF(ISNA(MATCH(K186, Criterios!$A$81:$A$120, 0)), "Categoría no válida", IF(AND(J186&lt;&gt;"", J186&lt;&gt;"", J186&lt;&gt;VLOOKUP(K186, Criterios!$A$81:$B$120, 2, FALSE)), "División no coincide con Categoría", ""))), IF(OR(L186="", L186=""), "[Aviso] Género no capturado ()", IF(ISNA(MATCH(L186, Criterios!$B$123:$B$127, 0)), "Género no válido", "")), IF(OR(N186="", N186=""), "[Aviso] Temporada no capturada ()", IF(ISNA(MATCH(N186, Criterios!$C$123:$C$128, 0)), "Temporada no válida", "")), IF(OR(O186="", O186=""), "[Aviso] Ciclo de vida no capturado ()", IF(ISNA(MATCH(O186, Criterios!$D$123:$D$124, 0)), "Ciclo de vida no válido", ""))))</f>
        <v/>
      </c>
      <c r="AC186" s="56" t="n"/>
      <c r="AD186" s="51" t="n">
        <v>0</v>
      </c>
      <c r="AE186" s="156" t="n"/>
      <c r="AF186" s="51" t="n">
        <v>0</v>
      </c>
      <c r="AG186" s="156" t="inlineStr">
        <is>
          <t>Nuevo – NetSuite sin existencia</t>
        </is>
      </c>
      <c r="AH186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86" s="156" t="inlineStr">
        <is>
          <t>No</t>
        </is>
      </c>
      <c r="AJ186" s="156" t="n"/>
      <c r="AK186" s="155" t="inlineStr">
        <is>
          <t>ProductosCatalogoEstandar907.xlsx: fila 6043 [N,O,Q,S,U,Y]; G1522_Extraccion_Articulos_NetSuite_2026-09-30.xlsx: fila 56635 [P,V,Y,T] | Shopify WB: producto 8569963511993 / variante 47621329518777</t>
        </is>
      </c>
      <c r="AL186" s="58" t="n">
        <v>534.65</v>
      </c>
      <c r="AM186" s="58" t="n">
        <v>1249.00000008</v>
      </c>
      <c r="AN186" s="155" t="inlineStr">
        <is>
          <t>Shopify Western Brothers</t>
        </is>
      </c>
      <c r="AO186" s="59" t="n"/>
      <c r="AP186" s="59" t="n">
        <v>0</v>
      </c>
      <c r="AQ186" s="59" t="n"/>
      <c r="AR186" s="155" t="n"/>
    </row>
    <row r="187">
      <c r="A187" s="50" t="inlineStr">
        <is>
          <t>7506499566933</t>
        </is>
      </c>
      <c r="B187" s="51" t="inlineStr">
        <is>
          <t>108477</t>
        </is>
      </c>
      <c r="C187" s="156" t="inlineStr">
        <is>
          <t>Multimarca</t>
        </is>
      </c>
      <c r="D187" s="156" t="inlineStr">
        <is>
          <t>VE908-PP4</t>
        </is>
      </c>
      <c r="E187" s="156" t="inlineStr">
        <is>
          <t>VE908-PP4-M</t>
        </is>
      </c>
      <c r="F187" s="156" t="inlineStr">
        <is>
          <t>M</t>
        </is>
      </c>
      <c r="G187" s="156" t="inlineStr">
        <is>
          <t>M</t>
        </is>
      </c>
      <c r="H187" s="156" t="inlineStr">
        <is>
          <t>Denver</t>
        </is>
      </c>
      <c r="I187" s="156" t="inlineStr">
        <is>
          <t>Chaleco Denver Hombre Azul</t>
        </is>
      </c>
      <c r="J187" s="156" t="inlineStr">
        <is>
          <t>Ropa</t>
        </is>
      </c>
      <c r="K187" s="156" t="inlineStr">
        <is>
          <t>Chalecos</t>
        </is>
      </c>
      <c r="L187" s="156" t="inlineStr">
        <is>
          <t>Hombre</t>
        </is>
      </c>
      <c r="M187" s="156" t="inlineStr">
        <is>
          <t>Denver</t>
        </is>
      </c>
      <c r="N187" s="156" t="inlineStr">
        <is>
          <t>FW26</t>
        </is>
      </c>
      <c r="O187" s="156" t="inlineStr">
        <is>
          <t>Seasonal</t>
        </is>
      </c>
      <c r="P187" s="156" t="inlineStr">
        <is>
          <t>Azul</t>
        </is>
      </c>
      <c r="Q187" s="156" t="inlineStr">
        <is>
          <t>Regular</t>
        </is>
      </c>
      <c r="R187" s="156" t="n"/>
      <c r="S187" s="156" t="inlineStr">
        <is>
          <t>100% Poliéster</t>
        </is>
      </c>
      <c r="T187" s="156" t="inlineStr">
        <is>
          <t>Chaleco Denver Hombre Azul Regular</t>
        </is>
      </c>
      <c r="U187" s="156" t="inlineStr">
        <is>
          <t>China</t>
        </is>
      </c>
      <c r="V187" s="156" t="inlineStr">
        <is>
          <t>PZS</t>
        </is>
      </c>
      <c r="W187" s="51" t="inlineStr">
        <is>
          <t>53101802</t>
        </is>
      </c>
      <c r="X187" s="156" t="n"/>
      <c r="Y187" s="54" t="n">
        <v>534.65</v>
      </c>
      <c r="Z187" s="54" t="n">
        <v>1076.724138</v>
      </c>
      <c r="AA187" s="55">
        <f>IF(AND(A187="", B187="", E187=""), "", IF(AB187="", "Válido", IF((LEN(AB187)-LEN(SUBSTITUTE(AB187,"; ","")))/2+1&gt;(LEN(AB187)-LEN(SUBSTITUTE(AB187,"[Aviso]","")))/7, "Con Incidencias", "Válido")))</f>
        <v/>
      </c>
      <c r="AB187" s="56">
        <f>IF(AND(A187="", B187="", E187=""), "", TEXTJOIN("; ", TRUE, IF(OR(TRIM(A187&amp;"")="", ISNUMBER(SEARCH("FALTA", A187))), "UPC faltante/inválido", ""), IF(AND(A187&lt;&gt;"", IFERROR(_xlfn.XMATCH(A187,$A$2:$A$204,0,1)&lt;&gt;_xlfn.XMATCH(A187,$A$2:$A$204,0,-1),FALSE)), "Código de barras duplicado", ""), IF(AND(E187&lt;&gt;"", COUNTIF($E$2:$E$204, E187)&gt;1), "SKU duplicado", ""), IF(OR(J187="", J187=""), "[Aviso] División no capturada ()", IF(ISNA(MATCH(J187, Criterios!$A$123:$A$126, 0)), "División no válida", "")), IF(OR(K187="", K187=""), "[Aviso] Categoría no capturada ()", IF(ISNA(MATCH(K187, Criterios!$A$81:$A$120, 0)), "Categoría no válida", IF(AND(J187&lt;&gt;"", J187&lt;&gt;"", J187&lt;&gt;VLOOKUP(K187, Criterios!$A$81:$B$120, 2, FALSE)), "División no coincide con Categoría", ""))), IF(OR(L187="", L187=""), "[Aviso] Género no capturado ()", IF(ISNA(MATCH(L187, Criterios!$B$123:$B$127, 0)), "Género no válido", "")), IF(OR(N187="", N187=""), "[Aviso] Temporada no capturada ()", IF(ISNA(MATCH(N187, Criterios!$C$123:$C$128, 0)), "Temporada no válida", "")), IF(OR(O187="", O187=""), "[Aviso] Ciclo de vida no capturado ()", IF(ISNA(MATCH(O187, Criterios!$D$123:$D$124, 0)), "Ciclo de vida no válido", ""))))</f>
        <v/>
      </c>
      <c r="AC187" s="56" t="n"/>
      <c r="AD187" s="51" t="n">
        <v>0</v>
      </c>
      <c r="AE187" s="156" t="n"/>
      <c r="AF187" s="51" t="n">
        <v>0</v>
      </c>
      <c r="AG187" s="156" t="inlineStr">
        <is>
          <t>Nuevo – NetSuite sin existencia</t>
        </is>
      </c>
      <c r="AH187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87" s="156" t="inlineStr">
        <is>
          <t>No</t>
        </is>
      </c>
      <c r="AJ187" s="156" t="n"/>
      <c r="AK187" s="155" t="inlineStr">
        <is>
          <t>ProductosCatalogoEstandar907.xlsx: fila 6044 [N,O,Q,S,U,Y]; G1522_Extraccion_Articulos_NetSuite_2026-09-30.xlsx: fila 56636 [P,V,Y,T] | Shopify WB: producto 8569963511993 / variante 47621329551545</t>
        </is>
      </c>
      <c r="AL187" s="58" t="n">
        <v>534.65</v>
      </c>
      <c r="AM187" s="58" t="n">
        <v>1249.00000008</v>
      </c>
      <c r="AN187" s="155" t="inlineStr">
        <is>
          <t>Shopify Western Brothers</t>
        </is>
      </c>
      <c r="AO187" s="59" t="n"/>
      <c r="AP187" s="59" t="n">
        <v>0</v>
      </c>
      <c r="AQ187" s="59" t="n"/>
      <c r="AR187" s="155" t="n"/>
    </row>
    <row r="188">
      <c r="A188" s="50" t="inlineStr">
        <is>
          <t>7506499566940</t>
        </is>
      </c>
      <c r="B188" s="51" t="inlineStr">
        <is>
          <t>108478</t>
        </is>
      </c>
      <c r="C188" s="156" t="inlineStr">
        <is>
          <t>Multimarca</t>
        </is>
      </c>
      <c r="D188" s="156" t="inlineStr">
        <is>
          <t>VE908-PP4</t>
        </is>
      </c>
      <c r="E188" s="156" t="inlineStr">
        <is>
          <t>VE908-PP4-L</t>
        </is>
      </c>
      <c r="F188" s="156" t="inlineStr">
        <is>
          <t>L</t>
        </is>
      </c>
      <c r="G188" s="156" t="inlineStr">
        <is>
          <t>L</t>
        </is>
      </c>
      <c r="H188" s="156" t="inlineStr">
        <is>
          <t>Denver</t>
        </is>
      </c>
      <c r="I188" s="156" t="inlineStr">
        <is>
          <t>Chaleco Denver Hombre Azul</t>
        </is>
      </c>
      <c r="J188" s="156" t="inlineStr">
        <is>
          <t>Ropa</t>
        </is>
      </c>
      <c r="K188" s="156" t="inlineStr">
        <is>
          <t>Chalecos</t>
        </is>
      </c>
      <c r="L188" s="156" t="inlineStr">
        <is>
          <t>Hombre</t>
        </is>
      </c>
      <c r="M188" s="156" t="inlineStr">
        <is>
          <t>Denver</t>
        </is>
      </c>
      <c r="N188" s="156" t="inlineStr">
        <is>
          <t>FW26</t>
        </is>
      </c>
      <c r="O188" s="156" t="inlineStr">
        <is>
          <t>Seasonal</t>
        </is>
      </c>
      <c r="P188" s="156" t="inlineStr">
        <is>
          <t>Azul</t>
        </is>
      </c>
      <c r="Q188" s="156" t="inlineStr">
        <is>
          <t>Regular</t>
        </is>
      </c>
      <c r="R188" s="156" t="n"/>
      <c r="S188" s="156" t="inlineStr">
        <is>
          <t>100% Poliéster</t>
        </is>
      </c>
      <c r="T188" s="156" t="inlineStr">
        <is>
          <t>Chaleco Denver Hombre Azul Regular</t>
        </is>
      </c>
      <c r="U188" s="156" t="inlineStr">
        <is>
          <t>China</t>
        </is>
      </c>
      <c r="V188" s="156" t="inlineStr">
        <is>
          <t>PZS</t>
        </is>
      </c>
      <c r="W188" s="51" t="inlineStr">
        <is>
          <t>53101802</t>
        </is>
      </c>
      <c r="X188" s="156" t="n"/>
      <c r="Y188" s="54" t="n">
        <v>534.65</v>
      </c>
      <c r="Z188" s="54" t="n">
        <v>1076.724138</v>
      </c>
      <c r="AA188" s="55">
        <f>IF(AND(A188="", B188="", E188=""), "", IF(AB188="", "Válido", IF((LEN(AB188)-LEN(SUBSTITUTE(AB188,"; ","")))/2+1&gt;(LEN(AB188)-LEN(SUBSTITUTE(AB188,"[Aviso]","")))/7, "Con Incidencias", "Válido")))</f>
        <v/>
      </c>
      <c r="AB188" s="56">
        <f>IF(AND(A188="", B188="", E188=""), "", TEXTJOIN("; ", TRUE, IF(OR(TRIM(A188&amp;"")="", ISNUMBER(SEARCH("FALTA", A188))), "UPC faltante/inválido", ""), IF(AND(A188&lt;&gt;"", IFERROR(_xlfn.XMATCH(A188,$A$2:$A$204,0,1)&lt;&gt;_xlfn.XMATCH(A188,$A$2:$A$204,0,-1),FALSE)), "Código de barras duplicado", ""), IF(AND(E188&lt;&gt;"", COUNTIF($E$2:$E$204, E188)&gt;1), "SKU duplicado", ""), IF(OR(J188="", J188=""), "[Aviso] División no capturada ()", IF(ISNA(MATCH(J188, Criterios!$A$123:$A$126, 0)), "División no válida", "")), IF(OR(K188="", K188=""), "[Aviso] Categoría no capturada ()", IF(ISNA(MATCH(K188, Criterios!$A$81:$A$120, 0)), "Categoría no válida", IF(AND(J188&lt;&gt;"", J188&lt;&gt;"", J188&lt;&gt;VLOOKUP(K188, Criterios!$A$81:$B$120, 2, FALSE)), "División no coincide con Categoría", ""))), IF(OR(L188="", L188=""), "[Aviso] Género no capturado ()", IF(ISNA(MATCH(L188, Criterios!$B$123:$B$127, 0)), "Género no válido", "")), IF(OR(N188="", N188=""), "[Aviso] Temporada no capturada ()", IF(ISNA(MATCH(N188, Criterios!$C$123:$C$128, 0)), "Temporada no válida", "")), IF(OR(O188="", O188=""), "[Aviso] Ciclo de vida no capturado ()", IF(ISNA(MATCH(O188, Criterios!$D$123:$D$124, 0)), "Ciclo de vida no válido", ""))))</f>
        <v/>
      </c>
      <c r="AC188" s="56" t="n"/>
      <c r="AD188" s="51" t="n">
        <v>0</v>
      </c>
      <c r="AE188" s="156" t="n"/>
      <c r="AF188" s="51" t="n">
        <v>0</v>
      </c>
      <c r="AG188" s="156" t="inlineStr">
        <is>
          <t>Nuevo – NetSuite sin existencia</t>
        </is>
      </c>
      <c r="AH188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88" s="156" t="inlineStr">
        <is>
          <t>No</t>
        </is>
      </c>
      <c r="AJ188" s="156" t="n"/>
      <c r="AK188" s="155" t="inlineStr">
        <is>
          <t>ProductosCatalogoEstandar907.xlsx: fila 6045 [N,O,Q,S,U,Y]; G1522_Extraccion_Articulos_NetSuite_2026-09-30.xlsx: fila 56637 [P,V,Y,T] | Shopify WB: producto 8569963511993 / variante 47621329584313</t>
        </is>
      </c>
      <c r="AL188" s="58" t="n">
        <v>534.65</v>
      </c>
      <c r="AM188" s="58" t="n">
        <v>1249.00000008</v>
      </c>
      <c r="AN188" s="155" t="inlineStr">
        <is>
          <t>Shopify Western Brothers</t>
        </is>
      </c>
      <c r="AO188" s="59" t="n"/>
      <c r="AP188" s="59" t="n">
        <v>0</v>
      </c>
      <c r="AQ188" s="59" t="n"/>
      <c r="AR188" s="155" t="n"/>
    </row>
    <row r="189">
      <c r="A189" s="50" t="inlineStr">
        <is>
          <t>7506499566957</t>
        </is>
      </c>
      <c r="B189" s="51" t="inlineStr">
        <is>
          <t>108479</t>
        </is>
      </c>
      <c r="C189" s="156" t="inlineStr">
        <is>
          <t>Multimarca</t>
        </is>
      </c>
      <c r="D189" s="156" t="inlineStr">
        <is>
          <t>VE908-PP4</t>
        </is>
      </c>
      <c r="E189" s="156" t="inlineStr">
        <is>
          <t>VE908-PP4-XL</t>
        </is>
      </c>
      <c r="F189" s="156" t="inlineStr">
        <is>
          <t>XL</t>
        </is>
      </c>
      <c r="G189" s="156" t="inlineStr">
        <is>
          <t>XL</t>
        </is>
      </c>
      <c r="H189" s="156" t="inlineStr">
        <is>
          <t>Denver</t>
        </is>
      </c>
      <c r="I189" s="156" t="inlineStr">
        <is>
          <t>Chaleco Denver Hombre Azul</t>
        </is>
      </c>
      <c r="J189" s="156" t="inlineStr">
        <is>
          <t>Ropa</t>
        </is>
      </c>
      <c r="K189" s="156" t="inlineStr">
        <is>
          <t>Chalecos</t>
        </is>
      </c>
      <c r="L189" s="156" t="inlineStr">
        <is>
          <t>Hombre</t>
        </is>
      </c>
      <c r="M189" s="156" t="inlineStr">
        <is>
          <t>Denver</t>
        </is>
      </c>
      <c r="N189" s="156" t="inlineStr">
        <is>
          <t>FW26</t>
        </is>
      </c>
      <c r="O189" s="156" t="inlineStr">
        <is>
          <t>Seasonal</t>
        </is>
      </c>
      <c r="P189" s="156" t="inlineStr">
        <is>
          <t>Azul</t>
        </is>
      </c>
      <c r="Q189" s="156" t="inlineStr">
        <is>
          <t>Regular</t>
        </is>
      </c>
      <c r="R189" s="156" t="n"/>
      <c r="S189" s="156" t="inlineStr">
        <is>
          <t>100% Poliéster</t>
        </is>
      </c>
      <c r="T189" s="156" t="inlineStr">
        <is>
          <t>Chaleco Denver Hombre Azul Regular</t>
        </is>
      </c>
      <c r="U189" s="156" t="inlineStr">
        <is>
          <t>China</t>
        </is>
      </c>
      <c r="V189" s="156" t="inlineStr">
        <is>
          <t>PZS</t>
        </is>
      </c>
      <c r="W189" s="51" t="inlineStr">
        <is>
          <t>53101802</t>
        </is>
      </c>
      <c r="X189" s="156" t="n"/>
      <c r="Y189" s="54" t="n">
        <v>534.65</v>
      </c>
      <c r="Z189" s="54" t="n">
        <v>1076.724138</v>
      </c>
      <c r="AA189" s="55">
        <f>IF(AND(A189="", B189="", E189=""), "", IF(AB189="", "Válido", IF((LEN(AB189)-LEN(SUBSTITUTE(AB189,"; ","")))/2+1&gt;(LEN(AB189)-LEN(SUBSTITUTE(AB189,"[Aviso]","")))/7, "Con Incidencias", "Válido")))</f>
        <v/>
      </c>
      <c r="AB189" s="56">
        <f>IF(AND(A189="", B189="", E189=""), "", TEXTJOIN("; ", TRUE, IF(OR(TRIM(A189&amp;"")="", ISNUMBER(SEARCH("FALTA", A189))), "UPC faltante/inválido", ""), IF(AND(A189&lt;&gt;"", IFERROR(_xlfn.XMATCH(A189,$A$2:$A$204,0,1)&lt;&gt;_xlfn.XMATCH(A189,$A$2:$A$204,0,-1),FALSE)), "Código de barras duplicado", ""), IF(AND(E189&lt;&gt;"", COUNTIF($E$2:$E$204, E189)&gt;1), "SKU duplicado", ""), IF(OR(J189="", J189=""), "[Aviso] División no capturada ()", IF(ISNA(MATCH(J189, Criterios!$A$123:$A$126, 0)), "División no válida", "")), IF(OR(K189="", K189=""), "[Aviso] Categoría no capturada ()", IF(ISNA(MATCH(K189, Criterios!$A$81:$A$120, 0)), "Categoría no válida", IF(AND(J189&lt;&gt;"", J189&lt;&gt;"", J189&lt;&gt;VLOOKUP(K189, Criterios!$A$81:$B$120, 2, FALSE)), "División no coincide con Categoría", ""))), IF(OR(L189="", L189=""), "[Aviso] Género no capturado ()", IF(ISNA(MATCH(L189, Criterios!$B$123:$B$127, 0)), "Género no válido", "")), IF(OR(N189="", N189=""), "[Aviso] Temporada no capturada ()", IF(ISNA(MATCH(N189, Criterios!$C$123:$C$128, 0)), "Temporada no válida", "")), IF(OR(O189="", O189=""), "[Aviso] Ciclo de vida no capturado ()", IF(ISNA(MATCH(O189, Criterios!$D$123:$D$124, 0)), "Ciclo de vida no válido", ""))))</f>
        <v/>
      </c>
      <c r="AC189" s="56" t="n"/>
      <c r="AD189" s="51" t="n">
        <v>1</v>
      </c>
      <c r="AE189" s="156" t="inlineStr">
        <is>
          <t>WB OUTLET LERMA: 1</t>
        </is>
      </c>
      <c r="AF189" s="51" t="n">
        <v>1</v>
      </c>
      <c r="AG189" s="156" t="inlineStr">
        <is>
          <t>Nuevo – NetSuite con existencia</t>
        </is>
      </c>
      <c r="AH189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89" s="156" t="inlineStr">
        <is>
          <t>No</t>
        </is>
      </c>
      <c r="AJ189" s="156" t="n"/>
      <c r="AK189" s="155" t="inlineStr">
        <is>
          <t>ProductosCatalogoEstandar907.xlsx: fila 6046 [N,O,Q,S,U,Y]; G1522_Extraccion_Articulos_NetSuite_2026-09-30.xlsx: fila 56638 [P,V,Y,T] | Shopify WB: producto 8569963511993 / variante 47621329617081</t>
        </is>
      </c>
      <c r="AL189" s="58" t="n">
        <v>534.65</v>
      </c>
      <c r="AM189" s="58" t="n">
        <v>1249.00000008</v>
      </c>
      <c r="AN189" s="155" t="inlineStr">
        <is>
          <t>Shopify Western Brothers</t>
        </is>
      </c>
      <c r="AO189" s="59" t="n"/>
      <c r="AP189" s="59" t="n">
        <v>1</v>
      </c>
      <c r="AQ189" s="59" t="n"/>
      <c r="AR189" s="155" t="inlineStr">
        <is>
          <t>Shopify Western Brothers › Western Brothers Outlet Lerma: 1</t>
        </is>
      </c>
    </row>
    <row r="190">
      <c r="A190" s="50" t="inlineStr">
        <is>
          <t>7506499532631</t>
        </is>
      </c>
      <c r="B190" s="51" t="inlineStr">
        <is>
          <t>108480</t>
        </is>
      </c>
      <c r="C190" s="156" t="inlineStr">
        <is>
          <t>Multimarca</t>
        </is>
      </c>
      <c r="D190" s="156" t="inlineStr">
        <is>
          <t>WJK917-FG29-5</t>
        </is>
      </c>
      <c r="E190" s="156" t="inlineStr">
        <is>
          <t>WJK917-FG29-5-S</t>
        </is>
      </c>
      <c r="F190" s="156" t="inlineStr">
        <is>
          <t>S</t>
        </is>
      </c>
      <c r="G190" s="156" t="inlineStr">
        <is>
          <t>S</t>
        </is>
      </c>
      <c r="H190" s="156" t="inlineStr">
        <is>
          <t>Denver</t>
        </is>
      </c>
      <c r="I190" s="156" t="inlineStr">
        <is>
          <t>Chaqueta Denver Mujer Rojo</t>
        </is>
      </c>
      <c r="J190" s="156" t="inlineStr">
        <is>
          <t>Ropa</t>
        </is>
      </c>
      <c r="K190" s="156" t="inlineStr">
        <is>
          <t>Chamarras</t>
        </is>
      </c>
      <c r="L190" s="156" t="inlineStr">
        <is>
          <t>Mujer</t>
        </is>
      </c>
      <c r="M190" s="156" t="inlineStr">
        <is>
          <t>Denver</t>
        </is>
      </c>
      <c r="N190" s="156" t="inlineStr">
        <is>
          <t>FW26</t>
        </is>
      </c>
      <c r="O190" s="156" t="inlineStr">
        <is>
          <t>Seasonal</t>
        </is>
      </c>
      <c r="P190" s="156" t="inlineStr">
        <is>
          <t>Rojo</t>
        </is>
      </c>
      <c r="Q190" s="156" t="inlineStr">
        <is>
          <t>Regular</t>
        </is>
      </c>
      <c r="R190" s="156" t="n"/>
      <c r="S190" s="156" t="inlineStr">
        <is>
          <t>100% Poliéster</t>
        </is>
      </c>
      <c r="T190" s="156" t="inlineStr">
        <is>
          <t>Chaqueta Denver Mujer Rojo Regular</t>
        </is>
      </c>
      <c r="U190" s="156" t="inlineStr">
        <is>
          <t>China</t>
        </is>
      </c>
      <c r="V190" s="156" t="inlineStr">
        <is>
          <t>PZS</t>
        </is>
      </c>
      <c r="W190" s="51" t="inlineStr">
        <is>
          <t>53101804</t>
        </is>
      </c>
      <c r="X190" s="156" t="n"/>
      <c r="Y190" s="54" t="n">
        <v>589.5</v>
      </c>
      <c r="Z190" s="54" t="n">
        <v>1378.448276</v>
      </c>
      <c r="AA190" s="55">
        <f>IF(AND(A190="", B190="", E190=""), "", IF(AB190="", "Válido", IF((LEN(AB190)-LEN(SUBSTITUTE(AB190,"; ","")))/2+1&gt;(LEN(AB190)-LEN(SUBSTITUTE(AB190,"[Aviso]","")))/7, "Con Incidencias", "Válido")))</f>
        <v/>
      </c>
      <c r="AB190" s="56">
        <f>IF(AND(A190="", B190="", E190=""), "", TEXTJOIN("; ", TRUE, IF(OR(TRIM(A190&amp;"")="", ISNUMBER(SEARCH("FALTA", A190))), "UPC faltante/inválido", ""), IF(AND(A190&lt;&gt;"", IFERROR(_xlfn.XMATCH(A190,$A$2:$A$204,0,1)&lt;&gt;_xlfn.XMATCH(A190,$A$2:$A$204,0,-1),FALSE)), "Código de barras duplicado", ""), IF(AND(E190&lt;&gt;"", COUNTIF($E$2:$E$204, E190)&gt;1), "SKU duplicado", ""), IF(OR(J190="", J190=""), "[Aviso] División no capturada ()", IF(ISNA(MATCH(J190, Criterios!$A$123:$A$126, 0)), "División no válida", "")), IF(OR(K190="", K190=""), "[Aviso] Categoría no capturada ()", IF(ISNA(MATCH(K190, Criterios!$A$81:$A$120, 0)), "Categoría no válida", IF(AND(J190&lt;&gt;"", J190&lt;&gt;"", J190&lt;&gt;VLOOKUP(K190, Criterios!$A$81:$B$120, 2, FALSE)), "División no coincide con Categoría", ""))), IF(OR(L190="", L190=""), "[Aviso] Género no capturado ()", IF(ISNA(MATCH(L190, Criterios!$B$123:$B$127, 0)), "Género no válido", "")), IF(OR(N190="", N190=""), "[Aviso] Temporada no capturada ()", IF(ISNA(MATCH(N190, Criterios!$C$123:$C$128, 0)), "Temporada no válida", "")), IF(OR(O190="", O190=""), "[Aviso] Ciclo de vida no capturado ()", IF(ISNA(MATCH(O190, Criterios!$D$123:$D$124, 0)), "Ciclo de vida no válido", ""))))</f>
        <v/>
      </c>
      <c r="AC190" s="56" t="n"/>
      <c r="AD190" s="51" t="n">
        <v>1</v>
      </c>
      <c r="AE190" s="156" t="inlineStr">
        <is>
          <t>WB OUTLET LERMA: 1</t>
        </is>
      </c>
      <c r="AF190" s="51" t="n">
        <v>1</v>
      </c>
      <c r="AG190" s="156" t="inlineStr">
        <is>
          <t>Nuevo – NetSuite con existencia</t>
        </is>
      </c>
      <c r="AH190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90" s="156" t="inlineStr">
        <is>
          <t>No</t>
        </is>
      </c>
      <c r="AJ190" s="156" t="n"/>
      <c r="AK190" s="155" t="inlineStr">
        <is>
          <t>ProductosCatalogoEstandar907.xlsx: fila 6124 [N,O,Q,S,U,Y]; G1522_Extraccion_Articulos_NetSuite_2026-09-30.xlsx: fila 56639 [P,V,Y,T] | Shopify WB: producto 8569963708601 / variante 47621329682617</t>
        </is>
      </c>
      <c r="AL190" s="58" t="n">
        <v>589.5</v>
      </c>
      <c r="AM190" s="58" t="n">
        <v>1599.00000016</v>
      </c>
      <c r="AN190" s="155" t="inlineStr">
        <is>
          <t>Shopify Western Brothers</t>
        </is>
      </c>
      <c r="AO190" s="59" t="n"/>
      <c r="AP190" s="59" t="n">
        <v>1</v>
      </c>
      <c r="AQ190" s="59" t="n"/>
      <c r="AR190" s="155" t="inlineStr">
        <is>
          <t>Shopify Western Brothers › Western Brothers Outlet Lerma: 1</t>
        </is>
      </c>
    </row>
    <row r="191">
      <c r="A191" s="50" t="inlineStr">
        <is>
          <t>7506499532648</t>
        </is>
      </c>
      <c r="B191" s="51" t="inlineStr">
        <is>
          <t>108481</t>
        </is>
      </c>
      <c r="C191" s="156" t="inlineStr">
        <is>
          <t>Multimarca</t>
        </is>
      </c>
      <c r="D191" s="156" t="inlineStr">
        <is>
          <t>WJK917-FG29-5</t>
        </is>
      </c>
      <c r="E191" s="156" t="inlineStr">
        <is>
          <t>WJK917-FG29-5-M</t>
        </is>
      </c>
      <c r="F191" s="156" t="inlineStr">
        <is>
          <t>M</t>
        </is>
      </c>
      <c r="G191" s="156" t="inlineStr">
        <is>
          <t>M</t>
        </is>
      </c>
      <c r="H191" s="156" t="inlineStr">
        <is>
          <t>Denver</t>
        </is>
      </c>
      <c r="I191" s="156" t="inlineStr">
        <is>
          <t>Chaqueta Denver Mujer Rojo</t>
        </is>
      </c>
      <c r="J191" s="156" t="inlineStr">
        <is>
          <t>Ropa</t>
        </is>
      </c>
      <c r="K191" s="156" t="inlineStr">
        <is>
          <t>Chamarras</t>
        </is>
      </c>
      <c r="L191" s="156" t="inlineStr">
        <is>
          <t>Mujer</t>
        </is>
      </c>
      <c r="M191" s="156" t="inlineStr">
        <is>
          <t>Denver</t>
        </is>
      </c>
      <c r="N191" s="156" t="inlineStr">
        <is>
          <t>FW26</t>
        </is>
      </c>
      <c r="O191" s="156" t="inlineStr">
        <is>
          <t>Seasonal</t>
        </is>
      </c>
      <c r="P191" s="156" t="inlineStr">
        <is>
          <t>Rojo</t>
        </is>
      </c>
      <c r="Q191" s="156" t="inlineStr">
        <is>
          <t>Regular</t>
        </is>
      </c>
      <c r="R191" s="156" t="n"/>
      <c r="S191" s="156" t="inlineStr">
        <is>
          <t>100% Poliéster</t>
        </is>
      </c>
      <c r="T191" s="156" t="inlineStr">
        <is>
          <t>Chaqueta Denver Mujer Rojo Regular</t>
        </is>
      </c>
      <c r="U191" s="156" t="inlineStr">
        <is>
          <t>China</t>
        </is>
      </c>
      <c r="V191" s="156" t="inlineStr">
        <is>
          <t>PZS</t>
        </is>
      </c>
      <c r="W191" s="51" t="inlineStr">
        <is>
          <t>53101804</t>
        </is>
      </c>
      <c r="X191" s="156" t="n"/>
      <c r="Y191" s="54" t="n">
        <v>589.5</v>
      </c>
      <c r="Z191" s="54" t="n">
        <v>1378.448276</v>
      </c>
      <c r="AA191" s="55">
        <f>IF(AND(A191="", B191="", E191=""), "", IF(AB191="", "Válido", IF((LEN(AB191)-LEN(SUBSTITUTE(AB191,"; ","")))/2+1&gt;(LEN(AB191)-LEN(SUBSTITUTE(AB191,"[Aviso]","")))/7, "Con Incidencias", "Válido")))</f>
        <v/>
      </c>
      <c r="AB191" s="56">
        <f>IF(AND(A191="", B191="", E191=""), "", TEXTJOIN("; ", TRUE, IF(OR(TRIM(A191&amp;"")="", ISNUMBER(SEARCH("FALTA", A191))), "UPC faltante/inválido", ""), IF(AND(A191&lt;&gt;"", IFERROR(_xlfn.XMATCH(A191,$A$2:$A$204,0,1)&lt;&gt;_xlfn.XMATCH(A191,$A$2:$A$204,0,-1),FALSE)), "Código de barras duplicado", ""), IF(AND(E191&lt;&gt;"", COUNTIF($E$2:$E$204, E191)&gt;1), "SKU duplicado", ""), IF(OR(J191="", J191=""), "[Aviso] División no capturada ()", IF(ISNA(MATCH(J191, Criterios!$A$123:$A$126, 0)), "División no válida", "")), IF(OR(K191="", K191=""), "[Aviso] Categoría no capturada ()", IF(ISNA(MATCH(K191, Criterios!$A$81:$A$120, 0)), "Categoría no válida", IF(AND(J191&lt;&gt;"", J191&lt;&gt;"", J191&lt;&gt;VLOOKUP(K191, Criterios!$A$81:$B$120, 2, FALSE)), "División no coincide con Categoría", ""))), IF(OR(L191="", L191=""), "[Aviso] Género no capturado ()", IF(ISNA(MATCH(L191, Criterios!$B$123:$B$127, 0)), "Género no válido", "")), IF(OR(N191="", N191=""), "[Aviso] Temporada no capturada ()", IF(ISNA(MATCH(N191, Criterios!$C$123:$C$128, 0)), "Temporada no válida", "")), IF(OR(O191="", O191=""), "[Aviso] Ciclo de vida no capturado ()", IF(ISNA(MATCH(O191, Criterios!$D$123:$D$124, 0)), "Ciclo de vida no válido", ""))))</f>
        <v/>
      </c>
      <c r="AC191" s="56" t="n"/>
      <c r="AD191" s="51" t="n">
        <v>0</v>
      </c>
      <c r="AE191" s="156" t="n"/>
      <c r="AF191" s="51" t="n">
        <v>0</v>
      </c>
      <c r="AG191" s="156" t="inlineStr">
        <is>
          <t>Nuevo – NetSuite sin existencia</t>
        </is>
      </c>
      <c r="AH191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91" s="156" t="inlineStr">
        <is>
          <t>No</t>
        </is>
      </c>
      <c r="AJ191" s="156" t="n"/>
      <c r="AK191" s="155" t="inlineStr">
        <is>
          <t>ProductosCatalogoEstandar907.xlsx: fila 6125 [N,O,Q,S,U,Y]; G1522_Extraccion_Articulos_NetSuite_2026-09-30.xlsx: fila 56640 [P,V,Y,T] | Shopify WB: producto 8569963708601 / variante 47621329715385</t>
        </is>
      </c>
      <c r="AL191" s="58" t="n">
        <v>589.5</v>
      </c>
      <c r="AM191" s="58" t="n">
        <v>1599.00000016</v>
      </c>
      <c r="AN191" s="155" t="inlineStr">
        <is>
          <t>Shopify Western Brothers</t>
        </is>
      </c>
      <c r="AO191" s="59" t="n"/>
      <c r="AP191" s="59" t="n">
        <v>0</v>
      </c>
      <c r="AQ191" s="59" t="n"/>
      <c r="AR191" s="155" t="n"/>
    </row>
    <row r="192">
      <c r="A192" s="50" t="inlineStr">
        <is>
          <t>7506499532655</t>
        </is>
      </c>
      <c r="B192" s="51" t="inlineStr">
        <is>
          <t>108482</t>
        </is>
      </c>
      <c r="C192" s="156" t="inlineStr">
        <is>
          <t>Multimarca</t>
        </is>
      </c>
      <c r="D192" s="156" t="inlineStr">
        <is>
          <t>WJK917-FG29-5</t>
        </is>
      </c>
      <c r="E192" s="156" t="inlineStr">
        <is>
          <t>WJK917-FG29-5-L</t>
        </is>
      </c>
      <c r="F192" s="156" t="inlineStr">
        <is>
          <t>L</t>
        </is>
      </c>
      <c r="G192" s="156" t="inlineStr">
        <is>
          <t>L</t>
        </is>
      </c>
      <c r="H192" s="156" t="inlineStr">
        <is>
          <t>Denver</t>
        </is>
      </c>
      <c r="I192" s="156" t="inlineStr">
        <is>
          <t>Chaqueta Denver Mujer Rojo</t>
        </is>
      </c>
      <c r="J192" s="156" t="inlineStr">
        <is>
          <t>Ropa</t>
        </is>
      </c>
      <c r="K192" s="156" t="inlineStr">
        <is>
          <t>Chamarras</t>
        </is>
      </c>
      <c r="L192" s="156" t="inlineStr">
        <is>
          <t>Mujer</t>
        </is>
      </c>
      <c r="M192" s="156" t="inlineStr">
        <is>
          <t>Denver</t>
        </is>
      </c>
      <c r="N192" s="156" t="inlineStr">
        <is>
          <t>FW26</t>
        </is>
      </c>
      <c r="O192" s="156" t="inlineStr">
        <is>
          <t>Seasonal</t>
        </is>
      </c>
      <c r="P192" s="156" t="inlineStr">
        <is>
          <t>Rojo</t>
        </is>
      </c>
      <c r="Q192" s="156" t="inlineStr">
        <is>
          <t>Regular</t>
        </is>
      </c>
      <c r="R192" s="156" t="n"/>
      <c r="S192" s="156" t="inlineStr">
        <is>
          <t>100% Poliéster</t>
        </is>
      </c>
      <c r="T192" s="156" t="inlineStr">
        <is>
          <t>Chaqueta Denver Mujer Rojo Regular</t>
        </is>
      </c>
      <c r="U192" s="156" t="inlineStr">
        <is>
          <t>China</t>
        </is>
      </c>
      <c r="V192" s="156" t="inlineStr">
        <is>
          <t>PZS</t>
        </is>
      </c>
      <c r="W192" s="51" t="inlineStr">
        <is>
          <t>53101804</t>
        </is>
      </c>
      <c r="X192" s="156" t="n"/>
      <c r="Y192" s="54" t="n">
        <v>589.5</v>
      </c>
      <c r="Z192" s="54" t="n">
        <v>1378.448276</v>
      </c>
      <c r="AA192" s="55">
        <f>IF(AND(A192="", B192="", E192=""), "", IF(AB192="", "Válido", IF((LEN(AB192)-LEN(SUBSTITUTE(AB192,"; ","")))/2+1&gt;(LEN(AB192)-LEN(SUBSTITUTE(AB192,"[Aviso]","")))/7, "Con Incidencias", "Válido")))</f>
        <v/>
      </c>
      <c r="AB192" s="56">
        <f>IF(AND(A192="", B192="", E192=""), "", TEXTJOIN("; ", TRUE, IF(OR(TRIM(A192&amp;"")="", ISNUMBER(SEARCH("FALTA", A192))), "UPC faltante/inválido", ""), IF(AND(A192&lt;&gt;"", IFERROR(_xlfn.XMATCH(A192,$A$2:$A$204,0,1)&lt;&gt;_xlfn.XMATCH(A192,$A$2:$A$204,0,-1),FALSE)), "Código de barras duplicado", ""), IF(AND(E192&lt;&gt;"", COUNTIF($E$2:$E$204, E192)&gt;1), "SKU duplicado", ""), IF(OR(J192="", J192=""), "[Aviso] División no capturada ()", IF(ISNA(MATCH(J192, Criterios!$A$123:$A$126, 0)), "División no válida", "")), IF(OR(K192="", K192=""), "[Aviso] Categoría no capturada ()", IF(ISNA(MATCH(K192, Criterios!$A$81:$A$120, 0)), "Categoría no válida", IF(AND(J192&lt;&gt;"", J192&lt;&gt;"", J192&lt;&gt;VLOOKUP(K192, Criterios!$A$81:$B$120, 2, FALSE)), "División no coincide con Categoría", ""))), IF(OR(L192="", L192=""), "[Aviso] Género no capturado ()", IF(ISNA(MATCH(L192, Criterios!$B$123:$B$127, 0)), "Género no válido", "")), IF(OR(N192="", N192=""), "[Aviso] Temporada no capturada ()", IF(ISNA(MATCH(N192, Criterios!$C$123:$C$128, 0)), "Temporada no válida", "")), IF(OR(O192="", O192=""), "[Aviso] Ciclo de vida no capturado ()", IF(ISNA(MATCH(O192, Criterios!$D$123:$D$124, 0)), "Ciclo de vida no válido", ""))))</f>
        <v/>
      </c>
      <c r="AC192" s="56" t="n"/>
      <c r="AD192" s="51" t="n">
        <v>-1</v>
      </c>
      <c r="AE192" s="156" t="n"/>
      <c r="AF192" s="51" t="n">
        <v>0</v>
      </c>
      <c r="AG192" s="156" t="inlineStr">
        <is>
          <t>Nuevo – NetSuite con existencia</t>
        </is>
      </c>
      <c r="AH192" s="156" t="inlineStr">
        <is>
          <t>Stock negativo en sistema: revisar en conteo | 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92" s="156" t="inlineStr">
        <is>
          <t>Sí</t>
        </is>
      </c>
      <c r="AJ192" s="156" t="inlineStr">
        <is>
          <t>WB OUTLET LERMA: -1</t>
        </is>
      </c>
      <c r="AK192" s="155" t="inlineStr">
        <is>
          <t>ProductosCatalogoEstandar907.xlsx: fila 6126 [N,O,Q,S,U,Y]; G1522_Extraccion_Articulos_NetSuite_2026-09-30.xlsx: fila 56641 [P,V,Y,T] | Shopify WB: producto 8569963708601 / variante 47621329748153</t>
        </is>
      </c>
      <c r="AL192" s="58" t="n">
        <v>589.5</v>
      </c>
      <c r="AM192" s="58" t="n">
        <v>1599.00000016</v>
      </c>
      <c r="AN192" s="155" t="inlineStr">
        <is>
          <t>Shopify Western Brothers</t>
        </is>
      </c>
      <c r="AO192" s="59" t="n"/>
      <c r="AP192" s="59" t="n">
        <v>-1</v>
      </c>
      <c r="AQ192" s="59" t="n"/>
      <c r="AR192" s="155" t="n"/>
    </row>
    <row r="193">
      <c r="A193" s="50" t="inlineStr">
        <is>
          <t>7506499566537</t>
        </is>
      </c>
      <c r="B193" s="51" t="inlineStr">
        <is>
          <t>108483</t>
        </is>
      </c>
      <c r="C193" s="156" t="inlineStr">
        <is>
          <t>Multimarca</t>
        </is>
      </c>
      <c r="D193" s="156" t="inlineStr">
        <is>
          <t>WJK929-KT1</t>
        </is>
      </c>
      <c r="E193" s="156" t="inlineStr">
        <is>
          <t>WJK929-KT1-S</t>
        </is>
      </c>
      <c r="F193" s="156" t="inlineStr">
        <is>
          <t>S</t>
        </is>
      </c>
      <c r="G193" s="156" t="inlineStr">
        <is>
          <t>S</t>
        </is>
      </c>
      <c r="H193" s="156" t="inlineStr">
        <is>
          <t>Denver</t>
        </is>
      </c>
      <c r="I193" s="156" t="inlineStr">
        <is>
          <t>Chaqueta Denver Mujer Rosa</t>
        </is>
      </c>
      <c r="J193" s="156" t="inlineStr">
        <is>
          <t>Ropa</t>
        </is>
      </c>
      <c r="K193" s="156" t="inlineStr">
        <is>
          <t>Chamarras</t>
        </is>
      </c>
      <c r="L193" s="156" t="inlineStr">
        <is>
          <t>Mujer</t>
        </is>
      </c>
      <c r="M193" s="156" t="inlineStr">
        <is>
          <t>Denver</t>
        </is>
      </c>
      <c r="N193" s="156" t="inlineStr">
        <is>
          <t>FW26</t>
        </is>
      </c>
      <c r="O193" s="156" t="inlineStr">
        <is>
          <t>Seasonal</t>
        </is>
      </c>
      <c r="P193" s="156" t="inlineStr">
        <is>
          <t>Rosa</t>
        </is>
      </c>
      <c r="Q193" s="156" t="inlineStr">
        <is>
          <t>Regular</t>
        </is>
      </c>
      <c r="R193" s="156" t="n"/>
      <c r="S193" s="156" t="inlineStr">
        <is>
          <t>100% Poliéster</t>
        </is>
      </c>
      <c r="T193" s="156" t="inlineStr">
        <is>
          <t>Chaqueta Denver Mujer Rosa Regular</t>
        </is>
      </c>
      <c r="U193" s="156" t="inlineStr">
        <is>
          <t>China</t>
        </is>
      </c>
      <c r="V193" s="156" t="inlineStr">
        <is>
          <t>PZS</t>
        </is>
      </c>
      <c r="W193" s="51" t="inlineStr">
        <is>
          <t>53101804</t>
        </is>
      </c>
      <c r="X193" s="156" t="n"/>
      <c r="Y193" s="54" t="n">
        <v>603.5</v>
      </c>
      <c r="Z193" s="54" t="n">
        <v>1206.034483</v>
      </c>
      <c r="AA193" s="55">
        <f>IF(AND(A193="", B193="", E193=""), "", IF(AB193="", "Válido", IF((LEN(AB193)-LEN(SUBSTITUTE(AB193,"; ","")))/2+1&gt;(LEN(AB193)-LEN(SUBSTITUTE(AB193,"[Aviso]","")))/7, "Con Incidencias", "Válido")))</f>
        <v/>
      </c>
      <c r="AB193" s="56">
        <f>IF(AND(A193="", B193="", E193=""), "", TEXTJOIN("; ", TRUE, IF(OR(TRIM(A193&amp;"")="", ISNUMBER(SEARCH("FALTA", A193))), "UPC faltante/inválido", ""), IF(AND(A193&lt;&gt;"", IFERROR(_xlfn.XMATCH(A193,$A$2:$A$204,0,1)&lt;&gt;_xlfn.XMATCH(A193,$A$2:$A$204,0,-1),FALSE)), "Código de barras duplicado", ""), IF(AND(E193&lt;&gt;"", COUNTIF($E$2:$E$204, E193)&gt;1), "SKU duplicado", ""), IF(OR(J193="", J193=""), "[Aviso] División no capturada ()", IF(ISNA(MATCH(J193, Criterios!$A$123:$A$126, 0)), "División no válida", "")), IF(OR(K193="", K193=""), "[Aviso] Categoría no capturada ()", IF(ISNA(MATCH(K193, Criterios!$A$81:$A$120, 0)), "Categoría no válida", IF(AND(J193&lt;&gt;"", J193&lt;&gt;"", J193&lt;&gt;VLOOKUP(K193, Criterios!$A$81:$B$120, 2, FALSE)), "División no coincide con Categoría", ""))), IF(OR(L193="", L193=""), "[Aviso] Género no capturado ()", IF(ISNA(MATCH(L193, Criterios!$B$123:$B$127, 0)), "Género no válido", "")), IF(OR(N193="", N193=""), "[Aviso] Temporada no capturada ()", IF(ISNA(MATCH(N193, Criterios!$C$123:$C$128, 0)), "Temporada no válida", "")), IF(OR(O193="", O193=""), "[Aviso] Ciclo de vida no capturado ()", IF(ISNA(MATCH(O193, Criterios!$D$123:$D$124, 0)), "Ciclo de vida no válido", ""))))</f>
        <v/>
      </c>
      <c r="AC193" s="56" t="n"/>
      <c r="AD193" s="51" t="n">
        <v>0</v>
      </c>
      <c r="AE193" s="156" t="n"/>
      <c r="AF193" s="51" t="n">
        <v>0</v>
      </c>
      <c r="AG193" s="156" t="inlineStr">
        <is>
          <t>Nuevo – NetSuite sin existencia</t>
        </is>
      </c>
      <c r="AH193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93" s="156" t="inlineStr">
        <is>
          <t>No</t>
        </is>
      </c>
      <c r="AJ193" s="156" t="n"/>
      <c r="AK193" s="155" t="inlineStr">
        <is>
          <t>ProductosCatalogoEstandar907.xlsx: fila 6127 [N,O,Q,S,U,Y]; G1522_Extraccion_Articulos_NetSuite_2026-09-30.xlsx: fila 56642 [P,V,Y,T] | Shopify WB: producto 8569963774137 / variante 47621329846457</t>
        </is>
      </c>
      <c r="AL193" s="58" t="n">
        <v>603.5</v>
      </c>
      <c r="AM193" s="58" t="n">
        <v>1399.00000028</v>
      </c>
      <c r="AN193" s="155" t="inlineStr">
        <is>
          <t>Shopify Western Brothers</t>
        </is>
      </c>
      <c r="AO193" s="59" t="n"/>
      <c r="AP193" s="59" t="n">
        <v>0</v>
      </c>
      <c r="AQ193" s="59" t="n"/>
      <c r="AR193" s="155" t="n"/>
    </row>
    <row r="194">
      <c r="A194" s="50" t="inlineStr">
        <is>
          <t>7506499566544</t>
        </is>
      </c>
      <c r="B194" s="51" t="inlineStr">
        <is>
          <t>108484</t>
        </is>
      </c>
      <c r="C194" s="156" t="inlineStr">
        <is>
          <t>Multimarca</t>
        </is>
      </c>
      <c r="D194" s="156" t="inlineStr">
        <is>
          <t>WJK929-KT1</t>
        </is>
      </c>
      <c r="E194" s="156" t="inlineStr">
        <is>
          <t>WJK929-KT1-M</t>
        </is>
      </c>
      <c r="F194" s="156" t="inlineStr">
        <is>
          <t>M</t>
        </is>
      </c>
      <c r="G194" s="156" t="inlineStr">
        <is>
          <t>M</t>
        </is>
      </c>
      <c r="H194" s="156" t="inlineStr">
        <is>
          <t>Denver</t>
        </is>
      </c>
      <c r="I194" s="156" t="inlineStr">
        <is>
          <t>Chaqueta Denver Mujer Rosa</t>
        </is>
      </c>
      <c r="J194" s="156" t="inlineStr">
        <is>
          <t>Ropa</t>
        </is>
      </c>
      <c r="K194" s="156" t="inlineStr">
        <is>
          <t>Chamarras</t>
        </is>
      </c>
      <c r="L194" s="156" t="inlineStr">
        <is>
          <t>Mujer</t>
        </is>
      </c>
      <c r="M194" s="156" t="inlineStr">
        <is>
          <t>Denver</t>
        </is>
      </c>
      <c r="N194" s="156" t="inlineStr">
        <is>
          <t>FW26</t>
        </is>
      </c>
      <c r="O194" s="156" t="inlineStr">
        <is>
          <t>Seasonal</t>
        </is>
      </c>
      <c r="P194" s="156" t="inlineStr">
        <is>
          <t>Rosa</t>
        </is>
      </c>
      <c r="Q194" s="156" t="inlineStr">
        <is>
          <t>Regular</t>
        </is>
      </c>
      <c r="R194" s="156" t="n"/>
      <c r="S194" s="156" t="inlineStr">
        <is>
          <t>100% Poliéster</t>
        </is>
      </c>
      <c r="T194" s="156" t="inlineStr">
        <is>
          <t>Chaqueta Denver Mujer Rosa Regular</t>
        </is>
      </c>
      <c r="U194" s="156" t="inlineStr">
        <is>
          <t>China</t>
        </is>
      </c>
      <c r="V194" s="156" t="inlineStr">
        <is>
          <t>PZS</t>
        </is>
      </c>
      <c r="W194" s="51" t="inlineStr">
        <is>
          <t>53101804</t>
        </is>
      </c>
      <c r="X194" s="156" t="n"/>
      <c r="Y194" s="54" t="n">
        <v>603.5</v>
      </c>
      <c r="Z194" s="54" t="n">
        <v>1206.034483</v>
      </c>
      <c r="AA194" s="55">
        <f>IF(AND(A194="", B194="", E194=""), "", IF(AB194="", "Válido", IF((LEN(AB194)-LEN(SUBSTITUTE(AB194,"; ","")))/2+1&gt;(LEN(AB194)-LEN(SUBSTITUTE(AB194,"[Aviso]","")))/7, "Con Incidencias", "Válido")))</f>
        <v/>
      </c>
      <c r="AB194" s="56">
        <f>IF(AND(A194="", B194="", E194=""), "", TEXTJOIN("; ", TRUE, IF(OR(TRIM(A194&amp;"")="", ISNUMBER(SEARCH("FALTA", A194))), "UPC faltante/inválido", ""), IF(AND(A194&lt;&gt;"", IFERROR(_xlfn.XMATCH(A194,$A$2:$A$204,0,1)&lt;&gt;_xlfn.XMATCH(A194,$A$2:$A$204,0,-1),FALSE)), "Código de barras duplicado", ""), IF(AND(E194&lt;&gt;"", COUNTIF($E$2:$E$204, E194)&gt;1), "SKU duplicado", ""), IF(OR(J194="", J194=""), "[Aviso] División no capturada ()", IF(ISNA(MATCH(J194, Criterios!$A$123:$A$126, 0)), "División no válida", "")), IF(OR(K194="", K194=""), "[Aviso] Categoría no capturada ()", IF(ISNA(MATCH(K194, Criterios!$A$81:$A$120, 0)), "Categoría no válida", IF(AND(J194&lt;&gt;"", J194&lt;&gt;"", J194&lt;&gt;VLOOKUP(K194, Criterios!$A$81:$B$120, 2, FALSE)), "División no coincide con Categoría", ""))), IF(OR(L194="", L194=""), "[Aviso] Género no capturado ()", IF(ISNA(MATCH(L194, Criterios!$B$123:$B$127, 0)), "Género no válido", "")), IF(OR(N194="", N194=""), "[Aviso] Temporada no capturada ()", IF(ISNA(MATCH(N194, Criterios!$C$123:$C$128, 0)), "Temporada no válida", "")), IF(OR(O194="", O194=""), "[Aviso] Ciclo de vida no capturado ()", IF(ISNA(MATCH(O194, Criterios!$D$123:$D$124, 0)), "Ciclo de vida no válido", ""))))</f>
        <v/>
      </c>
      <c r="AC194" s="56" t="n"/>
      <c r="AD194" s="51" t="n">
        <v>0</v>
      </c>
      <c r="AE194" s="156" t="n"/>
      <c r="AF194" s="51" t="n">
        <v>0</v>
      </c>
      <c r="AG194" s="156" t="inlineStr">
        <is>
          <t>Nuevo – NetSuite sin existencia</t>
        </is>
      </c>
      <c r="AH194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94" s="156" t="inlineStr">
        <is>
          <t>No</t>
        </is>
      </c>
      <c r="AJ194" s="156" t="n"/>
      <c r="AK194" s="155" t="inlineStr">
        <is>
          <t>ProductosCatalogoEstandar907.xlsx: fila 6128 [N,O,Q,S,U,Y]; G1522_Extraccion_Articulos_NetSuite_2026-09-30.xlsx: fila 56643 [P,V,Y,T] | Shopify WB: producto 8569963774137 / variante 47621329879225</t>
        </is>
      </c>
      <c r="AL194" s="58" t="n">
        <v>603.5</v>
      </c>
      <c r="AM194" s="58" t="n">
        <v>1399.00000028</v>
      </c>
      <c r="AN194" s="155" t="inlineStr">
        <is>
          <t>Shopify Western Brothers</t>
        </is>
      </c>
      <c r="AO194" s="59" t="n"/>
      <c r="AP194" s="59" t="n">
        <v>0</v>
      </c>
      <c r="AQ194" s="59" t="n"/>
      <c r="AR194" s="155" t="n"/>
    </row>
    <row r="195">
      <c r="A195" s="50" t="inlineStr">
        <is>
          <t>7506499566551</t>
        </is>
      </c>
      <c r="B195" s="51" t="inlineStr">
        <is>
          <t>108485</t>
        </is>
      </c>
      <c r="C195" s="156" t="inlineStr">
        <is>
          <t>Multimarca</t>
        </is>
      </c>
      <c r="D195" s="156" t="inlineStr">
        <is>
          <t>WJK929-KT1</t>
        </is>
      </c>
      <c r="E195" s="156" t="inlineStr">
        <is>
          <t>WJK929-KT1-L</t>
        </is>
      </c>
      <c r="F195" s="156" t="inlineStr">
        <is>
          <t>L</t>
        </is>
      </c>
      <c r="G195" s="156" t="inlineStr">
        <is>
          <t>L</t>
        </is>
      </c>
      <c r="H195" s="156" t="inlineStr">
        <is>
          <t>Denver</t>
        </is>
      </c>
      <c r="I195" s="156" t="inlineStr">
        <is>
          <t>Chaqueta Denver Mujer Rosa</t>
        </is>
      </c>
      <c r="J195" s="156" t="inlineStr">
        <is>
          <t>Ropa</t>
        </is>
      </c>
      <c r="K195" s="156" t="inlineStr">
        <is>
          <t>Chamarras</t>
        </is>
      </c>
      <c r="L195" s="156" t="inlineStr">
        <is>
          <t>Mujer</t>
        </is>
      </c>
      <c r="M195" s="156" t="inlineStr">
        <is>
          <t>Denver</t>
        </is>
      </c>
      <c r="N195" s="156" t="inlineStr">
        <is>
          <t>FW26</t>
        </is>
      </c>
      <c r="O195" s="156" t="inlineStr">
        <is>
          <t>Seasonal</t>
        </is>
      </c>
      <c r="P195" s="156" t="inlineStr">
        <is>
          <t>Rosa</t>
        </is>
      </c>
      <c r="Q195" s="156" t="inlineStr">
        <is>
          <t>Regular</t>
        </is>
      </c>
      <c r="R195" s="156" t="n"/>
      <c r="S195" s="156" t="inlineStr">
        <is>
          <t>100% Poliéster</t>
        </is>
      </c>
      <c r="T195" s="156" t="inlineStr">
        <is>
          <t>Chaqueta Denver Mujer Rosa Regular</t>
        </is>
      </c>
      <c r="U195" s="156" t="inlineStr">
        <is>
          <t>China</t>
        </is>
      </c>
      <c r="V195" s="156" t="inlineStr">
        <is>
          <t>PZS</t>
        </is>
      </c>
      <c r="W195" s="51" t="inlineStr">
        <is>
          <t>53101804</t>
        </is>
      </c>
      <c r="X195" s="156" t="n"/>
      <c r="Y195" s="54" t="n">
        <v>603.5</v>
      </c>
      <c r="Z195" s="54" t="n">
        <v>1206.034483</v>
      </c>
      <c r="AA195" s="55">
        <f>IF(AND(A195="", B195="", E195=""), "", IF(AB195="", "Válido", IF((LEN(AB195)-LEN(SUBSTITUTE(AB195,"; ","")))/2+1&gt;(LEN(AB195)-LEN(SUBSTITUTE(AB195,"[Aviso]","")))/7, "Con Incidencias", "Válido")))</f>
        <v/>
      </c>
      <c r="AB195" s="56">
        <f>IF(AND(A195="", B195="", E195=""), "", TEXTJOIN("; ", TRUE, IF(OR(TRIM(A195&amp;"")="", ISNUMBER(SEARCH("FALTA", A195))), "UPC faltante/inválido", ""), IF(AND(A195&lt;&gt;"", IFERROR(_xlfn.XMATCH(A195,$A$2:$A$204,0,1)&lt;&gt;_xlfn.XMATCH(A195,$A$2:$A$204,0,-1),FALSE)), "Código de barras duplicado", ""), IF(AND(E195&lt;&gt;"", COUNTIF($E$2:$E$204, E195)&gt;1), "SKU duplicado", ""), IF(OR(J195="", J195=""), "[Aviso] División no capturada ()", IF(ISNA(MATCH(J195, Criterios!$A$123:$A$126, 0)), "División no válida", "")), IF(OR(K195="", K195=""), "[Aviso] Categoría no capturada ()", IF(ISNA(MATCH(K195, Criterios!$A$81:$A$120, 0)), "Categoría no válida", IF(AND(J195&lt;&gt;"", J195&lt;&gt;"", J195&lt;&gt;VLOOKUP(K195, Criterios!$A$81:$B$120, 2, FALSE)), "División no coincide con Categoría", ""))), IF(OR(L195="", L195=""), "[Aviso] Género no capturado ()", IF(ISNA(MATCH(L195, Criterios!$B$123:$B$127, 0)), "Género no válido", "")), IF(OR(N195="", N195=""), "[Aviso] Temporada no capturada ()", IF(ISNA(MATCH(N195, Criterios!$C$123:$C$128, 0)), "Temporada no válida", "")), IF(OR(O195="", O195=""), "[Aviso] Ciclo de vida no capturado ()", IF(ISNA(MATCH(O195, Criterios!$D$123:$D$124, 0)), "Ciclo de vida no válido", ""))))</f>
        <v/>
      </c>
      <c r="AC195" s="56" t="n"/>
      <c r="AD195" s="51" t="n">
        <v>0</v>
      </c>
      <c r="AE195" s="156" t="n"/>
      <c r="AF195" s="51" t="n">
        <v>0</v>
      </c>
      <c r="AG195" s="156" t="inlineStr">
        <is>
          <t>Nuevo – NetSuite sin existencia</t>
        </is>
      </c>
      <c r="AH195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95" s="156" t="inlineStr">
        <is>
          <t>No</t>
        </is>
      </c>
      <c r="AJ195" s="156" t="n"/>
      <c r="AK195" s="155" t="inlineStr">
        <is>
          <t>ProductosCatalogoEstandar907.xlsx: fila 6129 [N,O,Q,S,U,Y]; G1522_Extraccion_Articulos_NetSuite_2026-09-30.xlsx: fila 56644 [P,V,Y,T] | Shopify WB: producto 8569963774137 / variante 47621329911993</t>
        </is>
      </c>
      <c r="AL195" s="58" t="n">
        <v>603.5</v>
      </c>
      <c r="AM195" s="58" t="n">
        <v>1399.00000028</v>
      </c>
      <c r="AN195" s="155" t="inlineStr">
        <is>
          <t>Shopify Western Brothers</t>
        </is>
      </c>
      <c r="AO195" s="59" t="n"/>
      <c r="AP195" s="59" t="n">
        <v>0</v>
      </c>
      <c r="AQ195" s="59" t="n"/>
      <c r="AR195" s="155" t="n"/>
    </row>
    <row r="196">
      <c r="A196" s="50" t="inlineStr">
        <is>
          <t>7506499566582</t>
        </is>
      </c>
      <c r="B196" s="51" t="inlineStr">
        <is>
          <t>108486</t>
        </is>
      </c>
      <c r="C196" s="156" t="inlineStr">
        <is>
          <t>Multimarca</t>
        </is>
      </c>
      <c r="D196" s="156" t="inlineStr">
        <is>
          <t>WJK930-SD1</t>
        </is>
      </c>
      <c r="E196" s="156" t="inlineStr">
        <is>
          <t>WJK930-SD1-S</t>
        </is>
      </c>
      <c r="F196" s="156" t="inlineStr">
        <is>
          <t>S</t>
        </is>
      </c>
      <c r="G196" s="156" t="inlineStr">
        <is>
          <t>S</t>
        </is>
      </c>
      <c r="H196" s="156" t="inlineStr">
        <is>
          <t>Denver</t>
        </is>
      </c>
      <c r="I196" s="156" t="inlineStr">
        <is>
          <t>Chaqueta Denver Mujer Negro</t>
        </is>
      </c>
      <c r="J196" s="156" t="inlineStr">
        <is>
          <t>Ropa</t>
        </is>
      </c>
      <c r="K196" s="156" t="inlineStr">
        <is>
          <t>Chamarras</t>
        </is>
      </c>
      <c r="L196" s="156" t="inlineStr">
        <is>
          <t>Mujer</t>
        </is>
      </c>
      <c r="M196" s="156" t="inlineStr">
        <is>
          <t>Denver</t>
        </is>
      </c>
      <c r="N196" s="156" t="inlineStr">
        <is>
          <t>FW26</t>
        </is>
      </c>
      <c r="O196" s="156" t="inlineStr">
        <is>
          <t>Seasonal</t>
        </is>
      </c>
      <c r="P196" s="156" t="inlineStr">
        <is>
          <t>Negro</t>
        </is>
      </c>
      <c r="Q196" s="156" t="inlineStr">
        <is>
          <t>Regular</t>
        </is>
      </c>
      <c r="R196" s="156" t="n"/>
      <c r="S196" s="156" t="inlineStr">
        <is>
          <t>100% Poliéster</t>
        </is>
      </c>
      <c r="T196" s="156" t="inlineStr">
        <is>
          <t>Chaqueta Denver Mujer Negro Regular</t>
        </is>
      </c>
      <c r="U196" s="156" t="inlineStr">
        <is>
          <t>China</t>
        </is>
      </c>
      <c r="V196" s="156" t="inlineStr">
        <is>
          <t>PZS</t>
        </is>
      </c>
      <c r="W196" s="51" t="inlineStr">
        <is>
          <t>53101804</t>
        </is>
      </c>
      <c r="X196" s="156" t="n"/>
      <c r="Y196" s="54" t="n">
        <v>661.3</v>
      </c>
      <c r="Z196" s="54" t="n">
        <v>1335.344828</v>
      </c>
      <c r="AA196" s="55">
        <f>IF(AND(A196="", B196="", E196=""), "", IF(AB196="", "Válido", IF((LEN(AB196)-LEN(SUBSTITUTE(AB196,"; ","")))/2+1&gt;(LEN(AB196)-LEN(SUBSTITUTE(AB196,"[Aviso]","")))/7, "Con Incidencias", "Válido")))</f>
        <v/>
      </c>
      <c r="AB196" s="56">
        <f>IF(AND(A196="", B196="", E196=""), "", TEXTJOIN("; ", TRUE, IF(OR(TRIM(A196&amp;"")="", ISNUMBER(SEARCH("FALTA", A196))), "UPC faltante/inválido", ""), IF(AND(A196&lt;&gt;"", IFERROR(_xlfn.XMATCH(A196,$A$2:$A$204,0,1)&lt;&gt;_xlfn.XMATCH(A196,$A$2:$A$204,0,-1),FALSE)), "Código de barras duplicado", ""), IF(AND(E196&lt;&gt;"", COUNTIF($E$2:$E$204, E196)&gt;1), "SKU duplicado", ""), IF(OR(J196="", J196=""), "[Aviso] División no capturada ()", IF(ISNA(MATCH(J196, Criterios!$A$123:$A$126, 0)), "División no válida", "")), IF(OR(K196="", K196=""), "[Aviso] Categoría no capturada ()", IF(ISNA(MATCH(K196, Criterios!$A$81:$A$120, 0)), "Categoría no válida", IF(AND(J196&lt;&gt;"", J196&lt;&gt;"", J196&lt;&gt;VLOOKUP(K196, Criterios!$A$81:$B$120, 2, FALSE)), "División no coincide con Categoría", ""))), IF(OR(L196="", L196=""), "[Aviso] Género no capturado ()", IF(ISNA(MATCH(L196, Criterios!$B$123:$B$127, 0)), "Género no válido", "")), IF(OR(N196="", N196=""), "[Aviso] Temporada no capturada ()", IF(ISNA(MATCH(N196, Criterios!$C$123:$C$128, 0)), "Temporada no válida", "")), IF(OR(O196="", O196=""), "[Aviso] Ciclo de vida no capturado ()", IF(ISNA(MATCH(O196, Criterios!$D$123:$D$124, 0)), "Ciclo de vida no válido", ""))))</f>
        <v/>
      </c>
      <c r="AC196" s="56" t="n"/>
      <c r="AD196" s="51" t="n">
        <v>0</v>
      </c>
      <c r="AE196" s="156" t="n"/>
      <c r="AF196" s="51" t="n">
        <v>0</v>
      </c>
      <c r="AG196" s="156" t="inlineStr">
        <is>
          <t>Nuevo – NetSuite sin existencia</t>
        </is>
      </c>
      <c r="AH196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96" s="156" t="inlineStr">
        <is>
          <t>No</t>
        </is>
      </c>
      <c r="AJ196" s="156" t="n"/>
      <c r="AK196" s="155" t="inlineStr">
        <is>
          <t>ProductosCatalogoEstandar907.xlsx: fila 6130 [N,O,Q,S,U,Y]; G1522_Extraccion_Articulos_NetSuite_2026-09-30.xlsx: fila 56645 [P,V,Y,T] | Shopify WB: producto 8569964134585 / variante 47621330337977</t>
        </is>
      </c>
      <c r="AL196" s="58" t="n">
        <v>661.3</v>
      </c>
      <c r="AM196" s="58" t="n">
        <v>1549.00000048</v>
      </c>
      <c r="AN196" s="155" t="inlineStr">
        <is>
          <t>Shopify Western Brothers</t>
        </is>
      </c>
      <c r="AO196" s="59" t="n"/>
      <c r="AP196" s="59" t="n">
        <v>0</v>
      </c>
      <c r="AQ196" s="59" t="n"/>
      <c r="AR196" s="155" t="n"/>
    </row>
    <row r="197">
      <c r="A197" s="50" t="inlineStr">
        <is>
          <t>7506499566599</t>
        </is>
      </c>
      <c r="B197" s="51" t="inlineStr">
        <is>
          <t>108487</t>
        </is>
      </c>
      <c r="C197" s="156" t="inlineStr">
        <is>
          <t>Multimarca</t>
        </is>
      </c>
      <c r="D197" s="156" t="inlineStr">
        <is>
          <t>WJK930-SD1</t>
        </is>
      </c>
      <c r="E197" s="156" t="inlineStr">
        <is>
          <t>WJK930-SD1-M</t>
        </is>
      </c>
      <c r="F197" s="156" t="inlineStr">
        <is>
          <t>M</t>
        </is>
      </c>
      <c r="G197" s="156" t="inlineStr">
        <is>
          <t>M</t>
        </is>
      </c>
      <c r="H197" s="156" t="inlineStr">
        <is>
          <t>Denver</t>
        </is>
      </c>
      <c r="I197" s="156" t="inlineStr">
        <is>
          <t>Chaqueta Denver Mujer Negro</t>
        </is>
      </c>
      <c r="J197" s="156" t="inlineStr">
        <is>
          <t>Ropa</t>
        </is>
      </c>
      <c r="K197" s="156" t="inlineStr">
        <is>
          <t>Chamarras</t>
        </is>
      </c>
      <c r="L197" s="156" t="inlineStr">
        <is>
          <t>Mujer</t>
        </is>
      </c>
      <c r="M197" s="156" t="inlineStr">
        <is>
          <t>Denver</t>
        </is>
      </c>
      <c r="N197" s="156" t="inlineStr">
        <is>
          <t>FW26</t>
        </is>
      </c>
      <c r="O197" s="156" t="inlineStr">
        <is>
          <t>Seasonal</t>
        </is>
      </c>
      <c r="P197" s="156" t="inlineStr">
        <is>
          <t>Negro</t>
        </is>
      </c>
      <c r="Q197" s="156" t="inlineStr">
        <is>
          <t>Regular</t>
        </is>
      </c>
      <c r="R197" s="156" t="n"/>
      <c r="S197" s="156" t="inlineStr">
        <is>
          <t>100% Poliéster</t>
        </is>
      </c>
      <c r="T197" s="156" t="inlineStr">
        <is>
          <t>Chaqueta Denver Mujer Negro Regular</t>
        </is>
      </c>
      <c r="U197" s="156" t="inlineStr">
        <is>
          <t>China</t>
        </is>
      </c>
      <c r="V197" s="156" t="inlineStr">
        <is>
          <t>PZS</t>
        </is>
      </c>
      <c r="W197" s="51" t="inlineStr">
        <is>
          <t>53101804</t>
        </is>
      </c>
      <c r="X197" s="156" t="n"/>
      <c r="Y197" s="54" t="n">
        <v>661.3</v>
      </c>
      <c r="Z197" s="54" t="n">
        <v>1335.344828</v>
      </c>
      <c r="AA197" s="55">
        <f>IF(AND(A197="", B197="", E197=""), "", IF(AB197="", "Válido", IF((LEN(AB197)-LEN(SUBSTITUTE(AB197,"; ","")))/2+1&gt;(LEN(AB197)-LEN(SUBSTITUTE(AB197,"[Aviso]","")))/7, "Con Incidencias", "Válido")))</f>
        <v/>
      </c>
      <c r="AB197" s="56">
        <f>IF(AND(A197="", B197="", E197=""), "", TEXTJOIN("; ", TRUE, IF(OR(TRIM(A197&amp;"")="", ISNUMBER(SEARCH("FALTA", A197))), "UPC faltante/inválido", ""), IF(AND(A197&lt;&gt;"", IFERROR(_xlfn.XMATCH(A197,$A$2:$A$204,0,1)&lt;&gt;_xlfn.XMATCH(A197,$A$2:$A$204,0,-1),FALSE)), "Código de barras duplicado", ""), IF(AND(E197&lt;&gt;"", COUNTIF($E$2:$E$204, E197)&gt;1), "SKU duplicado", ""), IF(OR(J197="", J197=""), "[Aviso] División no capturada ()", IF(ISNA(MATCH(J197, Criterios!$A$123:$A$126, 0)), "División no válida", "")), IF(OR(K197="", K197=""), "[Aviso] Categoría no capturada ()", IF(ISNA(MATCH(K197, Criterios!$A$81:$A$120, 0)), "Categoría no válida", IF(AND(J197&lt;&gt;"", J197&lt;&gt;"", J197&lt;&gt;VLOOKUP(K197, Criterios!$A$81:$B$120, 2, FALSE)), "División no coincide con Categoría", ""))), IF(OR(L197="", L197=""), "[Aviso] Género no capturado ()", IF(ISNA(MATCH(L197, Criterios!$B$123:$B$127, 0)), "Género no válido", "")), IF(OR(N197="", N197=""), "[Aviso] Temporada no capturada ()", IF(ISNA(MATCH(N197, Criterios!$C$123:$C$128, 0)), "Temporada no válida", "")), IF(OR(O197="", O197=""), "[Aviso] Ciclo de vida no capturado ()", IF(ISNA(MATCH(O197, Criterios!$D$123:$D$124, 0)), "Ciclo de vida no válido", ""))))</f>
        <v/>
      </c>
      <c r="AC197" s="56" t="n"/>
      <c r="AD197" s="51" t="n">
        <v>0</v>
      </c>
      <c r="AE197" s="156" t="n"/>
      <c r="AF197" s="51" t="n">
        <v>0</v>
      </c>
      <c r="AG197" s="156" t="inlineStr">
        <is>
          <t>Nuevo – NetSuite sin existencia</t>
        </is>
      </c>
      <c r="AH197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97" s="156" t="inlineStr">
        <is>
          <t>No</t>
        </is>
      </c>
      <c r="AJ197" s="156" t="n"/>
      <c r="AK197" s="155" t="inlineStr">
        <is>
          <t>ProductosCatalogoEstandar907.xlsx: fila 6131 [N,O,Q,S,U,Y]; G1522_Extraccion_Articulos_NetSuite_2026-09-30.xlsx: fila 56646 [P,V,Y,T] | Shopify WB: producto 8569964134585 / variante 47621330370745</t>
        </is>
      </c>
      <c r="AL197" s="58" t="n">
        <v>661.3</v>
      </c>
      <c r="AM197" s="58" t="n">
        <v>1549.00000048</v>
      </c>
      <c r="AN197" s="155" t="inlineStr">
        <is>
          <t>Shopify Western Brothers</t>
        </is>
      </c>
      <c r="AO197" s="59" t="n"/>
      <c r="AP197" s="59" t="n">
        <v>0</v>
      </c>
      <c r="AQ197" s="59" t="n"/>
      <c r="AR197" s="155" t="n"/>
    </row>
    <row r="198">
      <c r="A198" s="50" t="inlineStr">
        <is>
          <t>7506499566605</t>
        </is>
      </c>
      <c r="B198" s="51" t="inlineStr">
        <is>
          <t>108488</t>
        </is>
      </c>
      <c r="C198" s="156" t="inlineStr">
        <is>
          <t>Multimarca</t>
        </is>
      </c>
      <c r="D198" s="156" t="inlineStr">
        <is>
          <t>WJK930-SD1</t>
        </is>
      </c>
      <c r="E198" s="156" t="inlineStr">
        <is>
          <t>WJK930-SD1-L</t>
        </is>
      </c>
      <c r="F198" s="156" t="inlineStr">
        <is>
          <t>L</t>
        </is>
      </c>
      <c r="G198" s="156" t="inlineStr">
        <is>
          <t>L</t>
        </is>
      </c>
      <c r="H198" s="156" t="inlineStr">
        <is>
          <t>Denver</t>
        </is>
      </c>
      <c r="I198" s="156" t="inlineStr">
        <is>
          <t>Chaqueta Denver Mujer Negro</t>
        </is>
      </c>
      <c r="J198" s="156" t="inlineStr">
        <is>
          <t>Ropa</t>
        </is>
      </c>
      <c r="K198" s="156" t="inlineStr">
        <is>
          <t>Chamarras</t>
        </is>
      </c>
      <c r="L198" s="156" t="inlineStr">
        <is>
          <t>Mujer</t>
        </is>
      </c>
      <c r="M198" s="156" t="inlineStr">
        <is>
          <t>Denver</t>
        </is>
      </c>
      <c r="N198" s="156" t="inlineStr">
        <is>
          <t>FW26</t>
        </is>
      </c>
      <c r="O198" s="156" t="inlineStr">
        <is>
          <t>Seasonal</t>
        </is>
      </c>
      <c r="P198" s="156" t="inlineStr">
        <is>
          <t>Negro</t>
        </is>
      </c>
      <c r="Q198" s="156" t="inlineStr">
        <is>
          <t>Regular</t>
        </is>
      </c>
      <c r="R198" s="156" t="n"/>
      <c r="S198" s="156" t="inlineStr">
        <is>
          <t>100% Poliéster</t>
        </is>
      </c>
      <c r="T198" s="156" t="inlineStr">
        <is>
          <t>Chaqueta Denver Mujer Negro Regular</t>
        </is>
      </c>
      <c r="U198" s="156" t="inlineStr">
        <is>
          <t>China</t>
        </is>
      </c>
      <c r="V198" s="156" t="inlineStr">
        <is>
          <t>PZS</t>
        </is>
      </c>
      <c r="W198" s="51" t="inlineStr">
        <is>
          <t>53101804</t>
        </is>
      </c>
      <c r="X198" s="156" t="n"/>
      <c r="Y198" s="54" t="n">
        <v>661.3</v>
      </c>
      <c r="Z198" s="54" t="n">
        <v>1335.344828</v>
      </c>
      <c r="AA198" s="55">
        <f>IF(AND(A198="", B198="", E198=""), "", IF(AB198="", "Válido", IF((LEN(AB198)-LEN(SUBSTITUTE(AB198,"; ","")))/2+1&gt;(LEN(AB198)-LEN(SUBSTITUTE(AB198,"[Aviso]","")))/7, "Con Incidencias", "Válido")))</f>
        <v/>
      </c>
      <c r="AB198" s="56">
        <f>IF(AND(A198="", B198="", E198=""), "", TEXTJOIN("; ", TRUE, IF(OR(TRIM(A198&amp;"")="", ISNUMBER(SEARCH("FALTA", A198))), "UPC faltante/inválido", ""), IF(AND(A198&lt;&gt;"", IFERROR(_xlfn.XMATCH(A198,$A$2:$A$204,0,1)&lt;&gt;_xlfn.XMATCH(A198,$A$2:$A$204,0,-1),FALSE)), "Código de barras duplicado", ""), IF(AND(E198&lt;&gt;"", COUNTIF($E$2:$E$204, E198)&gt;1), "SKU duplicado", ""), IF(OR(J198="", J198=""), "[Aviso] División no capturada ()", IF(ISNA(MATCH(J198, Criterios!$A$123:$A$126, 0)), "División no válida", "")), IF(OR(K198="", K198=""), "[Aviso] Categoría no capturada ()", IF(ISNA(MATCH(K198, Criterios!$A$81:$A$120, 0)), "Categoría no válida", IF(AND(J198&lt;&gt;"", J198&lt;&gt;"", J198&lt;&gt;VLOOKUP(K198, Criterios!$A$81:$B$120, 2, FALSE)), "División no coincide con Categoría", ""))), IF(OR(L198="", L198=""), "[Aviso] Género no capturado ()", IF(ISNA(MATCH(L198, Criterios!$B$123:$B$127, 0)), "Género no válido", "")), IF(OR(N198="", N198=""), "[Aviso] Temporada no capturada ()", IF(ISNA(MATCH(N198, Criterios!$C$123:$C$128, 0)), "Temporada no válida", "")), IF(OR(O198="", O198=""), "[Aviso] Ciclo de vida no capturado ()", IF(ISNA(MATCH(O198, Criterios!$D$123:$D$124, 0)), "Ciclo de vida no válido", ""))))</f>
        <v/>
      </c>
      <c r="AC198" s="56" t="n"/>
      <c r="AD198" s="51" t="n">
        <v>0</v>
      </c>
      <c r="AE198" s="156" t="n"/>
      <c r="AF198" s="51" t="n">
        <v>0</v>
      </c>
      <c r="AG198" s="156" t="inlineStr">
        <is>
          <t>Nuevo – NetSuite sin existencia</t>
        </is>
      </c>
      <c r="AH198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98" s="156" t="inlineStr">
        <is>
          <t>No</t>
        </is>
      </c>
      <c r="AJ198" s="156" t="n"/>
      <c r="AK198" s="155" t="inlineStr">
        <is>
          <t>ProductosCatalogoEstandar907.xlsx: fila 6132 [N,O,Q,S,U,Y]; G1522_Extraccion_Articulos_NetSuite_2026-09-30.xlsx: fila 56647 [P,V,Y,T] | Shopify WB: producto 8569964134585 / variante 47621330403513</t>
        </is>
      </c>
      <c r="AL198" s="58" t="n">
        <v>661.3</v>
      </c>
      <c r="AM198" s="58" t="n">
        <v>1549.00000048</v>
      </c>
      <c r="AN198" s="155" t="inlineStr">
        <is>
          <t>Shopify Western Brothers</t>
        </is>
      </c>
      <c r="AO198" s="59" t="n"/>
      <c r="AP198" s="59" t="n">
        <v>0</v>
      </c>
      <c r="AQ198" s="59" t="n"/>
      <c r="AR198" s="155" t="n"/>
    </row>
    <row r="199">
      <c r="A199" s="50" t="inlineStr">
        <is>
          <t>7506499532839</t>
        </is>
      </c>
      <c r="B199" s="51" t="inlineStr">
        <is>
          <t>108489</t>
        </is>
      </c>
      <c r="C199" s="156" t="inlineStr">
        <is>
          <t>Multimarca</t>
        </is>
      </c>
      <c r="D199" s="156" t="inlineStr">
        <is>
          <t>WVE913-FG1-2</t>
        </is>
      </c>
      <c r="E199" s="156" t="inlineStr">
        <is>
          <t>WVE913-FG1-2-S</t>
        </is>
      </c>
      <c r="F199" s="156" t="inlineStr">
        <is>
          <t>S</t>
        </is>
      </c>
      <c r="G199" s="156" t="inlineStr">
        <is>
          <t>S</t>
        </is>
      </c>
      <c r="H199" s="156" t="inlineStr">
        <is>
          <t>Denver</t>
        </is>
      </c>
      <c r="I199" s="156" t="inlineStr">
        <is>
          <t>Chaleco Denver Mujer Negro</t>
        </is>
      </c>
      <c r="J199" s="156" t="inlineStr">
        <is>
          <t>Ropa</t>
        </is>
      </c>
      <c r="K199" s="156" t="inlineStr">
        <is>
          <t>Chalecos</t>
        </is>
      </c>
      <c r="L199" s="156" t="inlineStr">
        <is>
          <t>Mujer</t>
        </is>
      </c>
      <c r="M199" s="156" t="inlineStr">
        <is>
          <t>Denver</t>
        </is>
      </c>
      <c r="N199" s="156" t="inlineStr">
        <is>
          <t>FW26</t>
        </is>
      </c>
      <c r="O199" s="156" t="inlineStr">
        <is>
          <t>Core</t>
        </is>
      </c>
      <c r="P199" s="156" t="inlineStr">
        <is>
          <t>Negro</t>
        </is>
      </c>
      <c r="Q199" s="156" t="inlineStr">
        <is>
          <t>Regular</t>
        </is>
      </c>
      <c r="R199" s="156" t="n"/>
      <c r="S199" s="156" t="inlineStr">
        <is>
          <t>100% Poliéster</t>
        </is>
      </c>
      <c r="T199" s="156" t="inlineStr">
        <is>
          <t>Chaleco Denver Mujer Negro Regular</t>
        </is>
      </c>
      <c r="U199" s="156" t="inlineStr">
        <is>
          <t>China</t>
        </is>
      </c>
      <c r="V199" s="156" t="inlineStr">
        <is>
          <t>PZS</t>
        </is>
      </c>
      <c r="W199" s="51" t="inlineStr">
        <is>
          <t>53101804</t>
        </is>
      </c>
      <c r="X199" s="156" t="n"/>
      <c r="Y199" s="54" t="n">
        <v>548.25</v>
      </c>
      <c r="Z199" s="54" t="n">
        <v>1249.137931</v>
      </c>
      <c r="AA199" s="55">
        <f>IF(AND(A199="", B199="", E199=""), "", IF(AB199="", "Válido", IF((LEN(AB199)-LEN(SUBSTITUTE(AB199,"; ","")))/2+1&gt;(LEN(AB199)-LEN(SUBSTITUTE(AB199,"[Aviso]","")))/7, "Con Incidencias", "Válido")))</f>
        <v/>
      </c>
      <c r="AB199" s="56">
        <f>IF(AND(A199="", B199="", E199=""), "", TEXTJOIN("; ", TRUE, IF(OR(TRIM(A199&amp;"")="", ISNUMBER(SEARCH("FALTA", A199))), "UPC faltante/inválido", ""), IF(AND(A199&lt;&gt;"", IFERROR(_xlfn.XMATCH(A199,$A$2:$A$204,0,1)&lt;&gt;_xlfn.XMATCH(A199,$A$2:$A$204,0,-1),FALSE)), "Código de barras duplicado", ""), IF(AND(E199&lt;&gt;"", COUNTIF($E$2:$E$204, E199)&gt;1), "SKU duplicado", ""), IF(OR(J199="", J199=""), "[Aviso] División no capturada ()", IF(ISNA(MATCH(J199, Criterios!$A$123:$A$126, 0)), "División no válida", "")), IF(OR(K199="", K199=""), "[Aviso] Categoría no capturada ()", IF(ISNA(MATCH(K199, Criterios!$A$81:$A$120, 0)), "Categoría no válida", IF(AND(J199&lt;&gt;"", J199&lt;&gt;"", J199&lt;&gt;VLOOKUP(K199, Criterios!$A$81:$B$120, 2, FALSE)), "División no coincide con Categoría", ""))), IF(OR(L199="", L199=""), "[Aviso] Género no capturado ()", IF(ISNA(MATCH(L199, Criterios!$B$123:$B$127, 0)), "Género no válido", "")), IF(OR(N199="", N199=""), "[Aviso] Temporada no capturada ()", IF(ISNA(MATCH(N199, Criterios!$C$123:$C$128, 0)), "Temporada no válida", "")), IF(OR(O199="", O199=""), "[Aviso] Ciclo de vida no capturado ()", IF(ISNA(MATCH(O199, Criterios!$D$123:$D$124, 0)), "Ciclo de vida no válido", ""))))</f>
        <v/>
      </c>
      <c r="AC199" s="56" t="n"/>
      <c r="AD199" s="51" t="n">
        <v>1</v>
      </c>
      <c r="AE199" s="156" t="inlineStr">
        <is>
          <t>WB OUTLET LERMA: 1</t>
        </is>
      </c>
      <c r="AF199" s="51" t="n">
        <v>1</v>
      </c>
      <c r="AG199" s="156" t="inlineStr">
        <is>
          <t>Nuevo – NetSuite con existencia</t>
        </is>
      </c>
      <c r="AH199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199" s="156" t="inlineStr">
        <is>
          <t>No</t>
        </is>
      </c>
      <c r="AJ199" s="156" t="n"/>
      <c r="AK199" s="155" t="inlineStr">
        <is>
          <t>ProductosCatalogoEstandar907.xlsx: fila 6185 [N,O,Q,S,U,Y]; G1522_Extraccion_Articulos_NetSuite_2026-09-30.xlsx: fila 56648 [P,V,Y,T] | Shopify WB: producto 8569964232889 / variante 47621330567353</t>
        </is>
      </c>
      <c r="AL199" s="58" t="n">
        <v>548.25</v>
      </c>
      <c r="AM199" s="58" t="n">
        <v>1448.99999996</v>
      </c>
      <c r="AN199" s="155" t="inlineStr">
        <is>
          <t>Shopify Western Brothers</t>
        </is>
      </c>
      <c r="AO199" s="59" t="n"/>
      <c r="AP199" s="59" t="n">
        <v>1</v>
      </c>
      <c r="AQ199" s="59" t="n"/>
      <c r="AR199" s="155" t="inlineStr">
        <is>
          <t>Shopify Western Brothers › Western Brothers Outlet Lerma: 1</t>
        </is>
      </c>
    </row>
    <row r="200">
      <c r="A200" s="50" t="inlineStr">
        <is>
          <t>7506499532846</t>
        </is>
      </c>
      <c r="B200" s="51" t="inlineStr">
        <is>
          <t>108490</t>
        </is>
      </c>
      <c r="C200" s="156" t="inlineStr">
        <is>
          <t>Multimarca</t>
        </is>
      </c>
      <c r="D200" s="156" t="inlineStr">
        <is>
          <t>WVE913-FG1-2</t>
        </is>
      </c>
      <c r="E200" s="156" t="inlineStr">
        <is>
          <t>WVE913-FG1-2-M</t>
        </is>
      </c>
      <c r="F200" s="156" t="inlineStr">
        <is>
          <t>M</t>
        </is>
      </c>
      <c r="G200" s="156" t="inlineStr">
        <is>
          <t>M</t>
        </is>
      </c>
      <c r="H200" s="156" t="inlineStr">
        <is>
          <t>Denver</t>
        </is>
      </c>
      <c r="I200" s="156" t="inlineStr">
        <is>
          <t>Chaleco Denver Mujer Negro</t>
        </is>
      </c>
      <c r="J200" s="156" t="inlineStr">
        <is>
          <t>Ropa</t>
        </is>
      </c>
      <c r="K200" s="156" t="inlineStr">
        <is>
          <t>Chalecos</t>
        </is>
      </c>
      <c r="L200" s="156" t="inlineStr">
        <is>
          <t>Mujer</t>
        </is>
      </c>
      <c r="M200" s="156" t="inlineStr">
        <is>
          <t>Denver</t>
        </is>
      </c>
      <c r="N200" s="156" t="inlineStr">
        <is>
          <t>FW26</t>
        </is>
      </c>
      <c r="O200" s="156" t="inlineStr">
        <is>
          <t>Core</t>
        </is>
      </c>
      <c r="P200" s="156" t="inlineStr">
        <is>
          <t>Negro</t>
        </is>
      </c>
      <c r="Q200" s="156" t="inlineStr">
        <is>
          <t>Regular</t>
        </is>
      </c>
      <c r="R200" s="156" t="n"/>
      <c r="S200" s="156" t="inlineStr">
        <is>
          <t>100% Poliéster</t>
        </is>
      </c>
      <c r="T200" s="156" t="inlineStr">
        <is>
          <t>Chaleco Denver Mujer Negro Regular</t>
        </is>
      </c>
      <c r="U200" s="156" t="inlineStr">
        <is>
          <t>China</t>
        </is>
      </c>
      <c r="V200" s="156" t="inlineStr">
        <is>
          <t>PZS</t>
        </is>
      </c>
      <c r="W200" s="51" t="inlineStr">
        <is>
          <t>53101804</t>
        </is>
      </c>
      <c r="X200" s="156" t="n"/>
      <c r="Y200" s="54" t="n">
        <v>548.25</v>
      </c>
      <c r="Z200" s="54" t="n">
        <v>1249.137931</v>
      </c>
      <c r="AA200" s="55">
        <f>IF(AND(A200="", B200="", E200=""), "", IF(AB200="", "Válido", IF((LEN(AB200)-LEN(SUBSTITUTE(AB200,"; ","")))/2+1&gt;(LEN(AB200)-LEN(SUBSTITUTE(AB200,"[Aviso]","")))/7, "Con Incidencias", "Válido")))</f>
        <v/>
      </c>
      <c r="AB200" s="56">
        <f>IF(AND(A200="", B200="", E200=""), "", TEXTJOIN("; ", TRUE, IF(OR(TRIM(A200&amp;"")="", ISNUMBER(SEARCH("FALTA", A200))), "UPC faltante/inválido", ""), IF(AND(A200&lt;&gt;"", IFERROR(_xlfn.XMATCH(A200,$A$2:$A$204,0,1)&lt;&gt;_xlfn.XMATCH(A200,$A$2:$A$204,0,-1),FALSE)), "Código de barras duplicado", ""), IF(AND(E200&lt;&gt;"", COUNTIF($E$2:$E$204, E200)&gt;1), "SKU duplicado", ""), IF(OR(J200="", J200=""), "[Aviso] División no capturada ()", IF(ISNA(MATCH(J200, Criterios!$A$123:$A$126, 0)), "División no válida", "")), IF(OR(K200="", K200=""), "[Aviso] Categoría no capturada ()", IF(ISNA(MATCH(K200, Criterios!$A$81:$A$120, 0)), "Categoría no válida", IF(AND(J200&lt;&gt;"", J200&lt;&gt;"", J200&lt;&gt;VLOOKUP(K200, Criterios!$A$81:$B$120, 2, FALSE)), "División no coincide con Categoría", ""))), IF(OR(L200="", L200=""), "[Aviso] Género no capturado ()", IF(ISNA(MATCH(L200, Criterios!$B$123:$B$127, 0)), "Género no válido", "")), IF(OR(N200="", N200=""), "[Aviso] Temporada no capturada ()", IF(ISNA(MATCH(N200, Criterios!$C$123:$C$128, 0)), "Temporada no válida", "")), IF(OR(O200="", O200=""), "[Aviso] Ciclo de vida no capturado ()", IF(ISNA(MATCH(O200, Criterios!$D$123:$D$124, 0)), "Ciclo de vida no válido", ""))))</f>
        <v/>
      </c>
      <c r="AC200" s="56" t="n"/>
      <c r="AD200" s="51" t="n">
        <v>2</v>
      </c>
      <c r="AE200" s="156" t="inlineStr">
        <is>
          <t>WB OUTLET LERMA: 2</t>
        </is>
      </c>
      <c r="AF200" s="51" t="n">
        <v>2</v>
      </c>
      <c r="AG200" s="156" t="inlineStr">
        <is>
          <t>Nuevo – NetSuite con existencia</t>
        </is>
      </c>
      <c r="AH200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200" s="156" t="inlineStr">
        <is>
          <t>No</t>
        </is>
      </c>
      <c r="AJ200" s="156" t="n"/>
      <c r="AK200" s="155" t="inlineStr">
        <is>
          <t>ProductosCatalogoEstandar907.xlsx: fila 6186 [N,O,Q,S,U,Y]; G1522_Extraccion_Articulos_NetSuite_2026-09-30.xlsx: fila 56649 [P,V,Y,T] | Shopify WB: producto 8569964232889 / variante 47621330600121</t>
        </is>
      </c>
      <c r="AL200" s="58" t="n">
        <v>548.25</v>
      </c>
      <c r="AM200" s="58" t="n">
        <v>1448.99999996</v>
      </c>
      <c r="AN200" s="155" t="inlineStr">
        <is>
          <t>Shopify Western Brothers</t>
        </is>
      </c>
      <c r="AO200" s="59" t="n"/>
      <c r="AP200" s="59" t="n">
        <v>2</v>
      </c>
      <c r="AQ200" s="59" t="n"/>
      <c r="AR200" s="155" t="inlineStr">
        <is>
          <t>Shopify Western Brothers › Western Brothers Outlet Lerma: 2</t>
        </is>
      </c>
    </row>
    <row r="201">
      <c r="A201" s="50" t="inlineStr">
        <is>
          <t>7506499532853</t>
        </is>
      </c>
      <c r="B201" s="51" t="inlineStr">
        <is>
          <t>108491</t>
        </is>
      </c>
      <c r="C201" s="156" t="inlineStr">
        <is>
          <t>Multimarca</t>
        </is>
      </c>
      <c r="D201" s="156" t="inlineStr">
        <is>
          <t>WVE913-FG1-2</t>
        </is>
      </c>
      <c r="E201" s="156" t="inlineStr">
        <is>
          <t>WVE913-FG1-2-L</t>
        </is>
      </c>
      <c r="F201" s="156" t="inlineStr">
        <is>
          <t>L</t>
        </is>
      </c>
      <c r="G201" s="156" t="inlineStr">
        <is>
          <t>L</t>
        </is>
      </c>
      <c r="H201" s="156" t="inlineStr">
        <is>
          <t>Denver</t>
        </is>
      </c>
      <c r="I201" s="156" t="inlineStr">
        <is>
          <t>Chaleco Denver Mujer Negro</t>
        </is>
      </c>
      <c r="J201" s="156" t="inlineStr">
        <is>
          <t>Ropa</t>
        </is>
      </c>
      <c r="K201" s="156" t="inlineStr">
        <is>
          <t>Chalecos</t>
        </is>
      </c>
      <c r="L201" s="156" t="inlineStr">
        <is>
          <t>Mujer</t>
        </is>
      </c>
      <c r="M201" s="156" t="inlineStr">
        <is>
          <t>Denver</t>
        </is>
      </c>
      <c r="N201" s="156" t="inlineStr">
        <is>
          <t>FW26</t>
        </is>
      </c>
      <c r="O201" s="156" t="inlineStr">
        <is>
          <t>Core</t>
        </is>
      </c>
      <c r="P201" s="156" t="inlineStr">
        <is>
          <t>Negro</t>
        </is>
      </c>
      <c r="Q201" s="156" t="inlineStr">
        <is>
          <t>Regular</t>
        </is>
      </c>
      <c r="R201" s="156" t="n"/>
      <c r="S201" s="156" t="inlineStr">
        <is>
          <t>100% Poliéster</t>
        </is>
      </c>
      <c r="T201" s="156" t="inlineStr">
        <is>
          <t>Chaleco Denver Mujer Negro Regular</t>
        </is>
      </c>
      <c r="U201" s="156" t="inlineStr">
        <is>
          <t>China</t>
        </is>
      </c>
      <c r="V201" s="156" t="inlineStr">
        <is>
          <t>PZS</t>
        </is>
      </c>
      <c r="W201" s="51" t="inlineStr">
        <is>
          <t>53101804</t>
        </is>
      </c>
      <c r="X201" s="156" t="n"/>
      <c r="Y201" s="54" t="n">
        <v>548.25</v>
      </c>
      <c r="Z201" s="54" t="n">
        <v>1249.137931</v>
      </c>
      <c r="AA201" s="55">
        <f>IF(AND(A201="", B201="", E201=""), "", IF(AB201="", "Válido", IF((LEN(AB201)-LEN(SUBSTITUTE(AB201,"; ","")))/2+1&gt;(LEN(AB201)-LEN(SUBSTITUTE(AB201,"[Aviso]","")))/7, "Con Incidencias", "Válido")))</f>
        <v/>
      </c>
      <c r="AB201" s="56">
        <f>IF(AND(A201="", B201="", E201=""), "", TEXTJOIN("; ", TRUE, IF(OR(TRIM(A201&amp;"")="", ISNUMBER(SEARCH("FALTA", A201))), "UPC faltante/inválido", ""), IF(AND(A201&lt;&gt;"", IFERROR(_xlfn.XMATCH(A201,$A$2:$A$204,0,1)&lt;&gt;_xlfn.XMATCH(A201,$A$2:$A$204,0,-1),FALSE)), "Código de barras duplicado", ""), IF(AND(E201&lt;&gt;"", COUNTIF($E$2:$E$204, E201)&gt;1), "SKU duplicado", ""), IF(OR(J201="", J201=""), "[Aviso] División no capturada ()", IF(ISNA(MATCH(J201, Criterios!$A$123:$A$126, 0)), "División no válida", "")), IF(OR(K201="", K201=""), "[Aviso] Categoría no capturada ()", IF(ISNA(MATCH(K201, Criterios!$A$81:$A$120, 0)), "Categoría no válida", IF(AND(J201&lt;&gt;"", J201&lt;&gt;"", J201&lt;&gt;VLOOKUP(K201, Criterios!$A$81:$B$120, 2, FALSE)), "División no coincide con Categoría", ""))), IF(OR(L201="", L201=""), "[Aviso] Género no capturado ()", IF(ISNA(MATCH(L201, Criterios!$B$123:$B$127, 0)), "Género no válido", "")), IF(OR(N201="", N201=""), "[Aviso] Temporada no capturada ()", IF(ISNA(MATCH(N201, Criterios!$C$123:$C$128, 0)), "Temporada no válida", "")), IF(OR(O201="", O201=""), "[Aviso] Ciclo de vida no capturado ()", IF(ISNA(MATCH(O201, Criterios!$D$123:$D$124, 0)), "Ciclo de vida no válido", ""))))</f>
        <v/>
      </c>
      <c r="AC201" s="56" t="n"/>
      <c r="AD201" s="51" t="n">
        <v>0</v>
      </c>
      <c r="AE201" s="156" t="n"/>
      <c r="AF201" s="51" t="n">
        <v>0</v>
      </c>
      <c r="AG201" s="156" t="inlineStr">
        <is>
          <t>Nuevo – NetSuite sin existencia</t>
        </is>
      </c>
      <c r="AH201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201" s="156" t="inlineStr">
        <is>
          <t>No</t>
        </is>
      </c>
      <c r="AJ201" s="156" t="n"/>
      <c r="AK201" s="155" t="inlineStr">
        <is>
          <t>ProductosCatalogoEstandar907.xlsx: fila 6187 [N,O,Q,S,U,Y]; G1522_Extraccion_Articulos_NetSuite_2026-09-30.xlsx: fila 56650 [P,V,Y,T] | Shopify WB: producto 8569964232889 / variante 47621330632889</t>
        </is>
      </c>
      <c r="AL201" s="58" t="n">
        <v>548.25</v>
      </c>
      <c r="AM201" s="58" t="n">
        <v>1448.99999996</v>
      </c>
      <c r="AN201" s="155" t="inlineStr">
        <is>
          <t>Shopify Western Brothers</t>
        </is>
      </c>
      <c r="AO201" s="59" t="n"/>
      <c r="AP201" s="59" t="n">
        <v>0</v>
      </c>
      <c r="AQ201" s="59" t="n"/>
      <c r="AR201" s="155" t="n"/>
    </row>
    <row r="202">
      <c r="A202" s="50" t="inlineStr">
        <is>
          <t>7506499566643</t>
        </is>
      </c>
      <c r="B202" s="51" t="inlineStr">
        <is>
          <t>108587</t>
        </is>
      </c>
      <c r="C202" s="156" t="inlineStr">
        <is>
          <t>Multimarca</t>
        </is>
      </c>
      <c r="D202" s="156" t="inlineStr">
        <is>
          <t>WVE930-SD1</t>
        </is>
      </c>
      <c r="E202" s="156" t="inlineStr">
        <is>
          <t>WVE930-SD1-M</t>
        </is>
      </c>
      <c r="F202" s="156" t="inlineStr">
        <is>
          <t>M</t>
        </is>
      </c>
      <c r="G202" s="156" t="inlineStr">
        <is>
          <t>M</t>
        </is>
      </c>
      <c r="H202" s="156" t="inlineStr">
        <is>
          <t>Denver</t>
        </is>
      </c>
      <c r="I202" s="156" t="inlineStr">
        <is>
          <t>Chaleco Denver Mujer Café</t>
        </is>
      </c>
      <c r="J202" s="156" t="inlineStr">
        <is>
          <t>Ropa</t>
        </is>
      </c>
      <c r="K202" s="156" t="inlineStr">
        <is>
          <t>Chalecos</t>
        </is>
      </c>
      <c r="L202" s="156" t="inlineStr">
        <is>
          <t>Mujer</t>
        </is>
      </c>
      <c r="M202" s="156" t="inlineStr">
        <is>
          <t>Denver</t>
        </is>
      </c>
      <c r="N202" s="156" t="inlineStr">
        <is>
          <t>FW26</t>
        </is>
      </c>
      <c r="O202" s="156" t="inlineStr">
        <is>
          <t>Seasonal</t>
        </is>
      </c>
      <c r="P202" s="156" t="inlineStr">
        <is>
          <t>Cafe</t>
        </is>
      </c>
      <c r="Q202" s="156" t="inlineStr">
        <is>
          <t>Regular</t>
        </is>
      </c>
      <c r="R202" s="156" t="n"/>
      <c r="S202" s="156" t="inlineStr">
        <is>
          <t>100% Poliéster</t>
        </is>
      </c>
      <c r="T202" s="156" t="inlineStr">
        <is>
          <t>Chaleco Denver Mujer Café Regular</t>
        </is>
      </c>
      <c r="U202" s="156" t="inlineStr">
        <is>
          <t>China</t>
        </is>
      </c>
      <c r="V202" s="156" t="inlineStr">
        <is>
          <t>PZS</t>
        </is>
      </c>
      <c r="W202" s="51" t="inlineStr">
        <is>
          <t>53101804</t>
        </is>
      </c>
      <c r="X202" s="156" t="n"/>
      <c r="Y202" s="54" t="n">
        <v>561</v>
      </c>
      <c r="Z202" s="54" t="n">
        <v>1119.827586</v>
      </c>
      <c r="AA202" s="55">
        <f>IF(AND(A202="", B202="", E202=""), "", IF(AB202="", "Válido", IF((LEN(AB202)-LEN(SUBSTITUTE(AB202,"; ","")))/2+1&gt;(LEN(AB202)-LEN(SUBSTITUTE(AB202,"[Aviso]","")))/7, "Con Incidencias", "Válido")))</f>
        <v/>
      </c>
      <c r="AB202" s="56">
        <f>IF(AND(A202="", B202="", E202=""), "", TEXTJOIN("; ", TRUE, IF(OR(TRIM(A202&amp;"")="", ISNUMBER(SEARCH("FALTA", A202))), "UPC faltante/inválido", ""), IF(AND(A202&lt;&gt;"", IFERROR(_xlfn.XMATCH(A202,$A$2:$A$204,0,1)&lt;&gt;_xlfn.XMATCH(A202,$A$2:$A$204,0,-1),FALSE)), "Código de barras duplicado", ""), IF(AND(E202&lt;&gt;"", COUNTIF($E$2:$E$204, E202)&gt;1), "SKU duplicado", ""), IF(OR(J202="", J202=""), "[Aviso] División no capturada ()", IF(ISNA(MATCH(J202, Criterios!$A$123:$A$126, 0)), "División no válida", "")), IF(OR(K202="", K202=""), "[Aviso] Categoría no capturada ()", IF(ISNA(MATCH(K202, Criterios!$A$81:$A$120, 0)), "Categoría no válida", IF(AND(J202&lt;&gt;"", J202&lt;&gt;"", J202&lt;&gt;VLOOKUP(K202, Criterios!$A$81:$B$120, 2, FALSE)), "División no coincide con Categoría", ""))), IF(OR(L202="", L202=""), "[Aviso] Género no capturado ()", IF(ISNA(MATCH(L202, Criterios!$B$123:$B$127, 0)), "Género no válido", "")), IF(OR(N202="", N202=""), "[Aviso] Temporada no capturada ()", IF(ISNA(MATCH(N202, Criterios!$C$123:$C$128, 0)), "Temporada no válida", "")), IF(OR(O202="", O202=""), "[Aviso] Ciclo de vida no capturado ()", IF(ISNA(MATCH(O202, Criterios!$D$123:$D$124, 0)), "Ciclo de vida no válido", ""))))</f>
        <v/>
      </c>
      <c r="AC202" s="56" t="n"/>
      <c r="AD202" s="51" t="n">
        <v>0</v>
      </c>
      <c r="AE202" s="156" t="n"/>
      <c r="AF202" s="51" t="n">
        <v>0</v>
      </c>
      <c r="AG202" s="156" t="inlineStr">
        <is>
          <t>Nuevo – NetSuite sin existencia</t>
        </is>
      </c>
      <c r="AH202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202" s="156" t="inlineStr">
        <is>
          <t>No</t>
        </is>
      </c>
      <c r="AJ202" s="156" t="n"/>
      <c r="AK202" s="155" t="inlineStr">
        <is>
          <t>ProductosCatalogoEstandar907.xlsx: fila 6188 [N,O,Q,S,U,Y]; G1522_Extraccion_Articulos_NetSuite_2026-09-30.xlsx: fila 56746 [P,V,Y,T] | Shopify WB: producto 8569964331193 / variante 47621330731193</t>
        </is>
      </c>
      <c r="AL202" s="58" t="n">
        <v>561</v>
      </c>
      <c r="AM202" s="58" t="n">
        <v>1298.99999976</v>
      </c>
      <c r="AN202" s="155" t="inlineStr">
        <is>
          <t>Shopify Western Brothers</t>
        </is>
      </c>
      <c r="AO202" s="59" t="n"/>
      <c r="AP202" s="59" t="n">
        <v>0</v>
      </c>
      <c r="AQ202" s="59" t="n"/>
      <c r="AR202" s="155" t="n"/>
    </row>
    <row r="203">
      <c r="A203" s="50" t="inlineStr">
        <is>
          <t>7506499566650</t>
        </is>
      </c>
      <c r="B203" s="51" t="inlineStr">
        <is>
          <t>108588</t>
        </is>
      </c>
      <c r="C203" s="156" t="inlineStr">
        <is>
          <t>Multimarca</t>
        </is>
      </c>
      <c r="D203" s="156" t="inlineStr">
        <is>
          <t>WVE930-SD1</t>
        </is>
      </c>
      <c r="E203" s="156" t="inlineStr">
        <is>
          <t>WVE930-SD1-L</t>
        </is>
      </c>
      <c r="F203" s="156" t="inlineStr">
        <is>
          <t>L</t>
        </is>
      </c>
      <c r="G203" s="156" t="inlineStr">
        <is>
          <t>L</t>
        </is>
      </c>
      <c r="H203" s="156" t="inlineStr">
        <is>
          <t>Denver</t>
        </is>
      </c>
      <c r="I203" s="156" t="inlineStr">
        <is>
          <t>Chaleco Denver Mujer Café</t>
        </is>
      </c>
      <c r="J203" s="156" t="inlineStr">
        <is>
          <t>Ropa</t>
        </is>
      </c>
      <c r="K203" s="156" t="inlineStr">
        <is>
          <t>Chalecos</t>
        </is>
      </c>
      <c r="L203" s="156" t="inlineStr">
        <is>
          <t>Mujer</t>
        </is>
      </c>
      <c r="M203" s="156" t="inlineStr">
        <is>
          <t>Denver</t>
        </is>
      </c>
      <c r="N203" s="156" t="inlineStr">
        <is>
          <t>FW26</t>
        </is>
      </c>
      <c r="O203" s="156" t="inlineStr">
        <is>
          <t>Seasonal</t>
        </is>
      </c>
      <c r="P203" s="156" t="inlineStr">
        <is>
          <t>Cafe</t>
        </is>
      </c>
      <c r="Q203" s="156" t="inlineStr">
        <is>
          <t>Regular</t>
        </is>
      </c>
      <c r="R203" s="156" t="n"/>
      <c r="S203" s="156" t="inlineStr">
        <is>
          <t>100% Poliéster</t>
        </is>
      </c>
      <c r="T203" s="156" t="inlineStr">
        <is>
          <t>Chaleco Denver Mujer Café Regular</t>
        </is>
      </c>
      <c r="U203" s="156" t="inlineStr">
        <is>
          <t>China</t>
        </is>
      </c>
      <c r="V203" s="156" t="inlineStr">
        <is>
          <t>PZS</t>
        </is>
      </c>
      <c r="W203" s="51" t="inlineStr">
        <is>
          <t>53101804</t>
        </is>
      </c>
      <c r="X203" s="156" t="n"/>
      <c r="Y203" s="54" t="n">
        <v>561</v>
      </c>
      <c r="Z203" s="54" t="n">
        <v>1119.827586</v>
      </c>
      <c r="AA203" s="55">
        <f>IF(AND(A203="", B203="", E203=""), "", IF(AB203="", "Válido", IF((LEN(AB203)-LEN(SUBSTITUTE(AB203,"; ","")))/2+1&gt;(LEN(AB203)-LEN(SUBSTITUTE(AB203,"[Aviso]","")))/7, "Con Incidencias", "Válido")))</f>
        <v/>
      </c>
      <c r="AB203" s="56">
        <f>IF(AND(A203="", B203="", E203=""), "", TEXTJOIN("; ", TRUE, IF(OR(TRIM(A203&amp;"")="", ISNUMBER(SEARCH("FALTA", A203))), "UPC faltante/inválido", ""), IF(AND(A203&lt;&gt;"", IFERROR(_xlfn.XMATCH(A203,$A$2:$A$204,0,1)&lt;&gt;_xlfn.XMATCH(A203,$A$2:$A$204,0,-1),FALSE)), "Código de barras duplicado", ""), IF(AND(E203&lt;&gt;"", COUNTIF($E$2:$E$204, E203)&gt;1), "SKU duplicado", ""), IF(OR(J203="", J203=""), "[Aviso] División no capturada ()", IF(ISNA(MATCH(J203, Criterios!$A$123:$A$126, 0)), "División no válida", "")), IF(OR(K203="", K203=""), "[Aviso] Categoría no capturada ()", IF(ISNA(MATCH(K203, Criterios!$A$81:$A$120, 0)), "Categoría no válida", IF(AND(J203&lt;&gt;"", J203&lt;&gt;"", J203&lt;&gt;VLOOKUP(K203, Criterios!$A$81:$B$120, 2, FALSE)), "División no coincide con Categoría", ""))), IF(OR(L203="", L203=""), "[Aviso] Género no capturado ()", IF(ISNA(MATCH(L203, Criterios!$B$123:$B$127, 0)), "Género no válido", "")), IF(OR(N203="", N203=""), "[Aviso] Temporada no capturada ()", IF(ISNA(MATCH(N203, Criterios!$C$123:$C$128, 0)), "Temporada no válida", "")), IF(OR(O203="", O203=""), "[Aviso] Ciclo de vida no capturado ()", IF(ISNA(MATCH(O203, Criterios!$D$123:$D$124, 0)), "Ciclo de vida no válido", ""))))</f>
        <v/>
      </c>
      <c r="AC203" s="56" t="n"/>
      <c r="AD203" s="51" t="n">
        <v>0</v>
      </c>
      <c r="AE203" s="156" t="n"/>
      <c r="AF203" s="51" t="n">
        <v>0</v>
      </c>
      <c r="AG203" s="156" t="inlineStr">
        <is>
          <t>Nuevo – NetSuite sin existencia</t>
        </is>
      </c>
      <c r="AH203" s="156" t="inlineStr">
        <is>
          <t>Revisión 29/09/2026: Campos sin respaldo: X; Auditoría NetSuite 30/09/2026: llenado desde NetSuite [P,V,Y,T] | 01/10/2026: complementado desde Shopify Western Brothers (match por código de barras): WB Silueta | Homologación G1522 06/10/2026: WB Composición: «100% Poliester» → «100% Poliéster» (Corrección aplicada)</t>
        </is>
      </c>
      <c r="AI203" s="156" t="inlineStr">
        <is>
          <t>No</t>
        </is>
      </c>
      <c r="AJ203" s="156" t="n"/>
      <c r="AK203" s="155" t="inlineStr">
        <is>
          <t>ProductosCatalogoEstandar907.xlsx: fila 6189 [N,O,Q,S,U,Y]; G1522_Extraccion_Articulos_NetSuite_2026-09-30.xlsx: fila 56747 [P,V,Y,T] | Shopify WB: producto 8569964331193 / variante 47621330763961</t>
        </is>
      </c>
      <c r="AL203" s="58" t="n">
        <v>561</v>
      </c>
      <c r="AM203" s="58" t="n">
        <v>1298.99999976</v>
      </c>
      <c r="AN203" s="155" t="inlineStr">
        <is>
          <t>Shopify Western Brothers</t>
        </is>
      </c>
      <c r="AO203" s="59" t="n"/>
      <c r="AP203" s="59" t="n">
        <v>0</v>
      </c>
      <c r="AQ203" s="59" t="n"/>
      <c r="AR203" s="155" t="n"/>
    </row>
    <row r="204">
      <c r="A204" s="50" t="inlineStr">
        <is>
          <t>7506499570848</t>
        </is>
      </c>
      <c r="B204" s="51" t="inlineStr">
        <is>
          <t>108374</t>
        </is>
      </c>
      <c r="C204" s="156" t="inlineStr">
        <is>
          <t>Multimarca</t>
        </is>
      </c>
      <c r="D204" s="156" t="inlineStr">
        <is>
          <t>02-TDAG012-0007</t>
        </is>
      </c>
      <c r="E204" s="156" t="n"/>
      <c r="F204" s="156" t="inlineStr">
        <is>
          <t>S</t>
        </is>
      </c>
      <c r="G204" s="156" t="inlineStr">
        <is>
          <t>S</t>
        </is>
      </c>
      <c r="H204" s="156" t="inlineStr">
        <is>
          <t>Denver</t>
        </is>
      </c>
      <c r="I204" s="156" t="inlineStr">
        <is>
          <t>Playera Denver dama negro corazon toros</t>
        </is>
      </c>
      <c r="J204" s="156" t="inlineStr">
        <is>
          <t>Ropa</t>
        </is>
      </c>
      <c r="K204" s="156" t="inlineStr">
        <is>
          <t>Playeras</t>
        </is>
      </c>
      <c r="L204" s="156" t="inlineStr">
        <is>
          <t>Mujer</t>
        </is>
      </c>
      <c r="M204" s="156" t="inlineStr">
        <is>
          <t>Denver</t>
        </is>
      </c>
      <c r="N204" s="156" t="inlineStr">
        <is>
          <t>SS26</t>
        </is>
      </c>
      <c r="O204" s="156" t="inlineStr">
        <is>
          <t>Seasonal</t>
        </is>
      </c>
      <c r="P204" s="156" t="inlineStr">
        <is>
          <t>Negro</t>
        </is>
      </c>
      <c r="Q204" s="156" t="inlineStr">
        <is>
          <t>Regular</t>
        </is>
      </c>
      <c r="R204" s="156" t="n"/>
      <c r="S204" s="156" t="inlineStr">
        <is>
          <t>100% Algodón</t>
        </is>
      </c>
      <c r="T204" s="156" t="inlineStr">
        <is>
          <t>Playera Denver dama negro corazon toros Regular</t>
        </is>
      </c>
      <c r="U204" s="156" t="inlineStr">
        <is>
          <t>México</t>
        </is>
      </c>
      <c r="V204" s="156" t="inlineStr">
        <is>
          <t>PZS</t>
        </is>
      </c>
      <c r="W204" s="51" t="inlineStr">
        <is>
          <t>53101604</t>
        </is>
      </c>
      <c r="X204" s="156" t="n"/>
      <c r="Y204" s="54" t="n">
        <v>319</v>
      </c>
      <c r="Z204" s="54" t="n">
        <v>559.4827586</v>
      </c>
      <c r="AA204" s="55">
        <f>IF(AND(A204="", B204="", E204=""), "", IF(AB204="", "Válido", IF((LEN(AB204)-LEN(SUBSTITUTE(AB204,"; ","")))/2+1&gt;(LEN(AB204)-LEN(SUBSTITUTE(AB204,"[Aviso]","")))/7, "Con Incidencias", "Válido")))</f>
        <v/>
      </c>
      <c r="AB204" s="56">
        <f>IF(AND(A204="", B204="", E204=""), "", TEXTJOIN("; ", TRUE, IF(OR(TRIM(A204&amp;"")="", ISNUMBER(SEARCH("FALTA", A204))), "UPC faltante/inválido", ""), IF(AND(A204&lt;&gt;"", IFERROR(_xlfn.XMATCH(A204,$A$2:$A$204,0,1)&lt;&gt;_xlfn.XMATCH(A204,$A$2:$A$204,0,-1),FALSE)), "Código de barras duplicado", ""), IF(AND(E204&lt;&gt;"", COUNTIF($E$2:$E$204, E204)&gt;1), "SKU duplicado", ""), IF(OR(J204="", J204=""), "[Aviso] División no capturada ()", IF(ISNA(MATCH(J204, Criterios!$A$123:$A$126, 0)), "División no válida", "")), IF(OR(K204="", K204=""), "[Aviso] Categoría no capturada ()", IF(ISNA(MATCH(K204, Criterios!$A$81:$A$120, 0)), "Categoría no válida", IF(AND(J204&lt;&gt;"", J204&lt;&gt;"", J204&lt;&gt;VLOOKUP(K204, Criterios!$A$81:$B$120, 2, FALSE)), "División no coincide con Categoría", ""))), IF(OR(L204="", L204=""), "[Aviso] Género no capturado ()", IF(ISNA(MATCH(L204, Criterios!$B$123:$B$127, 0)), "Género no válido", "")), IF(OR(N204="", N204=""), "[Aviso] Temporada no capturada ()", IF(ISNA(MATCH(N204, Criterios!$C$123:$C$128, 0)), "Temporada no válida", "")), IF(OR(O204="", O204=""), "[Aviso] Ciclo de vida no capturado ()", IF(ISNA(MATCH(O204, Criterios!$D$123:$D$124, 0)), "Ciclo de vida no válido", ""))))</f>
        <v/>
      </c>
      <c r="AC204" s="56" t="inlineStr">
        <is>
          <t>Código de barras repetido en ID: 110911</t>
        </is>
      </c>
      <c r="AD204" s="51" t="n">
        <v>3</v>
      </c>
      <c r="AE204" s="156" t="inlineStr">
        <is>
          <t>WB OUTLET LERMA: 3</t>
        </is>
      </c>
      <c r="AF204" s="51" t="n">
        <v>3</v>
      </c>
      <c r="AG204" s="156" t="inlineStr">
        <is>
          <t>Nuevo – NetSuite 06/10/2026</t>
        </is>
      </c>
      <c r="AH204" s="156" t="inlineStr">
        <is>
          <t>Homologación G1522 06/10/2026: Validación G1522: Código de barras duplicado; WB SKU faltante · Validador NetSuite / Odoo: V2: UPC repetido · Validador Shopify: V2: UPC repetido</t>
        </is>
      </c>
      <c r="AI204" s="156" t="inlineStr">
        <is>
          <t>No</t>
        </is>
      </c>
      <c r="AJ204" s="156" t="n"/>
      <c r="AK204" s="155" t="inlineStr">
        <is>
          <t>NetSuite SuiteQL: item · inventoryitemlocations · itemprice (Base Price y RETAIL, moneda base)</t>
        </is>
      </c>
      <c r="AL204" s="58" t="n">
        <v>319</v>
      </c>
      <c r="AM204" s="58" t="n">
        <v>648.99999998</v>
      </c>
      <c r="AN204" s="155" t="n"/>
      <c r="AO204" s="59" t="n"/>
      <c r="AP204" s="59" t="n"/>
      <c r="AQ204" s="59" t="n"/>
      <c r="AR204" s="155" t="n"/>
    </row>
  </sheetData>
  <autoFilter ref="A1:AR204"/>
  <conditionalFormatting sqref="AA2:AA204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204">
    <cfRule type="expression" priority="3" dxfId="18" stopIfTrue="1">
      <formula>AND(AB2&lt;&gt;"", AA2="Con Incidencias")</formula>
    </cfRule>
  </conditionalFormatting>
  <dataValidations count="11">
    <dataValidation sqref="O2:O204" showDropDown="0" showInputMessage="0" showErrorMessage="0" allowBlank="1" type="list">
      <formula1>"Seasonal,Core,No Aplica"</formula1>
    </dataValidation>
    <dataValidation sqref="C2:C204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204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204" showDropDown="0" showInputMessage="0" showErrorMessage="0" allowBlank="1" type="list">
      <formula1>"Rojo,Azul,Amarillo,Verde,Naranja,Morado,Rosa,Negro,Blanco,Gris,Beige,Cafe,Varios,No Aplica"</formula1>
    </dataValidation>
    <dataValidation sqref="R2:R204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204" showDropDown="0" showInputMessage="0" showErrorMessage="1" allowBlank="1" type="list">
      <formula1>Criterios!$A$81:$A$120</formula1>
    </dataValidation>
    <dataValidation sqref="N2:N204" showDropDown="0" showInputMessage="0" showErrorMessage="0" allowBlank="1" type="list">
      <formula1>"SS26,FW26,SS27,FW27,SS28,FW28,No Aplica"</formula1>
    </dataValidation>
    <dataValidation sqref="Q2:Q204" showDropDown="0" showInputMessage="0" showErrorMessage="0" allowBlank="1" type="list">
      <formula1>"Regular,Relajado,Slim,Clásico,Moderno,Recto,Bootcut"</formula1>
    </dataValidation>
    <dataValidation sqref="J2:J204" showDropDown="0" showInputMessage="0" showErrorMessage="0" allowBlank="1" type="list">
      <formula1>"Accesorios,Ropa,Denim,Calzado,No Aplica"</formula1>
    </dataValidation>
    <dataValidation sqref="L2:L204" showDropDown="0" showInputMessage="0" showErrorMessage="0" allowBlank="1" type="list">
      <formula1>"Hombre,Mujer,Niño,Niña,Unisex,No Aplica"</formula1>
    </dataValidation>
    <dataValidation sqref="V2:V204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204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203, 16)"),"052356088867")</f>
        <v/>
      </c>
      <c r="Q2">
        <f>IFERROR(__xludf.DUMMYFUNCTION("MAP(FILTER(A2:A204, (B2:B204&lt;&gt;"""")+(D2:D204&lt;&gt;"""")), FILTER(B2:B204, (B2:B204&lt;&gt;"""")+(D2:D204&lt;&gt;"""")),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IFERROR(__xludf.DUMMYFUNCTION("MAP(FILTER(A2:A204, (B2:B204&lt;&gt;"""")+(D2:D204&lt;&gt;"""")), FILTER(B2:B204, (B2:B204&lt;&gt;"""")+(D2:D204&lt;&gt;"""")), FILTER(Q2:Q204, (B2:B204&lt;&gt;"""")+(D2:D204&lt;&gt;"""")),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5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  <row r="2">
      <c r="A2" s="51" t="inlineStr">
        <is>
          <t>5</t>
        </is>
      </c>
      <c r="B2" s="156" t="inlineStr">
        <is>
          <t>Productos (NetSuite) — fila original 2911</t>
        </is>
      </c>
      <c r="C2" s="125" t="inlineStr">
        <is>
          <t>Mismo código de barras que Shopify Western Brothers pero es un artículo distinto: división distinta (Ropa vs Calzado); marca y categoría distintas (Denver/Playeras vs Wrangler/Botas); descripciones sin relación («Playera Denver caballero blanco» vs «Botas Wrangler Nova Café»)</t>
        </is>
      </c>
      <c r="D2" s="60" t="inlineStr">
        <is>
          <t>7506499570832</t>
        </is>
      </c>
      <c r="E2" s="59" t="inlineStr">
        <is>
          <t>108358</t>
        </is>
      </c>
      <c r="F2" s="155" t="inlineStr">
        <is>
          <t>Multimarca</t>
        </is>
      </c>
      <c r="G2" s="155" t="inlineStr">
        <is>
          <t>WADC0215-2</t>
        </is>
      </c>
      <c r="H2" s="155" t="inlineStr">
        <is>
          <t>WADC0215-2-25</t>
        </is>
      </c>
      <c r="I2" s="155" t="inlineStr">
        <is>
          <t>25</t>
        </is>
      </c>
      <c r="J2" s="155" t="inlineStr">
        <is>
          <t>7</t>
        </is>
      </c>
      <c r="K2" s="155" t="inlineStr">
        <is>
          <t>Wrangler</t>
        </is>
      </c>
      <c r="L2" s="155" t="inlineStr">
        <is>
          <t>Botas Wrangler Nova Café</t>
        </is>
      </c>
      <c r="M2" s="155" t="inlineStr">
        <is>
          <t>Calzado</t>
        </is>
      </c>
      <c r="N2" s="155" t="inlineStr">
        <is>
          <t>Botas</t>
        </is>
      </c>
      <c r="O2" s="155" t="inlineStr">
        <is>
          <t>Mujer</t>
        </is>
      </c>
      <c r="P2" s="155" t="inlineStr">
        <is>
          <t>Wrangler</t>
        </is>
      </c>
      <c r="Q2" s="155" t="inlineStr">
        <is>
          <t>SS26</t>
        </is>
      </c>
      <c r="R2" s="155" t="inlineStr">
        <is>
          <t>Seasonal</t>
        </is>
      </c>
      <c r="S2" s="155" t="inlineStr">
        <is>
          <t>Cafe</t>
        </is>
      </c>
      <c r="T2" s="155" t="n"/>
      <c r="U2" s="155" t="n"/>
      <c r="V2" s="155" t="inlineStr">
        <is>
          <t>100% Piel</t>
        </is>
      </c>
      <c r="W2" s="155" t="inlineStr">
        <is>
          <t>Botas Wrangler Nova Café. Bota de la marca Wrangler. Estilo WADC0215-2.</t>
        </is>
      </c>
      <c r="X2" s="155" t="inlineStr">
        <is>
          <t>México</t>
        </is>
      </c>
      <c r="Y2" s="155" t="inlineStr">
        <is>
          <t>PRS</t>
        </is>
      </c>
      <c r="Z2" s="59" t="inlineStr">
        <is>
          <t>53111500</t>
        </is>
      </c>
      <c r="AA2" s="126" t="n"/>
      <c r="AB2" s="61" t="n">
        <v>658</v>
      </c>
      <c r="AC2" s="61" t="n">
        <v>1118.9655172</v>
      </c>
      <c r="AD2" s="62" t="n"/>
      <c r="AE2" s="64" t="n"/>
      <c r="AF2" s="64" t="n"/>
      <c r="AG2" s="59" t="n">
        <v>1</v>
      </c>
      <c r="AH2" s="155" t="inlineStr">
        <is>
          <t>WB OUTLET LERMA (1)</t>
        </is>
      </c>
      <c r="AI2" s="59" t="n">
        <v>1</v>
      </c>
      <c r="AJ2" s="155" t="inlineStr">
        <is>
          <t>Nuevo – NetSuite con existencia</t>
        </is>
      </c>
      <c r="AK2" s="155" t="inlineStr">
        <is>
          <t>Género por validar | Revisión 29/09/2026: Campos sin respaldo: R, X; Auditoría NetSuite 30/09/2026: llenado desde NetSuite [M,P,V,Y,S]</t>
        </is>
      </c>
      <c r="AL2" s="155" t="inlineStr">
        <is>
          <t>No</t>
        </is>
      </c>
      <c r="AM2" s="155" t="n"/>
      <c r="AN2" s="155" t="inlineStr">
        <is>
          <t>ProductosCatalogoEstandar907.xlsx: fila 6110 [L,N,O,S,U,Y]; G1522_Extraccion_Articulos_NetSuite_2026-09-30.xlsx: fila 56517 [M,P,V,Y,S]</t>
        </is>
      </c>
      <c r="AO2" s="58" t="n"/>
      <c r="AP2" s="58" t="n">
        <v>1118.9655172</v>
      </c>
      <c r="AQ2" s="155" t="n"/>
      <c r="AR2" s="59" t="n"/>
      <c r="AS2" s="59" t="n"/>
      <c r="AT2" s="59" t="n"/>
      <c r="AU2" s="155" t="n"/>
    </row>
    <row r="3">
      <c r="A3" s="51" t="inlineStr">
        <is>
          <t>5</t>
        </is>
      </c>
      <c r="B3" s="156" t="inlineStr">
        <is>
          <t>Shopify Western Brothers</t>
        </is>
      </c>
      <c r="C3" s="125" t="inlineStr">
        <is>
          <t>Artículo distinto con el mismo código de barras que la fila de Productos de este grupo</t>
        </is>
      </c>
      <c r="D3" s="60" t="inlineStr">
        <is>
          <t>7506499570832</t>
        </is>
      </c>
      <c r="E3" s="59" t="inlineStr">
        <is>
          <t>47621314412729</t>
        </is>
      </c>
      <c r="F3" s="155" t="inlineStr">
        <is>
          <t>Denver</t>
        </is>
      </c>
      <c r="G3" s="155" t="inlineStr">
        <is>
          <t>01-TDAG012-0010</t>
        </is>
      </c>
      <c r="H3" s="155" t="inlineStr">
        <is>
          <t>7506499570832</t>
        </is>
      </c>
      <c r="I3" s="155" t="inlineStr">
        <is>
          <t>S</t>
        </is>
      </c>
      <c r="J3" s="155" t="inlineStr">
        <is>
          <t>S</t>
        </is>
      </c>
      <c r="K3" s="155" t="inlineStr">
        <is>
          <t>Denver</t>
        </is>
      </c>
      <c r="L3" s="155" t="inlineStr">
        <is>
          <t>Playera Denver caballero blanco</t>
        </is>
      </c>
      <c r="M3" s="155" t="inlineStr">
        <is>
          <t>Ropa</t>
        </is>
      </c>
      <c r="N3" s="155" t="inlineStr">
        <is>
          <t>Playeras</t>
        </is>
      </c>
      <c r="O3" s="155" t="inlineStr">
        <is>
          <t>Hombre</t>
        </is>
      </c>
      <c r="P3" s="155" t="inlineStr">
        <is>
          <t>Denver</t>
        </is>
      </c>
      <c r="Q3" s="155" t="inlineStr">
        <is>
          <t>SS26</t>
        </is>
      </c>
      <c r="R3" s="155" t="inlineStr">
        <is>
          <t>Seasonal</t>
        </is>
      </c>
      <c r="S3" s="155" t="inlineStr">
        <is>
          <t>Blanco</t>
        </is>
      </c>
      <c r="T3" s="155" t="n"/>
      <c r="U3" s="155" t="inlineStr">
        <is>
          <t>No Aplica</t>
        </is>
      </c>
      <c r="V3" s="155" t="n"/>
      <c r="W3" s="155" t="n"/>
      <c r="X3" s="155" t="n"/>
      <c r="Y3" s="155" t="inlineStr">
        <is>
          <t>PZS</t>
        </is>
      </c>
      <c r="Z3" s="59" t="n"/>
      <c r="AA3" s="126" t="n"/>
      <c r="AB3" s="61" t="n"/>
      <c r="AC3" s="61" t="n">
        <v>649</v>
      </c>
      <c r="AD3" s="62" t="n"/>
      <c r="AE3" s="64" t="n"/>
      <c r="AF3" s="64" t="inlineStr">
        <is>
          <t>Sin duplicados en el catálogo · No encontrado en otros sistemas</t>
        </is>
      </c>
      <c r="AG3" s="59" t="n"/>
      <c r="AH3" s="155" t="n"/>
      <c r="AI3" s="59" t="n"/>
      <c r="AJ3" s="155" t="inlineStr">
        <is>
          <t>Shopify · Western Brothers · Activo · Tipo: Ropa</t>
        </is>
      </c>
      <c r="AK3" s="155" t="inlineStr">
        <is>
          <t>Color detectado en el nombre (blanco)</t>
        </is>
      </c>
      <c r="AL3" s="155" t="n"/>
      <c r="AM3" s="155" t="n"/>
      <c r="AN3" s="155" t="inlineStr">
        <is>
          <t>Shopify WB: producto 8569955352761 / variante 47621314412729</t>
        </is>
      </c>
      <c r="AO3" s="58" t="n"/>
      <c r="AP3" s="58" t="n">
        <v>649</v>
      </c>
      <c r="AQ3" s="155" t="inlineStr">
        <is>
          <t>Shopify Western Brothers</t>
        </is>
      </c>
      <c r="AR3" s="59" t="n"/>
      <c r="AS3" s="59" t="n">
        <v>3</v>
      </c>
      <c r="AT3" s="59" t="n"/>
      <c r="AU3" s="155" t="inlineStr">
        <is>
          <t>Shopify Western Brothers › Western Brothers Outlet Lerma: 3</t>
        </is>
      </c>
    </row>
    <row r="4">
      <c r="A4" s="51" t="inlineStr">
        <is>
          <t>6</t>
        </is>
      </c>
      <c r="B4" s="156" t="inlineStr">
        <is>
          <t>Productos (NetSuite) — fila original 2344</t>
        </is>
      </c>
      <c r="C4" s="125" t="inlineStr">
        <is>
          <t>Mismo código de barras que Shopify Western Brothers pero es un artículo distinto: marca y categoría distintas (Denver/Playeras vs Stetson/Camisas); descripciones sin relación («Playera Denver dama negro corazon toros» vs «Camisa Stetson Vintage Range Sable Crest»)</t>
        </is>
      </c>
      <c r="D4" s="60" t="inlineStr">
        <is>
          <t>7506499570848</t>
        </is>
      </c>
      <c r="E4" s="59" t="inlineStr">
        <is>
          <t>108374</t>
        </is>
      </c>
      <c r="F4" s="155" t="inlineStr">
        <is>
          <t>Multimarca</t>
        </is>
      </c>
      <c r="G4" s="155" t="inlineStr">
        <is>
          <t>ST-VR-P-017-FW25-SC</t>
        </is>
      </c>
      <c r="H4" s="155" t="inlineStr">
        <is>
          <t>ST-VR-P-017-FW25-SC-2XL</t>
        </is>
      </c>
      <c r="I4" s="155" t="inlineStr">
        <is>
          <t>XXL</t>
        </is>
      </c>
      <c r="J4" s="155" t="inlineStr">
        <is>
          <t>XXL</t>
        </is>
      </c>
      <c r="K4" s="155" t="inlineStr">
        <is>
          <t>Stetson</t>
        </is>
      </c>
      <c r="L4" s="155" t="inlineStr">
        <is>
          <t>Camisa Stetson Vintage Range Sable Crest</t>
        </is>
      </c>
      <c r="M4" s="155" t="inlineStr">
        <is>
          <t>Ropa</t>
        </is>
      </c>
      <c r="N4" s="155" t="inlineStr">
        <is>
          <t>Camisas</t>
        </is>
      </c>
      <c r="O4" s="155" t="inlineStr">
        <is>
          <t>Hombre</t>
        </is>
      </c>
      <c r="P4" s="155" t="inlineStr">
        <is>
          <t>Stetson</t>
        </is>
      </c>
      <c r="Q4" s="155" t="inlineStr">
        <is>
          <t>SS26</t>
        </is>
      </c>
      <c r="R4" s="155" t="inlineStr">
        <is>
          <t>Seasonal</t>
        </is>
      </c>
      <c r="S4" s="155" t="inlineStr">
        <is>
          <t>Negro</t>
        </is>
      </c>
      <c r="T4" s="155" t="inlineStr">
        <is>
          <t>Regular</t>
        </is>
      </c>
      <c r="U4" s="155" t="inlineStr">
        <is>
          <t>No Aplica</t>
        </is>
      </c>
      <c r="V4" s="155" t="inlineStr">
        <is>
          <t>100% Algodón</t>
        </is>
      </c>
      <c r="W4" s="155" t="inlineStr">
        <is>
          <t>La Camisa Vintage Range Printed de Stetson es la mezcla ideal de tradición vaquera y estilo audaz. Con un estampado gráfico distintivo que capta la mirada, esta prenda te permite expresar tu individualidad sin sacrificar la reconocida comodidad de St(más...)</t>
        </is>
      </c>
      <c r="X4" s="155" t="inlineStr">
        <is>
          <t>México</t>
        </is>
      </c>
      <c r="Y4" s="155" t="inlineStr">
        <is>
          <t>PZS</t>
        </is>
      </c>
      <c r="Z4" s="59" t="inlineStr">
        <is>
          <t>53101600</t>
        </is>
      </c>
      <c r="AA4" s="126" t="inlineStr">
        <is>
          <t>https://cdn.shopify.com/s/files/1/0888/3250/8267/files/ST-VR-P-017-SC-01.jpg?v=1762366868</t>
        </is>
      </c>
      <c r="AB4" s="61" t="n">
        <v>678.8793103</v>
      </c>
      <c r="AC4" s="61" t="n">
        <v>1508.62069</v>
      </c>
      <c r="AD4" s="62" t="n"/>
      <c r="AE4" s="64" t="n"/>
      <c r="AF4" s="64" t="n"/>
      <c r="AG4" s="59" t="n">
        <v>3</v>
      </c>
      <c r="AH4" s="155" t="inlineStr">
        <is>
          <t>WB OUTLET LERMA (3)</t>
        </is>
      </c>
      <c r="AI4" s="59" t="n">
        <v>3</v>
      </c>
      <c r="AJ4" s="155" t="inlineStr">
        <is>
          <t>Catálogo existente</t>
        </is>
      </c>
      <c r="AK4" s="155" t="inlineStr">
        <is>
          <t>Revisión 29/09/2026: Campos sin respaldo: X | ID alternativo de Hoja a Revisar 108374 (UPC coincidente); se conserva ID principal; Auditoría NetSuite 30/09/2026: llenado desde NetSuite [Q,V,S]; Vinculado por código de barras al ID NetSuite 108374 (antes en Identificador interno: '110911') | 01/10/2026: complementado desde Shopify Stetson México (match por código de barras): WB Silueta, Enlace de imagen</t>
        </is>
      </c>
      <c r="AL4" s="155" t="inlineStr">
        <is>
          <t>No</t>
        </is>
      </c>
      <c r="AM4" s="155" t="n"/>
      <c r="AN4" s="155" t="inlineStr">
        <is>
          <t>ProductosCatalogoEstandar907.xlsx: fila 6251 [P,U] | Criterios: J [R] | Hoja a Revisar: fila 366224 (ID 108374, misma clave UPC); G1522_Extraccion_Articulos_NetSuite_2026-09-30.xlsx: fila 56533 [Q,V,S] | Shopify Stetson: producto 14819773317483 / variante 53350596018539</t>
        </is>
      </c>
      <c r="AO4" s="58" t="n">
        <v>678.8793103</v>
      </c>
      <c r="AP4" s="58" t="n">
        <v>1508.62069</v>
      </c>
      <c r="AQ4" s="155" t="inlineStr">
        <is>
          <t>Shopify Stetson México</t>
        </is>
      </c>
      <c r="AR4" s="59" t="n">
        <v>5</v>
      </c>
      <c r="AS4" s="59" t="n"/>
      <c r="AT4" s="59" t="n"/>
      <c r="AU4" s="155" t="inlineStr">
        <is>
          <t>Shopify Stetson México › Stetson México: 2 | Shopify Stetson México › Stetson Americas: 3</t>
        </is>
      </c>
    </row>
    <row r="5">
      <c r="A5" s="51" t="inlineStr">
        <is>
          <t>6</t>
        </is>
      </c>
      <c r="B5" s="156" t="inlineStr">
        <is>
          <t>Shopify Western Brothers</t>
        </is>
      </c>
      <c r="C5" s="125" t="inlineStr">
        <is>
          <t>Artículo distinto con el mismo código de barras que la fila de Productos de este grupo</t>
        </is>
      </c>
      <c r="D5" s="60" t="inlineStr">
        <is>
          <t>7506499570848</t>
        </is>
      </c>
      <c r="E5" s="59" t="inlineStr">
        <is>
          <t>47621315788985</t>
        </is>
      </c>
      <c r="F5" s="155" t="inlineStr">
        <is>
          <t>Denver</t>
        </is>
      </c>
      <c r="G5" s="155" t="inlineStr">
        <is>
          <t>02-TDAG012-0007</t>
        </is>
      </c>
      <c r="H5" s="155" t="inlineStr">
        <is>
          <t>7506499570848</t>
        </is>
      </c>
      <c r="I5" s="155" t="inlineStr">
        <is>
          <t>S</t>
        </is>
      </c>
      <c r="J5" s="155" t="inlineStr">
        <is>
          <t>S</t>
        </is>
      </c>
      <c r="K5" s="155" t="inlineStr">
        <is>
          <t>Denver</t>
        </is>
      </c>
      <c r="L5" s="155" t="inlineStr">
        <is>
          <t>Playera Denver dama negro corazon toros</t>
        </is>
      </c>
      <c r="M5" s="155" t="inlineStr">
        <is>
          <t>Ropa</t>
        </is>
      </c>
      <c r="N5" s="155" t="inlineStr">
        <is>
          <t>Playeras</t>
        </is>
      </c>
      <c r="O5" s="155" t="inlineStr">
        <is>
          <t>Mujer</t>
        </is>
      </c>
      <c r="P5" s="155" t="inlineStr">
        <is>
          <t>Denver</t>
        </is>
      </c>
      <c r="Q5" s="155" t="inlineStr">
        <is>
          <t>SS26</t>
        </is>
      </c>
      <c r="R5" s="155" t="inlineStr">
        <is>
          <t>Seasonal</t>
        </is>
      </c>
      <c r="S5" s="155" t="inlineStr">
        <is>
          <t>Negro</t>
        </is>
      </c>
      <c r="T5" s="155" t="n"/>
      <c r="U5" s="155" t="inlineStr">
        <is>
          <t>No Aplica</t>
        </is>
      </c>
      <c r="V5" s="155" t="inlineStr">
        <is>
          <t>100% Algodón</t>
        </is>
      </c>
      <c r="W5" s="155" t="n"/>
      <c r="X5" s="155" t="n"/>
      <c r="Y5" s="155" t="inlineStr">
        <is>
          <t>PZS</t>
        </is>
      </c>
      <c r="Z5" s="59" t="n"/>
      <c r="AA5" s="126" t="inlineStr">
        <is>
          <t>https://cdn.shopify.com/s/files/1/0888/3250/8267/files/ST-VR-P-017-SC-01.jpg?v=1762366868</t>
        </is>
      </c>
      <c r="AB5" s="61" t="n"/>
      <c r="AC5" s="61" t="n">
        <v>649</v>
      </c>
      <c r="AD5" s="62" t="n"/>
      <c r="AE5" s="64" t="n"/>
      <c r="AF5" s="64" t="inlineStr">
        <is>
          <t>Sin duplicados en el catálogo · También en: Shopify Stetson (por código de barras)</t>
        </is>
      </c>
      <c r="AG5" s="59" t="n"/>
      <c r="AH5" s="155" t="n"/>
      <c r="AI5" s="59" t="n"/>
      <c r="AJ5" s="155" t="inlineStr">
        <is>
          <t>Shopify · Western Brothers · Activo · Tipo: Ropa</t>
        </is>
      </c>
      <c r="AK5" s="155" t="inlineStr">
        <is>
          <t>Color detectado en el nombre (negro); Enlace de imagen tomado de Shopify Stetson (match por código de barras)</t>
        </is>
      </c>
      <c r="AL5" s="155" t="n"/>
      <c r="AM5" s="155" t="n"/>
      <c r="AN5" s="155" t="inlineStr">
        <is>
          <t>Shopify WB: producto 8569956139193 / variante 47621315788985; Shopify Stetson: id 53350596018539 (match por código de barras)</t>
        </is>
      </c>
      <c r="AO5" s="58" t="n"/>
      <c r="AP5" s="58" t="n">
        <v>649</v>
      </c>
      <c r="AQ5" s="155" t="inlineStr">
        <is>
          <t>Shopify Western Brothers</t>
        </is>
      </c>
      <c r="AR5" s="59" t="n"/>
      <c r="AS5" s="59" t="n">
        <v>2</v>
      </c>
      <c r="AT5" s="59" t="n"/>
      <c r="AU5" s="155" t="inlineStr">
        <is>
          <t>Shopify Western Brothers › Western Brothers Outlet Lerma: 2</t>
        </is>
      </c>
    </row>
  </sheetData>
  <autoFilter ref="A1:AU5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WB OUTLET LERMA</t>
        </is>
      </c>
      <c r="B2" s="5">
        <f>IF($I2="","",INDEX(Productos!$A:$A,$I2))</f>
        <v/>
      </c>
      <c r="C2" s="134" t="n"/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3</v>
      </c>
      <c r="H2" s="5">
        <f>IF($I2="","",INDEX(Productos!$AG:$AG,$I2))</f>
        <v/>
      </c>
      <c r="I2" s="136">
        <f>LET(_xlpm.r,Productos!$E$2:$E$204,_xlpm.m,IFERROR(_xlfn.XMATCH(C2,_xlpm.r),IFERROR(_xlfn.XMATCH(VALUE(C2),_xlpm.r),0)),IF(_xlpm.m=0,"",_xlpm.m+1))</f>
        <v/>
      </c>
      <c r="J2" s="137" t="inlineStr">
        <is>
          <t>NetSuite</t>
        </is>
      </c>
    </row>
    <row r="3">
      <c r="A3" s="5" t="inlineStr">
        <is>
          <t>WB OUTLET LERMA</t>
        </is>
      </c>
      <c r="B3" s="5">
        <f>IF($I2="","",INDEX(Productos!$A:$A,$I2))</f>
        <v/>
      </c>
      <c r="C3" s="134" t="n"/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3</v>
      </c>
      <c r="H3" s="5">
        <f>IF($I2="","",INDEX(Productos!$AG:$AG,$I2))</f>
        <v/>
      </c>
      <c r="I3" s="136">
        <f>LET(_xlpm.r,Productos!$E$2:$E$204,_xlpm.m,IFERROR(_xlfn.XMATCH(C3,_xlpm.r),IFERROR(_xlfn.XMATCH(VALUE(C3),_xlpm.r),0)),IF(_xlpm.m=0,"",_xlpm.m+1))</f>
        <v/>
      </c>
      <c r="J3" s="137" t="inlineStr">
        <is>
          <t>NetSuite</t>
        </is>
      </c>
    </row>
    <row r="4">
      <c r="A4" s="5" t="inlineStr">
        <is>
          <t>WB OUTLET LERMA</t>
        </is>
      </c>
      <c r="B4" s="5">
        <f>IF($I2="","",INDEX(Productos!$A:$A,$I2))</f>
        <v/>
      </c>
      <c r="C4" s="134" t="n"/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2</v>
      </c>
      <c r="H4" s="5">
        <f>IF($I2="","",INDEX(Productos!$AG:$AG,$I2))</f>
        <v/>
      </c>
      <c r="I4" s="136">
        <f>LET(_xlpm.r,Productos!$E$2:$E$204,_xlpm.m,IFERROR(_xlfn.XMATCH(C4,_xlpm.r),IFERROR(_xlfn.XMATCH(VALUE(C4),_xlpm.r),0)),IF(_xlpm.m=0,"",_xlpm.m+1))</f>
        <v/>
      </c>
      <c r="J4" s="137" t="inlineStr">
        <is>
          <t>NetSuite</t>
        </is>
      </c>
    </row>
    <row r="5">
      <c r="A5" s="5" t="inlineStr">
        <is>
          <t>WB OUTLET LERMA</t>
        </is>
      </c>
      <c r="B5" s="5">
        <f>IF($I2="","",INDEX(Productos!$A:$A,$I2))</f>
        <v/>
      </c>
      <c r="C5" s="134" t="n"/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1</v>
      </c>
      <c r="H5" s="5">
        <f>IF($I2="","",INDEX(Productos!$AG:$AG,$I2))</f>
        <v/>
      </c>
      <c r="I5" s="136">
        <f>LET(_xlpm.r,Productos!$E$2:$E$204,_xlpm.m,IFERROR(_xlfn.XMATCH(C5,_xlpm.r),IFERROR(_xlfn.XMATCH(VALUE(C5),_xlpm.r),0)),IF(_xlpm.m=0,"",_xlpm.m+1))</f>
        <v/>
      </c>
      <c r="J5" s="137" t="inlineStr">
        <is>
          <t>NetSuite</t>
        </is>
      </c>
    </row>
    <row r="6">
      <c r="A6" s="5" t="inlineStr">
        <is>
          <t>WB OUTLET LERMA</t>
        </is>
      </c>
      <c r="B6" s="5">
        <f>IF($I2="","",INDEX(Productos!$A:$A,$I2))</f>
        <v/>
      </c>
      <c r="C6" s="134" t="n"/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1</v>
      </c>
      <c r="H6" s="5">
        <f>IF($I2="","",INDEX(Productos!$AG:$AG,$I2))</f>
        <v/>
      </c>
      <c r="I6" s="136">
        <f>LET(_xlpm.r,Productos!$E$2:$E$204,_xlpm.m,IFERROR(_xlfn.XMATCH(C6,_xlpm.r),IFERROR(_xlfn.XMATCH(VALUE(C6),_xlpm.r),0)),IF(_xlpm.m=0,"",_xlpm.m+1))</f>
        <v/>
      </c>
      <c r="J6" s="137" t="inlineStr">
        <is>
          <t>NetSuite</t>
        </is>
      </c>
    </row>
    <row r="7">
      <c r="A7" s="5" t="inlineStr">
        <is>
          <t>WB OUTLET LERMA</t>
        </is>
      </c>
      <c r="B7" s="5">
        <f>IF($I2="","",INDEX(Productos!$A:$A,$I2))</f>
        <v/>
      </c>
      <c r="C7" s="134" t="n"/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3</v>
      </c>
      <c r="H7" s="5">
        <f>IF($I2="","",INDEX(Productos!$AG:$AG,$I2))</f>
        <v/>
      </c>
      <c r="I7" s="136">
        <f>LET(_xlpm.r,Productos!$E$2:$E$204,_xlpm.m,IFERROR(_xlfn.XMATCH(C7,_xlpm.r),IFERROR(_xlfn.XMATCH(VALUE(C7),_xlpm.r),0)),IF(_xlpm.m=0,"",_xlpm.m+1))</f>
        <v/>
      </c>
      <c r="J7" s="137" t="inlineStr">
        <is>
          <t>NetSuite</t>
        </is>
      </c>
    </row>
    <row r="8">
      <c r="A8" s="5" t="inlineStr">
        <is>
          <t>WB OUTLET LERMA</t>
        </is>
      </c>
      <c r="B8" s="5">
        <f>IF($I2="","",INDEX(Productos!$A:$A,$I2))</f>
        <v/>
      </c>
      <c r="C8" s="134" t="n"/>
      <c r="D8" s="5">
        <f>IF($I2="","",INDEX(Productos!$B:$B,$I2))</f>
        <v/>
      </c>
      <c r="E8" s="5">
        <f>IF($I2="","",INDEX(Productos!$H:$H,$I2))</f>
        <v/>
      </c>
      <c r="F8" s="5">
        <f>IF($I2="","",INDEX(Productos!$I:$I,$I2))</f>
        <v/>
      </c>
      <c r="G8" s="135" t="n">
        <v>1</v>
      </c>
      <c r="H8" s="5">
        <f>IF($I2="","",INDEX(Productos!$AG:$AG,$I2))</f>
        <v/>
      </c>
      <c r="I8" s="136">
        <f>LET(_xlpm.r,Productos!$E$2:$E$204,_xlpm.m,IFERROR(_xlfn.XMATCH(C8,_xlpm.r),IFERROR(_xlfn.XMATCH(VALUE(C8),_xlpm.r),0)),IF(_xlpm.m=0,"",_xlpm.m+1))</f>
        <v/>
      </c>
      <c r="J8" s="137" t="inlineStr">
        <is>
          <t>NetSuite</t>
        </is>
      </c>
    </row>
    <row r="9">
      <c r="A9" s="5" t="inlineStr">
        <is>
          <t>WB OUTLET LERMA</t>
        </is>
      </c>
      <c r="B9" s="5">
        <f>IF($I2="","",INDEX(Productos!$A:$A,$I2))</f>
        <v/>
      </c>
      <c r="C9" s="134" t="n"/>
      <c r="D9" s="5">
        <f>IF($I2="","",INDEX(Productos!$B:$B,$I2))</f>
        <v/>
      </c>
      <c r="E9" s="5">
        <f>IF($I2="","",INDEX(Productos!$H:$H,$I2))</f>
        <v/>
      </c>
      <c r="F9" s="5">
        <f>IF($I2="","",INDEX(Productos!$I:$I,$I2))</f>
        <v/>
      </c>
      <c r="G9" s="135" t="n">
        <v>2</v>
      </c>
      <c r="H9" s="5">
        <f>IF($I2="","",INDEX(Productos!$AG:$AG,$I2))</f>
        <v/>
      </c>
      <c r="I9" s="136">
        <f>LET(_xlpm.r,Productos!$E$2:$E$204,_xlpm.m,IFERROR(_xlfn.XMATCH(C9,_xlpm.r),IFERROR(_xlfn.XMATCH(VALUE(C9),_xlpm.r),0)),IF(_xlpm.m=0,"",_xlpm.m+1))</f>
        <v/>
      </c>
      <c r="J9" s="137" t="inlineStr">
        <is>
          <t>NetSuite</t>
        </is>
      </c>
    </row>
    <row r="10">
      <c r="A10" s="5" t="inlineStr">
        <is>
          <t>WB OUTLET LERMA</t>
        </is>
      </c>
      <c r="B10" s="5">
        <f>IF($I2="","",INDEX(Productos!$A:$A,$I2))</f>
        <v/>
      </c>
      <c r="C10" s="134" t="n"/>
      <c r="D10" s="5">
        <f>IF($I2="","",INDEX(Productos!$B:$B,$I2))</f>
        <v/>
      </c>
      <c r="E10" s="5">
        <f>IF($I2="","",INDEX(Productos!$H:$H,$I2))</f>
        <v/>
      </c>
      <c r="F10" s="5">
        <f>IF($I2="","",INDEX(Productos!$I:$I,$I2))</f>
        <v/>
      </c>
      <c r="G10" s="135" t="n">
        <v>4</v>
      </c>
      <c r="H10" s="5">
        <f>IF($I2="","",INDEX(Productos!$AG:$AG,$I2))</f>
        <v/>
      </c>
      <c r="I10" s="136">
        <f>LET(_xlpm.r,Productos!$E$2:$E$204,_xlpm.m,IFERROR(_xlfn.XMATCH(C10,_xlpm.r),IFERROR(_xlfn.XMATCH(VALUE(C10),_xlpm.r),0)),IF(_xlpm.m=0,"",_xlpm.m+1))</f>
        <v/>
      </c>
      <c r="J10" s="137" t="inlineStr">
        <is>
          <t>NetSuite</t>
        </is>
      </c>
    </row>
    <row r="11">
      <c r="A11" s="5" t="inlineStr">
        <is>
          <t>WB OUTLET LERMA</t>
        </is>
      </c>
      <c r="B11" s="5">
        <f>IF($I2="","",INDEX(Productos!$A:$A,$I2))</f>
        <v/>
      </c>
      <c r="C11" s="134" t="n"/>
      <c r="D11" s="5">
        <f>IF($I2="","",INDEX(Productos!$B:$B,$I2))</f>
        <v/>
      </c>
      <c r="E11" s="5">
        <f>IF($I2="","",INDEX(Productos!$H:$H,$I2))</f>
        <v/>
      </c>
      <c r="F11" s="5">
        <f>IF($I2="","",INDEX(Productos!$I:$I,$I2))</f>
        <v/>
      </c>
      <c r="G11" s="135" t="n">
        <v>3</v>
      </c>
      <c r="H11" s="5">
        <f>IF($I2="","",INDEX(Productos!$AG:$AG,$I2))</f>
        <v/>
      </c>
      <c r="I11" s="136">
        <f>LET(_xlpm.r,Productos!$E$2:$E$204,_xlpm.m,IFERROR(_xlfn.XMATCH(C11,_xlpm.r),IFERROR(_xlfn.XMATCH(VALUE(C11),_xlpm.r),0)),IF(_xlpm.m=0,"",_xlpm.m+1))</f>
        <v/>
      </c>
      <c r="J11" s="137" t="inlineStr">
        <is>
          <t>NetSuite</t>
        </is>
      </c>
    </row>
    <row r="12">
      <c r="A12" s="5" t="inlineStr">
        <is>
          <t>WB OUTLET LERMA</t>
        </is>
      </c>
      <c r="B12" s="5">
        <f>IF($I2="","",INDEX(Productos!$A:$A,$I2))</f>
        <v/>
      </c>
      <c r="C12" s="134" t="n"/>
      <c r="D12" s="5">
        <f>IF($I2="","",INDEX(Productos!$B:$B,$I2))</f>
        <v/>
      </c>
      <c r="E12" s="5">
        <f>IF($I2="","",INDEX(Productos!$H:$H,$I2))</f>
        <v/>
      </c>
      <c r="F12" s="5">
        <f>IF($I2="","",INDEX(Productos!$I:$I,$I2))</f>
        <v/>
      </c>
      <c r="G12" s="135" t="n">
        <v>4</v>
      </c>
      <c r="H12" s="5">
        <f>IF($I2="","",INDEX(Productos!$AG:$AG,$I2))</f>
        <v/>
      </c>
      <c r="I12" s="136">
        <f>LET(_xlpm.r,Productos!$E$2:$E$204,_xlpm.m,IFERROR(_xlfn.XMATCH(C12,_xlpm.r),IFERROR(_xlfn.XMATCH(VALUE(C12),_xlpm.r),0)),IF(_xlpm.m=0,"",_xlpm.m+1))</f>
        <v/>
      </c>
      <c r="J12" s="137" t="inlineStr">
        <is>
          <t>NetSuite</t>
        </is>
      </c>
    </row>
    <row r="13">
      <c r="A13" s="5" t="inlineStr">
        <is>
          <t>WB OUTLET LERMA</t>
        </is>
      </c>
      <c r="B13" s="5">
        <f>IF($I2="","",INDEX(Productos!$A:$A,$I2))</f>
        <v/>
      </c>
      <c r="C13" s="134" t="n"/>
      <c r="D13" s="5">
        <f>IF($I2="","",INDEX(Productos!$B:$B,$I2))</f>
        <v/>
      </c>
      <c r="E13" s="5">
        <f>IF($I2="","",INDEX(Productos!$H:$H,$I2))</f>
        <v/>
      </c>
      <c r="F13" s="5">
        <f>IF($I2="","",INDEX(Productos!$I:$I,$I2))</f>
        <v/>
      </c>
      <c r="G13" s="135" t="n">
        <v>3</v>
      </c>
      <c r="H13" s="5">
        <f>IF($I2="","",INDEX(Productos!$AG:$AG,$I2))</f>
        <v/>
      </c>
      <c r="I13" s="136">
        <f>LET(_xlpm.r,Productos!$E$2:$E$204,_xlpm.m,IFERROR(_xlfn.XMATCH(C13,_xlpm.r),IFERROR(_xlfn.XMATCH(VALUE(C13),_xlpm.r),0)),IF(_xlpm.m=0,"",_xlpm.m+1))</f>
        <v/>
      </c>
      <c r="J13" s="137" t="inlineStr">
        <is>
          <t>NetSuite</t>
        </is>
      </c>
    </row>
    <row r="14">
      <c r="A14" s="5" t="inlineStr">
        <is>
          <t>WB OUTLET LERMA</t>
        </is>
      </c>
      <c r="B14" s="5">
        <f>IF($I2="","",INDEX(Productos!$A:$A,$I2))</f>
        <v/>
      </c>
      <c r="C14" s="134" t="n"/>
      <c r="D14" s="5">
        <f>IF($I2="","",INDEX(Productos!$B:$B,$I2))</f>
        <v/>
      </c>
      <c r="E14" s="5">
        <f>IF($I2="","",INDEX(Productos!$H:$H,$I2))</f>
        <v/>
      </c>
      <c r="F14" s="5">
        <f>IF($I2="","",INDEX(Productos!$I:$I,$I2))</f>
        <v/>
      </c>
      <c r="G14" s="135" t="n">
        <v>3</v>
      </c>
      <c r="H14" s="5">
        <f>IF($I2="","",INDEX(Productos!$AG:$AG,$I2))</f>
        <v/>
      </c>
      <c r="I14" s="136">
        <f>LET(_xlpm.r,Productos!$E$2:$E$204,_xlpm.m,IFERROR(_xlfn.XMATCH(C14,_xlpm.r),IFERROR(_xlfn.XMATCH(VALUE(C14),_xlpm.r),0)),IF(_xlpm.m=0,"",_xlpm.m+1))</f>
        <v/>
      </c>
      <c r="J14" s="137" t="inlineStr">
        <is>
          <t>NetSuite</t>
        </is>
      </c>
    </row>
    <row r="15">
      <c r="A15" s="5" t="inlineStr">
        <is>
          <t>WB OUTLET LERMA</t>
        </is>
      </c>
      <c r="B15" s="5">
        <f>IF($I2="","",INDEX(Productos!$A:$A,$I2))</f>
        <v/>
      </c>
      <c r="C15" s="134" t="n"/>
      <c r="D15" s="5">
        <f>IF($I2="","",INDEX(Productos!$B:$B,$I2))</f>
        <v/>
      </c>
      <c r="E15" s="5">
        <f>IF($I2="","",INDEX(Productos!$H:$H,$I2))</f>
        <v/>
      </c>
      <c r="F15" s="5">
        <f>IF($I2="","",INDEX(Productos!$I:$I,$I2))</f>
        <v/>
      </c>
      <c r="G15" s="135" t="n">
        <v>4</v>
      </c>
      <c r="H15" s="5">
        <f>IF($I2="","",INDEX(Productos!$AG:$AG,$I2))</f>
        <v/>
      </c>
      <c r="I15" s="136">
        <f>LET(_xlpm.r,Productos!$E$2:$E$204,_xlpm.m,IFERROR(_xlfn.XMATCH(C15,_xlpm.r),IFERROR(_xlfn.XMATCH(VALUE(C15),_xlpm.r),0)),IF(_xlpm.m=0,"",_xlpm.m+1))</f>
        <v/>
      </c>
      <c r="J15" s="137" t="inlineStr">
        <is>
          <t>NetSuite</t>
        </is>
      </c>
    </row>
    <row r="16">
      <c r="A16" s="5" t="inlineStr">
        <is>
          <t>WB OUTLET LERMA</t>
        </is>
      </c>
      <c r="B16" s="5">
        <f>IF($I2="","",INDEX(Productos!$A:$A,$I2))</f>
        <v/>
      </c>
      <c r="C16" s="134" t="n"/>
      <c r="D16" s="5">
        <f>IF($I2="","",INDEX(Productos!$B:$B,$I2))</f>
        <v/>
      </c>
      <c r="E16" s="5">
        <f>IF($I2="","",INDEX(Productos!$H:$H,$I2))</f>
        <v/>
      </c>
      <c r="F16" s="5">
        <f>IF($I2="","",INDEX(Productos!$I:$I,$I2))</f>
        <v/>
      </c>
      <c r="G16" s="135" t="n">
        <v>4</v>
      </c>
      <c r="H16" s="5">
        <f>IF($I2="","",INDEX(Productos!$AG:$AG,$I2))</f>
        <v/>
      </c>
      <c r="I16" s="136">
        <f>LET(_xlpm.r,Productos!$E$2:$E$204,_xlpm.m,IFERROR(_xlfn.XMATCH(C16,_xlpm.r),IFERROR(_xlfn.XMATCH(VALUE(C16),_xlpm.r),0)),IF(_xlpm.m=0,"",_xlpm.m+1))</f>
        <v/>
      </c>
      <c r="J16" s="137" t="inlineStr">
        <is>
          <t>NetSuite</t>
        </is>
      </c>
    </row>
    <row r="17">
      <c r="A17" s="5" t="inlineStr">
        <is>
          <t>WB OUTLET LERMA</t>
        </is>
      </c>
      <c r="B17" s="5">
        <f>IF($I2="","",INDEX(Productos!$A:$A,$I2))</f>
        <v/>
      </c>
      <c r="C17" s="134" t="n"/>
      <c r="D17" s="5">
        <f>IF($I2="","",INDEX(Productos!$B:$B,$I2))</f>
        <v/>
      </c>
      <c r="E17" s="5">
        <f>IF($I2="","",INDEX(Productos!$H:$H,$I2))</f>
        <v/>
      </c>
      <c r="F17" s="5">
        <f>IF($I2="","",INDEX(Productos!$I:$I,$I2))</f>
        <v/>
      </c>
      <c r="G17" s="135" t="n">
        <v>4</v>
      </c>
      <c r="H17" s="5">
        <f>IF($I2="","",INDEX(Productos!$AG:$AG,$I2))</f>
        <v/>
      </c>
      <c r="I17" s="136">
        <f>LET(_xlpm.r,Productos!$E$2:$E$204,_xlpm.m,IFERROR(_xlfn.XMATCH(C17,_xlpm.r),IFERROR(_xlfn.XMATCH(VALUE(C17),_xlpm.r),0)),IF(_xlpm.m=0,"",_xlpm.m+1))</f>
        <v/>
      </c>
      <c r="J17" s="137" t="inlineStr">
        <is>
          <t>NetSuite</t>
        </is>
      </c>
    </row>
    <row r="18">
      <c r="A18" s="5" t="inlineStr">
        <is>
          <t>WB OUTLET LERMA</t>
        </is>
      </c>
      <c r="B18" s="5">
        <f>IF($I2="","",INDEX(Productos!$A:$A,$I2))</f>
        <v/>
      </c>
      <c r="C18" s="134" t="n"/>
      <c r="D18" s="5">
        <f>IF($I2="","",INDEX(Productos!$B:$B,$I2))</f>
        <v/>
      </c>
      <c r="E18" s="5">
        <f>IF($I2="","",INDEX(Productos!$H:$H,$I2))</f>
        <v/>
      </c>
      <c r="F18" s="5">
        <f>IF($I2="","",INDEX(Productos!$I:$I,$I2))</f>
        <v/>
      </c>
      <c r="G18" s="135" t="n">
        <v>2</v>
      </c>
      <c r="H18" s="5">
        <f>IF($I2="","",INDEX(Productos!$AG:$AG,$I2))</f>
        <v/>
      </c>
      <c r="I18" s="136">
        <f>LET(_xlpm.r,Productos!$E$2:$E$204,_xlpm.m,IFERROR(_xlfn.XMATCH(C18,_xlpm.r),IFERROR(_xlfn.XMATCH(VALUE(C18),_xlpm.r),0)),IF(_xlpm.m=0,"",_xlpm.m+1))</f>
        <v/>
      </c>
      <c r="J18" s="137" t="inlineStr">
        <is>
          <t>NetSuite</t>
        </is>
      </c>
    </row>
    <row r="19">
      <c r="A19" s="5" t="inlineStr">
        <is>
          <t>WB OUTLET LERMA</t>
        </is>
      </c>
      <c r="B19" s="5">
        <f>IF($I2="","",INDEX(Productos!$A:$A,$I2))</f>
        <v/>
      </c>
      <c r="C19" s="134" t="n"/>
      <c r="D19" s="5">
        <f>IF($I2="","",INDEX(Productos!$B:$B,$I2))</f>
        <v/>
      </c>
      <c r="E19" s="5">
        <f>IF($I2="","",INDEX(Productos!$H:$H,$I2))</f>
        <v/>
      </c>
      <c r="F19" s="5">
        <f>IF($I2="","",INDEX(Productos!$I:$I,$I2))</f>
        <v/>
      </c>
      <c r="G19" s="135" t="n">
        <v>3</v>
      </c>
      <c r="H19" s="5">
        <f>IF($I2="","",INDEX(Productos!$AG:$AG,$I2))</f>
        <v/>
      </c>
      <c r="I19" s="136">
        <f>LET(_xlpm.r,Productos!$E$2:$E$204,_xlpm.m,IFERROR(_xlfn.XMATCH(C19,_xlpm.r),IFERROR(_xlfn.XMATCH(VALUE(C19),_xlpm.r),0)),IF(_xlpm.m=0,"",_xlpm.m+1))</f>
        <v/>
      </c>
      <c r="J19" s="137" t="inlineStr">
        <is>
          <t>NetSuite</t>
        </is>
      </c>
    </row>
    <row r="20">
      <c r="A20" s="5" t="inlineStr">
        <is>
          <t>WB OUTLET LERMA</t>
        </is>
      </c>
      <c r="B20" s="5">
        <f>IF($I2="","",INDEX(Productos!$A:$A,$I2))</f>
        <v/>
      </c>
      <c r="C20" s="134" t="n"/>
      <c r="D20" s="5">
        <f>IF($I2="","",INDEX(Productos!$B:$B,$I2))</f>
        <v/>
      </c>
      <c r="E20" s="5">
        <f>IF($I2="","",INDEX(Productos!$H:$H,$I2))</f>
        <v/>
      </c>
      <c r="F20" s="5">
        <f>IF($I2="","",INDEX(Productos!$I:$I,$I2))</f>
        <v/>
      </c>
      <c r="G20" s="135" t="n">
        <v>2</v>
      </c>
      <c r="H20" s="5">
        <f>IF($I2="","",INDEX(Productos!$AG:$AG,$I2))</f>
        <v/>
      </c>
      <c r="I20" s="136">
        <f>LET(_xlpm.r,Productos!$E$2:$E$204,_xlpm.m,IFERROR(_xlfn.XMATCH(C20,_xlpm.r),IFERROR(_xlfn.XMATCH(VALUE(C20),_xlpm.r),0)),IF(_xlpm.m=0,"",_xlpm.m+1))</f>
        <v/>
      </c>
      <c r="J20" s="137" t="inlineStr">
        <is>
          <t>NetSuite</t>
        </is>
      </c>
    </row>
    <row r="21">
      <c r="A21" s="5" t="inlineStr">
        <is>
          <t>WB OUTLET LERMA</t>
        </is>
      </c>
      <c r="B21" s="5">
        <f>IF($I2="","",INDEX(Productos!$A:$A,$I2))</f>
        <v/>
      </c>
      <c r="C21" s="134" t="n"/>
      <c r="D21" s="5">
        <f>IF($I2="","",INDEX(Productos!$B:$B,$I2))</f>
        <v/>
      </c>
      <c r="E21" s="5">
        <f>IF($I2="","",INDEX(Productos!$H:$H,$I2))</f>
        <v/>
      </c>
      <c r="F21" s="5">
        <f>IF($I2="","",INDEX(Productos!$I:$I,$I2))</f>
        <v/>
      </c>
      <c r="G21" s="135" t="n">
        <v>3</v>
      </c>
      <c r="H21" s="5">
        <f>IF($I2="","",INDEX(Productos!$AG:$AG,$I2))</f>
        <v/>
      </c>
      <c r="I21" s="136">
        <f>LET(_xlpm.r,Productos!$E$2:$E$204,_xlpm.m,IFERROR(_xlfn.XMATCH(C21,_xlpm.r),IFERROR(_xlfn.XMATCH(VALUE(C21),_xlpm.r),0)),IF(_xlpm.m=0,"",_xlpm.m+1))</f>
        <v/>
      </c>
      <c r="J21" s="137" t="inlineStr">
        <is>
          <t>NetSuite</t>
        </is>
      </c>
    </row>
    <row r="22">
      <c r="A22" s="5" t="inlineStr">
        <is>
          <t>WB OUTLET LERMA</t>
        </is>
      </c>
      <c r="B22" s="5">
        <f>IF($I2="","",INDEX(Productos!$A:$A,$I2))</f>
        <v/>
      </c>
      <c r="C22" s="134" t="n"/>
      <c r="D22" s="5">
        <f>IF($I2="","",INDEX(Productos!$B:$B,$I2))</f>
        <v/>
      </c>
      <c r="E22" s="5">
        <f>IF($I2="","",INDEX(Productos!$H:$H,$I2))</f>
        <v/>
      </c>
      <c r="F22" s="5">
        <f>IF($I2="","",INDEX(Productos!$I:$I,$I2))</f>
        <v/>
      </c>
      <c r="G22" s="135" t="n">
        <v>-1</v>
      </c>
      <c r="H22" s="5">
        <f>IF($I2="","",INDEX(Productos!$AG:$AG,$I2))</f>
        <v/>
      </c>
      <c r="I22" s="136">
        <f>LET(_xlpm.r,Productos!$E$2:$E$204,_xlpm.m,IFERROR(_xlfn.XMATCH(C22,_xlpm.r),IFERROR(_xlfn.XMATCH(VALUE(C22),_xlpm.r),0)),IF(_xlpm.m=0,"",_xlpm.m+1))</f>
        <v/>
      </c>
      <c r="J22" s="137" t="inlineStr">
        <is>
          <t>NetSuite</t>
        </is>
      </c>
    </row>
    <row r="23">
      <c r="A23" s="5" t="inlineStr">
        <is>
          <t>WB OUTLET LERMA</t>
        </is>
      </c>
      <c r="B23" s="5">
        <f>IF($I2="","",INDEX(Productos!$A:$A,$I2))</f>
        <v/>
      </c>
      <c r="C23" s="134" t="n"/>
      <c r="D23" s="5">
        <f>IF($I2="","",INDEX(Productos!$B:$B,$I2))</f>
        <v/>
      </c>
      <c r="E23" s="5">
        <f>IF($I2="","",INDEX(Productos!$H:$H,$I2))</f>
        <v/>
      </c>
      <c r="F23" s="5">
        <f>IF($I2="","",INDEX(Productos!$I:$I,$I2))</f>
        <v/>
      </c>
      <c r="G23" s="135" t="n">
        <v>1</v>
      </c>
      <c r="H23" s="5">
        <f>IF($I2="","",INDEX(Productos!$AG:$AG,$I2))</f>
        <v/>
      </c>
      <c r="I23" s="136">
        <f>LET(_xlpm.r,Productos!$E$2:$E$204,_xlpm.m,IFERROR(_xlfn.XMATCH(C23,_xlpm.r),IFERROR(_xlfn.XMATCH(VALUE(C23),_xlpm.r),0)),IF(_xlpm.m=0,"",_xlpm.m+1))</f>
        <v/>
      </c>
      <c r="J23" s="137" t="inlineStr">
        <is>
          <t>NetSuite</t>
        </is>
      </c>
    </row>
    <row r="24">
      <c r="A24" s="5" t="inlineStr">
        <is>
          <t>WB OUTLET LERMA</t>
        </is>
      </c>
      <c r="B24" s="5">
        <f>IF($I2="","",INDEX(Productos!$A:$A,$I2))</f>
        <v/>
      </c>
      <c r="C24" s="134" t="n"/>
      <c r="D24" s="5">
        <f>IF($I2="","",INDEX(Productos!$B:$B,$I2))</f>
        <v/>
      </c>
      <c r="E24" s="5">
        <f>IF($I2="","",INDEX(Productos!$H:$H,$I2))</f>
        <v/>
      </c>
      <c r="F24" s="5">
        <f>IF($I2="","",INDEX(Productos!$I:$I,$I2))</f>
        <v/>
      </c>
      <c r="G24" s="135" t="n">
        <v>3</v>
      </c>
      <c r="H24" s="5">
        <f>IF($I2="","",INDEX(Productos!$AG:$AG,$I2))</f>
        <v/>
      </c>
      <c r="I24" s="136">
        <f>LET(_xlpm.r,Productos!$E$2:$E$204,_xlpm.m,IFERROR(_xlfn.XMATCH(C24,_xlpm.r),IFERROR(_xlfn.XMATCH(VALUE(C24),_xlpm.r),0)),IF(_xlpm.m=0,"",_xlpm.m+1))</f>
        <v/>
      </c>
      <c r="J24" s="137" t="inlineStr">
        <is>
          <t>NetSuite</t>
        </is>
      </c>
    </row>
    <row r="25">
      <c r="A25" s="5" t="inlineStr">
        <is>
          <t>WB OUTLET LERMA</t>
        </is>
      </c>
      <c r="B25" s="5">
        <f>IF($I2="","",INDEX(Productos!$A:$A,$I2))</f>
        <v/>
      </c>
      <c r="C25" s="134" t="n"/>
      <c r="D25" s="5">
        <f>IF($I2="","",INDEX(Productos!$B:$B,$I2))</f>
        <v/>
      </c>
      <c r="E25" s="5">
        <f>IF($I2="","",INDEX(Productos!$H:$H,$I2))</f>
        <v/>
      </c>
      <c r="F25" s="5">
        <f>IF($I2="","",INDEX(Productos!$I:$I,$I2))</f>
        <v/>
      </c>
      <c r="G25" s="135" t="n">
        <v>3</v>
      </c>
      <c r="H25" s="5">
        <f>IF($I2="","",INDEX(Productos!$AG:$AG,$I2))</f>
        <v/>
      </c>
      <c r="I25" s="136">
        <f>LET(_xlpm.r,Productos!$E$2:$E$204,_xlpm.m,IFERROR(_xlfn.XMATCH(C25,_xlpm.r),IFERROR(_xlfn.XMATCH(VALUE(C25),_xlpm.r),0)),IF(_xlpm.m=0,"",_xlpm.m+1))</f>
        <v/>
      </c>
      <c r="J25" s="137" t="inlineStr">
        <is>
          <t>NetSuite</t>
        </is>
      </c>
    </row>
    <row r="26">
      <c r="A26" s="5" t="inlineStr">
        <is>
          <t>WB OUTLET LERMA</t>
        </is>
      </c>
      <c r="B26" s="5">
        <f>IF($I2="","",INDEX(Productos!$A:$A,$I2))</f>
        <v/>
      </c>
      <c r="C26" s="134" t="n"/>
      <c r="D26" s="5">
        <f>IF($I2="","",INDEX(Productos!$B:$B,$I2))</f>
        <v/>
      </c>
      <c r="E26" s="5">
        <f>IF($I2="","",INDEX(Productos!$H:$H,$I2))</f>
        <v/>
      </c>
      <c r="F26" s="5">
        <f>IF($I2="","",INDEX(Productos!$I:$I,$I2))</f>
        <v/>
      </c>
      <c r="G26" s="135" t="n">
        <v>3</v>
      </c>
      <c r="H26" s="5">
        <f>IF($I2="","",INDEX(Productos!$AG:$AG,$I2))</f>
        <v/>
      </c>
      <c r="I26" s="136">
        <f>LET(_xlpm.r,Productos!$E$2:$E$204,_xlpm.m,IFERROR(_xlfn.XMATCH(C26,_xlpm.r),IFERROR(_xlfn.XMATCH(VALUE(C26),_xlpm.r),0)),IF(_xlpm.m=0,"",_xlpm.m+1))</f>
        <v/>
      </c>
      <c r="J26" s="137" t="inlineStr">
        <is>
          <t>NetSuite</t>
        </is>
      </c>
    </row>
    <row r="27">
      <c r="A27" s="5" t="inlineStr">
        <is>
          <t>WB OUTLET LERMA</t>
        </is>
      </c>
      <c r="B27" s="5">
        <f>IF($I2="","",INDEX(Productos!$A:$A,$I2))</f>
        <v/>
      </c>
      <c r="C27" s="134" t="n"/>
      <c r="D27" s="5">
        <f>IF($I2="","",INDEX(Productos!$B:$B,$I2))</f>
        <v/>
      </c>
      <c r="E27" s="5">
        <f>IF($I2="","",INDEX(Productos!$H:$H,$I2))</f>
        <v/>
      </c>
      <c r="F27" s="5">
        <f>IF($I2="","",INDEX(Productos!$I:$I,$I2))</f>
        <v/>
      </c>
      <c r="G27" s="135" t="n">
        <v>4</v>
      </c>
      <c r="H27" s="5">
        <f>IF($I2="","",INDEX(Productos!$AG:$AG,$I2))</f>
        <v/>
      </c>
      <c r="I27" s="136">
        <f>LET(_xlpm.r,Productos!$E$2:$E$204,_xlpm.m,IFERROR(_xlfn.XMATCH(C27,_xlpm.r),IFERROR(_xlfn.XMATCH(VALUE(C27),_xlpm.r),0)),IF(_xlpm.m=0,"",_xlpm.m+1))</f>
        <v/>
      </c>
      <c r="J27" s="137" t="inlineStr">
        <is>
          <t>NetSuite</t>
        </is>
      </c>
    </row>
    <row r="28">
      <c r="A28" s="5" t="inlineStr">
        <is>
          <t>WB OUTLET LERMA</t>
        </is>
      </c>
      <c r="B28" s="5">
        <f>IF($I2="","",INDEX(Productos!$A:$A,$I2))</f>
        <v/>
      </c>
      <c r="C28" s="134" t="n"/>
      <c r="D28" s="5">
        <f>IF($I2="","",INDEX(Productos!$B:$B,$I2))</f>
        <v/>
      </c>
      <c r="E28" s="5">
        <f>IF($I2="","",INDEX(Productos!$H:$H,$I2))</f>
        <v/>
      </c>
      <c r="F28" s="5">
        <f>IF($I2="","",INDEX(Productos!$I:$I,$I2))</f>
        <v/>
      </c>
      <c r="G28" s="135" t="n">
        <v>4</v>
      </c>
      <c r="H28" s="5">
        <f>IF($I2="","",INDEX(Productos!$AG:$AG,$I2))</f>
        <v/>
      </c>
      <c r="I28" s="136">
        <f>LET(_xlpm.r,Productos!$E$2:$E$204,_xlpm.m,IFERROR(_xlfn.XMATCH(C28,_xlpm.r),IFERROR(_xlfn.XMATCH(VALUE(C28),_xlpm.r),0)),IF(_xlpm.m=0,"",_xlpm.m+1))</f>
        <v/>
      </c>
      <c r="J28" s="137" t="inlineStr">
        <is>
          <t>NetSuite</t>
        </is>
      </c>
    </row>
    <row r="29">
      <c r="A29" s="5" t="inlineStr">
        <is>
          <t>WB OUTLET LERMA</t>
        </is>
      </c>
      <c r="B29" s="5">
        <f>IF($I2="","",INDEX(Productos!$A:$A,$I2))</f>
        <v/>
      </c>
      <c r="C29" s="134" t="n"/>
      <c r="D29" s="5">
        <f>IF($I2="","",INDEX(Productos!$B:$B,$I2))</f>
        <v/>
      </c>
      <c r="E29" s="5">
        <f>IF($I2="","",INDEX(Productos!$H:$H,$I2))</f>
        <v/>
      </c>
      <c r="F29" s="5">
        <f>IF($I2="","",INDEX(Productos!$I:$I,$I2))</f>
        <v/>
      </c>
      <c r="G29" s="135" t="n">
        <v>2</v>
      </c>
      <c r="H29" s="5">
        <f>IF($I2="","",INDEX(Productos!$AG:$AG,$I2))</f>
        <v/>
      </c>
      <c r="I29" s="136">
        <f>LET(_xlpm.r,Productos!$E$2:$E$204,_xlpm.m,IFERROR(_xlfn.XMATCH(C29,_xlpm.r),IFERROR(_xlfn.XMATCH(VALUE(C29),_xlpm.r),0)),IF(_xlpm.m=0,"",_xlpm.m+1))</f>
        <v/>
      </c>
      <c r="J29" s="137" t="inlineStr">
        <is>
          <t>NetSuite</t>
        </is>
      </c>
    </row>
    <row r="30">
      <c r="A30" s="5" t="inlineStr">
        <is>
          <t>WB OUTLET LERMA</t>
        </is>
      </c>
      <c r="B30" s="5">
        <f>IF($I2="","",INDEX(Productos!$A:$A,$I2))</f>
        <v/>
      </c>
      <c r="C30" s="134" t="n"/>
      <c r="D30" s="5">
        <f>IF($I2="","",INDEX(Productos!$B:$B,$I2))</f>
        <v/>
      </c>
      <c r="E30" s="5">
        <f>IF($I2="","",INDEX(Productos!$H:$H,$I2))</f>
        <v/>
      </c>
      <c r="F30" s="5">
        <f>IF($I2="","",INDEX(Productos!$I:$I,$I2))</f>
        <v/>
      </c>
      <c r="G30" s="135" t="n">
        <v>2</v>
      </c>
      <c r="H30" s="5">
        <f>IF($I2="","",INDEX(Productos!$AG:$AG,$I2))</f>
        <v/>
      </c>
      <c r="I30" s="136">
        <f>LET(_xlpm.r,Productos!$E$2:$E$204,_xlpm.m,IFERROR(_xlfn.XMATCH(C30,_xlpm.r),IFERROR(_xlfn.XMATCH(VALUE(C30),_xlpm.r),0)),IF(_xlpm.m=0,"",_xlpm.m+1))</f>
        <v/>
      </c>
      <c r="J30" s="137" t="inlineStr">
        <is>
          <t>NetSuite</t>
        </is>
      </c>
    </row>
    <row r="31">
      <c r="A31" s="5" t="inlineStr">
        <is>
          <t>WB OUTLET LERMA</t>
        </is>
      </c>
      <c r="B31" s="5">
        <f>IF($I2="","",INDEX(Productos!$A:$A,$I2))</f>
        <v/>
      </c>
      <c r="C31" s="134" t="n"/>
      <c r="D31" s="5">
        <f>IF($I2="","",INDEX(Productos!$B:$B,$I2))</f>
        <v/>
      </c>
      <c r="E31" s="5">
        <f>IF($I2="","",INDEX(Productos!$H:$H,$I2))</f>
        <v/>
      </c>
      <c r="F31" s="5">
        <f>IF($I2="","",INDEX(Productos!$I:$I,$I2))</f>
        <v/>
      </c>
      <c r="G31" s="135" t="n">
        <v>4</v>
      </c>
      <c r="H31" s="5">
        <f>IF($I2="","",INDEX(Productos!$AG:$AG,$I2))</f>
        <v/>
      </c>
      <c r="I31" s="136">
        <f>LET(_xlpm.r,Productos!$E$2:$E$204,_xlpm.m,IFERROR(_xlfn.XMATCH(C31,_xlpm.r),IFERROR(_xlfn.XMATCH(VALUE(C31),_xlpm.r),0)),IF(_xlpm.m=0,"",_xlpm.m+1))</f>
        <v/>
      </c>
      <c r="J31" s="137" t="inlineStr">
        <is>
          <t>NetSuite</t>
        </is>
      </c>
    </row>
    <row r="32">
      <c r="A32" s="5" t="inlineStr">
        <is>
          <t>WB OUTLET LERMA</t>
        </is>
      </c>
      <c r="B32" s="5">
        <f>IF($I2="","",INDEX(Productos!$A:$A,$I2))</f>
        <v/>
      </c>
      <c r="C32" s="134" t="n"/>
      <c r="D32" s="5">
        <f>IF($I2="","",INDEX(Productos!$B:$B,$I2))</f>
        <v/>
      </c>
      <c r="E32" s="5">
        <f>IF($I2="","",INDEX(Productos!$H:$H,$I2))</f>
        <v/>
      </c>
      <c r="F32" s="5">
        <f>IF($I2="","",INDEX(Productos!$I:$I,$I2))</f>
        <v/>
      </c>
      <c r="G32" s="135" t="n">
        <v>3</v>
      </c>
      <c r="H32" s="5">
        <f>IF($I2="","",INDEX(Productos!$AG:$AG,$I2))</f>
        <v/>
      </c>
      <c r="I32" s="136">
        <f>LET(_xlpm.r,Productos!$E$2:$E$204,_xlpm.m,IFERROR(_xlfn.XMATCH(C32,_xlpm.r),IFERROR(_xlfn.XMATCH(VALUE(C32),_xlpm.r),0)),IF(_xlpm.m=0,"",_xlpm.m+1))</f>
        <v/>
      </c>
      <c r="J32" s="137" t="inlineStr">
        <is>
          <t>NetSuite</t>
        </is>
      </c>
    </row>
    <row r="33">
      <c r="A33" s="5" t="inlineStr">
        <is>
          <t>WB OUTLET LERMA</t>
        </is>
      </c>
      <c r="B33" s="5">
        <f>IF($I2="","",INDEX(Productos!$A:$A,$I2))</f>
        <v/>
      </c>
      <c r="C33" s="134" t="n"/>
      <c r="D33" s="5">
        <f>IF($I2="","",INDEX(Productos!$B:$B,$I2))</f>
        <v/>
      </c>
      <c r="E33" s="5">
        <f>IF($I2="","",INDEX(Productos!$H:$H,$I2))</f>
        <v/>
      </c>
      <c r="F33" s="5">
        <f>IF($I2="","",INDEX(Productos!$I:$I,$I2))</f>
        <v/>
      </c>
      <c r="G33" s="135" t="n">
        <v>1</v>
      </c>
      <c r="H33" s="5">
        <f>IF($I2="","",INDEX(Productos!$AG:$AG,$I2))</f>
        <v/>
      </c>
      <c r="I33" s="136">
        <f>LET(_xlpm.r,Productos!$E$2:$E$204,_xlpm.m,IFERROR(_xlfn.XMATCH(C33,_xlpm.r),IFERROR(_xlfn.XMATCH(VALUE(C33),_xlpm.r),0)),IF(_xlpm.m=0,"",_xlpm.m+1))</f>
        <v/>
      </c>
      <c r="J33" s="137" t="inlineStr">
        <is>
          <t>NetSuite</t>
        </is>
      </c>
    </row>
    <row r="34">
      <c r="A34" s="5" t="inlineStr">
        <is>
          <t>WB OUTLET LERMA</t>
        </is>
      </c>
      <c r="B34" s="5">
        <f>IF($I2="","",INDEX(Productos!$A:$A,$I2))</f>
        <v/>
      </c>
      <c r="C34" s="134" t="n"/>
      <c r="D34" s="5">
        <f>IF($I2="","",INDEX(Productos!$B:$B,$I2))</f>
        <v/>
      </c>
      <c r="E34" s="5">
        <f>IF($I2="","",INDEX(Productos!$H:$H,$I2))</f>
        <v/>
      </c>
      <c r="F34" s="5">
        <f>IF($I2="","",INDEX(Productos!$I:$I,$I2))</f>
        <v/>
      </c>
      <c r="G34" s="135" t="n">
        <v>2</v>
      </c>
      <c r="H34" s="5">
        <f>IF($I2="","",INDEX(Productos!$AG:$AG,$I2))</f>
        <v/>
      </c>
      <c r="I34" s="136">
        <f>LET(_xlpm.r,Productos!$E$2:$E$204,_xlpm.m,IFERROR(_xlfn.XMATCH(C34,_xlpm.r),IFERROR(_xlfn.XMATCH(VALUE(C34),_xlpm.r),0)),IF(_xlpm.m=0,"",_xlpm.m+1))</f>
        <v/>
      </c>
      <c r="J34" s="137" t="inlineStr">
        <is>
          <t>NetSuite</t>
        </is>
      </c>
    </row>
    <row r="35">
      <c r="A35" s="5" t="inlineStr">
        <is>
          <t>WB OUTLET LERMA</t>
        </is>
      </c>
      <c r="B35" s="5">
        <f>IF($I2="","",INDEX(Productos!$A:$A,$I2))</f>
        <v/>
      </c>
      <c r="C35" s="134" t="n"/>
      <c r="D35" s="5">
        <f>IF($I2="","",INDEX(Productos!$B:$B,$I2))</f>
        <v/>
      </c>
      <c r="E35" s="5">
        <f>IF($I2="","",INDEX(Productos!$H:$H,$I2))</f>
        <v/>
      </c>
      <c r="F35" s="5">
        <f>IF($I2="","",INDEX(Productos!$I:$I,$I2))</f>
        <v/>
      </c>
      <c r="G35" s="135" t="n">
        <v>3</v>
      </c>
      <c r="H35" s="5">
        <f>IF($I2="","",INDEX(Productos!$AG:$AG,$I2))</f>
        <v/>
      </c>
      <c r="I35" s="136">
        <f>LET(_xlpm.r,Productos!$E$2:$E$204,_xlpm.m,IFERROR(_xlfn.XMATCH(C35,_xlpm.r),IFERROR(_xlfn.XMATCH(VALUE(C35),_xlpm.r),0)),IF(_xlpm.m=0,"",_xlpm.m+1))</f>
        <v/>
      </c>
      <c r="J35" s="137" t="inlineStr">
        <is>
          <t>NetSuite</t>
        </is>
      </c>
    </row>
    <row r="36">
      <c r="A36" s="5" t="inlineStr">
        <is>
          <t>WB OUTLET LERMA</t>
        </is>
      </c>
      <c r="B36" s="5">
        <f>IF($I2="","",INDEX(Productos!$A:$A,$I2))</f>
        <v/>
      </c>
      <c r="C36" s="134" t="n"/>
      <c r="D36" s="5">
        <f>IF($I2="","",INDEX(Productos!$B:$B,$I2))</f>
        <v/>
      </c>
      <c r="E36" s="5">
        <f>IF($I2="","",INDEX(Productos!$H:$H,$I2))</f>
        <v/>
      </c>
      <c r="F36" s="5">
        <f>IF($I2="","",INDEX(Productos!$I:$I,$I2))</f>
        <v/>
      </c>
      <c r="G36" s="135" t="n">
        <v>4</v>
      </c>
      <c r="H36" s="5">
        <f>IF($I2="","",INDEX(Productos!$AG:$AG,$I2))</f>
        <v/>
      </c>
      <c r="I36" s="136">
        <f>LET(_xlpm.r,Productos!$E$2:$E$204,_xlpm.m,IFERROR(_xlfn.XMATCH(C36,_xlpm.r),IFERROR(_xlfn.XMATCH(VALUE(C36),_xlpm.r),0)),IF(_xlpm.m=0,"",_xlpm.m+1))</f>
        <v/>
      </c>
      <c r="J36" s="137" t="inlineStr">
        <is>
          <t>NetSuite</t>
        </is>
      </c>
    </row>
    <row r="37">
      <c r="A37" s="5" t="inlineStr">
        <is>
          <t>WB OUTLET LERMA</t>
        </is>
      </c>
      <c r="B37" s="5">
        <f>IF($I2="","",INDEX(Productos!$A:$A,$I2))</f>
        <v/>
      </c>
      <c r="C37" s="134" t="n"/>
      <c r="D37" s="5">
        <f>IF($I2="","",INDEX(Productos!$B:$B,$I2))</f>
        <v/>
      </c>
      <c r="E37" s="5">
        <f>IF($I2="","",INDEX(Productos!$H:$H,$I2))</f>
        <v/>
      </c>
      <c r="F37" s="5">
        <f>IF($I2="","",INDEX(Productos!$I:$I,$I2))</f>
        <v/>
      </c>
      <c r="G37" s="135" t="n">
        <v>3</v>
      </c>
      <c r="H37" s="5">
        <f>IF($I2="","",INDEX(Productos!$AG:$AG,$I2))</f>
        <v/>
      </c>
      <c r="I37" s="136">
        <f>LET(_xlpm.r,Productos!$E$2:$E$204,_xlpm.m,IFERROR(_xlfn.XMATCH(C37,_xlpm.r),IFERROR(_xlfn.XMATCH(VALUE(C37),_xlpm.r),0)),IF(_xlpm.m=0,"",_xlpm.m+1))</f>
        <v/>
      </c>
      <c r="J37" s="137" t="inlineStr">
        <is>
          <t>NetSuite</t>
        </is>
      </c>
    </row>
    <row r="38">
      <c r="A38" s="5" t="inlineStr">
        <is>
          <t>WB OUTLET LERMA</t>
        </is>
      </c>
      <c r="B38" s="5">
        <f>IF($I2="","",INDEX(Productos!$A:$A,$I2))</f>
        <v/>
      </c>
      <c r="C38" s="134" t="n"/>
      <c r="D38" s="5">
        <f>IF($I2="","",INDEX(Productos!$B:$B,$I2))</f>
        <v/>
      </c>
      <c r="E38" s="5">
        <f>IF($I2="","",INDEX(Productos!$H:$H,$I2))</f>
        <v/>
      </c>
      <c r="F38" s="5">
        <f>IF($I2="","",INDEX(Productos!$I:$I,$I2))</f>
        <v/>
      </c>
      <c r="G38" s="135" t="n">
        <v>4</v>
      </c>
      <c r="H38" s="5">
        <f>IF($I2="","",INDEX(Productos!$AG:$AG,$I2))</f>
        <v/>
      </c>
      <c r="I38" s="136">
        <f>LET(_xlpm.r,Productos!$E$2:$E$204,_xlpm.m,IFERROR(_xlfn.XMATCH(C38,_xlpm.r),IFERROR(_xlfn.XMATCH(VALUE(C38),_xlpm.r),0)),IF(_xlpm.m=0,"",_xlpm.m+1))</f>
        <v/>
      </c>
      <c r="J38" s="137" t="inlineStr">
        <is>
          <t>NetSuite</t>
        </is>
      </c>
    </row>
    <row r="39">
      <c r="A39" s="5" t="inlineStr">
        <is>
          <t>WB OUTLET LERMA</t>
        </is>
      </c>
      <c r="B39" s="5">
        <f>IF($I2="","",INDEX(Productos!$A:$A,$I2))</f>
        <v/>
      </c>
      <c r="C39" s="134" t="n"/>
      <c r="D39" s="5">
        <f>IF($I2="","",INDEX(Productos!$B:$B,$I2))</f>
        <v/>
      </c>
      <c r="E39" s="5">
        <f>IF($I2="","",INDEX(Productos!$H:$H,$I2))</f>
        <v/>
      </c>
      <c r="F39" s="5">
        <f>IF($I2="","",INDEX(Productos!$I:$I,$I2))</f>
        <v/>
      </c>
      <c r="G39" s="135" t="n">
        <v>1</v>
      </c>
      <c r="H39" s="5">
        <f>IF($I2="","",INDEX(Productos!$AG:$AG,$I2))</f>
        <v/>
      </c>
      <c r="I39" s="136">
        <f>LET(_xlpm.r,Productos!$E$2:$E$204,_xlpm.m,IFERROR(_xlfn.XMATCH(C39,_xlpm.r),IFERROR(_xlfn.XMATCH(VALUE(C39),_xlpm.r),0)),IF(_xlpm.m=0,"",_xlpm.m+1))</f>
        <v/>
      </c>
      <c r="J39" s="137" t="inlineStr">
        <is>
          <t>NetSuite</t>
        </is>
      </c>
    </row>
    <row r="40">
      <c r="A40" s="5" t="inlineStr">
        <is>
          <t>WB OUTLET LERMA</t>
        </is>
      </c>
      <c r="B40" s="5">
        <f>IF($I2="","",INDEX(Productos!$A:$A,$I2))</f>
        <v/>
      </c>
      <c r="C40" s="134" t="n"/>
      <c r="D40" s="5">
        <f>IF($I2="","",INDEX(Productos!$B:$B,$I2))</f>
        <v/>
      </c>
      <c r="E40" s="5">
        <f>IF($I2="","",INDEX(Productos!$H:$H,$I2))</f>
        <v/>
      </c>
      <c r="F40" s="5">
        <f>IF($I2="","",INDEX(Productos!$I:$I,$I2))</f>
        <v/>
      </c>
      <c r="G40" s="135" t="n">
        <v>3</v>
      </c>
      <c r="H40" s="5">
        <f>IF($I2="","",INDEX(Productos!$AG:$AG,$I2))</f>
        <v/>
      </c>
      <c r="I40" s="136">
        <f>LET(_xlpm.r,Productos!$E$2:$E$204,_xlpm.m,IFERROR(_xlfn.XMATCH(C40,_xlpm.r),IFERROR(_xlfn.XMATCH(VALUE(C40),_xlpm.r),0)),IF(_xlpm.m=0,"",_xlpm.m+1))</f>
        <v/>
      </c>
      <c r="J40" s="137" t="inlineStr">
        <is>
          <t>NetSuite</t>
        </is>
      </c>
    </row>
    <row r="41">
      <c r="A41" s="5" t="inlineStr">
        <is>
          <t>WB OUTLET LERMA</t>
        </is>
      </c>
      <c r="B41" s="5">
        <f>IF($I2="","",INDEX(Productos!$A:$A,$I2))</f>
        <v/>
      </c>
      <c r="C41" s="134" t="n"/>
      <c r="D41" s="5">
        <f>IF($I2="","",INDEX(Productos!$B:$B,$I2))</f>
        <v/>
      </c>
      <c r="E41" s="5">
        <f>IF($I2="","",INDEX(Productos!$H:$H,$I2))</f>
        <v/>
      </c>
      <c r="F41" s="5">
        <f>IF($I2="","",INDEX(Productos!$I:$I,$I2))</f>
        <v/>
      </c>
      <c r="G41" s="135" t="n">
        <v>1</v>
      </c>
      <c r="H41" s="5">
        <f>IF($I2="","",INDEX(Productos!$AG:$AG,$I2))</f>
        <v/>
      </c>
      <c r="I41" s="136">
        <f>LET(_xlpm.r,Productos!$E$2:$E$204,_xlpm.m,IFERROR(_xlfn.XMATCH(C41,_xlpm.r),IFERROR(_xlfn.XMATCH(VALUE(C41),_xlpm.r),0)),IF(_xlpm.m=0,"",_xlpm.m+1))</f>
        <v/>
      </c>
      <c r="J41" s="137" t="inlineStr">
        <is>
          <t>NetSuite</t>
        </is>
      </c>
    </row>
    <row r="42">
      <c r="A42" s="5" t="inlineStr">
        <is>
          <t>WB OUTLET LERMA</t>
        </is>
      </c>
      <c r="B42" s="5">
        <f>IF($I2="","",INDEX(Productos!$A:$A,$I2))</f>
        <v/>
      </c>
      <c r="C42" s="134" t="n"/>
      <c r="D42" s="5">
        <f>IF($I2="","",INDEX(Productos!$B:$B,$I2))</f>
        <v/>
      </c>
      <c r="E42" s="5">
        <f>IF($I2="","",INDEX(Productos!$H:$H,$I2))</f>
        <v/>
      </c>
      <c r="F42" s="5">
        <f>IF($I2="","",INDEX(Productos!$I:$I,$I2))</f>
        <v/>
      </c>
      <c r="G42" s="135" t="n">
        <v>3</v>
      </c>
      <c r="H42" s="5">
        <f>IF($I2="","",INDEX(Productos!$AG:$AG,$I2))</f>
        <v/>
      </c>
      <c r="I42" s="136">
        <f>LET(_xlpm.r,Productos!$E$2:$E$204,_xlpm.m,IFERROR(_xlfn.XMATCH(C42,_xlpm.r),IFERROR(_xlfn.XMATCH(VALUE(C42),_xlpm.r),0)),IF(_xlpm.m=0,"",_xlpm.m+1))</f>
        <v/>
      </c>
      <c r="J42" s="137" t="inlineStr">
        <is>
          <t>NetSuite</t>
        </is>
      </c>
    </row>
    <row r="43">
      <c r="A43" s="5" t="inlineStr">
        <is>
          <t>WB OUTLET LERMA</t>
        </is>
      </c>
      <c r="B43" s="5">
        <f>IF($I2="","",INDEX(Productos!$A:$A,$I2))</f>
        <v/>
      </c>
      <c r="C43" s="134" t="n"/>
      <c r="D43" s="5">
        <f>IF($I2="","",INDEX(Productos!$B:$B,$I2))</f>
        <v/>
      </c>
      <c r="E43" s="5">
        <f>IF($I2="","",INDEX(Productos!$H:$H,$I2))</f>
        <v/>
      </c>
      <c r="F43" s="5">
        <f>IF($I2="","",INDEX(Productos!$I:$I,$I2))</f>
        <v/>
      </c>
      <c r="G43" s="135" t="n">
        <v>4</v>
      </c>
      <c r="H43" s="5">
        <f>IF($I2="","",INDEX(Productos!$AG:$AG,$I2))</f>
        <v/>
      </c>
      <c r="I43" s="136">
        <f>LET(_xlpm.r,Productos!$E$2:$E$204,_xlpm.m,IFERROR(_xlfn.XMATCH(C43,_xlpm.r),IFERROR(_xlfn.XMATCH(VALUE(C43),_xlpm.r),0)),IF(_xlpm.m=0,"",_xlpm.m+1))</f>
        <v/>
      </c>
      <c r="J43" s="137" t="inlineStr">
        <is>
          <t>NetSuite</t>
        </is>
      </c>
    </row>
    <row r="44">
      <c r="A44" s="5" t="inlineStr">
        <is>
          <t>WB OUTLET LERMA</t>
        </is>
      </c>
      <c r="B44" s="5">
        <f>IF($I2="","",INDEX(Productos!$A:$A,$I2))</f>
        <v/>
      </c>
      <c r="C44" s="134" t="n"/>
      <c r="D44" s="5">
        <f>IF($I2="","",INDEX(Productos!$B:$B,$I2))</f>
        <v/>
      </c>
      <c r="E44" s="5">
        <f>IF($I2="","",INDEX(Productos!$H:$H,$I2))</f>
        <v/>
      </c>
      <c r="F44" s="5">
        <f>IF($I2="","",INDEX(Productos!$I:$I,$I2))</f>
        <v/>
      </c>
      <c r="G44" s="135" t="n">
        <v>4</v>
      </c>
      <c r="H44" s="5">
        <f>IF($I2="","",INDEX(Productos!$AG:$AG,$I2))</f>
        <v/>
      </c>
      <c r="I44" s="136">
        <f>LET(_xlpm.r,Productos!$E$2:$E$204,_xlpm.m,IFERROR(_xlfn.XMATCH(C44,_xlpm.r),IFERROR(_xlfn.XMATCH(VALUE(C44),_xlpm.r),0)),IF(_xlpm.m=0,"",_xlpm.m+1))</f>
        <v/>
      </c>
      <c r="J44" s="137" t="inlineStr">
        <is>
          <t>NetSuite</t>
        </is>
      </c>
    </row>
    <row r="45">
      <c r="A45" s="5" t="inlineStr">
        <is>
          <t>WB OUTLET LERMA</t>
        </is>
      </c>
      <c r="B45" s="5">
        <f>IF($I2="","",INDEX(Productos!$A:$A,$I2))</f>
        <v/>
      </c>
      <c r="C45" s="134" t="n"/>
      <c r="D45" s="5">
        <f>IF($I2="","",INDEX(Productos!$B:$B,$I2))</f>
        <v/>
      </c>
      <c r="E45" s="5">
        <f>IF($I2="","",INDEX(Productos!$H:$H,$I2))</f>
        <v/>
      </c>
      <c r="F45" s="5">
        <f>IF($I2="","",INDEX(Productos!$I:$I,$I2))</f>
        <v/>
      </c>
      <c r="G45" s="135" t="n">
        <v>2</v>
      </c>
      <c r="H45" s="5">
        <f>IF($I2="","",INDEX(Productos!$AG:$AG,$I2))</f>
        <v/>
      </c>
      <c r="I45" s="136">
        <f>LET(_xlpm.r,Productos!$E$2:$E$204,_xlpm.m,IFERROR(_xlfn.XMATCH(C45,_xlpm.r),IFERROR(_xlfn.XMATCH(VALUE(C45),_xlpm.r),0)),IF(_xlpm.m=0,"",_xlpm.m+1))</f>
        <v/>
      </c>
      <c r="J45" s="137" t="inlineStr">
        <is>
          <t>NetSuite</t>
        </is>
      </c>
    </row>
    <row r="46">
      <c r="A46" s="5" t="inlineStr">
        <is>
          <t>WB OUTLET LERMA</t>
        </is>
      </c>
      <c r="B46" s="5">
        <f>IF($I2="","",INDEX(Productos!$A:$A,$I2))</f>
        <v/>
      </c>
      <c r="C46" s="134" t="n"/>
      <c r="D46" s="5">
        <f>IF($I2="","",INDEX(Productos!$B:$B,$I2))</f>
        <v/>
      </c>
      <c r="E46" s="5">
        <f>IF($I2="","",INDEX(Productos!$H:$H,$I2))</f>
        <v/>
      </c>
      <c r="F46" s="5">
        <f>IF($I2="","",INDEX(Productos!$I:$I,$I2))</f>
        <v/>
      </c>
      <c r="G46" s="135" t="n">
        <v>4</v>
      </c>
      <c r="H46" s="5">
        <f>IF($I2="","",INDEX(Productos!$AG:$AG,$I2))</f>
        <v/>
      </c>
      <c r="I46" s="136">
        <f>LET(_xlpm.r,Productos!$E$2:$E$204,_xlpm.m,IFERROR(_xlfn.XMATCH(C46,_xlpm.r),IFERROR(_xlfn.XMATCH(VALUE(C46),_xlpm.r),0)),IF(_xlpm.m=0,"",_xlpm.m+1))</f>
        <v/>
      </c>
      <c r="J46" s="137" t="inlineStr">
        <is>
          <t>NetSuite</t>
        </is>
      </c>
    </row>
    <row r="47">
      <c r="A47" s="5" t="inlineStr">
        <is>
          <t>WB OUTLET LERMA</t>
        </is>
      </c>
      <c r="B47" s="5">
        <f>IF($I2="","",INDEX(Productos!$A:$A,$I2))</f>
        <v/>
      </c>
      <c r="C47" s="134" t="n"/>
      <c r="D47" s="5">
        <f>IF($I2="","",INDEX(Productos!$B:$B,$I2))</f>
        <v/>
      </c>
      <c r="E47" s="5">
        <f>IF($I2="","",INDEX(Productos!$H:$H,$I2))</f>
        <v/>
      </c>
      <c r="F47" s="5">
        <f>IF($I2="","",INDEX(Productos!$I:$I,$I2))</f>
        <v/>
      </c>
      <c r="G47" s="135" t="n">
        <v>1</v>
      </c>
      <c r="H47" s="5">
        <f>IF($I2="","",INDEX(Productos!$AG:$AG,$I2))</f>
        <v/>
      </c>
      <c r="I47" s="136">
        <f>LET(_xlpm.r,Productos!$E$2:$E$204,_xlpm.m,IFERROR(_xlfn.XMATCH(C47,_xlpm.r),IFERROR(_xlfn.XMATCH(VALUE(C47),_xlpm.r),0)),IF(_xlpm.m=0,"",_xlpm.m+1))</f>
        <v/>
      </c>
      <c r="J47" s="137" t="inlineStr">
        <is>
          <t>NetSuite</t>
        </is>
      </c>
    </row>
    <row r="48">
      <c r="A48" s="5" t="inlineStr">
        <is>
          <t>WB OUTLET LERMA</t>
        </is>
      </c>
      <c r="B48" s="5">
        <f>IF($I2="","",INDEX(Productos!$A:$A,$I2))</f>
        <v/>
      </c>
      <c r="C48" s="134" t="n"/>
      <c r="D48" s="5">
        <f>IF($I2="","",INDEX(Productos!$B:$B,$I2))</f>
        <v/>
      </c>
      <c r="E48" s="5">
        <f>IF($I2="","",INDEX(Productos!$H:$H,$I2))</f>
        <v/>
      </c>
      <c r="F48" s="5">
        <f>IF($I2="","",INDEX(Productos!$I:$I,$I2))</f>
        <v/>
      </c>
      <c r="G48" s="135" t="n">
        <v>3</v>
      </c>
      <c r="H48" s="5">
        <f>IF($I2="","",INDEX(Productos!$AG:$AG,$I2))</f>
        <v/>
      </c>
      <c r="I48" s="136">
        <f>LET(_xlpm.r,Productos!$E$2:$E$204,_xlpm.m,IFERROR(_xlfn.XMATCH(C48,_xlpm.r),IFERROR(_xlfn.XMATCH(VALUE(C48),_xlpm.r),0)),IF(_xlpm.m=0,"",_xlpm.m+1))</f>
        <v/>
      </c>
      <c r="J48" s="137" t="inlineStr">
        <is>
          <t>NetSuite</t>
        </is>
      </c>
    </row>
    <row r="49">
      <c r="A49" s="5" t="inlineStr">
        <is>
          <t>WB OUTLET LERMA</t>
        </is>
      </c>
      <c r="B49" s="5">
        <f>IF($I2="","",INDEX(Productos!$A:$A,$I2))</f>
        <v/>
      </c>
      <c r="C49" s="134" t="n"/>
      <c r="D49" s="5">
        <f>IF($I2="","",INDEX(Productos!$B:$B,$I2))</f>
        <v/>
      </c>
      <c r="E49" s="5">
        <f>IF($I2="","",INDEX(Productos!$H:$H,$I2))</f>
        <v/>
      </c>
      <c r="F49" s="5">
        <f>IF($I2="","",INDEX(Productos!$I:$I,$I2))</f>
        <v/>
      </c>
      <c r="G49" s="135" t="n">
        <v>4</v>
      </c>
      <c r="H49" s="5">
        <f>IF($I2="","",INDEX(Productos!$AG:$AG,$I2))</f>
        <v/>
      </c>
      <c r="I49" s="136">
        <f>LET(_xlpm.r,Productos!$E$2:$E$204,_xlpm.m,IFERROR(_xlfn.XMATCH(C49,_xlpm.r),IFERROR(_xlfn.XMATCH(VALUE(C49),_xlpm.r),0)),IF(_xlpm.m=0,"",_xlpm.m+1))</f>
        <v/>
      </c>
      <c r="J49" s="137" t="inlineStr">
        <is>
          <t>NetSuite</t>
        </is>
      </c>
    </row>
    <row r="50">
      <c r="A50" s="5" t="inlineStr">
        <is>
          <t>WB OUTLET LERMA</t>
        </is>
      </c>
      <c r="B50" s="5">
        <f>IF($I2="","",INDEX(Productos!$A:$A,$I2))</f>
        <v/>
      </c>
      <c r="C50" s="134" t="n"/>
      <c r="D50" s="5">
        <f>IF($I2="","",INDEX(Productos!$B:$B,$I2))</f>
        <v/>
      </c>
      <c r="E50" s="5">
        <f>IF($I2="","",INDEX(Productos!$H:$H,$I2))</f>
        <v/>
      </c>
      <c r="F50" s="5">
        <f>IF($I2="","",INDEX(Productos!$I:$I,$I2))</f>
        <v/>
      </c>
      <c r="G50" s="135" t="n">
        <v>2</v>
      </c>
      <c r="H50" s="5">
        <f>IF($I2="","",INDEX(Productos!$AG:$AG,$I2))</f>
        <v/>
      </c>
      <c r="I50" s="136">
        <f>LET(_xlpm.r,Productos!$E$2:$E$204,_xlpm.m,IFERROR(_xlfn.XMATCH(C50,_xlpm.r),IFERROR(_xlfn.XMATCH(VALUE(C50),_xlpm.r),0)),IF(_xlpm.m=0,"",_xlpm.m+1))</f>
        <v/>
      </c>
      <c r="J50" s="137" t="inlineStr">
        <is>
          <t>NetSuite</t>
        </is>
      </c>
    </row>
    <row r="51">
      <c r="A51" s="5" t="inlineStr">
        <is>
          <t>WB OUTLET LERMA</t>
        </is>
      </c>
      <c r="B51" s="5">
        <f>IF($I2="","",INDEX(Productos!$A:$A,$I2))</f>
        <v/>
      </c>
      <c r="C51" s="134" t="n"/>
      <c r="D51" s="5">
        <f>IF($I2="","",INDEX(Productos!$B:$B,$I2))</f>
        <v/>
      </c>
      <c r="E51" s="5">
        <f>IF($I2="","",INDEX(Productos!$H:$H,$I2))</f>
        <v/>
      </c>
      <c r="F51" s="5">
        <f>IF($I2="","",INDEX(Productos!$I:$I,$I2))</f>
        <v/>
      </c>
      <c r="G51" s="135" t="n">
        <v>1</v>
      </c>
      <c r="H51" s="5">
        <f>IF($I2="","",INDEX(Productos!$AG:$AG,$I2))</f>
        <v/>
      </c>
      <c r="I51" s="136">
        <f>LET(_xlpm.r,Productos!$E$2:$E$204,_xlpm.m,IFERROR(_xlfn.XMATCH(C51,_xlpm.r),IFERROR(_xlfn.XMATCH(VALUE(C51),_xlpm.r),0)),IF(_xlpm.m=0,"",_xlpm.m+1))</f>
        <v/>
      </c>
      <c r="J51" s="137" t="inlineStr">
        <is>
          <t>NetSuite</t>
        </is>
      </c>
    </row>
    <row r="52">
      <c r="A52" s="5" t="inlineStr">
        <is>
          <t>WB OUTLET LERMA</t>
        </is>
      </c>
      <c r="B52" s="5">
        <f>IF($I2="","",INDEX(Productos!$A:$A,$I2))</f>
        <v/>
      </c>
      <c r="C52" s="134" t="n"/>
      <c r="D52" s="5">
        <f>IF($I2="","",INDEX(Productos!$B:$B,$I2))</f>
        <v/>
      </c>
      <c r="E52" s="5">
        <f>IF($I2="","",INDEX(Productos!$H:$H,$I2))</f>
        <v/>
      </c>
      <c r="F52" s="5">
        <f>IF($I2="","",INDEX(Productos!$I:$I,$I2))</f>
        <v/>
      </c>
      <c r="G52" s="135" t="n">
        <v>4</v>
      </c>
      <c r="H52" s="5">
        <f>IF($I2="","",INDEX(Productos!$AG:$AG,$I2))</f>
        <v/>
      </c>
      <c r="I52" s="136">
        <f>LET(_xlpm.r,Productos!$E$2:$E$204,_xlpm.m,IFERROR(_xlfn.XMATCH(C52,_xlpm.r),IFERROR(_xlfn.XMATCH(VALUE(C52),_xlpm.r),0)),IF(_xlpm.m=0,"",_xlpm.m+1))</f>
        <v/>
      </c>
      <c r="J52" s="137" t="inlineStr">
        <is>
          <t>NetSuite</t>
        </is>
      </c>
    </row>
    <row r="53">
      <c r="A53" s="5" t="inlineStr">
        <is>
          <t>WB OUTLET LERMA</t>
        </is>
      </c>
      <c r="B53" s="5">
        <f>IF($I2="","",INDEX(Productos!$A:$A,$I2))</f>
        <v/>
      </c>
      <c r="C53" s="134" t="n"/>
      <c r="D53" s="5">
        <f>IF($I2="","",INDEX(Productos!$B:$B,$I2))</f>
        <v/>
      </c>
      <c r="E53" s="5">
        <f>IF($I2="","",INDEX(Productos!$H:$H,$I2))</f>
        <v/>
      </c>
      <c r="F53" s="5">
        <f>IF($I2="","",INDEX(Productos!$I:$I,$I2))</f>
        <v/>
      </c>
      <c r="G53" s="135" t="n">
        <v>2</v>
      </c>
      <c r="H53" s="5">
        <f>IF($I2="","",INDEX(Productos!$AG:$AG,$I2))</f>
        <v/>
      </c>
      <c r="I53" s="136">
        <f>LET(_xlpm.r,Productos!$E$2:$E$204,_xlpm.m,IFERROR(_xlfn.XMATCH(C53,_xlpm.r),IFERROR(_xlfn.XMATCH(VALUE(C53),_xlpm.r),0)),IF(_xlpm.m=0,"",_xlpm.m+1))</f>
        <v/>
      </c>
      <c r="J53" s="137" t="inlineStr">
        <is>
          <t>NetSuite</t>
        </is>
      </c>
    </row>
    <row r="54">
      <c r="A54" s="5" t="inlineStr">
        <is>
          <t>WB OUTLET LERMA</t>
        </is>
      </c>
      <c r="B54" s="5">
        <f>IF($I2="","",INDEX(Productos!$A:$A,$I2))</f>
        <v/>
      </c>
      <c r="C54" s="134" t="n"/>
      <c r="D54" s="5">
        <f>IF($I2="","",INDEX(Productos!$B:$B,$I2))</f>
        <v/>
      </c>
      <c r="E54" s="5">
        <f>IF($I2="","",INDEX(Productos!$H:$H,$I2))</f>
        <v/>
      </c>
      <c r="F54" s="5">
        <f>IF($I2="","",INDEX(Productos!$I:$I,$I2))</f>
        <v/>
      </c>
      <c r="G54" s="135" t="n">
        <v>1</v>
      </c>
      <c r="H54" s="5">
        <f>IF($I2="","",INDEX(Productos!$AG:$AG,$I2))</f>
        <v/>
      </c>
      <c r="I54" s="136">
        <f>LET(_xlpm.r,Productos!$E$2:$E$204,_xlpm.m,IFERROR(_xlfn.XMATCH(C54,_xlpm.r),IFERROR(_xlfn.XMATCH(VALUE(C54),_xlpm.r),0)),IF(_xlpm.m=0,"",_xlpm.m+1))</f>
        <v/>
      </c>
      <c r="J54" s="137" t="inlineStr">
        <is>
          <t>NetSuite</t>
        </is>
      </c>
    </row>
    <row r="55">
      <c r="A55" s="5" t="inlineStr">
        <is>
          <t>WB OUTLET LERMA</t>
        </is>
      </c>
      <c r="B55" s="5">
        <f>IF($I2="","",INDEX(Productos!$A:$A,$I2))</f>
        <v/>
      </c>
      <c r="C55" s="134" t="n"/>
      <c r="D55" s="5">
        <f>IF($I2="","",INDEX(Productos!$B:$B,$I2))</f>
        <v/>
      </c>
      <c r="E55" s="5">
        <f>IF($I2="","",INDEX(Productos!$H:$H,$I2))</f>
        <v/>
      </c>
      <c r="F55" s="5">
        <f>IF($I2="","",INDEX(Productos!$I:$I,$I2))</f>
        <v/>
      </c>
      <c r="G55" s="135" t="n">
        <v>5</v>
      </c>
      <c r="H55" s="5">
        <f>IF($I2="","",INDEX(Productos!$AG:$AG,$I2))</f>
        <v/>
      </c>
      <c r="I55" s="136">
        <f>LET(_xlpm.r,Productos!$E$2:$E$204,_xlpm.m,IFERROR(_xlfn.XMATCH(C55,_xlpm.r),IFERROR(_xlfn.XMATCH(VALUE(C55),_xlpm.r),0)),IF(_xlpm.m=0,"",_xlpm.m+1))</f>
        <v/>
      </c>
      <c r="J55" s="137" t="inlineStr">
        <is>
          <t>NetSuite</t>
        </is>
      </c>
    </row>
    <row r="56">
      <c r="A56" s="5" t="inlineStr">
        <is>
          <t>WB OUTLET LERMA</t>
        </is>
      </c>
      <c r="B56" s="5">
        <f>IF($I2="","",INDEX(Productos!$A:$A,$I2))</f>
        <v/>
      </c>
      <c r="C56" s="134" t="n"/>
      <c r="D56" s="5">
        <f>IF($I2="","",INDEX(Productos!$B:$B,$I2))</f>
        <v/>
      </c>
      <c r="E56" s="5">
        <f>IF($I2="","",INDEX(Productos!$H:$H,$I2))</f>
        <v/>
      </c>
      <c r="F56" s="5">
        <f>IF($I2="","",INDEX(Productos!$I:$I,$I2))</f>
        <v/>
      </c>
      <c r="G56" s="135" t="n">
        <v>4</v>
      </c>
      <c r="H56" s="5">
        <f>IF($I2="","",INDEX(Productos!$AG:$AG,$I2))</f>
        <v/>
      </c>
      <c r="I56" s="136">
        <f>LET(_xlpm.r,Productos!$E$2:$E$204,_xlpm.m,IFERROR(_xlfn.XMATCH(C56,_xlpm.r),IFERROR(_xlfn.XMATCH(VALUE(C56),_xlpm.r),0)),IF(_xlpm.m=0,"",_xlpm.m+1))</f>
        <v/>
      </c>
      <c r="J56" s="137" t="inlineStr">
        <is>
          <t>NetSuite</t>
        </is>
      </c>
    </row>
    <row r="57">
      <c r="A57" s="5" t="inlineStr">
        <is>
          <t>WB OUTLET LERMA</t>
        </is>
      </c>
      <c r="B57" s="5">
        <f>IF($I2="","",INDEX(Productos!$A:$A,$I2))</f>
        <v/>
      </c>
      <c r="C57" s="134" t="n"/>
      <c r="D57" s="5">
        <f>IF($I2="","",INDEX(Productos!$B:$B,$I2))</f>
        <v/>
      </c>
      <c r="E57" s="5">
        <f>IF($I2="","",INDEX(Productos!$H:$H,$I2))</f>
        <v/>
      </c>
      <c r="F57" s="5">
        <f>IF($I2="","",INDEX(Productos!$I:$I,$I2))</f>
        <v/>
      </c>
      <c r="G57" s="135" t="n">
        <v>3</v>
      </c>
      <c r="H57" s="5">
        <f>IF($I2="","",INDEX(Productos!$AG:$AG,$I2))</f>
        <v/>
      </c>
      <c r="I57" s="136">
        <f>LET(_xlpm.r,Productos!$E$2:$E$204,_xlpm.m,IFERROR(_xlfn.XMATCH(C57,_xlpm.r),IFERROR(_xlfn.XMATCH(VALUE(C57),_xlpm.r),0)),IF(_xlpm.m=0,"",_xlpm.m+1))</f>
        <v/>
      </c>
      <c r="J57" s="137" t="inlineStr">
        <is>
          <t>NetSuite</t>
        </is>
      </c>
    </row>
    <row r="58">
      <c r="A58" s="5" t="inlineStr">
        <is>
          <t>WB OUTLET LERMA</t>
        </is>
      </c>
      <c r="B58" s="5">
        <f>IF($I2="","",INDEX(Productos!$A:$A,$I2))</f>
        <v/>
      </c>
      <c r="C58" s="134" t="n"/>
      <c r="D58" s="5">
        <f>IF($I2="","",INDEX(Productos!$B:$B,$I2))</f>
        <v/>
      </c>
      <c r="E58" s="5">
        <f>IF($I2="","",INDEX(Productos!$H:$H,$I2))</f>
        <v/>
      </c>
      <c r="F58" s="5">
        <f>IF($I2="","",INDEX(Productos!$I:$I,$I2))</f>
        <v/>
      </c>
      <c r="G58" s="135" t="n">
        <v>4</v>
      </c>
      <c r="H58" s="5">
        <f>IF($I2="","",INDEX(Productos!$AG:$AG,$I2))</f>
        <v/>
      </c>
      <c r="I58" s="136">
        <f>LET(_xlpm.r,Productos!$E$2:$E$204,_xlpm.m,IFERROR(_xlfn.XMATCH(C58,_xlpm.r),IFERROR(_xlfn.XMATCH(VALUE(C58),_xlpm.r),0)),IF(_xlpm.m=0,"",_xlpm.m+1))</f>
        <v/>
      </c>
      <c r="J58" s="137" t="inlineStr">
        <is>
          <t>NetSuite</t>
        </is>
      </c>
    </row>
    <row r="59">
      <c r="A59" s="5" t="inlineStr">
        <is>
          <t>WB OUTLET LERMA</t>
        </is>
      </c>
      <c r="B59" s="5">
        <f>IF($I2="","",INDEX(Productos!$A:$A,$I2))</f>
        <v/>
      </c>
      <c r="C59" s="134" t="n"/>
      <c r="D59" s="5">
        <f>IF($I2="","",INDEX(Productos!$B:$B,$I2))</f>
        <v/>
      </c>
      <c r="E59" s="5">
        <f>IF($I2="","",INDEX(Productos!$H:$H,$I2))</f>
        <v/>
      </c>
      <c r="F59" s="5">
        <f>IF($I2="","",INDEX(Productos!$I:$I,$I2))</f>
        <v/>
      </c>
      <c r="G59" s="135" t="n">
        <v>3</v>
      </c>
      <c r="H59" s="5">
        <f>IF($I2="","",INDEX(Productos!$AG:$AG,$I2))</f>
        <v/>
      </c>
      <c r="I59" s="136">
        <f>LET(_xlpm.r,Productos!$E$2:$E$204,_xlpm.m,IFERROR(_xlfn.XMATCH(C59,_xlpm.r),IFERROR(_xlfn.XMATCH(VALUE(C59),_xlpm.r),0)),IF(_xlpm.m=0,"",_xlpm.m+1))</f>
        <v/>
      </c>
      <c r="J59" s="137" t="inlineStr">
        <is>
          <t>NetSuite</t>
        </is>
      </c>
    </row>
    <row r="60">
      <c r="A60" s="5" t="inlineStr">
        <is>
          <t>WB OUTLET LERMA</t>
        </is>
      </c>
      <c r="B60" s="5">
        <f>IF($I2="","",INDEX(Productos!$A:$A,$I2))</f>
        <v/>
      </c>
      <c r="C60" s="134" t="n"/>
      <c r="D60" s="5">
        <f>IF($I2="","",INDEX(Productos!$B:$B,$I2))</f>
        <v/>
      </c>
      <c r="E60" s="5">
        <f>IF($I2="","",INDEX(Productos!$H:$H,$I2))</f>
        <v/>
      </c>
      <c r="F60" s="5">
        <f>IF($I2="","",INDEX(Productos!$I:$I,$I2))</f>
        <v/>
      </c>
      <c r="G60" s="135" t="n">
        <v>4</v>
      </c>
      <c r="H60" s="5">
        <f>IF($I2="","",INDEX(Productos!$AG:$AG,$I2))</f>
        <v/>
      </c>
      <c r="I60" s="136">
        <f>LET(_xlpm.r,Productos!$E$2:$E$204,_xlpm.m,IFERROR(_xlfn.XMATCH(C60,_xlpm.r),IFERROR(_xlfn.XMATCH(VALUE(C60),_xlpm.r),0)),IF(_xlpm.m=0,"",_xlpm.m+1))</f>
        <v/>
      </c>
      <c r="J60" s="137" t="inlineStr">
        <is>
          <t>NetSuite</t>
        </is>
      </c>
    </row>
    <row r="61">
      <c r="A61" s="5" t="inlineStr">
        <is>
          <t>WB OUTLET LERMA</t>
        </is>
      </c>
      <c r="B61" s="5">
        <f>IF($I2="","",INDEX(Productos!$A:$A,$I2))</f>
        <v/>
      </c>
      <c r="C61" s="134" t="n"/>
      <c r="D61" s="5">
        <f>IF($I2="","",INDEX(Productos!$B:$B,$I2))</f>
        <v/>
      </c>
      <c r="E61" s="5">
        <f>IF($I2="","",INDEX(Productos!$H:$H,$I2))</f>
        <v/>
      </c>
      <c r="F61" s="5">
        <f>IF($I2="","",INDEX(Productos!$I:$I,$I2))</f>
        <v/>
      </c>
      <c r="G61" s="135" t="n">
        <v>4</v>
      </c>
      <c r="H61" s="5">
        <f>IF($I2="","",INDEX(Productos!$AG:$AG,$I2))</f>
        <v/>
      </c>
      <c r="I61" s="136">
        <f>LET(_xlpm.r,Productos!$E$2:$E$204,_xlpm.m,IFERROR(_xlfn.XMATCH(C61,_xlpm.r),IFERROR(_xlfn.XMATCH(VALUE(C61),_xlpm.r),0)),IF(_xlpm.m=0,"",_xlpm.m+1))</f>
        <v/>
      </c>
      <c r="J61" s="137" t="inlineStr">
        <is>
          <t>NetSuite</t>
        </is>
      </c>
    </row>
    <row r="62">
      <c r="A62" s="5" t="inlineStr">
        <is>
          <t>WB OUTLET LERMA</t>
        </is>
      </c>
      <c r="B62" s="5">
        <f>IF($I2="","",INDEX(Productos!$A:$A,$I2))</f>
        <v/>
      </c>
      <c r="C62" s="134" t="n"/>
      <c r="D62" s="5">
        <f>IF($I2="","",INDEX(Productos!$B:$B,$I2))</f>
        <v/>
      </c>
      <c r="E62" s="5">
        <f>IF($I2="","",INDEX(Productos!$H:$H,$I2))</f>
        <v/>
      </c>
      <c r="F62" s="5">
        <f>IF($I2="","",INDEX(Productos!$I:$I,$I2))</f>
        <v/>
      </c>
      <c r="G62" s="135" t="n">
        <v>3</v>
      </c>
      <c r="H62" s="5">
        <f>IF($I2="","",INDEX(Productos!$AG:$AG,$I2))</f>
        <v/>
      </c>
      <c r="I62" s="136">
        <f>LET(_xlpm.r,Productos!$E$2:$E$204,_xlpm.m,IFERROR(_xlfn.XMATCH(C62,_xlpm.r),IFERROR(_xlfn.XMATCH(VALUE(C62),_xlpm.r),0)),IF(_xlpm.m=0,"",_xlpm.m+1))</f>
        <v/>
      </c>
      <c r="J62" s="137" t="inlineStr">
        <is>
          <t>NetSuite</t>
        </is>
      </c>
    </row>
    <row r="63">
      <c r="A63" s="5" t="inlineStr">
        <is>
          <t>WB OUTLET LERMA</t>
        </is>
      </c>
      <c r="B63" s="5">
        <f>IF($I2="","",INDEX(Productos!$A:$A,$I2))</f>
        <v/>
      </c>
      <c r="C63" s="134" t="n"/>
      <c r="D63" s="5">
        <f>IF($I2="","",INDEX(Productos!$B:$B,$I2))</f>
        <v/>
      </c>
      <c r="E63" s="5">
        <f>IF($I2="","",INDEX(Productos!$H:$H,$I2))</f>
        <v/>
      </c>
      <c r="F63" s="5">
        <f>IF($I2="","",INDEX(Productos!$I:$I,$I2))</f>
        <v/>
      </c>
      <c r="G63" s="135" t="n">
        <v>4</v>
      </c>
      <c r="H63" s="5">
        <f>IF($I2="","",INDEX(Productos!$AG:$AG,$I2))</f>
        <v/>
      </c>
      <c r="I63" s="136">
        <f>LET(_xlpm.r,Productos!$E$2:$E$204,_xlpm.m,IFERROR(_xlfn.XMATCH(C63,_xlpm.r),IFERROR(_xlfn.XMATCH(VALUE(C63),_xlpm.r),0)),IF(_xlpm.m=0,"",_xlpm.m+1))</f>
        <v/>
      </c>
      <c r="J63" s="137" t="inlineStr">
        <is>
          <t>NetSuite</t>
        </is>
      </c>
    </row>
    <row r="64">
      <c r="A64" s="5" t="inlineStr">
        <is>
          <t>WB OUTLET LERMA</t>
        </is>
      </c>
      <c r="B64" s="5">
        <f>IF($I2="","",INDEX(Productos!$A:$A,$I2))</f>
        <v/>
      </c>
      <c r="C64" s="134" t="n"/>
      <c r="D64" s="5">
        <f>IF($I2="","",INDEX(Productos!$B:$B,$I2))</f>
        <v/>
      </c>
      <c r="E64" s="5">
        <f>IF($I2="","",INDEX(Productos!$H:$H,$I2))</f>
        <v/>
      </c>
      <c r="F64" s="5">
        <f>IF($I2="","",INDEX(Productos!$I:$I,$I2))</f>
        <v/>
      </c>
      <c r="G64" s="135" t="n">
        <v>2</v>
      </c>
      <c r="H64" s="5">
        <f>IF($I2="","",INDEX(Productos!$AG:$AG,$I2))</f>
        <v/>
      </c>
      <c r="I64" s="136">
        <f>LET(_xlpm.r,Productos!$E$2:$E$204,_xlpm.m,IFERROR(_xlfn.XMATCH(C64,_xlpm.r),IFERROR(_xlfn.XMATCH(VALUE(C64),_xlpm.r),0)),IF(_xlpm.m=0,"",_xlpm.m+1))</f>
        <v/>
      </c>
      <c r="J64" s="137" t="inlineStr">
        <is>
          <t>NetSuite</t>
        </is>
      </c>
    </row>
    <row r="65">
      <c r="A65" s="5" t="inlineStr">
        <is>
          <t>WB OUTLET LERMA</t>
        </is>
      </c>
      <c r="B65" s="5">
        <f>IF($I2="","",INDEX(Productos!$A:$A,$I2))</f>
        <v/>
      </c>
      <c r="C65" s="134" t="n"/>
      <c r="D65" s="5">
        <f>IF($I2="","",INDEX(Productos!$B:$B,$I2))</f>
        <v/>
      </c>
      <c r="E65" s="5">
        <f>IF($I2="","",INDEX(Productos!$H:$H,$I2))</f>
        <v/>
      </c>
      <c r="F65" s="5">
        <f>IF($I2="","",INDEX(Productos!$I:$I,$I2))</f>
        <v/>
      </c>
      <c r="G65" s="135" t="n">
        <v>3</v>
      </c>
      <c r="H65" s="5">
        <f>IF($I2="","",INDEX(Productos!$AG:$AG,$I2))</f>
        <v/>
      </c>
      <c r="I65" s="136">
        <f>LET(_xlpm.r,Productos!$E$2:$E$204,_xlpm.m,IFERROR(_xlfn.XMATCH(C65,_xlpm.r),IFERROR(_xlfn.XMATCH(VALUE(C65),_xlpm.r),0)),IF(_xlpm.m=0,"",_xlpm.m+1))</f>
        <v/>
      </c>
      <c r="J65" s="137" t="inlineStr">
        <is>
          <t>NetSuite</t>
        </is>
      </c>
    </row>
    <row r="66">
      <c r="A66" s="5" t="inlineStr">
        <is>
          <t>WB OUTLET LERMA</t>
        </is>
      </c>
      <c r="B66" s="5">
        <f>IF($I2="","",INDEX(Productos!$A:$A,$I2))</f>
        <v/>
      </c>
      <c r="C66" s="134" t="n"/>
      <c r="D66" s="5">
        <f>IF($I2="","",INDEX(Productos!$B:$B,$I2))</f>
        <v/>
      </c>
      <c r="E66" s="5">
        <f>IF($I2="","",INDEX(Productos!$H:$H,$I2))</f>
        <v/>
      </c>
      <c r="F66" s="5">
        <f>IF($I2="","",INDEX(Productos!$I:$I,$I2))</f>
        <v/>
      </c>
      <c r="G66" s="135" t="n">
        <v>4</v>
      </c>
      <c r="H66" s="5">
        <f>IF($I2="","",INDEX(Productos!$AG:$AG,$I2))</f>
        <v/>
      </c>
      <c r="I66" s="136">
        <f>LET(_xlpm.r,Productos!$E$2:$E$204,_xlpm.m,IFERROR(_xlfn.XMATCH(C66,_xlpm.r),IFERROR(_xlfn.XMATCH(VALUE(C66),_xlpm.r),0)),IF(_xlpm.m=0,"",_xlpm.m+1))</f>
        <v/>
      </c>
      <c r="J66" s="137" t="inlineStr">
        <is>
          <t>NetSuite</t>
        </is>
      </c>
    </row>
    <row r="67">
      <c r="A67" s="5" t="inlineStr">
        <is>
          <t>WB OUTLET LERMA</t>
        </is>
      </c>
      <c r="B67" s="5">
        <f>IF($I2="","",INDEX(Productos!$A:$A,$I2))</f>
        <v/>
      </c>
      <c r="C67" s="134" t="n"/>
      <c r="D67" s="5">
        <f>IF($I2="","",INDEX(Productos!$B:$B,$I2))</f>
        <v/>
      </c>
      <c r="E67" s="5">
        <f>IF($I2="","",INDEX(Productos!$H:$H,$I2))</f>
        <v/>
      </c>
      <c r="F67" s="5">
        <f>IF($I2="","",INDEX(Productos!$I:$I,$I2))</f>
        <v/>
      </c>
      <c r="G67" s="135" t="n">
        <v>4</v>
      </c>
      <c r="H67" s="5">
        <f>IF($I2="","",INDEX(Productos!$AG:$AG,$I2))</f>
        <v/>
      </c>
      <c r="I67" s="136">
        <f>LET(_xlpm.r,Productos!$E$2:$E$204,_xlpm.m,IFERROR(_xlfn.XMATCH(C67,_xlpm.r),IFERROR(_xlfn.XMATCH(VALUE(C67),_xlpm.r),0)),IF(_xlpm.m=0,"",_xlpm.m+1))</f>
        <v/>
      </c>
      <c r="J67" s="137" t="inlineStr">
        <is>
          <t>NetSuite</t>
        </is>
      </c>
    </row>
    <row r="68">
      <c r="A68" s="5" t="inlineStr">
        <is>
          <t>WB OUTLET LERMA</t>
        </is>
      </c>
      <c r="B68" s="5">
        <f>IF($I2="","",INDEX(Productos!$A:$A,$I2))</f>
        <v/>
      </c>
      <c r="C68" s="134" t="n"/>
      <c r="D68" s="5">
        <f>IF($I2="","",INDEX(Productos!$B:$B,$I2))</f>
        <v/>
      </c>
      <c r="E68" s="5">
        <f>IF($I2="","",INDEX(Productos!$H:$H,$I2))</f>
        <v/>
      </c>
      <c r="F68" s="5">
        <f>IF($I2="","",INDEX(Productos!$I:$I,$I2))</f>
        <v/>
      </c>
      <c r="G68" s="135" t="n">
        <v>2</v>
      </c>
      <c r="H68" s="5">
        <f>IF($I2="","",INDEX(Productos!$AG:$AG,$I2))</f>
        <v/>
      </c>
      <c r="I68" s="136">
        <f>LET(_xlpm.r,Productos!$E$2:$E$204,_xlpm.m,IFERROR(_xlfn.XMATCH(C68,_xlpm.r),IFERROR(_xlfn.XMATCH(VALUE(C68),_xlpm.r),0)),IF(_xlpm.m=0,"",_xlpm.m+1))</f>
        <v/>
      </c>
      <c r="J68" s="137" t="inlineStr">
        <is>
          <t>NetSuite</t>
        </is>
      </c>
    </row>
    <row r="69">
      <c r="A69" s="5" t="inlineStr">
        <is>
          <t>WB OUTLET LERMA</t>
        </is>
      </c>
      <c r="B69" s="5">
        <f>IF($I2="","",INDEX(Productos!$A:$A,$I2))</f>
        <v/>
      </c>
      <c r="C69" s="134" t="n"/>
      <c r="D69" s="5">
        <f>IF($I2="","",INDEX(Productos!$B:$B,$I2))</f>
        <v/>
      </c>
      <c r="E69" s="5">
        <f>IF($I2="","",INDEX(Productos!$H:$H,$I2))</f>
        <v/>
      </c>
      <c r="F69" s="5">
        <f>IF($I2="","",INDEX(Productos!$I:$I,$I2))</f>
        <v/>
      </c>
      <c r="G69" s="135" t="n">
        <v>1</v>
      </c>
      <c r="H69" s="5">
        <f>IF($I2="","",INDEX(Productos!$AG:$AG,$I2))</f>
        <v/>
      </c>
      <c r="I69" s="136">
        <f>LET(_xlpm.r,Productos!$E$2:$E$204,_xlpm.m,IFERROR(_xlfn.XMATCH(C69,_xlpm.r),IFERROR(_xlfn.XMATCH(VALUE(C69),_xlpm.r),0)),IF(_xlpm.m=0,"",_xlpm.m+1))</f>
        <v/>
      </c>
      <c r="J69" s="137" t="inlineStr">
        <is>
          <t>NetSuite</t>
        </is>
      </c>
    </row>
    <row r="70">
      <c r="A70" s="5" t="inlineStr">
        <is>
          <t>WB OUTLET LERMA</t>
        </is>
      </c>
      <c r="B70" s="5">
        <f>IF($I2="","",INDEX(Productos!$A:$A,$I2))</f>
        <v/>
      </c>
      <c r="C70" s="134" t="n"/>
      <c r="D70" s="5">
        <f>IF($I2="","",INDEX(Productos!$B:$B,$I2))</f>
        <v/>
      </c>
      <c r="E70" s="5">
        <f>IF($I2="","",INDEX(Productos!$H:$H,$I2))</f>
        <v/>
      </c>
      <c r="F70" s="5">
        <f>IF($I2="","",INDEX(Productos!$I:$I,$I2))</f>
        <v/>
      </c>
      <c r="G70" s="135" t="n">
        <v>1</v>
      </c>
      <c r="H70" s="5">
        <f>IF($I2="","",INDEX(Productos!$AG:$AG,$I2))</f>
        <v/>
      </c>
      <c r="I70" s="136">
        <f>LET(_xlpm.r,Productos!$E$2:$E$204,_xlpm.m,IFERROR(_xlfn.XMATCH(C70,_xlpm.r),IFERROR(_xlfn.XMATCH(VALUE(C70),_xlpm.r),0)),IF(_xlpm.m=0,"",_xlpm.m+1))</f>
        <v/>
      </c>
      <c r="J70" s="137" t="inlineStr">
        <is>
          <t>NetSuite</t>
        </is>
      </c>
    </row>
    <row r="71">
      <c r="A71" s="5" t="inlineStr">
        <is>
          <t>WB OUTLET LERMA</t>
        </is>
      </c>
      <c r="B71" s="5">
        <f>IF($I2="","",INDEX(Productos!$A:$A,$I2))</f>
        <v/>
      </c>
      <c r="C71" s="134" t="n"/>
      <c r="D71" s="5">
        <f>IF($I2="","",INDEX(Productos!$B:$B,$I2))</f>
        <v/>
      </c>
      <c r="E71" s="5">
        <f>IF($I2="","",INDEX(Productos!$H:$H,$I2))</f>
        <v/>
      </c>
      <c r="F71" s="5">
        <f>IF($I2="","",INDEX(Productos!$I:$I,$I2))</f>
        <v/>
      </c>
      <c r="G71" s="135" t="n">
        <v>3</v>
      </c>
      <c r="H71" s="5">
        <f>IF($I2="","",INDEX(Productos!$AG:$AG,$I2))</f>
        <v/>
      </c>
      <c r="I71" s="136">
        <f>LET(_xlpm.r,Productos!$E$2:$E$204,_xlpm.m,IFERROR(_xlfn.XMATCH(C71,_xlpm.r),IFERROR(_xlfn.XMATCH(VALUE(C71),_xlpm.r),0)),IF(_xlpm.m=0,"",_xlpm.m+1))</f>
        <v/>
      </c>
      <c r="J71" s="137" t="inlineStr">
        <is>
          <t>NetSuite</t>
        </is>
      </c>
    </row>
    <row r="72">
      <c r="A72" s="5" t="inlineStr">
        <is>
          <t>WB OUTLET LERMA</t>
        </is>
      </c>
      <c r="B72" s="5">
        <f>IF($I2="","",INDEX(Productos!$A:$A,$I2))</f>
        <v/>
      </c>
      <c r="C72" s="134" t="n"/>
      <c r="D72" s="5">
        <f>IF($I2="","",INDEX(Productos!$B:$B,$I2))</f>
        <v/>
      </c>
      <c r="E72" s="5">
        <f>IF($I2="","",INDEX(Productos!$H:$H,$I2))</f>
        <v/>
      </c>
      <c r="F72" s="5">
        <f>IF($I2="","",INDEX(Productos!$I:$I,$I2))</f>
        <v/>
      </c>
      <c r="G72" s="135" t="n">
        <v>4</v>
      </c>
      <c r="H72" s="5">
        <f>IF($I2="","",INDEX(Productos!$AG:$AG,$I2))</f>
        <v/>
      </c>
      <c r="I72" s="136">
        <f>LET(_xlpm.r,Productos!$E$2:$E$204,_xlpm.m,IFERROR(_xlfn.XMATCH(C72,_xlpm.r),IFERROR(_xlfn.XMATCH(VALUE(C72),_xlpm.r),0)),IF(_xlpm.m=0,"",_xlpm.m+1))</f>
        <v/>
      </c>
      <c r="J72" s="137" t="inlineStr">
        <is>
          <t>NetSuite</t>
        </is>
      </c>
    </row>
    <row r="73">
      <c r="A73" s="5" t="inlineStr">
        <is>
          <t>WB OUTLET LERMA</t>
        </is>
      </c>
      <c r="B73" s="5">
        <f>IF($I2="","",INDEX(Productos!$A:$A,$I2))</f>
        <v/>
      </c>
      <c r="C73" s="134" t="n"/>
      <c r="D73" s="5">
        <f>IF($I2="","",INDEX(Productos!$B:$B,$I2))</f>
        <v/>
      </c>
      <c r="E73" s="5">
        <f>IF($I2="","",INDEX(Productos!$H:$H,$I2))</f>
        <v/>
      </c>
      <c r="F73" s="5">
        <f>IF($I2="","",INDEX(Productos!$I:$I,$I2))</f>
        <v/>
      </c>
      <c r="G73" s="135" t="n">
        <v>1</v>
      </c>
      <c r="H73" s="5">
        <f>IF($I2="","",INDEX(Productos!$AG:$AG,$I2))</f>
        <v/>
      </c>
      <c r="I73" s="136">
        <f>LET(_xlpm.r,Productos!$E$2:$E$204,_xlpm.m,IFERROR(_xlfn.XMATCH(C73,_xlpm.r),IFERROR(_xlfn.XMATCH(VALUE(C73),_xlpm.r),0)),IF(_xlpm.m=0,"",_xlpm.m+1))</f>
        <v/>
      </c>
      <c r="J73" s="137" t="inlineStr">
        <is>
          <t>NetSuite</t>
        </is>
      </c>
    </row>
    <row r="74">
      <c r="A74" s="5" t="inlineStr">
        <is>
          <t>WB OUTLET LERMA</t>
        </is>
      </c>
      <c r="B74" s="5">
        <f>IF($I2="","",INDEX(Productos!$A:$A,$I2))</f>
        <v/>
      </c>
      <c r="C74" s="134" t="n"/>
      <c r="D74" s="5">
        <f>IF($I2="","",INDEX(Productos!$B:$B,$I2))</f>
        <v/>
      </c>
      <c r="E74" s="5">
        <f>IF($I2="","",INDEX(Productos!$H:$H,$I2))</f>
        <v/>
      </c>
      <c r="F74" s="5">
        <f>IF($I2="","",INDEX(Productos!$I:$I,$I2))</f>
        <v/>
      </c>
      <c r="G74" s="135" t="n">
        <v>-1</v>
      </c>
      <c r="H74" s="5">
        <f>IF($I2="","",INDEX(Productos!$AG:$AG,$I2))</f>
        <v/>
      </c>
      <c r="I74" s="136">
        <f>LET(_xlpm.r,Productos!$E$2:$E$204,_xlpm.m,IFERROR(_xlfn.XMATCH(C74,_xlpm.r),IFERROR(_xlfn.XMATCH(VALUE(C74),_xlpm.r),0)),IF(_xlpm.m=0,"",_xlpm.m+1))</f>
        <v/>
      </c>
      <c r="J74" s="137" t="inlineStr">
        <is>
          <t>NetSuite</t>
        </is>
      </c>
    </row>
    <row r="75">
      <c r="A75" s="5" t="inlineStr">
        <is>
          <t>WB OUTLET LERMA</t>
        </is>
      </c>
      <c r="B75" s="5">
        <f>IF($I2="","",INDEX(Productos!$A:$A,$I2))</f>
        <v/>
      </c>
      <c r="C75" s="134" t="n"/>
      <c r="D75" s="5">
        <f>IF($I2="","",INDEX(Productos!$B:$B,$I2))</f>
        <v/>
      </c>
      <c r="E75" s="5">
        <f>IF($I2="","",INDEX(Productos!$H:$H,$I2))</f>
        <v/>
      </c>
      <c r="F75" s="5">
        <f>IF($I2="","",INDEX(Productos!$I:$I,$I2))</f>
        <v/>
      </c>
      <c r="G75" s="135" t="n">
        <v>1</v>
      </c>
      <c r="H75" s="5">
        <f>IF($I2="","",INDEX(Productos!$AG:$AG,$I2))</f>
        <v/>
      </c>
      <c r="I75" s="136">
        <f>LET(_xlpm.r,Productos!$E$2:$E$204,_xlpm.m,IFERROR(_xlfn.XMATCH(C75,_xlpm.r),IFERROR(_xlfn.XMATCH(VALUE(C75),_xlpm.r),0)),IF(_xlpm.m=0,"",_xlpm.m+1))</f>
        <v/>
      </c>
      <c r="J75" s="137" t="inlineStr">
        <is>
          <t>NetSuite</t>
        </is>
      </c>
    </row>
    <row r="76">
      <c r="A76" s="5" t="inlineStr">
        <is>
          <t>WB OUTLET LERMA</t>
        </is>
      </c>
      <c r="B76" s="5">
        <f>IF($I2="","",INDEX(Productos!$A:$A,$I2))</f>
        <v/>
      </c>
      <c r="C76" s="134" t="n"/>
      <c r="D76" s="5">
        <f>IF($I2="","",INDEX(Productos!$B:$B,$I2))</f>
        <v/>
      </c>
      <c r="E76" s="5">
        <f>IF($I2="","",INDEX(Productos!$H:$H,$I2))</f>
        <v/>
      </c>
      <c r="F76" s="5">
        <f>IF($I2="","",INDEX(Productos!$I:$I,$I2))</f>
        <v/>
      </c>
      <c r="G76" s="135" t="n">
        <v>1</v>
      </c>
      <c r="H76" s="5">
        <f>IF($I2="","",INDEX(Productos!$AG:$AG,$I2))</f>
        <v/>
      </c>
      <c r="I76" s="136">
        <f>LET(_xlpm.r,Productos!$E$2:$E$204,_xlpm.m,IFERROR(_xlfn.XMATCH(C76,_xlpm.r),IFERROR(_xlfn.XMATCH(VALUE(C76),_xlpm.r),0)),IF(_xlpm.m=0,"",_xlpm.m+1))</f>
        <v/>
      </c>
      <c r="J76" s="137" t="inlineStr">
        <is>
          <t>NetSuite</t>
        </is>
      </c>
    </row>
    <row r="77">
      <c r="A77" s="5" t="inlineStr">
        <is>
          <t>WB OUTLET LERMA</t>
        </is>
      </c>
      <c r="B77" s="5">
        <f>IF($I2="","",INDEX(Productos!$A:$A,$I2))</f>
        <v/>
      </c>
      <c r="C77" s="134" t="n"/>
      <c r="D77" s="5">
        <f>IF($I2="","",INDEX(Productos!$B:$B,$I2))</f>
        <v/>
      </c>
      <c r="E77" s="5">
        <f>IF($I2="","",INDEX(Productos!$H:$H,$I2))</f>
        <v/>
      </c>
      <c r="F77" s="5">
        <f>IF($I2="","",INDEX(Productos!$I:$I,$I2))</f>
        <v/>
      </c>
      <c r="G77" s="135" t="n">
        <v>1</v>
      </c>
      <c r="H77" s="5">
        <f>IF($I2="","",INDEX(Productos!$AG:$AG,$I2))</f>
        <v/>
      </c>
      <c r="I77" s="136">
        <f>LET(_xlpm.r,Productos!$E$2:$E$204,_xlpm.m,IFERROR(_xlfn.XMATCH(C77,_xlpm.r),IFERROR(_xlfn.XMATCH(VALUE(C77),_xlpm.r),0)),IF(_xlpm.m=0,"",_xlpm.m+1))</f>
        <v/>
      </c>
      <c r="J77" s="137" t="inlineStr">
        <is>
          <t>NetSuite</t>
        </is>
      </c>
    </row>
    <row r="78">
      <c r="A78" s="5" t="inlineStr">
        <is>
          <t>WB OUTLET LERMA</t>
        </is>
      </c>
      <c r="B78" s="5">
        <f>IF($I2="","",INDEX(Productos!$A:$A,$I2))</f>
        <v/>
      </c>
      <c r="C78" s="134" t="n"/>
      <c r="D78" s="5">
        <f>IF($I2="","",INDEX(Productos!$B:$B,$I2))</f>
        <v/>
      </c>
      <c r="E78" s="5">
        <f>IF($I2="","",INDEX(Productos!$H:$H,$I2))</f>
        <v/>
      </c>
      <c r="F78" s="5">
        <f>IF($I2="","",INDEX(Productos!$I:$I,$I2))</f>
        <v/>
      </c>
      <c r="G78" s="135" t="n">
        <v>2</v>
      </c>
      <c r="H78" s="5">
        <f>IF($I2="","",INDEX(Productos!$AG:$AG,$I2))</f>
        <v/>
      </c>
      <c r="I78" s="136">
        <f>LET(_xlpm.r,Productos!$E$2:$E$204,_xlpm.m,IFERROR(_xlfn.XMATCH(C78,_xlpm.r),IFERROR(_xlfn.XMATCH(VALUE(C78),_xlpm.r),0)),IF(_xlpm.m=0,"",_xlpm.m+1))</f>
        <v/>
      </c>
      <c r="J78" s="137" t="inlineStr">
        <is>
          <t>NetSuite</t>
        </is>
      </c>
    </row>
    <row r="79">
      <c r="A79" s="5" t="inlineStr">
        <is>
          <t>WB OUTLET LERMA</t>
        </is>
      </c>
      <c r="B79" s="5">
        <f>IF($I2="","",INDEX(Productos!$A:$A,$I2))</f>
        <v/>
      </c>
      <c r="C79" s="134" t="n"/>
      <c r="D79" s="5">
        <f>IF($I2="","",INDEX(Productos!$B:$B,$I2))</f>
        <v/>
      </c>
      <c r="E79" s="5">
        <f>IF($I2="","",INDEX(Productos!$H:$H,$I2))</f>
        <v/>
      </c>
      <c r="F79" s="5">
        <f>IF($I2="","",INDEX(Productos!$I:$I,$I2))</f>
        <v/>
      </c>
      <c r="G79" s="135" t="n">
        <v>1</v>
      </c>
      <c r="H79" s="5">
        <f>IF($I2="","",INDEX(Productos!$AG:$AG,$I2))</f>
        <v/>
      </c>
      <c r="I79" s="136">
        <f>LET(_xlpm.r,Productos!$E$2:$E$204,_xlpm.m,IFERROR(_xlfn.XMATCH(C79,_xlpm.r),IFERROR(_xlfn.XMATCH(VALUE(C79),_xlpm.r),0)),IF(_xlpm.m=0,"",_xlpm.m+1))</f>
        <v/>
      </c>
      <c r="J79" s="137" t="inlineStr">
        <is>
          <t>NetSuite</t>
        </is>
      </c>
    </row>
    <row r="80">
      <c r="A80" s="5" t="inlineStr">
        <is>
          <t>WB OUTLET LERMA</t>
        </is>
      </c>
      <c r="B80" s="5">
        <f>IF($I2="","",INDEX(Productos!$A:$A,$I2))</f>
        <v/>
      </c>
      <c r="C80" s="134" t="n"/>
      <c r="D80" s="5">
        <f>IF($I2="","",INDEX(Productos!$B:$B,$I2))</f>
        <v/>
      </c>
      <c r="E80" s="5">
        <f>IF($I2="","",INDEX(Productos!$H:$H,$I2))</f>
        <v/>
      </c>
      <c r="F80" s="5">
        <f>IF($I2="","",INDEX(Productos!$I:$I,$I2))</f>
        <v/>
      </c>
      <c r="G80" s="135" t="n">
        <v>3</v>
      </c>
      <c r="H80" s="5">
        <f>IF($I2="","",INDEX(Productos!$AG:$AG,$I2))</f>
        <v/>
      </c>
      <c r="I80" s="136">
        <f>LET(_xlpm.r,Productos!$E$2:$E$204,_xlpm.m,IFERROR(_xlfn.XMATCH(C80,_xlpm.r),IFERROR(_xlfn.XMATCH(VALUE(C80),_xlpm.r),0)),IF(_xlpm.m=0,"",_xlpm.m+1))</f>
        <v/>
      </c>
      <c r="J80" s="137" t="inlineStr">
        <is>
          <t>NetSuite</t>
        </is>
      </c>
    </row>
    <row r="81">
      <c r="A81" s="5" t="inlineStr">
        <is>
          <t>WB OUTLET LERMA</t>
        </is>
      </c>
      <c r="B81" s="5">
        <f>IF($I2="","",INDEX(Productos!$A:$A,$I2))</f>
        <v/>
      </c>
      <c r="C81" s="134" t="n"/>
      <c r="D81" s="5">
        <f>IF($I2="","",INDEX(Productos!$B:$B,$I2))</f>
        <v/>
      </c>
      <c r="E81" s="5">
        <f>IF($I2="","",INDEX(Productos!$H:$H,$I2))</f>
        <v/>
      </c>
      <c r="F81" s="5">
        <f>IF($I2="","",INDEX(Productos!$I:$I,$I2))</f>
        <v/>
      </c>
      <c r="G81" s="135" t="n">
        <v>-1</v>
      </c>
      <c r="H81" s="5">
        <f>IF($I2="","",INDEX(Productos!$AG:$AG,$I2))</f>
        <v/>
      </c>
      <c r="I81" s="136">
        <f>LET(_xlpm.r,Productos!$E$2:$E$204,_xlpm.m,IFERROR(_xlfn.XMATCH(C81,_xlpm.r),IFERROR(_xlfn.XMATCH(VALUE(C81),_xlpm.r),0)),IF(_xlpm.m=0,"",_xlpm.m+1))</f>
        <v/>
      </c>
      <c r="J81" s="137" t="inlineStr">
        <is>
          <t>NetSuite</t>
        </is>
      </c>
    </row>
    <row r="82">
      <c r="A82" s="5" t="inlineStr">
        <is>
          <t>WB OUTLET LERMA</t>
        </is>
      </c>
      <c r="B82" s="5">
        <f>IF($I2="","",INDEX(Productos!$A:$A,$I2))</f>
        <v/>
      </c>
      <c r="C82" s="134" t="n"/>
      <c r="D82" s="5">
        <f>IF($I2="","",INDEX(Productos!$B:$B,$I2))</f>
        <v/>
      </c>
      <c r="E82" s="5">
        <f>IF($I2="","",INDEX(Productos!$H:$H,$I2))</f>
        <v/>
      </c>
      <c r="F82" s="5">
        <f>IF($I2="","",INDEX(Productos!$I:$I,$I2))</f>
        <v/>
      </c>
      <c r="G82" s="135" t="n">
        <v>2</v>
      </c>
      <c r="H82" s="5">
        <f>IF($I2="","",INDEX(Productos!$AG:$AG,$I2))</f>
        <v/>
      </c>
      <c r="I82" s="136">
        <f>LET(_xlpm.r,Productos!$E$2:$E$204,_xlpm.m,IFERROR(_xlfn.XMATCH(C82,_xlpm.r),IFERROR(_xlfn.XMATCH(VALUE(C82),_xlpm.r),0)),IF(_xlpm.m=0,"",_xlpm.m+1))</f>
        <v/>
      </c>
      <c r="J82" s="137" t="inlineStr">
        <is>
          <t>NetSuite</t>
        </is>
      </c>
    </row>
    <row r="83">
      <c r="A83" s="5" t="inlineStr">
        <is>
          <t>WB OUTLET LERMA</t>
        </is>
      </c>
      <c r="B83" s="5">
        <f>IF($I2="","",INDEX(Productos!$A:$A,$I2))</f>
        <v/>
      </c>
      <c r="C83" s="134" t="n"/>
      <c r="D83" s="5">
        <f>IF($I2="","",INDEX(Productos!$B:$B,$I2))</f>
        <v/>
      </c>
      <c r="E83" s="5">
        <f>IF($I2="","",INDEX(Productos!$H:$H,$I2))</f>
        <v/>
      </c>
      <c r="F83" s="5">
        <f>IF($I2="","",INDEX(Productos!$I:$I,$I2))</f>
        <v/>
      </c>
      <c r="G83" s="135" t="n">
        <v>2</v>
      </c>
      <c r="H83" s="5">
        <f>IF($I2="","",INDEX(Productos!$AG:$AG,$I2))</f>
        <v/>
      </c>
      <c r="I83" s="136">
        <f>LET(_xlpm.r,Productos!$E$2:$E$204,_xlpm.m,IFERROR(_xlfn.XMATCH(C83,_xlpm.r),IFERROR(_xlfn.XMATCH(VALUE(C83),_xlpm.r),0)),IF(_xlpm.m=0,"",_xlpm.m+1))</f>
        <v/>
      </c>
      <c r="J83" s="137" t="inlineStr">
        <is>
          <t>NetSuite</t>
        </is>
      </c>
    </row>
    <row r="84">
      <c r="A84" s="5" t="inlineStr">
        <is>
          <t>WB OUTLET LERMA</t>
        </is>
      </c>
      <c r="B84" s="5">
        <f>IF($I2="","",INDEX(Productos!$A:$A,$I2))</f>
        <v/>
      </c>
      <c r="C84" s="134" t="n"/>
      <c r="D84" s="5">
        <f>IF($I2="","",INDEX(Productos!$B:$B,$I2))</f>
        <v/>
      </c>
      <c r="E84" s="5">
        <f>IF($I2="","",INDEX(Productos!$H:$H,$I2))</f>
        <v/>
      </c>
      <c r="F84" s="5">
        <f>IF($I2="","",INDEX(Productos!$I:$I,$I2))</f>
        <v/>
      </c>
      <c r="G84" s="135" t="n">
        <v>4</v>
      </c>
      <c r="H84" s="5">
        <f>IF($I2="","",INDEX(Productos!$AG:$AG,$I2))</f>
        <v/>
      </c>
      <c r="I84" s="136">
        <f>LET(_xlpm.r,Productos!$E$2:$E$204,_xlpm.m,IFERROR(_xlfn.XMATCH(C84,_xlpm.r),IFERROR(_xlfn.XMATCH(VALUE(C84),_xlpm.r),0)),IF(_xlpm.m=0,"",_xlpm.m+1))</f>
        <v/>
      </c>
      <c r="J84" s="137" t="inlineStr">
        <is>
          <t>NetSuite</t>
        </is>
      </c>
    </row>
    <row r="85">
      <c r="A85" s="5" t="inlineStr">
        <is>
          <t>WB OUTLET LERMA</t>
        </is>
      </c>
      <c r="B85" s="5">
        <f>IF($I2="","",INDEX(Productos!$A:$A,$I2))</f>
        <v/>
      </c>
      <c r="C85" s="134" t="n"/>
      <c r="D85" s="5">
        <f>IF($I2="","",INDEX(Productos!$B:$B,$I2))</f>
        <v/>
      </c>
      <c r="E85" s="5">
        <f>IF($I2="","",INDEX(Productos!$H:$H,$I2))</f>
        <v/>
      </c>
      <c r="F85" s="5">
        <f>IF($I2="","",INDEX(Productos!$I:$I,$I2))</f>
        <v/>
      </c>
      <c r="G85" s="135" t="n">
        <v>3</v>
      </c>
      <c r="H85" s="5">
        <f>IF($I2="","",INDEX(Productos!$AG:$AG,$I2))</f>
        <v/>
      </c>
      <c r="I85" s="136">
        <f>LET(_xlpm.r,Productos!$E$2:$E$204,_xlpm.m,IFERROR(_xlfn.XMATCH(C85,_xlpm.r),IFERROR(_xlfn.XMATCH(VALUE(C85),_xlpm.r),0)),IF(_xlpm.m=0,"",_xlpm.m+1))</f>
        <v/>
      </c>
      <c r="J85" s="137" t="inlineStr">
        <is>
          <t>NetSuite</t>
        </is>
      </c>
    </row>
    <row r="86">
      <c r="A86" s="5" t="inlineStr">
        <is>
          <t>WB OUTLET LERMA</t>
        </is>
      </c>
      <c r="B86" s="5">
        <f>IF($I2="","",INDEX(Productos!$A:$A,$I2))</f>
        <v/>
      </c>
      <c r="C86" s="134" t="n"/>
      <c r="D86" s="5">
        <f>IF($I2="","",INDEX(Productos!$B:$B,$I2))</f>
        <v/>
      </c>
      <c r="E86" s="5">
        <f>IF($I2="","",INDEX(Productos!$H:$H,$I2))</f>
        <v/>
      </c>
      <c r="F86" s="5">
        <f>IF($I2="","",INDEX(Productos!$I:$I,$I2))</f>
        <v/>
      </c>
      <c r="G86" s="135" t="n">
        <v>3</v>
      </c>
      <c r="H86" s="5">
        <f>IF($I2="","",INDEX(Productos!$AG:$AG,$I2))</f>
        <v/>
      </c>
      <c r="I86" s="136">
        <f>LET(_xlpm.r,Productos!$E$2:$E$204,_xlpm.m,IFERROR(_xlfn.XMATCH(C86,_xlpm.r),IFERROR(_xlfn.XMATCH(VALUE(C86),_xlpm.r),0)),IF(_xlpm.m=0,"",_xlpm.m+1))</f>
        <v/>
      </c>
      <c r="J86" s="137" t="inlineStr">
        <is>
          <t>NetSuite</t>
        </is>
      </c>
    </row>
    <row r="87">
      <c r="A87" s="5" t="inlineStr">
        <is>
          <t>WB OUTLET LERMA</t>
        </is>
      </c>
      <c r="B87" s="5">
        <f>IF($I2="","",INDEX(Productos!$A:$A,$I2))</f>
        <v/>
      </c>
      <c r="C87" s="134" t="n"/>
      <c r="D87" s="5">
        <f>IF($I2="","",INDEX(Productos!$B:$B,$I2))</f>
        <v/>
      </c>
      <c r="E87" s="5">
        <f>IF($I2="","",INDEX(Productos!$H:$H,$I2))</f>
        <v/>
      </c>
      <c r="F87" s="5">
        <f>IF($I2="","",INDEX(Productos!$I:$I,$I2))</f>
        <v/>
      </c>
      <c r="G87" s="135" t="n">
        <v>4</v>
      </c>
      <c r="H87" s="5">
        <f>IF($I2="","",INDEX(Productos!$AG:$AG,$I2))</f>
        <v/>
      </c>
      <c r="I87" s="136">
        <f>LET(_xlpm.r,Productos!$E$2:$E$204,_xlpm.m,IFERROR(_xlfn.XMATCH(C87,_xlpm.r),IFERROR(_xlfn.XMATCH(VALUE(C87),_xlpm.r),0)),IF(_xlpm.m=0,"",_xlpm.m+1))</f>
        <v/>
      </c>
      <c r="J87" s="137" t="inlineStr">
        <is>
          <t>NetSuite</t>
        </is>
      </c>
    </row>
    <row r="88">
      <c r="A88" s="5" t="inlineStr">
        <is>
          <t>WB OUTLET LERMA</t>
        </is>
      </c>
      <c r="B88" s="5">
        <f>IF($I2="","",INDEX(Productos!$A:$A,$I2))</f>
        <v/>
      </c>
      <c r="C88" s="134" t="n"/>
      <c r="D88" s="5">
        <f>IF($I2="","",INDEX(Productos!$B:$B,$I2))</f>
        <v/>
      </c>
      <c r="E88" s="5">
        <f>IF($I2="","",INDEX(Productos!$H:$H,$I2))</f>
        <v/>
      </c>
      <c r="F88" s="5">
        <f>IF($I2="","",INDEX(Productos!$I:$I,$I2))</f>
        <v/>
      </c>
      <c r="G88" s="135" t="n">
        <v>4</v>
      </c>
      <c r="H88" s="5">
        <f>IF($I2="","",INDEX(Productos!$AG:$AG,$I2))</f>
        <v/>
      </c>
      <c r="I88" s="136">
        <f>LET(_xlpm.r,Productos!$E$2:$E$204,_xlpm.m,IFERROR(_xlfn.XMATCH(C88,_xlpm.r),IFERROR(_xlfn.XMATCH(VALUE(C88),_xlpm.r),0)),IF(_xlpm.m=0,"",_xlpm.m+1))</f>
        <v/>
      </c>
      <c r="J88" s="137" t="inlineStr">
        <is>
          <t>NetSuite</t>
        </is>
      </c>
    </row>
    <row r="89">
      <c r="A89" s="5" t="inlineStr">
        <is>
          <t>WB OUTLET LERMA</t>
        </is>
      </c>
      <c r="B89" s="5">
        <f>IF($I2="","",INDEX(Productos!$A:$A,$I2))</f>
        <v/>
      </c>
      <c r="C89" s="134" t="n"/>
      <c r="D89" s="5">
        <f>IF($I2="","",INDEX(Productos!$B:$B,$I2))</f>
        <v/>
      </c>
      <c r="E89" s="5">
        <f>IF($I2="","",INDEX(Productos!$H:$H,$I2))</f>
        <v/>
      </c>
      <c r="F89" s="5">
        <f>IF($I2="","",INDEX(Productos!$I:$I,$I2))</f>
        <v/>
      </c>
      <c r="G89" s="135" t="n">
        <v>1</v>
      </c>
      <c r="H89" s="5">
        <f>IF($I2="","",INDEX(Productos!$AG:$AG,$I2))</f>
        <v/>
      </c>
      <c r="I89" s="136">
        <f>LET(_xlpm.r,Productos!$E$2:$E$204,_xlpm.m,IFERROR(_xlfn.XMATCH(C89,_xlpm.r),IFERROR(_xlfn.XMATCH(VALUE(C89),_xlpm.r),0)),IF(_xlpm.m=0,"",_xlpm.m+1))</f>
        <v/>
      </c>
      <c r="J89" s="137" t="inlineStr">
        <is>
          <t>NetSuite</t>
        </is>
      </c>
    </row>
    <row r="90">
      <c r="A90" s="5" t="inlineStr">
        <is>
          <t>WB OUTLET LERMA</t>
        </is>
      </c>
      <c r="B90" s="5">
        <f>IF($I2="","",INDEX(Productos!$A:$A,$I2))</f>
        <v/>
      </c>
      <c r="C90" s="134" t="n"/>
      <c r="D90" s="5">
        <f>IF($I2="","",INDEX(Productos!$B:$B,$I2))</f>
        <v/>
      </c>
      <c r="E90" s="5">
        <f>IF($I2="","",INDEX(Productos!$H:$H,$I2))</f>
        <v/>
      </c>
      <c r="F90" s="5">
        <f>IF($I2="","",INDEX(Productos!$I:$I,$I2))</f>
        <v/>
      </c>
      <c r="G90" s="135" t="n">
        <v>1</v>
      </c>
      <c r="H90" s="5">
        <f>IF($I2="","",INDEX(Productos!$AG:$AG,$I2))</f>
        <v/>
      </c>
      <c r="I90" s="136">
        <f>LET(_xlpm.r,Productos!$E$2:$E$204,_xlpm.m,IFERROR(_xlfn.XMATCH(C90,_xlpm.r),IFERROR(_xlfn.XMATCH(VALUE(C90),_xlpm.r),0)),IF(_xlpm.m=0,"",_xlpm.m+1))</f>
        <v/>
      </c>
      <c r="J90" s="137" t="inlineStr">
        <is>
          <t>NetSuite</t>
        </is>
      </c>
    </row>
    <row r="91">
      <c r="A91" s="5" t="inlineStr">
        <is>
          <t>WB OUTLET LERMA</t>
        </is>
      </c>
      <c r="B91" s="5">
        <f>IF($I2="","",INDEX(Productos!$A:$A,$I2))</f>
        <v/>
      </c>
      <c r="C91" s="134" t="n"/>
      <c r="D91" s="5">
        <f>IF($I2="","",INDEX(Productos!$B:$B,$I2))</f>
        <v/>
      </c>
      <c r="E91" s="5">
        <f>IF($I2="","",INDEX(Productos!$H:$H,$I2))</f>
        <v/>
      </c>
      <c r="F91" s="5">
        <f>IF($I2="","",INDEX(Productos!$I:$I,$I2))</f>
        <v/>
      </c>
      <c r="G91" s="135" t="n">
        <v>3</v>
      </c>
      <c r="H91" s="5">
        <f>IF($I2="","",INDEX(Productos!$AG:$AG,$I2))</f>
        <v/>
      </c>
      <c r="I91" s="136">
        <f>LET(_xlpm.r,Productos!$E$2:$E$204,_xlpm.m,IFERROR(_xlfn.XMATCH(C91,_xlpm.r),IFERROR(_xlfn.XMATCH(VALUE(C91),_xlpm.r),0)),IF(_xlpm.m=0,"",_xlpm.m+1))</f>
        <v/>
      </c>
      <c r="J91" s="137" t="inlineStr">
        <is>
          <t>NetSuite</t>
        </is>
      </c>
    </row>
    <row r="92">
      <c r="A92" s="5" t="inlineStr">
        <is>
          <t>WB OUTLET LERMA</t>
        </is>
      </c>
      <c r="B92" s="5">
        <f>IF($I2="","",INDEX(Productos!$A:$A,$I2))</f>
        <v/>
      </c>
      <c r="C92" s="134" t="n"/>
      <c r="D92" s="5">
        <f>IF($I2="","",INDEX(Productos!$B:$B,$I2))</f>
        <v/>
      </c>
      <c r="E92" s="5">
        <f>IF($I2="","",INDEX(Productos!$H:$H,$I2))</f>
        <v/>
      </c>
      <c r="F92" s="5">
        <f>IF($I2="","",INDEX(Productos!$I:$I,$I2))</f>
        <v/>
      </c>
      <c r="G92" s="135" t="n">
        <v>2</v>
      </c>
      <c r="H92" s="5">
        <f>IF($I2="","",INDEX(Productos!$AG:$AG,$I2))</f>
        <v/>
      </c>
      <c r="I92" s="136">
        <f>LET(_xlpm.r,Productos!$E$2:$E$204,_xlpm.m,IFERROR(_xlfn.XMATCH(C92,_xlpm.r),IFERROR(_xlfn.XMATCH(VALUE(C92),_xlpm.r),0)),IF(_xlpm.m=0,"",_xlpm.m+1))</f>
        <v/>
      </c>
      <c r="J92" s="137" t="inlineStr">
        <is>
          <t>NetSuite</t>
        </is>
      </c>
    </row>
    <row r="93">
      <c r="A93" s="5" t="inlineStr">
        <is>
          <t>WB OUTLET LERMA</t>
        </is>
      </c>
      <c r="B93" s="5">
        <f>IF($I2="","",INDEX(Productos!$A:$A,$I2))</f>
        <v/>
      </c>
      <c r="C93" s="134" t="n"/>
      <c r="D93" s="5">
        <f>IF($I2="","",INDEX(Productos!$B:$B,$I2))</f>
        <v/>
      </c>
      <c r="E93" s="5">
        <f>IF($I2="","",INDEX(Productos!$H:$H,$I2))</f>
        <v/>
      </c>
      <c r="F93" s="5">
        <f>IF($I2="","",INDEX(Productos!$I:$I,$I2))</f>
        <v/>
      </c>
      <c r="G93" s="135" t="n">
        <v>2</v>
      </c>
      <c r="H93" s="5">
        <f>IF($I2="","",INDEX(Productos!$AG:$AG,$I2))</f>
        <v/>
      </c>
      <c r="I93" s="136">
        <f>LET(_xlpm.r,Productos!$E$2:$E$204,_xlpm.m,IFERROR(_xlfn.XMATCH(C93,_xlpm.r),IFERROR(_xlfn.XMATCH(VALUE(C93),_xlpm.r),0)),IF(_xlpm.m=0,"",_xlpm.m+1))</f>
        <v/>
      </c>
      <c r="J93" s="137" t="inlineStr">
        <is>
          <t>NetSuite</t>
        </is>
      </c>
    </row>
    <row r="94">
      <c r="A94" s="5" t="inlineStr">
        <is>
          <t>WB OUTLET LERMA</t>
        </is>
      </c>
      <c r="B94" s="5">
        <f>IF($I2="","",INDEX(Productos!$A:$A,$I2))</f>
        <v/>
      </c>
      <c r="C94" s="134" t="n"/>
      <c r="D94" s="5">
        <f>IF($I2="","",INDEX(Productos!$B:$B,$I2))</f>
        <v/>
      </c>
      <c r="E94" s="5">
        <f>IF($I2="","",INDEX(Productos!$H:$H,$I2))</f>
        <v/>
      </c>
      <c r="F94" s="5">
        <f>IF($I2="","",INDEX(Productos!$I:$I,$I2))</f>
        <v/>
      </c>
      <c r="G94" s="135" t="n">
        <v>2</v>
      </c>
      <c r="H94" s="5">
        <f>IF($I2="","",INDEX(Productos!$AG:$AG,$I2))</f>
        <v/>
      </c>
      <c r="I94" s="136">
        <f>LET(_xlpm.r,Productos!$E$2:$E$204,_xlpm.m,IFERROR(_xlfn.XMATCH(C94,_xlpm.r),IFERROR(_xlfn.XMATCH(VALUE(C94),_xlpm.r),0)),IF(_xlpm.m=0,"",_xlpm.m+1))</f>
        <v/>
      </c>
      <c r="J94" s="137" t="inlineStr">
        <is>
          <t>NetSuite</t>
        </is>
      </c>
    </row>
    <row r="95">
      <c r="A95" s="5" t="inlineStr">
        <is>
          <t>WB OUTLET LERMA</t>
        </is>
      </c>
      <c r="B95" s="5">
        <f>IF($I2="","",INDEX(Productos!$A:$A,$I2))</f>
        <v/>
      </c>
      <c r="C95" s="134" t="n"/>
      <c r="D95" s="5">
        <f>IF($I2="","",INDEX(Productos!$B:$B,$I2))</f>
        <v/>
      </c>
      <c r="E95" s="5">
        <f>IF($I2="","",INDEX(Productos!$H:$H,$I2))</f>
        <v/>
      </c>
      <c r="F95" s="5">
        <f>IF($I2="","",INDEX(Productos!$I:$I,$I2))</f>
        <v/>
      </c>
      <c r="G95" s="135" t="n">
        <v>1</v>
      </c>
      <c r="H95" s="5">
        <f>IF($I2="","",INDEX(Productos!$AG:$AG,$I2))</f>
        <v/>
      </c>
      <c r="I95" s="136">
        <f>LET(_xlpm.r,Productos!$E$2:$E$204,_xlpm.m,IFERROR(_xlfn.XMATCH(C95,_xlpm.r),IFERROR(_xlfn.XMATCH(VALUE(C95),_xlpm.r),0)),IF(_xlpm.m=0,"",_xlpm.m+1))</f>
        <v/>
      </c>
      <c r="J95" s="137" t="inlineStr">
        <is>
          <t>NetSuite</t>
        </is>
      </c>
    </row>
    <row r="96">
      <c r="A96" s="5" t="inlineStr">
        <is>
          <t>WB OUTLET LERMA</t>
        </is>
      </c>
      <c r="B96" s="5">
        <f>IF($I2="","",INDEX(Productos!$A:$A,$I2))</f>
        <v/>
      </c>
      <c r="C96" s="134" t="n"/>
      <c r="D96" s="5">
        <f>IF($I2="","",INDEX(Productos!$B:$B,$I2))</f>
        <v/>
      </c>
      <c r="E96" s="5">
        <f>IF($I2="","",INDEX(Productos!$H:$H,$I2))</f>
        <v/>
      </c>
      <c r="F96" s="5">
        <f>IF($I2="","",INDEX(Productos!$I:$I,$I2))</f>
        <v/>
      </c>
      <c r="G96" s="135" t="n">
        <v>2</v>
      </c>
      <c r="H96" s="5">
        <f>IF($I2="","",INDEX(Productos!$AG:$AG,$I2))</f>
        <v/>
      </c>
      <c r="I96" s="136">
        <f>LET(_xlpm.r,Productos!$E$2:$E$204,_xlpm.m,IFERROR(_xlfn.XMATCH(C96,_xlpm.r),IFERROR(_xlfn.XMATCH(VALUE(C96),_xlpm.r),0)),IF(_xlpm.m=0,"",_xlpm.m+1))</f>
        <v/>
      </c>
      <c r="J96" s="137" t="inlineStr">
        <is>
          <t>NetSuite</t>
        </is>
      </c>
    </row>
    <row r="97">
      <c r="A97" s="5" t="inlineStr">
        <is>
          <t>WB OUTLET LERMA</t>
        </is>
      </c>
      <c r="B97" s="5">
        <f>IF($I2="","",INDEX(Productos!$A:$A,$I2))</f>
        <v/>
      </c>
      <c r="C97" s="134" t="n"/>
      <c r="D97" s="5">
        <f>IF($I2="","",INDEX(Productos!$B:$B,$I2))</f>
        <v/>
      </c>
      <c r="E97" s="5">
        <f>IF($I2="","",INDEX(Productos!$H:$H,$I2))</f>
        <v/>
      </c>
      <c r="F97" s="5">
        <f>IF($I2="","",INDEX(Productos!$I:$I,$I2))</f>
        <v/>
      </c>
      <c r="G97" s="135" t="n">
        <v>4</v>
      </c>
      <c r="H97" s="5">
        <f>IF($I2="","",INDEX(Productos!$AG:$AG,$I2))</f>
        <v/>
      </c>
      <c r="I97" s="136">
        <f>LET(_xlpm.r,Productos!$E$2:$E$204,_xlpm.m,IFERROR(_xlfn.XMATCH(C97,_xlpm.r),IFERROR(_xlfn.XMATCH(VALUE(C97),_xlpm.r),0)),IF(_xlpm.m=0,"",_xlpm.m+1))</f>
        <v/>
      </c>
      <c r="J97" s="137" t="inlineStr">
        <is>
          <t>NetSuite</t>
        </is>
      </c>
    </row>
    <row r="98">
      <c r="A98" s="5" t="inlineStr">
        <is>
          <t>WB OUTLET LERMA</t>
        </is>
      </c>
      <c r="B98" s="5">
        <f>IF($I2="","",INDEX(Productos!$A:$A,$I2))</f>
        <v/>
      </c>
      <c r="C98" s="134" t="n"/>
      <c r="D98" s="5">
        <f>IF($I2="","",INDEX(Productos!$B:$B,$I2))</f>
        <v/>
      </c>
      <c r="E98" s="5">
        <f>IF($I2="","",INDEX(Productos!$H:$H,$I2))</f>
        <v/>
      </c>
      <c r="F98" s="5">
        <f>IF($I2="","",INDEX(Productos!$I:$I,$I2))</f>
        <v/>
      </c>
      <c r="G98" s="135" t="n">
        <v>4</v>
      </c>
      <c r="H98" s="5">
        <f>IF($I2="","",INDEX(Productos!$AG:$AG,$I2))</f>
        <v/>
      </c>
      <c r="I98" s="136">
        <f>LET(_xlpm.r,Productos!$E$2:$E$204,_xlpm.m,IFERROR(_xlfn.XMATCH(C98,_xlpm.r),IFERROR(_xlfn.XMATCH(VALUE(C98),_xlpm.r),0)),IF(_xlpm.m=0,"",_xlpm.m+1))</f>
        <v/>
      </c>
      <c r="J98" s="137" t="inlineStr">
        <is>
          <t>NetSuite</t>
        </is>
      </c>
    </row>
    <row r="99">
      <c r="A99" s="5" t="inlineStr">
        <is>
          <t>WB OUTLET LERMA</t>
        </is>
      </c>
      <c r="B99" s="5">
        <f>IF($I2="","",INDEX(Productos!$A:$A,$I2))</f>
        <v/>
      </c>
      <c r="C99" s="134" t="n"/>
      <c r="D99" s="5">
        <f>IF($I2="","",INDEX(Productos!$B:$B,$I2))</f>
        <v/>
      </c>
      <c r="E99" s="5">
        <f>IF($I2="","",INDEX(Productos!$H:$H,$I2))</f>
        <v/>
      </c>
      <c r="F99" s="5">
        <f>IF($I2="","",INDEX(Productos!$I:$I,$I2))</f>
        <v/>
      </c>
      <c r="G99" s="135" t="n">
        <v>-1</v>
      </c>
      <c r="H99" s="5">
        <f>IF($I2="","",INDEX(Productos!$AG:$AG,$I2))</f>
        <v/>
      </c>
      <c r="I99" s="136">
        <f>LET(_xlpm.r,Productos!$E$2:$E$204,_xlpm.m,IFERROR(_xlfn.XMATCH(C99,_xlpm.r),IFERROR(_xlfn.XMATCH(VALUE(C99),_xlpm.r),0)),IF(_xlpm.m=0,"",_xlpm.m+1))</f>
        <v/>
      </c>
      <c r="J99" s="137" t="inlineStr">
        <is>
          <t>NetSuite</t>
        </is>
      </c>
    </row>
    <row r="100">
      <c r="A100" s="5" t="inlineStr">
        <is>
          <t>WB OUTLET LERMA</t>
        </is>
      </c>
      <c r="B100" s="5">
        <f>IF($I2="","",INDEX(Productos!$A:$A,$I2))</f>
        <v/>
      </c>
      <c r="C100" s="134" t="n"/>
      <c r="D100" s="5">
        <f>IF($I2="","",INDEX(Productos!$B:$B,$I2))</f>
        <v/>
      </c>
      <c r="E100" s="5">
        <f>IF($I2="","",INDEX(Productos!$H:$H,$I2))</f>
        <v/>
      </c>
      <c r="F100" s="5">
        <f>IF($I2="","",INDEX(Productos!$I:$I,$I2))</f>
        <v/>
      </c>
      <c r="G100" s="135" t="n">
        <v>1</v>
      </c>
      <c r="H100" s="5">
        <f>IF($I2="","",INDEX(Productos!$AG:$AG,$I2))</f>
        <v/>
      </c>
      <c r="I100" s="136">
        <f>LET(_xlpm.r,Productos!$E$2:$E$204,_xlpm.m,IFERROR(_xlfn.XMATCH(C100,_xlpm.r),IFERROR(_xlfn.XMATCH(VALUE(C100),_xlpm.r),0)),IF(_xlpm.m=0,"",_xlpm.m+1))</f>
        <v/>
      </c>
      <c r="J100" s="137" t="inlineStr">
        <is>
          <t>NetSuite</t>
        </is>
      </c>
    </row>
    <row r="101">
      <c r="A101" s="5" t="inlineStr">
        <is>
          <t>WB OUTLET LERMA</t>
        </is>
      </c>
      <c r="B101" s="5">
        <f>IF($I2="","",INDEX(Productos!$A:$A,$I2))</f>
        <v/>
      </c>
      <c r="C101" s="134" t="n"/>
      <c r="D101" s="5">
        <f>IF($I2="","",INDEX(Productos!$B:$B,$I2))</f>
        <v/>
      </c>
      <c r="E101" s="5">
        <f>IF($I2="","",INDEX(Productos!$H:$H,$I2))</f>
        <v/>
      </c>
      <c r="F101" s="5">
        <f>IF($I2="","",INDEX(Productos!$I:$I,$I2))</f>
        <v/>
      </c>
      <c r="G101" s="135" t="n">
        <v>1</v>
      </c>
      <c r="H101" s="5">
        <f>IF($I2="","",INDEX(Productos!$AG:$AG,$I2))</f>
        <v/>
      </c>
      <c r="I101" s="136">
        <f>LET(_xlpm.r,Productos!$E$2:$E$204,_xlpm.m,IFERROR(_xlfn.XMATCH(C101,_xlpm.r),IFERROR(_xlfn.XMATCH(VALUE(C101),_xlpm.r),0)),IF(_xlpm.m=0,"",_xlpm.m+1))</f>
        <v/>
      </c>
      <c r="J101" s="137" t="inlineStr">
        <is>
          <t>NetSuite</t>
        </is>
      </c>
    </row>
    <row r="102">
      <c r="A102" s="5" t="inlineStr">
        <is>
          <t>WB OUTLET LERMA</t>
        </is>
      </c>
      <c r="B102" s="5">
        <f>IF($I2="","",INDEX(Productos!$A:$A,$I2))</f>
        <v/>
      </c>
      <c r="C102" s="134" t="n"/>
      <c r="D102" s="5">
        <f>IF($I2="","",INDEX(Productos!$B:$B,$I2))</f>
        <v/>
      </c>
      <c r="E102" s="5">
        <f>IF($I2="","",INDEX(Productos!$H:$H,$I2))</f>
        <v/>
      </c>
      <c r="F102" s="5">
        <f>IF($I2="","",INDEX(Productos!$I:$I,$I2))</f>
        <v/>
      </c>
      <c r="G102" s="135" t="n">
        <v>3</v>
      </c>
      <c r="H102" s="5">
        <f>IF($I2="","",INDEX(Productos!$AG:$AG,$I2))</f>
        <v/>
      </c>
      <c r="I102" s="136">
        <f>LET(_xlpm.r,Productos!$E$2:$E$204,_xlpm.m,IFERROR(_xlfn.XMATCH(C102,_xlpm.r),IFERROR(_xlfn.XMATCH(VALUE(C102),_xlpm.r),0)),IF(_xlpm.m=0,"",_xlpm.m+1))</f>
        <v/>
      </c>
      <c r="J102" s="137" t="inlineStr">
        <is>
          <t>NetSuite</t>
        </is>
      </c>
    </row>
    <row r="103">
      <c r="A103" s="5" t="inlineStr">
        <is>
          <t>WB OUTLET LERMA</t>
        </is>
      </c>
      <c r="B103" s="5">
        <f>IF($I2="","",INDEX(Productos!$A:$A,$I2))</f>
        <v/>
      </c>
      <c r="C103" s="134" t="n"/>
      <c r="D103" s="5">
        <f>IF($I2="","",INDEX(Productos!$B:$B,$I2))</f>
        <v/>
      </c>
      <c r="E103" s="5">
        <f>IF($I2="","",INDEX(Productos!$H:$H,$I2))</f>
        <v/>
      </c>
      <c r="F103" s="5">
        <f>IF($I2="","",INDEX(Productos!$I:$I,$I2))</f>
        <v/>
      </c>
      <c r="G103" s="135" t="n">
        <v>3</v>
      </c>
      <c r="H103" s="5">
        <f>IF($I2="","",INDEX(Productos!$AG:$AG,$I2))</f>
        <v/>
      </c>
      <c r="I103" s="136">
        <f>LET(_xlpm.r,Productos!$E$2:$E$204,_xlpm.m,IFERROR(_xlfn.XMATCH(C103,_xlpm.r),IFERROR(_xlfn.XMATCH(VALUE(C103),_xlpm.r),0)),IF(_xlpm.m=0,"",_xlpm.m+1))</f>
        <v/>
      </c>
      <c r="J103" s="137" t="inlineStr">
        <is>
          <t>NetSuite</t>
        </is>
      </c>
    </row>
    <row r="104">
      <c r="A104" s="5" t="inlineStr">
        <is>
          <t>WB OUTLET LERMA</t>
        </is>
      </c>
      <c r="B104" s="5">
        <f>IF($I2="","",INDEX(Productos!$A:$A,$I2))</f>
        <v/>
      </c>
      <c r="C104" s="134" t="n"/>
      <c r="D104" s="5">
        <f>IF($I2="","",INDEX(Productos!$B:$B,$I2))</f>
        <v/>
      </c>
      <c r="E104" s="5">
        <f>IF($I2="","",INDEX(Productos!$H:$H,$I2))</f>
        <v/>
      </c>
      <c r="F104" s="5">
        <f>IF($I2="","",INDEX(Productos!$I:$I,$I2))</f>
        <v/>
      </c>
      <c r="G104" s="135" t="n">
        <v>1</v>
      </c>
      <c r="H104" s="5">
        <f>IF($I2="","",INDEX(Productos!$AG:$AG,$I2))</f>
        <v/>
      </c>
      <c r="I104" s="136">
        <f>LET(_xlpm.r,Productos!$E$2:$E$204,_xlpm.m,IFERROR(_xlfn.XMATCH(C104,_xlpm.r),IFERROR(_xlfn.XMATCH(VALUE(C104),_xlpm.r),0)),IF(_xlpm.m=0,"",_xlpm.m+1))</f>
        <v/>
      </c>
      <c r="J104" s="137" t="inlineStr">
        <is>
          <t>NetSuite</t>
        </is>
      </c>
    </row>
    <row r="105">
      <c r="A105" s="5" t="inlineStr">
        <is>
          <t>WB OUTLET LERMA</t>
        </is>
      </c>
      <c r="B105" s="5">
        <f>IF($I2="","",INDEX(Productos!$A:$A,$I2))</f>
        <v/>
      </c>
      <c r="C105" s="134" t="n"/>
      <c r="D105" s="5">
        <f>IF($I2="","",INDEX(Productos!$B:$B,$I2))</f>
        <v/>
      </c>
      <c r="E105" s="5">
        <f>IF($I2="","",INDEX(Productos!$H:$H,$I2))</f>
        <v/>
      </c>
      <c r="F105" s="5">
        <f>IF($I2="","",INDEX(Productos!$I:$I,$I2))</f>
        <v/>
      </c>
      <c r="G105" s="135" t="n">
        <v>1</v>
      </c>
      <c r="H105" s="5">
        <f>IF($I2="","",INDEX(Productos!$AG:$AG,$I2))</f>
        <v/>
      </c>
      <c r="I105" s="136">
        <f>LET(_xlpm.r,Productos!$E$2:$E$204,_xlpm.m,IFERROR(_xlfn.XMATCH(C105,_xlpm.r),IFERROR(_xlfn.XMATCH(VALUE(C105),_xlpm.r),0)),IF(_xlpm.m=0,"",_xlpm.m+1))</f>
        <v/>
      </c>
      <c r="J105" s="137" t="inlineStr">
        <is>
          <t>NetSuite</t>
        </is>
      </c>
    </row>
    <row r="106">
      <c r="A106" s="5" t="inlineStr">
        <is>
          <t>WB OUTLET LERMA</t>
        </is>
      </c>
      <c r="B106" s="5">
        <f>IF($I2="","",INDEX(Productos!$A:$A,$I2))</f>
        <v/>
      </c>
      <c r="C106" s="134" t="n"/>
      <c r="D106" s="5">
        <f>IF($I2="","",INDEX(Productos!$B:$B,$I2))</f>
        <v/>
      </c>
      <c r="E106" s="5">
        <f>IF($I2="","",INDEX(Productos!$H:$H,$I2))</f>
        <v/>
      </c>
      <c r="F106" s="5">
        <f>IF($I2="","",INDEX(Productos!$I:$I,$I2))</f>
        <v/>
      </c>
      <c r="G106" s="135" t="n">
        <v>3</v>
      </c>
      <c r="H106" s="5">
        <f>IF($I2="","",INDEX(Productos!$AG:$AG,$I2))</f>
        <v/>
      </c>
      <c r="I106" s="136">
        <f>LET(_xlpm.r,Productos!$E$2:$E$204,_xlpm.m,IFERROR(_xlfn.XMATCH(C106,_xlpm.r),IFERROR(_xlfn.XMATCH(VALUE(C106),_xlpm.r),0)),IF(_xlpm.m=0,"",_xlpm.m+1))</f>
        <v/>
      </c>
      <c r="J106" s="137" t="inlineStr">
        <is>
          <t>NetSuite</t>
        </is>
      </c>
    </row>
    <row r="107">
      <c r="A107" s="5" t="inlineStr">
        <is>
          <t>WB OUTLET LERMA</t>
        </is>
      </c>
      <c r="B107" s="5">
        <f>IF($I2="","",INDEX(Productos!$A:$A,$I2))</f>
        <v/>
      </c>
      <c r="C107" s="134" t="n"/>
      <c r="D107" s="5">
        <f>IF($I2="","",INDEX(Productos!$B:$B,$I2))</f>
        <v/>
      </c>
      <c r="E107" s="5">
        <f>IF($I2="","",INDEX(Productos!$H:$H,$I2))</f>
        <v/>
      </c>
      <c r="F107" s="5">
        <f>IF($I2="","",INDEX(Productos!$I:$I,$I2))</f>
        <v/>
      </c>
      <c r="G107" s="135" t="n">
        <v>3</v>
      </c>
      <c r="H107" s="5">
        <f>IF($I2="","",INDEX(Productos!$AG:$AG,$I2))</f>
        <v/>
      </c>
      <c r="I107" s="136">
        <f>LET(_xlpm.r,Productos!$E$2:$E$204,_xlpm.m,IFERROR(_xlfn.XMATCH(C107,_xlpm.r),IFERROR(_xlfn.XMATCH(VALUE(C107),_xlpm.r),0)),IF(_xlpm.m=0,"",_xlpm.m+1))</f>
        <v/>
      </c>
      <c r="J107" s="137" t="inlineStr">
        <is>
          <t>NetSuite</t>
        </is>
      </c>
    </row>
    <row r="108">
      <c r="A108" s="5" t="inlineStr">
        <is>
          <t>WB OUTLET LERMA</t>
        </is>
      </c>
      <c r="B108" s="5">
        <f>IF($I2="","",INDEX(Productos!$A:$A,$I2))</f>
        <v/>
      </c>
      <c r="C108" s="134" t="n"/>
      <c r="D108" s="5">
        <f>IF($I2="","",INDEX(Productos!$B:$B,$I2))</f>
        <v/>
      </c>
      <c r="E108" s="5">
        <f>IF($I2="","",INDEX(Productos!$H:$H,$I2))</f>
        <v/>
      </c>
      <c r="F108" s="5">
        <f>IF($I2="","",INDEX(Productos!$I:$I,$I2))</f>
        <v/>
      </c>
      <c r="G108" s="135" t="n">
        <v>1</v>
      </c>
      <c r="H108" s="5">
        <f>IF($I2="","",INDEX(Productos!$AG:$AG,$I2))</f>
        <v/>
      </c>
      <c r="I108" s="136">
        <f>LET(_xlpm.r,Productos!$E$2:$E$204,_xlpm.m,IFERROR(_xlfn.XMATCH(C108,_xlpm.r),IFERROR(_xlfn.XMATCH(VALUE(C108),_xlpm.r),0)),IF(_xlpm.m=0,"",_xlpm.m+1))</f>
        <v/>
      </c>
      <c r="J108" s="137" t="inlineStr">
        <is>
          <t>NetSuite</t>
        </is>
      </c>
    </row>
    <row r="109">
      <c r="A109" s="5" t="inlineStr">
        <is>
          <t>WB OUTLET LERMA</t>
        </is>
      </c>
      <c r="B109" s="5">
        <f>IF($I2="","",INDEX(Productos!$A:$A,$I2))</f>
        <v/>
      </c>
      <c r="C109" s="134" t="n"/>
      <c r="D109" s="5">
        <f>IF($I2="","",INDEX(Productos!$B:$B,$I2))</f>
        <v/>
      </c>
      <c r="E109" s="5">
        <f>IF($I2="","",INDEX(Productos!$H:$H,$I2))</f>
        <v/>
      </c>
      <c r="F109" s="5">
        <f>IF($I2="","",INDEX(Productos!$I:$I,$I2))</f>
        <v/>
      </c>
      <c r="G109" s="135" t="n">
        <v>4</v>
      </c>
      <c r="H109" s="5">
        <f>IF($I2="","",INDEX(Productos!$AG:$AG,$I2))</f>
        <v/>
      </c>
      <c r="I109" s="136">
        <f>LET(_xlpm.r,Productos!$E$2:$E$204,_xlpm.m,IFERROR(_xlfn.XMATCH(C109,_xlpm.r),IFERROR(_xlfn.XMATCH(VALUE(C109),_xlpm.r),0)),IF(_xlpm.m=0,"",_xlpm.m+1))</f>
        <v/>
      </c>
      <c r="J109" s="137" t="inlineStr">
        <is>
          <t>NetSuite</t>
        </is>
      </c>
    </row>
    <row r="110">
      <c r="A110" s="5" t="inlineStr">
        <is>
          <t>WB OUTLET LERMA</t>
        </is>
      </c>
      <c r="B110" s="5">
        <f>IF($I2="","",INDEX(Productos!$A:$A,$I2))</f>
        <v/>
      </c>
      <c r="C110" s="134" t="n"/>
      <c r="D110" s="5">
        <f>IF($I2="","",INDEX(Productos!$B:$B,$I2))</f>
        <v/>
      </c>
      <c r="E110" s="5">
        <f>IF($I2="","",INDEX(Productos!$H:$H,$I2))</f>
        <v/>
      </c>
      <c r="F110" s="5">
        <f>IF($I2="","",INDEX(Productos!$I:$I,$I2))</f>
        <v/>
      </c>
      <c r="G110" s="135" t="n">
        <v>2</v>
      </c>
      <c r="H110" s="5">
        <f>IF($I2="","",INDEX(Productos!$AG:$AG,$I2))</f>
        <v/>
      </c>
      <c r="I110" s="136">
        <f>LET(_xlpm.r,Productos!$E$2:$E$204,_xlpm.m,IFERROR(_xlfn.XMATCH(C110,_xlpm.r),IFERROR(_xlfn.XMATCH(VALUE(C110),_xlpm.r),0)),IF(_xlpm.m=0,"",_xlpm.m+1))</f>
        <v/>
      </c>
      <c r="J110" s="137" t="inlineStr">
        <is>
          <t>NetSuite</t>
        </is>
      </c>
    </row>
    <row r="111">
      <c r="A111" s="5" t="inlineStr">
        <is>
          <t>WB OUTLET LERMA</t>
        </is>
      </c>
      <c r="B111" s="5">
        <f>IF($I2="","",INDEX(Productos!$A:$A,$I2))</f>
        <v/>
      </c>
      <c r="C111" s="134" t="n"/>
      <c r="D111" s="5">
        <f>IF($I2="","",INDEX(Productos!$B:$B,$I2))</f>
        <v/>
      </c>
      <c r="E111" s="5">
        <f>IF($I2="","",INDEX(Productos!$H:$H,$I2))</f>
        <v/>
      </c>
      <c r="F111" s="5">
        <f>IF($I2="","",INDEX(Productos!$I:$I,$I2))</f>
        <v/>
      </c>
      <c r="G111" s="135" t="n">
        <v>2</v>
      </c>
      <c r="H111" s="5">
        <f>IF($I2="","",INDEX(Productos!$AG:$AG,$I2))</f>
        <v/>
      </c>
      <c r="I111" s="136">
        <f>LET(_xlpm.r,Productos!$E$2:$E$204,_xlpm.m,IFERROR(_xlfn.XMATCH(C111,_xlpm.r),IFERROR(_xlfn.XMATCH(VALUE(C111),_xlpm.r),0)),IF(_xlpm.m=0,"",_xlpm.m+1))</f>
        <v/>
      </c>
      <c r="J111" s="137" t="inlineStr">
        <is>
          <t>NetSuite</t>
        </is>
      </c>
    </row>
    <row r="112">
      <c r="A112" s="5" t="inlineStr">
        <is>
          <t>WB OUTLET LERMA</t>
        </is>
      </c>
      <c r="B112" s="5">
        <f>IF($I2="","",INDEX(Productos!$A:$A,$I2))</f>
        <v/>
      </c>
      <c r="C112" s="134" t="n"/>
      <c r="D112" s="5">
        <f>IF($I2="","",INDEX(Productos!$B:$B,$I2))</f>
        <v/>
      </c>
      <c r="E112" s="5">
        <f>IF($I2="","",INDEX(Productos!$H:$H,$I2))</f>
        <v/>
      </c>
      <c r="F112" s="5">
        <f>IF($I2="","",INDEX(Productos!$I:$I,$I2))</f>
        <v/>
      </c>
      <c r="G112" s="135" t="n">
        <v>4</v>
      </c>
      <c r="H112" s="5">
        <f>IF($I2="","",INDEX(Productos!$AG:$AG,$I2))</f>
        <v/>
      </c>
      <c r="I112" s="136">
        <f>LET(_xlpm.r,Productos!$E$2:$E$204,_xlpm.m,IFERROR(_xlfn.XMATCH(C112,_xlpm.r),IFERROR(_xlfn.XMATCH(VALUE(C112),_xlpm.r),0)),IF(_xlpm.m=0,"",_xlpm.m+1))</f>
        <v/>
      </c>
      <c r="J112" s="137" t="inlineStr">
        <is>
          <t>NetSuite</t>
        </is>
      </c>
    </row>
    <row r="113">
      <c r="A113" s="5" t="inlineStr">
        <is>
          <t>WB OUTLET LERMA</t>
        </is>
      </c>
      <c r="B113" s="5">
        <f>IF($I2="","",INDEX(Productos!$A:$A,$I2))</f>
        <v/>
      </c>
      <c r="C113" s="134" t="n"/>
      <c r="D113" s="5">
        <f>IF($I2="","",INDEX(Productos!$B:$B,$I2))</f>
        <v/>
      </c>
      <c r="E113" s="5">
        <f>IF($I2="","",INDEX(Productos!$H:$H,$I2))</f>
        <v/>
      </c>
      <c r="F113" s="5">
        <f>IF($I2="","",INDEX(Productos!$I:$I,$I2))</f>
        <v/>
      </c>
      <c r="G113" s="135" t="n">
        <v>3</v>
      </c>
      <c r="H113" s="5">
        <f>IF($I2="","",INDEX(Productos!$AG:$AG,$I2))</f>
        <v/>
      </c>
      <c r="I113" s="136">
        <f>LET(_xlpm.r,Productos!$E$2:$E$204,_xlpm.m,IFERROR(_xlfn.XMATCH(C113,_xlpm.r),IFERROR(_xlfn.XMATCH(VALUE(C113),_xlpm.r),0)),IF(_xlpm.m=0,"",_xlpm.m+1))</f>
        <v/>
      </c>
      <c r="J113" s="137" t="inlineStr">
        <is>
          <t>NetSuite</t>
        </is>
      </c>
    </row>
    <row r="114">
      <c r="A114" s="5" t="inlineStr">
        <is>
          <t>WB OUTLET LERMA</t>
        </is>
      </c>
      <c r="B114" s="5">
        <f>IF($I2="","",INDEX(Productos!$A:$A,$I2))</f>
        <v/>
      </c>
      <c r="C114" s="134" t="n"/>
      <c r="D114" s="5">
        <f>IF($I2="","",INDEX(Productos!$B:$B,$I2))</f>
        <v/>
      </c>
      <c r="E114" s="5">
        <f>IF($I2="","",INDEX(Productos!$H:$H,$I2))</f>
        <v/>
      </c>
      <c r="F114" s="5">
        <f>IF($I2="","",INDEX(Productos!$I:$I,$I2))</f>
        <v/>
      </c>
      <c r="G114" s="135" t="n">
        <v>1</v>
      </c>
      <c r="H114" s="5">
        <f>IF($I2="","",INDEX(Productos!$AG:$AG,$I2))</f>
        <v/>
      </c>
      <c r="I114" s="136">
        <f>LET(_xlpm.r,Productos!$E$2:$E$204,_xlpm.m,IFERROR(_xlfn.XMATCH(C114,_xlpm.r),IFERROR(_xlfn.XMATCH(VALUE(C114),_xlpm.r),0)),IF(_xlpm.m=0,"",_xlpm.m+1))</f>
        <v/>
      </c>
      <c r="J114" s="137" t="inlineStr">
        <is>
          <t>NetSuite</t>
        </is>
      </c>
    </row>
    <row r="115">
      <c r="A115" s="5" t="inlineStr">
        <is>
          <t>WB OUTLET LERMA</t>
        </is>
      </c>
      <c r="B115" s="5">
        <f>IF($I2="","",INDEX(Productos!$A:$A,$I2))</f>
        <v/>
      </c>
      <c r="C115" s="134" t="n"/>
      <c r="D115" s="5">
        <f>IF($I2="","",INDEX(Productos!$B:$B,$I2))</f>
        <v/>
      </c>
      <c r="E115" s="5">
        <f>IF($I2="","",INDEX(Productos!$H:$H,$I2))</f>
        <v/>
      </c>
      <c r="F115" s="5">
        <f>IF($I2="","",INDEX(Productos!$I:$I,$I2))</f>
        <v/>
      </c>
      <c r="G115" s="135" t="n">
        <v>3</v>
      </c>
      <c r="H115" s="5">
        <f>IF($I2="","",INDEX(Productos!$AG:$AG,$I2))</f>
        <v/>
      </c>
      <c r="I115" s="136">
        <f>LET(_xlpm.r,Productos!$E$2:$E$204,_xlpm.m,IFERROR(_xlfn.XMATCH(C115,_xlpm.r),IFERROR(_xlfn.XMATCH(VALUE(C115),_xlpm.r),0)),IF(_xlpm.m=0,"",_xlpm.m+1))</f>
        <v/>
      </c>
      <c r="J115" s="137" t="inlineStr">
        <is>
          <t>NetSuite</t>
        </is>
      </c>
    </row>
    <row r="116">
      <c r="A116" s="5" t="inlineStr">
        <is>
          <t>WB OUTLET LERMA</t>
        </is>
      </c>
      <c r="B116" s="5">
        <f>IF($I2="","",INDEX(Productos!$A:$A,$I2))</f>
        <v/>
      </c>
      <c r="C116" s="134" t="n"/>
      <c r="D116" s="5">
        <f>IF($I2="","",INDEX(Productos!$B:$B,$I2))</f>
        <v/>
      </c>
      <c r="E116" s="5">
        <f>IF($I2="","",INDEX(Productos!$H:$H,$I2))</f>
        <v/>
      </c>
      <c r="F116" s="5">
        <f>IF($I2="","",INDEX(Productos!$I:$I,$I2))</f>
        <v/>
      </c>
      <c r="G116" s="135" t="n">
        <v>2</v>
      </c>
      <c r="H116" s="5">
        <f>IF($I2="","",INDEX(Productos!$AG:$AG,$I2))</f>
        <v/>
      </c>
      <c r="I116" s="136">
        <f>LET(_xlpm.r,Productos!$E$2:$E$204,_xlpm.m,IFERROR(_xlfn.XMATCH(C116,_xlpm.r),IFERROR(_xlfn.XMATCH(VALUE(C116),_xlpm.r),0)),IF(_xlpm.m=0,"",_xlpm.m+1))</f>
        <v/>
      </c>
      <c r="J116" s="137" t="inlineStr">
        <is>
          <t>NetSuite</t>
        </is>
      </c>
    </row>
    <row r="117">
      <c r="A117" s="5" t="inlineStr">
        <is>
          <t>WB OUTLET LERMA</t>
        </is>
      </c>
      <c r="B117" s="5">
        <f>IF($I2="","",INDEX(Productos!$A:$A,$I2))</f>
        <v/>
      </c>
      <c r="C117" s="134" t="n"/>
      <c r="D117" s="5">
        <f>IF($I2="","",INDEX(Productos!$B:$B,$I2))</f>
        <v/>
      </c>
      <c r="E117" s="5">
        <f>IF($I2="","",INDEX(Productos!$H:$H,$I2))</f>
        <v/>
      </c>
      <c r="F117" s="5">
        <f>IF($I2="","",INDEX(Productos!$I:$I,$I2))</f>
        <v/>
      </c>
      <c r="G117" s="135" t="n">
        <v>1</v>
      </c>
      <c r="H117" s="5">
        <f>IF($I2="","",INDEX(Productos!$AG:$AG,$I2))</f>
        <v/>
      </c>
      <c r="I117" s="136">
        <f>LET(_xlpm.r,Productos!$E$2:$E$204,_xlpm.m,IFERROR(_xlfn.XMATCH(C117,_xlpm.r),IFERROR(_xlfn.XMATCH(VALUE(C117),_xlpm.r),0)),IF(_xlpm.m=0,"",_xlpm.m+1))</f>
        <v/>
      </c>
      <c r="J117" s="137" t="inlineStr">
        <is>
          <t>NetSuite</t>
        </is>
      </c>
    </row>
    <row r="118">
      <c r="A118" s="5" t="inlineStr">
        <is>
          <t>WB OUTLET LERMA</t>
        </is>
      </c>
      <c r="B118" s="5">
        <f>IF($I2="","",INDEX(Productos!$A:$A,$I2))</f>
        <v/>
      </c>
      <c r="C118" s="134" t="n"/>
      <c r="D118" s="5">
        <f>IF($I2="","",INDEX(Productos!$B:$B,$I2))</f>
        <v/>
      </c>
      <c r="E118" s="5">
        <f>IF($I2="","",INDEX(Productos!$H:$H,$I2))</f>
        <v/>
      </c>
      <c r="F118" s="5">
        <f>IF($I2="","",INDEX(Productos!$I:$I,$I2))</f>
        <v/>
      </c>
      <c r="G118" s="135" t="n">
        <v>1</v>
      </c>
      <c r="H118" s="5">
        <f>IF($I2="","",INDEX(Productos!$AG:$AG,$I2))</f>
        <v/>
      </c>
      <c r="I118" s="136">
        <f>LET(_xlpm.r,Productos!$E$2:$E$204,_xlpm.m,IFERROR(_xlfn.XMATCH(C118,_xlpm.r),IFERROR(_xlfn.XMATCH(VALUE(C118),_xlpm.r),0)),IF(_xlpm.m=0,"",_xlpm.m+1))</f>
        <v/>
      </c>
      <c r="J118" s="137" t="inlineStr">
        <is>
          <t>NetSuite</t>
        </is>
      </c>
    </row>
    <row r="119">
      <c r="A119" s="5" t="inlineStr">
        <is>
          <t>WB OUTLET LERMA</t>
        </is>
      </c>
      <c r="B119" s="5">
        <f>IF($I2="","",INDEX(Productos!$A:$A,$I2))</f>
        <v/>
      </c>
      <c r="C119" s="134" t="n"/>
      <c r="D119" s="5">
        <f>IF($I2="","",INDEX(Productos!$B:$B,$I2))</f>
        <v/>
      </c>
      <c r="E119" s="5">
        <f>IF($I2="","",INDEX(Productos!$H:$H,$I2))</f>
        <v/>
      </c>
      <c r="F119" s="5">
        <f>IF($I2="","",INDEX(Productos!$I:$I,$I2))</f>
        <v/>
      </c>
      <c r="G119" s="135" t="n">
        <v>-1</v>
      </c>
      <c r="H119" s="5">
        <f>IF($I2="","",INDEX(Productos!$AG:$AG,$I2))</f>
        <v/>
      </c>
      <c r="I119" s="136">
        <f>LET(_xlpm.r,Productos!$E$2:$E$204,_xlpm.m,IFERROR(_xlfn.XMATCH(C119,_xlpm.r),IFERROR(_xlfn.XMATCH(VALUE(C119),_xlpm.r),0)),IF(_xlpm.m=0,"",_xlpm.m+1))</f>
        <v/>
      </c>
      <c r="J119" s="137" t="inlineStr">
        <is>
          <t>NetSuite</t>
        </is>
      </c>
    </row>
    <row r="120">
      <c r="A120" s="5" t="inlineStr">
        <is>
          <t>WB OUTLET LERMA</t>
        </is>
      </c>
      <c r="B120" s="5">
        <f>IF($I2="","",INDEX(Productos!$A:$A,$I2))</f>
        <v/>
      </c>
      <c r="C120" s="134" t="n"/>
      <c r="D120" s="5">
        <f>IF($I2="","",INDEX(Productos!$B:$B,$I2))</f>
        <v/>
      </c>
      <c r="E120" s="5">
        <f>IF($I2="","",INDEX(Productos!$H:$H,$I2))</f>
        <v/>
      </c>
      <c r="F120" s="5">
        <f>IF($I2="","",INDEX(Productos!$I:$I,$I2))</f>
        <v/>
      </c>
      <c r="G120" s="135" t="n">
        <v>1</v>
      </c>
      <c r="H120" s="5">
        <f>IF($I2="","",INDEX(Productos!$AG:$AG,$I2))</f>
        <v/>
      </c>
      <c r="I120" s="136">
        <f>LET(_xlpm.r,Productos!$E$2:$E$204,_xlpm.m,IFERROR(_xlfn.XMATCH(C120,_xlpm.r),IFERROR(_xlfn.XMATCH(VALUE(C120),_xlpm.r),0)),IF(_xlpm.m=0,"",_xlpm.m+1))</f>
        <v/>
      </c>
      <c r="J120" s="137" t="inlineStr">
        <is>
          <t>NetSuite</t>
        </is>
      </c>
    </row>
    <row r="121">
      <c r="A121" s="5" t="inlineStr">
        <is>
          <t>WB OUTLET LERMA</t>
        </is>
      </c>
      <c r="B121" s="5">
        <f>IF($I2="","",INDEX(Productos!$A:$A,$I2))</f>
        <v/>
      </c>
      <c r="C121" s="134" t="n"/>
      <c r="D121" s="5">
        <f>IF($I2="","",INDEX(Productos!$B:$B,$I2))</f>
        <v/>
      </c>
      <c r="E121" s="5">
        <f>IF($I2="","",INDEX(Productos!$H:$H,$I2))</f>
        <v/>
      </c>
      <c r="F121" s="5">
        <f>IF($I2="","",INDEX(Productos!$I:$I,$I2))</f>
        <v/>
      </c>
      <c r="G121" s="135" t="n">
        <v>2</v>
      </c>
      <c r="H121" s="5">
        <f>IF($I2="","",INDEX(Productos!$AG:$AG,$I2))</f>
        <v/>
      </c>
      <c r="I121" s="136">
        <f>LET(_xlpm.r,Productos!$E$2:$E$204,_xlpm.m,IFERROR(_xlfn.XMATCH(C121,_xlpm.r),IFERROR(_xlfn.XMATCH(VALUE(C121),_xlpm.r),0)),IF(_xlpm.m=0,"",_xlpm.m+1))</f>
        <v/>
      </c>
      <c r="J121" s="137" t="inlineStr">
        <is>
          <t>NetSuite</t>
        </is>
      </c>
    </row>
    <row r="122">
      <c r="A122" s="5" t="inlineStr">
        <is>
          <t>Shopify Western Brothers › Western Brothers Outlet Lerma</t>
        </is>
      </c>
      <c r="B122" s="5">
        <f>IF($I2="","",INDEX(Productos!$A:$A,$I2))</f>
        <v/>
      </c>
      <c r="C122" s="134" t="inlineStr">
        <is>
          <t>01-TDAG012-0010-L</t>
        </is>
      </c>
      <c r="D122" s="5">
        <f>IF($I2="","",INDEX(Productos!$B:$B,$I2))</f>
        <v/>
      </c>
      <c r="E122" s="5">
        <f>IF($I2="","",INDEX(Productos!$H:$H,$I2))</f>
        <v/>
      </c>
      <c r="F122" s="5">
        <f>IF($I2="","",INDEX(Productos!$I:$I,$I2))</f>
        <v/>
      </c>
      <c r="G122" s="135" t="n">
        <v>3</v>
      </c>
      <c r="H122" s="5">
        <f>IF($I2="","",INDEX(Productos!$AG:$AG,$I2))</f>
        <v/>
      </c>
      <c r="I122" s="136">
        <f>LET(_xlpm.r,Productos!$E$2:$E$204,_xlpm.m,IFERROR(_xlfn.XMATCH(C122,_xlpm.r),IFERROR(_xlfn.XMATCH(VALUE(C122),_xlpm.r),0)),IF(_xlpm.m=0,"",_xlpm.m+1))</f>
        <v/>
      </c>
      <c r="J122" s="137" t="inlineStr">
        <is>
          <t>Shopify</t>
        </is>
      </c>
    </row>
    <row r="123">
      <c r="A123" s="5" t="inlineStr">
        <is>
          <t>Shopify Western Brothers › Western Brothers Outlet Lerma</t>
        </is>
      </c>
      <c r="B123" s="5">
        <f>IF($I2="","",INDEX(Productos!$A:$A,$I2))</f>
        <v/>
      </c>
      <c r="C123" s="134" t="inlineStr">
        <is>
          <t>01-TDAG012-0010-XL</t>
        </is>
      </c>
      <c r="D123" s="5">
        <f>IF($I2="","",INDEX(Productos!$B:$B,$I2))</f>
        <v/>
      </c>
      <c r="E123" s="5">
        <f>IF($I2="","",INDEX(Productos!$H:$H,$I2))</f>
        <v/>
      </c>
      <c r="F123" s="5">
        <f>IF($I2="","",INDEX(Productos!$I:$I,$I2))</f>
        <v/>
      </c>
      <c r="G123" s="135" t="n">
        <v>3</v>
      </c>
      <c r="H123" s="5">
        <f>IF($I2="","",INDEX(Productos!$AG:$AG,$I2))</f>
        <v/>
      </c>
      <c r="I123" s="136">
        <f>LET(_xlpm.r,Productos!$E$2:$E$204,_xlpm.m,IFERROR(_xlfn.XMATCH(C123,_xlpm.r),IFERROR(_xlfn.XMATCH(VALUE(C123),_xlpm.r),0)),IF(_xlpm.m=0,"",_xlpm.m+1))</f>
        <v/>
      </c>
      <c r="J123" s="137" t="inlineStr">
        <is>
          <t>Shopify</t>
        </is>
      </c>
    </row>
    <row r="124">
      <c r="A124" s="5" t="inlineStr">
        <is>
          <t>Shopify Western Brothers › Western Brothers Outlet Lerma</t>
        </is>
      </c>
      <c r="B124" s="5">
        <f>IF($I2="","",INDEX(Productos!$A:$A,$I2))</f>
        <v/>
      </c>
      <c r="C124" s="134" t="inlineStr">
        <is>
          <t>01-TDAG012-0011-L</t>
        </is>
      </c>
      <c r="D124" s="5">
        <f>IF($I2="","",INDEX(Productos!$B:$B,$I2))</f>
        <v/>
      </c>
      <c r="E124" s="5">
        <f>IF($I2="","",INDEX(Productos!$H:$H,$I2))</f>
        <v/>
      </c>
      <c r="F124" s="5">
        <f>IF($I2="","",INDEX(Productos!$I:$I,$I2))</f>
        <v/>
      </c>
      <c r="G124" s="135" t="n">
        <v>1</v>
      </c>
      <c r="H124" s="5">
        <f>IF($I2="","",INDEX(Productos!$AG:$AG,$I2))</f>
        <v/>
      </c>
      <c r="I124" s="136">
        <f>LET(_xlpm.r,Productos!$E$2:$E$204,_xlpm.m,IFERROR(_xlfn.XMATCH(C124,_xlpm.r),IFERROR(_xlfn.XMATCH(VALUE(C124),_xlpm.r),0)),IF(_xlpm.m=0,"",_xlpm.m+1))</f>
        <v/>
      </c>
      <c r="J124" s="137" t="inlineStr">
        <is>
          <t>Shopify</t>
        </is>
      </c>
    </row>
    <row r="125">
      <c r="A125" s="5" t="inlineStr">
        <is>
          <t>Shopify Western Brothers › Western Brothers Outlet Lerma</t>
        </is>
      </c>
      <c r="B125" s="5">
        <f>IF($I2="","",INDEX(Productos!$A:$A,$I2))</f>
        <v/>
      </c>
      <c r="C125" s="134" t="inlineStr">
        <is>
          <t>01-TDAG012-0011-M</t>
        </is>
      </c>
      <c r="D125" s="5">
        <f>IF($I2="","",INDEX(Productos!$B:$B,$I2))</f>
        <v/>
      </c>
      <c r="E125" s="5">
        <f>IF($I2="","",INDEX(Productos!$H:$H,$I2))</f>
        <v/>
      </c>
      <c r="F125" s="5">
        <f>IF($I2="","",INDEX(Productos!$I:$I,$I2))</f>
        <v/>
      </c>
      <c r="G125" s="135" t="n">
        <v>1</v>
      </c>
      <c r="H125" s="5">
        <f>IF($I2="","",INDEX(Productos!$AG:$AG,$I2))</f>
        <v/>
      </c>
      <c r="I125" s="136">
        <f>LET(_xlpm.r,Productos!$E$2:$E$204,_xlpm.m,IFERROR(_xlfn.XMATCH(C125,_xlpm.r),IFERROR(_xlfn.XMATCH(VALUE(C125),_xlpm.r),0)),IF(_xlpm.m=0,"",_xlpm.m+1))</f>
        <v/>
      </c>
      <c r="J125" s="137" t="inlineStr">
        <is>
          <t>Shopify</t>
        </is>
      </c>
    </row>
    <row r="126">
      <c r="A126" s="5" t="inlineStr">
        <is>
          <t>Shopify Western Brothers › Western Brothers Outlet Lerma</t>
        </is>
      </c>
      <c r="B126" s="5">
        <f>IF($I2="","",INDEX(Productos!$A:$A,$I2))</f>
        <v/>
      </c>
      <c r="C126" s="134" t="inlineStr">
        <is>
          <t>01-TDAG012-0011-S</t>
        </is>
      </c>
      <c r="D126" s="5">
        <f>IF($I2="","",INDEX(Productos!$B:$B,$I2))</f>
        <v/>
      </c>
      <c r="E126" s="5">
        <f>IF($I2="","",INDEX(Productos!$H:$H,$I2))</f>
        <v/>
      </c>
      <c r="F126" s="5">
        <f>IF($I2="","",INDEX(Productos!$I:$I,$I2))</f>
        <v/>
      </c>
      <c r="G126" s="135" t="n">
        <v>2</v>
      </c>
      <c r="H126" s="5">
        <f>IF($I2="","",INDEX(Productos!$AG:$AG,$I2))</f>
        <v/>
      </c>
      <c r="I126" s="136">
        <f>LET(_xlpm.r,Productos!$E$2:$E$204,_xlpm.m,IFERROR(_xlfn.XMATCH(C126,_xlpm.r),IFERROR(_xlfn.XMATCH(VALUE(C126),_xlpm.r),0)),IF(_xlpm.m=0,"",_xlpm.m+1))</f>
        <v/>
      </c>
      <c r="J126" s="137" t="inlineStr">
        <is>
          <t>Shopify</t>
        </is>
      </c>
    </row>
    <row r="127">
      <c r="A127" s="5" t="inlineStr">
        <is>
          <t>Shopify Western Brothers › Western Brothers Outlet Lerma</t>
        </is>
      </c>
      <c r="B127" s="5">
        <f>IF($I2="","",INDEX(Productos!$A:$A,$I2))</f>
        <v/>
      </c>
      <c r="C127" s="134" t="inlineStr">
        <is>
          <t>01-TDAG012-0011-XL</t>
        </is>
      </c>
      <c r="D127" s="5">
        <f>IF($I2="","",INDEX(Productos!$B:$B,$I2))</f>
        <v/>
      </c>
      <c r="E127" s="5">
        <f>IF($I2="","",INDEX(Productos!$H:$H,$I2))</f>
        <v/>
      </c>
      <c r="F127" s="5">
        <f>IF($I2="","",INDEX(Productos!$I:$I,$I2))</f>
        <v/>
      </c>
      <c r="G127" s="135" t="n">
        <v>3</v>
      </c>
      <c r="H127" s="5">
        <f>IF($I2="","",INDEX(Productos!$AG:$AG,$I2))</f>
        <v/>
      </c>
      <c r="I127" s="136">
        <f>LET(_xlpm.r,Productos!$E$2:$E$204,_xlpm.m,IFERROR(_xlfn.XMATCH(C127,_xlpm.r),IFERROR(_xlfn.XMATCH(VALUE(C127),_xlpm.r),0)),IF(_xlpm.m=0,"",_xlpm.m+1))</f>
        <v/>
      </c>
      <c r="J127" s="137" t="inlineStr">
        <is>
          <t>Shopify</t>
        </is>
      </c>
    </row>
    <row r="128">
      <c r="A128" s="5" t="inlineStr">
        <is>
          <t>Shopify Western Brothers › Western Brothers Outlet Lerma</t>
        </is>
      </c>
      <c r="B128" s="5">
        <f>IF($I2="","",INDEX(Productos!$A:$A,$I2))</f>
        <v/>
      </c>
      <c r="C128" s="134" t="inlineStr">
        <is>
          <t>01-TDAG012-0015-M</t>
        </is>
      </c>
      <c r="D128" s="5">
        <f>IF($I2="","",INDEX(Productos!$B:$B,$I2))</f>
        <v/>
      </c>
      <c r="E128" s="5">
        <f>IF($I2="","",INDEX(Productos!$H:$H,$I2))</f>
        <v/>
      </c>
      <c r="F128" s="5">
        <f>IF($I2="","",INDEX(Productos!$I:$I,$I2))</f>
        <v/>
      </c>
      <c r="G128" s="135" t="n">
        <v>2</v>
      </c>
      <c r="H128" s="5">
        <f>IF($I2="","",INDEX(Productos!$AG:$AG,$I2))</f>
        <v/>
      </c>
      <c r="I128" s="136">
        <f>LET(_xlpm.r,Productos!$E$2:$E$204,_xlpm.m,IFERROR(_xlfn.XMATCH(C128,_xlpm.r),IFERROR(_xlfn.XMATCH(VALUE(C128),_xlpm.r),0)),IF(_xlpm.m=0,"",_xlpm.m+1))</f>
        <v/>
      </c>
      <c r="J128" s="137" t="inlineStr">
        <is>
          <t>Shopify</t>
        </is>
      </c>
    </row>
    <row r="129">
      <c r="A129" s="5" t="inlineStr">
        <is>
          <t>Shopify Western Brothers › Western Brothers Outlet Lerma</t>
        </is>
      </c>
      <c r="B129" s="5">
        <f>IF($I2="","",INDEX(Productos!$A:$A,$I2))</f>
        <v/>
      </c>
      <c r="C129" s="134" t="inlineStr">
        <is>
          <t>01-TDAG012-0015-S</t>
        </is>
      </c>
      <c r="D129" s="5">
        <f>IF($I2="","",INDEX(Productos!$B:$B,$I2))</f>
        <v/>
      </c>
      <c r="E129" s="5">
        <f>IF($I2="","",INDEX(Productos!$H:$H,$I2))</f>
        <v/>
      </c>
      <c r="F129" s="5">
        <f>IF($I2="","",INDEX(Productos!$I:$I,$I2))</f>
        <v/>
      </c>
      <c r="G129" s="135" t="n">
        <v>2</v>
      </c>
      <c r="H129" s="5">
        <f>IF($I2="","",INDEX(Productos!$AG:$AG,$I2))</f>
        <v/>
      </c>
      <c r="I129" s="136">
        <f>LET(_xlpm.r,Productos!$E$2:$E$204,_xlpm.m,IFERROR(_xlfn.XMATCH(C129,_xlpm.r),IFERROR(_xlfn.XMATCH(VALUE(C129),_xlpm.r),0)),IF(_xlpm.m=0,"",_xlpm.m+1))</f>
        <v/>
      </c>
      <c r="J129" s="137" t="inlineStr">
        <is>
          <t>Shopify</t>
        </is>
      </c>
    </row>
    <row r="130">
      <c r="A130" s="5" t="inlineStr">
        <is>
          <t>Shopify Western Brothers › Western Brothers Outlet Lerma</t>
        </is>
      </c>
      <c r="B130" s="5">
        <f>IF($I2="","",INDEX(Productos!$A:$A,$I2))</f>
        <v/>
      </c>
      <c r="C130" s="134" t="inlineStr">
        <is>
          <t>01-TDAG012-0015-XL</t>
        </is>
      </c>
      <c r="D130" s="5">
        <f>IF($I2="","",INDEX(Productos!$B:$B,$I2))</f>
        <v/>
      </c>
      <c r="E130" s="5">
        <f>IF($I2="","",INDEX(Productos!$H:$H,$I2))</f>
        <v/>
      </c>
      <c r="F130" s="5">
        <f>IF($I2="","",INDEX(Productos!$I:$I,$I2))</f>
        <v/>
      </c>
      <c r="G130" s="135" t="n">
        <v>1</v>
      </c>
      <c r="H130" s="5">
        <f>IF($I2="","",INDEX(Productos!$AG:$AG,$I2))</f>
        <v/>
      </c>
      <c r="I130" s="136">
        <f>LET(_xlpm.r,Productos!$E$2:$E$204,_xlpm.m,IFERROR(_xlfn.XMATCH(C130,_xlpm.r),IFERROR(_xlfn.XMATCH(VALUE(C130),_xlpm.r),0)),IF(_xlpm.m=0,"",_xlpm.m+1))</f>
        <v/>
      </c>
      <c r="J130" s="137" t="inlineStr">
        <is>
          <t>Shopify</t>
        </is>
      </c>
    </row>
    <row r="131">
      <c r="A131" s="5" t="inlineStr">
        <is>
          <t>Shopify Western Brothers › Western Brothers Outlet Lerma</t>
        </is>
      </c>
      <c r="B131" s="5">
        <f>IF($I2="","",INDEX(Productos!$A:$A,$I2))</f>
        <v/>
      </c>
      <c r="C131" s="134" t="inlineStr">
        <is>
          <t>01-TDAG012-0017-L</t>
        </is>
      </c>
      <c r="D131" s="5">
        <f>IF($I2="","",INDEX(Productos!$B:$B,$I2))</f>
        <v/>
      </c>
      <c r="E131" s="5">
        <f>IF($I2="","",INDEX(Productos!$H:$H,$I2))</f>
        <v/>
      </c>
      <c r="F131" s="5">
        <f>IF($I2="","",INDEX(Productos!$I:$I,$I2))</f>
        <v/>
      </c>
      <c r="G131" s="135" t="n">
        <v>4</v>
      </c>
      <c r="H131" s="5">
        <f>IF($I2="","",INDEX(Productos!$AG:$AG,$I2))</f>
        <v/>
      </c>
      <c r="I131" s="136">
        <f>LET(_xlpm.r,Productos!$E$2:$E$204,_xlpm.m,IFERROR(_xlfn.XMATCH(C131,_xlpm.r),IFERROR(_xlfn.XMATCH(VALUE(C131),_xlpm.r),0)),IF(_xlpm.m=0,"",_xlpm.m+1))</f>
        <v/>
      </c>
      <c r="J131" s="137" t="inlineStr">
        <is>
          <t>Shopify</t>
        </is>
      </c>
    </row>
    <row r="132">
      <c r="A132" s="5" t="inlineStr">
        <is>
          <t>Shopify Western Brothers › Western Brothers Outlet Lerma</t>
        </is>
      </c>
      <c r="B132" s="5">
        <f>IF($I2="","",INDEX(Productos!$A:$A,$I2))</f>
        <v/>
      </c>
      <c r="C132" s="134" t="inlineStr">
        <is>
          <t>01-TDAG012-0017-M</t>
        </is>
      </c>
      <c r="D132" s="5">
        <f>IF($I2="","",INDEX(Productos!$B:$B,$I2))</f>
        <v/>
      </c>
      <c r="E132" s="5">
        <f>IF($I2="","",INDEX(Productos!$H:$H,$I2))</f>
        <v/>
      </c>
      <c r="F132" s="5">
        <f>IF($I2="","",INDEX(Productos!$I:$I,$I2))</f>
        <v/>
      </c>
      <c r="G132" s="135" t="n">
        <v>3</v>
      </c>
      <c r="H132" s="5">
        <f>IF($I2="","",INDEX(Productos!$AG:$AG,$I2))</f>
        <v/>
      </c>
      <c r="I132" s="136">
        <f>LET(_xlpm.r,Productos!$E$2:$E$204,_xlpm.m,IFERROR(_xlfn.XMATCH(C132,_xlpm.r),IFERROR(_xlfn.XMATCH(VALUE(C132),_xlpm.r),0)),IF(_xlpm.m=0,"",_xlpm.m+1))</f>
        <v/>
      </c>
      <c r="J132" s="137" t="inlineStr">
        <is>
          <t>Shopify</t>
        </is>
      </c>
    </row>
    <row r="133">
      <c r="A133" s="5" t="inlineStr">
        <is>
          <t>Shopify Western Brothers › Western Brothers Outlet Lerma</t>
        </is>
      </c>
      <c r="B133" s="5">
        <f>IF($I2="","",INDEX(Productos!$A:$A,$I2))</f>
        <v/>
      </c>
      <c r="C133" s="134" t="inlineStr">
        <is>
          <t>01-TDAG012-0017-S</t>
        </is>
      </c>
      <c r="D133" s="5">
        <f>IF($I2="","",INDEX(Productos!$B:$B,$I2))</f>
        <v/>
      </c>
      <c r="E133" s="5">
        <f>IF($I2="","",INDEX(Productos!$H:$H,$I2))</f>
        <v/>
      </c>
      <c r="F133" s="5">
        <f>IF($I2="","",INDEX(Productos!$I:$I,$I2))</f>
        <v/>
      </c>
      <c r="G133" s="135" t="n">
        <v>4</v>
      </c>
      <c r="H133" s="5">
        <f>IF($I2="","",INDEX(Productos!$AG:$AG,$I2))</f>
        <v/>
      </c>
      <c r="I133" s="136">
        <f>LET(_xlpm.r,Productos!$E$2:$E$204,_xlpm.m,IFERROR(_xlfn.XMATCH(C133,_xlpm.r),IFERROR(_xlfn.XMATCH(VALUE(C133),_xlpm.r),0)),IF(_xlpm.m=0,"",_xlpm.m+1))</f>
        <v/>
      </c>
      <c r="J133" s="137" t="inlineStr">
        <is>
          <t>Shopify</t>
        </is>
      </c>
    </row>
    <row r="134">
      <c r="A134" s="5" t="inlineStr">
        <is>
          <t>Shopify Western Brothers › Western Brothers Outlet Lerma</t>
        </is>
      </c>
      <c r="B134" s="5">
        <f>IF($I2="","",INDEX(Productos!$A:$A,$I2))</f>
        <v/>
      </c>
      <c r="C134" s="134" t="inlineStr">
        <is>
          <t>01-TDAG012-0017-XL</t>
        </is>
      </c>
      <c r="D134" s="5">
        <f>IF($I2="","",INDEX(Productos!$B:$B,$I2))</f>
        <v/>
      </c>
      <c r="E134" s="5">
        <f>IF($I2="","",INDEX(Productos!$H:$H,$I2))</f>
        <v/>
      </c>
      <c r="F134" s="5">
        <f>IF($I2="","",INDEX(Productos!$I:$I,$I2))</f>
        <v/>
      </c>
      <c r="G134" s="135" t="n">
        <v>3</v>
      </c>
      <c r="H134" s="5">
        <f>IF($I2="","",INDEX(Productos!$AG:$AG,$I2))</f>
        <v/>
      </c>
      <c r="I134" s="136">
        <f>LET(_xlpm.r,Productos!$E$2:$E$204,_xlpm.m,IFERROR(_xlfn.XMATCH(C134,_xlpm.r),IFERROR(_xlfn.XMATCH(VALUE(C134),_xlpm.r),0)),IF(_xlpm.m=0,"",_xlpm.m+1))</f>
        <v/>
      </c>
      <c r="J134" s="137" t="inlineStr">
        <is>
          <t>Shopify</t>
        </is>
      </c>
    </row>
    <row r="135">
      <c r="A135" s="5" t="inlineStr">
        <is>
          <t>Shopify Western Brothers › Western Brothers Outlet Lerma</t>
        </is>
      </c>
      <c r="B135" s="5">
        <f>IF($I2="","",INDEX(Productos!$A:$A,$I2))</f>
        <v/>
      </c>
      <c r="C135" s="134" t="inlineStr">
        <is>
          <t>02-TDAG012-0007-L</t>
        </is>
      </c>
      <c r="D135" s="5">
        <f>IF($I2="","",INDEX(Productos!$B:$B,$I2))</f>
        <v/>
      </c>
      <c r="E135" s="5">
        <f>IF($I2="","",INDEX(Productos!$H:$H,$I2))</f>
        <v/>
      </c>
      <c r="F135" s="5">
        <f>IF($I2="","",INDEX(Productos!$I:$I,$I2))</f>
        <v/>
      </c>
      <c r="G135" s="135" t="n">
        <v>4</v>
      </c>
      <c r="H135" s="5">
        <f>IF($I2="","",INDEX(Productos!$AG:$AG,$I2))</f>
        <v/>
      </c>
      <c r="I135" s="136">
        <f>LET(_xlpm.r,Productos!$E$2:$E$204,_xlpm.m,IFERROR(_xlfn.XMATCH(C135,_xlpm.r),IFERROR(_xlfn.XMATCH(VALUE(C135),_xlpm.r),0)),IF(_xlpm.m=0,"",_xlpm.m+1))</f>
        <v/>
      </c>
      <c r="J135" s="137" t="inlineStr">
        <is>
          <t>Shopify</t>
        </is>
      </c>
    </row>
    <row r="136">
      <c r="A136" s="5" t="inlineStr">
        <is>
          <t>Shopify Western Brothers › Western Brothers Outlet Lerma</t>
        </is>
      </c>
      <c r="B136" s="5">
        <f>IF($I2="","",INDEX(Productos!$A:$A,$I2))</f>
        <v/>
      </c>
      <c r="C136" s="134" t="inlineStr">
        <is>
          <t>02-TDAG012-0007-M</t>
        </is>
      </c>
      <c r="D136" s="5">
        <f>IF($I2="","",INDEX(Productos!$B:$B,$I2))</f>
        <v/>
      </c>
      <c r="E136" s="5">
        <f>IF($I2="","",INDEX(Productos!$H:$H,$I2))</f>
        <v/>
      </c>
      <c r="F136" s="5">
        <f>IF($I2="","",INDEX(Productos!$I:$I,$I2))</f>
        <v/>
      </c>
      <c r="G136" s="135" t="n">
        <v>4</v>
      </c>
      <c r="H136" s="5">
        <f>IF($I2="","",INDEX(Productos!$AG:$AG,$I2))</f>
        <v/>
      </c>
      <c r="I136" s="136">
        <f>LET(_xlpm.r,Productos!$E$2:$E$204,_xlpm.m,IFERROR(_xlfn.XMATCH(C136,_xlpm.r),IFERROR(_xlfn.XMATCH(VALUE(C136),_xlpm.r),0)),IF(_xlpm.m=0,"",_xlpm.m+1))</f>
        <v/>
      </c>
      <c r="J136" s="137" t="inlineStr">
        <is>
          <t>Shopify</t>
        </is>
      </c>
    </row>
    <row r="137">
      <c r="A137" s="5" t="inlineStr">
        <is>
          <t>Shopify Western Brothers › Western Brothers Outlet Lerma</t>
        </is>
      </c>
      <c r="B137" s="5">
        <f>IF($I2="","",INDEX(Productos!$A:$A,$I2))</f>
        <v/>
      </c>
      <c r="C137" s="134" t="inlineStr">
        <is>
          <t>02-TDAG012-0007-XL</t>
        </is>
      </c>
      <c r="D137" s="5">
        <f>IF($I2="","",INDEX(Productos!$B:$B,$I2))</f>
        <v/>
      </c>
      <c r="E137" s="5">
        <f>IF($I2="","",INDEX(Productos!$H:$H,$I2))</f>
        <v/>
      </c>
      <c r="F137" s="5">
        <f>IF($I2="","",INDEX(Productos!$I:$I,$I2))</f>
        <v/>
      </c>
      <c r="G137" s="135" t="n">
        <v>4</v>
      </c>
      <c r="H137" s="5">
        <f>IF($I2="","",INDEX(Productos!$AG:$AG,$I2))</f>
        <v/>
      </c>
      <c r="I137" s="136">
        <f>LET(_xlpm.r,Productos!$E$2:$E$204,_xlpm.m,IFERROR(_xlfn.XMATCH(C137,_xlpm.r),IFERROR(_xlfn.XMATCH(VALUE(C137),_xlpm.r),0)),IF(_xlpm.m=0,"",_xlpm.m+1))</f>
        <v/>
      </c>
      <c r="J137" s="137" t="inlineStr">
        <is>
          <t>Shopify</t>
        </is>
      </c>
    </row>
    <row r="138">
      <c r="A138" s="5" t="inlineStr">
        <is>
          <t>Shopify Western Brothers › Western Brothers Outlet Lerma</t>
        </is>
      </c>
      <c r="B138" s="5">
        <f>IF($I2="","",INDEX(Productos!$A:$A,$I2))</f>
        <v/>
      </c>
      <c r="C138" s="134" t="inlineStr">
        <is>
          <t>02-TDAG012-0010-L</t>
        </is>
      </c>
      <c r="D138" s="5">
        <f>IF($I2="","",INDEX(Productos!$B:$B,$I2))</f>
        <v/>
      </c>
      <c r="E138" s="5">
        <f>IF($I2="","",INDEX(Productos!$H:$H,$I2))</f>
        <v/>
      </c>
      <c r="F138" s="5">
        <f>IF($I2="","",INDEX(Productos!$I:$I,$I2))</f>
        <v/>
      </c>
      <c r="G138" s="135" t="n">
        <v>3</v>
      </c>
      <c r="H138" s="5">
        <f>IF($I2="","",INDEX(Productos!$AG:$AG,$I2))</f>
        <v/>
      </c>
      <c r="I138" s="136">
        <f>LET(_xlpm.r,Productos!$E$2:$E$204,_xlpm.m,IFERROR(_xlfn.XMATCH(C138,_xlpm.r),IFERROR(_xlfn.XMATCH(VALUE(C138),_xlpm.r),0)),IF(_xlpm.m=0,"",_xlpm.m+1))</f>
        <v/>
      </c>
      <c r="J138" s="137" t="inlineStr">
        <is>
          <t>Shopify</t>
        </is>
      </c>
    </row>
    <row r="139">
      <c r="A139" s="5" t="inlineStr">
        <is>
          <t>Shopify Western Brothers › Western Brothers Outlet Lerma</t>
        </is>
      </c>
      <c r="B139" s="5">
        <f>IF($I2="","",INDEX(Productos!$A:$A,$I2))</f>
        <v/>
      </c>
      <c r="C139" s="134" t="inlineStr">
        <is>
          <t>02-TDAG012-0010-M</t>
        </is>
      </c>
      <c r="D139" s="5">
        <f>IF($I2="","",INDEX(Productos!$B:$B,$I2))</f>
        <v/>
      </c>
      <c r="E139" s="5">
        <f>IF($I2="","",INDEX(Productos!$H:$H,$I2))</f>
        <v/>
      </c>
      <c r="F139" s="5">
        <f>IF($I2="","",INDEX(Productos!$I:$I,$I2))</f>
        <v/>
      </c>
      <c r="G139" s="135" t="n">
        <v>3</v>
      </c>
      <c r="H139" s="5">
        <f>IF($I2="","",INDEX(Productos!$AG:$AG,$I2))</f>
        <v/>
      </c>
      <c r="I139" s="136">
        <f>LET(_xlpm.r,Productos!$E$2:$E$204,_xlpm.m,IFERROR(_xlfn.XMATCH(C139,_xlpm.r),IFERROR(_xlfn.XMATCH(VALUE(C139),_xlpm.r),0)),IF(_xlpm.m=0,"",_xlpm.m+1))</f>
        <v/>
      </c>
      <c r="J139" s="137" t="inlineStr">
        <is>
          <t>Shopify</t>
        </is>
      </c>
    </row>
    <row r="140">
      <c r="A140" s="5" t="inlineStr">
        <is>
          <t>Shopify Western Brothers › Western Brothers Outlet Lerma</t>
        </is>
      </c>
      <c r="B140" s="5">
        <f>IF($I2="","",INDEX(Productos!$A:$A,$I2))</f>
        <v/>
      </c>
      <c r="C140" s="134" t="inlineStr">
        <is>
          <t>02-TDAG012-0010-S</t>
        </is>
      </c>
      <c r="D140" s="5">
        <f>IF($I2="","",INDEX(Productos!$B:$B,$I2))</f>
        <v/>
      </c>
      <c r="E140" s="5">
        <f>IF($I2="","",INDEX(Productos!$H:$H,$I2))</f>
        <v/>
      </c>
      <c r="F140" s="5">
        <f>IF($I2="","",INDEX(Productos!$I:$I,$I2))</f>
        <v/>
      </c>
      <c r="G140" s="135" t="n">
        <v>3</v>
      </c>
      <c r="H140" s="5">
        <f>IF($I2="","",INDEX(Productos!$AG:$AG,$I2))</f>
        <v/>
      </c>
      <c r="I140" s="136">
        <f>LET(_xlpm.r,Productos!$E$2:$E$204,_xlpm.m,IFERROR(_xlfn.XMATCH(C140,_xlpm.r),IFERROR(_xlfn.XMATCH(VALUE(C140),_xlpm.r),0)),IF(_xlpm.m=0,"",_xlpm.m+1))</f>
        <v/>
      </c>
      <c r="J140" s="137" t="inlineStr">
        <is>
          <t>Shopify</t>
        </is>
      </c>
    </row>
    <row r="141">
      <c r="A141" s="5" t="inlineStr">
        <is>
          <t>Shopify Western Brothers › Western Brothers Outlet Lerma</t>
        </is>
      </c>
      <c r="B141" s="5">
        <f>IF($I2="","",INDEX(Productos!$A:$A,$I2))</f>
        <v/>
      </c>
      <c r="C141" s="134" t="inlineStr">
        <is>
          <t>02-TDAG012-0010-XL</t>
        </is>
      </c>
      <c r="D141" s="5">
        <f>IF($I2="","",INDEX(Productos!$B:$B,$I2))</f>
        <v/>
      </c>
      <c r="E141" s="5">
        <f>IF($I2="","",INDEX(Productos!$H:$H,$I2))</f>
        <v/>
      </c>
      <c r="F141" s="5">
        <f>IF($I2="","",INDEX(Productos!$I:$I,$I2))</f>
        <v/>
      </c>
      <c r="G141" s="135" t="n">
        <v>3</v>
      </c>
      <c r="H141" s="5">
        <f>IF($I2="","",INDEX(Productos!$AG:$AG,$I2))</f>
        <v/>
      </c>
      <c r="I141" s="136">
        <f>LET(_xlpm.r,Productos!$E$2:$E$204,_xlpm.m,IFERROR(_xlfn.XMATCH(C141,_xlpm.r),IFERROR(_xlfn.XMATCH(VALUE(C141),_xlpm.r),0)),IF(_xlpm.m=0,"",_xlpm.m+1))</f>
        <v/>
      </c>
      <c r="J141" s="137" t="inlineStr">
        <is>
          <t>Shopify</t>
        </is>
      </c>
    </row>
    <row r="142">
      <c r="A142" s="5" t="inlineStr">
        <is>
          <t>Shopify Western Brothers › Western Brothers Outlet Lerma</t>
        </is>
      </c>
      <c r="B142" s="5">
        <f>IF($I2="","",INDEX(Productos!$A:$A,$I2))</f>
        <v/>
      </c>
      <c r="C142" s="134" t="inlineStr">
        <is>
          <t>02-TDAG012-0012-XL</t>
        </is>
      </c>
      <c r="D142" s="5">
        <f>IF($I2="","",INDEX(Productos!$B:$B,$I2))</f>
        <v/>
      </c>
      <c r="E142" s="5">
        <f>IF($I2="","",INDEX(Productos!$H:$H,$I2))</f>
        <v/>
      </c>
      <c r="F142" s="5">
        <f>IF($I2="","",INDEX(Productos!$I:$I,$I2))</f>
        <v/>
      </c>
      <c r="G142" s="135" t="n">
        <v>1</v>
      </c>
      <c r="H142" s="5">
        <f>IF($I2="","",INDEX(Productos!$AG:$AG,$I2))</f>
        <v/>
      </c>
      <c r="I142" s="136">
        <f>LET(_xlpm.r,Productos!$E$2:$E$204,_xlpm.m,IFERROR(_xlfn.XMATCH(C142,_xlpm.r),IFERROR(_xlfn.XMATCH(VALUE(C142),_xlpm.r),0)),IF(_xlpm.m=0,"",_xlpm.m+1))</f>
        <v/>
      </c>
      <c r="J142" s="137" t="inlineStr">
        <is>
          <t>Shopify</t>
        </is>
      </c>
    </row>
    <row r="143">
      <c r="A143" s="5" t="inlineStr">
        <is>
          <t>Shopify Western Brothers › Western Brothers Outlet Lerma</t>
        </is>
      </c>
      <c r="B143" s="5">
        <f>IF($I2="","",INDEX(Productos!$A:$A,$I2))</f>
        <v/>
      </c>
      <c r="C143" s="134" t="inlineStr">
        <is>
          <t>A-CHH180-M</t>
        </is>
      </c>
      <c r="D143" s="5">
        <f>IF($I2="","",INDEX(Productos!$B:$B,$I2))</f>
        <v/>
      </c>
      <c r="E143" s="5">
        <f>IF($I2="","",INDEX(Productos!$H:$H,$I2))</f>
        <v/>
      </c>
      <c r="F143" s="5">
        <f>IF($I2="","",INDEX(Productos!$I:$I,$I2))</f>
        <v/>
      </c>
      <c r="G143" s="135" t="n">
        <v>3</v>
      </c>
      <c r="H143" s="5">
        <f>IF($I2="","",INDEX(Productos!$AG:$AG,$I2))</f>
        <v/>
      </c>
      <c r="I143" s="136">
        <f>LET(_xlpm.r,Productos!$E$2:$E$204,_xlpm.m,IFERROR(_xlfn.XMATCH(C143,_xlpm.r),IFERROR(_xlfn.XMATCH(VALUE(C143),_xlpm.r),0)),IF(_xlpm.m=0,"",_xlpm.m+1))</f>
        <v/>
      </c>
      <c r="J143" s="137" t="inlineStr">
        <is>
          <t>Shopify</t>
        </is>
      </c>
    </row>
    <row r="144">
      <c r="A144" s="5" t="inlineStr">
        <is>
          <t>Shopify Western Brothers › Western Brothers Outlet Lerma</t>
        </is>
      </c>
      <c r="B144" s="5">
        <f>IF($I2="","",INDEX(Productos!$A:$A,$I2))</f>
        <v/>
      </c>
      <c r="C144" s="134" t="inlineStr">
        <is>
          <t>A-CHH180-S</t>
        </is>
      </c>
      <c r="D144" s="5">
        <f>IF($I2="","",INDEX(Productos!$B:$B,$I2))</f>
        <v/>
      </c>
      <c r="E144" s="5">
        <f>IF($I2="","",INDEX(Productos!$H:$H,$I2))</f>
        <v/>
      </c>
      <c r="F144" s="5">
        <f>IF($I2="","",INDEX(Productos!$I:$I,$I2))</f>
        <v/>
      </c>
      <c r="G144" s="135" t="n">
        <v>3</v>
      </c>
      <c r="H144" s="5">
        <f>IF($I2="","",INDEX(Productos!$AG:$AG,$I2))</f>
        <v/>
      </c>
      <c r="I144" s="136">
        <f>LET(_xlpm.r,Productos!$E$2:$E$204,_xlpm.m,IFERROR(_xlfn.XMATCH(C144,_xlpm.r),IFERROR(_xlfn.XMATCH(VALUE(C144),_xlpm.r),0)),IF(_xlpm.m=0,"",_xlpm.m+1))</f>
        <v/>
      </c>
      <c r="J144" s="137" t="inlineStr">
        <is>
          <t>Shopify</t>
        </is>
      </c>
    </row>
    <row r="145">
      <c r="A145" s="5" t="inlineStr">
        <is>
          <t>Shopify Western Brothers › Western Brothers Outlet Lerma</t>
        </is>
      </c>
      <c r="B145" s="5">
        <f>IF($I2="","",INDEX(Productos!$A:$A,$I2))</f>
        <v/>
      </c>
      <c r="C145" s="134" t="inlineStr">
        <is>
          <t>A-CHH185-S</t>
        </is>
      </c>
      <c r="D145" s="5">
        <f>IF($I2="","",INDEX(Productos!$B:$B,$I2))</f>
        <v/>
      </c>
      <c r="E145" s="5">
        <f>IF($I2="","",INDEX(Productos!$H:$H,$I2))</f>
        <v/>
      </c>
      <c r="F145" s="5">
        <f>IF($I2="","",INDEX(Productos!$I:$I,$I2))</f>
        <v/>
      </c>
      <c r="G145" s="135" t="n">
        <v>3</v>
      </c>
      <c r="H145" s="5">
        <f>IF($I2="","",INDEX(Productos!$AG:$AG,$I2))</f>
        <v/>
      </c>
      <c r="I145" s="136">
        <f>LET(_xlpm.r,Productos!$E$2:$E$204,_xlpm.m,IFERROR(_xlfn.XMATCH(C145,_xlpm.r),IFERROR(_xlfn.XMATCH(VALUE(C145),_xlpm.r),0)),IF(_xlpm.m=0,"",_xlpm.m+1))</f>
        <v/>
      </c>
      <c r="J145" s="137" t="inlineStr">
        <is>
          <t>Shopify</t>
        </is>
      </c>
    </row>
    <row r="146">
      <c r="A146" s="5" t="inlineStr">
        <is>
          <t>Shopify Western Brothers › Western Brothers Outlet Lerma</t>
        </is>
      </c>
      <c r="B146" s="5">
        <f>IF($I2="","",INDEX(Productos!$A:$A,$I2))</f>
        <v/>
      </c>
      <c r="C146" s="134" t="inlineStr">
        <is>
          <t>A-CHH206-L</t>
        </is>
      </c>
      <c r="D146" s="5">
        <f>IF($I2="","",INDEX(Productos!$B:$B,$I2))</f>
        <v/>
      </c>
      <c r="E146" s="5">
        <f>IF($I2="","",INDEX(Productos!$H:$H,$I2))</f>
        <v/>
      </c>
      <c r="F146" s="5">
        <f>IF($I2="","",INDEX(Productos!$I:$I,$I2))</f>
        <v/>
      </c>
      <c r="G146" s="135" t="n">
        <v>3</v>
      </c>
      <c r="H146" s="5">
        <f>IF($I2="","",INDEX(Productos!$AG:$AG,$I2))</f>
        <v/>
      </c>
      <c r="I146" s="136">
        <f>LET(_xlpm.r,Productos!$E$2:$E$204,_xlpm.m,IFERROR(_xlfn.XMATCH(C146,_xlpm.r),IFERROR(_xlfn.XMATCH(VALUE(C146),_xlpm.r),0)),IF(_xlpm.m=0,"",_xlpm.m+1))</f>
        <v/>
      </c>
      <c r="J146" s="137" t="inlineStr">
        <is>
          <t>Shopify</t>
        </is>
      </c>
    </row>
    <row r="147">
      <c r="A147" s="5" t="inlineStr">
        <is>
          <t>Shopify Western Brothers › Western Brothers Outlet Lerma</t>
        </is>
      </c>
      <c r="B147" s="5">
        <f>IF($I2="","",INDEX(Productos!$A:$A,$I2))</f>
        <v/>
      </c>
      <c r="C147" s="134" t="inlineStr">
        <is>
          <t>A-CHH206-M</t>
        </is>
      </c>
      <c r="D147" s="5">
        <f>IF($I2="","",INDEX(Productos!$B:$B,$I2))</f>
        <v/>
      </c>
      <c r="E147" s="5">
        <f>IF($I2="","",INDEX(Productos!$H:$H,$I2))</f>
        <v/>
      </c>
      <c r="F147" s="5">
        <f>IF($I2="","",INDEX(Productos!$I:$I,$I2))</f>
        <v/>
      </c>
      <c r="G147" s="135" t="n">
        <v>4</v>
      </c>
      <c r="H147" s="5">
        <f>IF($I2="","",INDEX(Productos!$AG:$AG,$I2))</f>
        <v/>
      </c>
      <c r="I147" s="136">
        <f>LET(_xlpm.r,Productos!$E$2:$E$204,_xlpm.m,IFERROR(_xlfn.XMATCH(C147,_xlpm.r),IFERROR(_xlfn.XMATCH(VALUE(C147),_xlpm.r),0)),IF(_xlpm.m=0,"",_xlpm.m+1))</f>
        <v/>
      </c>
      <c r="J147" s="137" t="inlineStr">
        <is>
          <t>Shopify</t>
        </is>
      </c>
    </row>
    <row r="148">
      <c r="A148" s="5" t="inlineStr">
        <is>
          <t>Shopify Western Brothers › Western Brothers Outlet Lerma</t>
        </is>
      </c>
      <c r="B148" s="5">
        <f>IF($I2="","",INDEX(Productos!$A:$A,$I2))</f>
        <v/>
      </c>
      <c r="C148" s="134" t="inlineStr">
        <is>
          <t>A-CHH206-S</t>
        </is>
      </c>
      <c r="D148" s="5">
        <f>IF($I2="","",INDEX(Productos!$B:$B,$I2))</f>
        <v/>
      </c>
      <c r="E148" s="5">
        <f>IF($I2="","",INDEX(Productos!$H:$H,$I2))</f>
        <v/>
      </c>
      <c r="F148" s="5">
        <f>IF($I2="","",INDEX(Productos!$I:$I,$I2))</f>
        <v/>
      </c>
      <c r="G148" s="135" t="n">
        <v>4</v>
      </c>
      <c r="H148" s="5">
        <f>IF($I2="","",INDEX(Productos!$AG:$AG,$I2))</f>
        <v/>
      </c>
      <c r="I148" s="136">
        <f>LET(_xlpm.r,Productos!$E$2:$E$204,_xlpm.m,IFERROR(_xlfn.XMATCH(C148,_xlpm.r),IFERROR(_xlfn.XMATCH(VALUE(C148),_xlpm.r),0)),IF(_xlpm.m=0,"",_xlpm.m+1))</f>
        <v/>
      </c>
      <c r="J148" s="137" t="inlineStr">
        <is>
          <t>Shopify</t>
        </is>
      </c>
    </row>
    <row r="149">
      <c r="A149" s="5" t="inlineStr">
        <is>
          <t>Shopify Western Brothers › Western Brothers Outlet Lerma</t>
        </is>
      </c>
      <c r="B149" s="5">
        <f>IF($I2="","",INDEX(Productos!$A:$A,$I2))</f>
        <v/>
      </c>
      <c r="C149" s="134" t="inlineStr">
        <is>
          <t>A-CHH206-XL</t>
        </is>
      </c>
      <c r="D149" s="5">
        <f>IF($I2="","",INDEX(Productos!$B:$B,$I2))</f>
        <v/>
      </c>
      <c r="E149" s="5">
        <f>IF($I2="","",INDEX(Productos!$H:$H,$I2))</f>
        <v/>
      </c>
      <c r="F149" s="5">
        <f>IF($I2="","",INDEX(Productos!$I:$I,$I2))</f>
        <v/>
      </c>
      <c r="G149" s="135" t="n">
        <v>2</v>
      </c>
      <c r="H149" s="5">
        <f>IF($I2="","",INDEX(Productos!$AG:$AG,$I2))</f>
        <v/>
      </c>
      <c r="I149" s="136">
        <f>LET(_xlpm.r,Productos!$E$2:$E$204,_xlpm.m,IFERROR(_xlfn.XMATCH(C149,_xlpm.r),IFERROR(_xlfn.XMATCH(VALUE(C149),_xlpm.r),0)),IF(_xlpm.m=0,"",_xlpm.m+1))</f>
        <v/>
      </c>
      <c r="J149" s="137" t="inlineStr">
        <is>
          <t>Shopify</t>
        </is>
      </c>
    </row>
    <row r="150">
      <c r="A150" s="5" t="inlineStr">
        <is>
          <t>Shopify Western Brothers › Western Brothers Outlet Lerma</t>
        </is>
      </c>
      <c r="B150" s="5">
        <f>IF($I2="","",INDEX(Productos!$A:$A,$I2))</f>
        <v/>
      </c>
      <c r="C150" s="134" t="inlineStr">
        <is>
          <t>A-CM126-L</t>
        </is>
      </c>
      <c r="D150" s="5">
        <f>IF($I2="","",INDEX(Productos!$B:$B,$I2))</f>
        <v/>
      </c>
      <c r="E150" s="5">
        <f>IF($I2="","",INDEX(Productos!$H:$H,$I2))</f>
        <v/>
      </c>
      <c r="F150" s="5">
        <f>IF($I2="","",INDEX(Productos!$I:$I,$I2))</f>
        <v/>
      </c>
      <c r="G150" s="135" t="n">
        <v>2</v>
      </c>
      <c r="H150" s="5">
        <f>IF($I2="","",INDEX(Productos!$AG:$AG,$I2))</f>
        <v/>
      </c>
      <c r="I150" s="136">
        <f>LET(_xlpm.r,Productos!$E$2:$E$204,_xlpm.m,IFERROR(_xlfn.XMATCH(C150,_xlpm.r),IFERROR(_xlfn.XMATCH(VALUE(C150),_xlpm.r),0)),IF(_xlpm.m=0,"",_xlpm.m+1))</f>
        <v/>
      </c>
      <c r="J150" s="137" t="inlineStr">
        <is>
          <t>Shopify</t>
        </is>
      </c>
    </row>
    <row r="151">
      <c r="A151" s="5" t="inlineStr">
        <is>
          <t>Shopify Western Brothers › Western Brothers Outlet Lerma</t>
        </is>
      </c>
      <c r="B151" s="5">
        <f>IF($I2="","",INDEX(Productos!$A:$A,$I2))</f>
        <v/>
      </c>
      <c r="C151" s="134" t="inlineStr">
        <is>
          <t>A-CM126-M</t>
        </is>
      </c>
      <c r="D151" s="5">
        <f>IF($I2="","",INDEX(Productos!$B:$B,$I2))</f>
        <v/>
      </c>
      <c r="E151" s="5">
        <f>IF($I2="","",INDEX(Productos!$H:$H,$I2))</f>
        <v/>
      </c>
      <c r="F151" s="5">
        <f>IF($I2="","",INDEX(Productos!$I:$I,$I2))</f>
        <v/>
      </c>
      <c r="G151" s="135" t="n">
        <v>1</v>
      </c>
      <c r="H151" s="5">
        <f>IF($I2="","",INDEX(Productos!$AG:$AG,$I2))</f>
        <v/>
      </c>
      <c r="I151" s="136">
        <f>LET(_xlpm.r,Productos!$E$2:$E$204,_xlpm.m,IFERROR(_xlfn.XMATCH(C151,_xlpm.r),IFERROR(_xlfn.XMATCH(VALUE(C151),_xlpm.r),0)),IF(_xlpm.m=0,"",_xlpm.m+1))</f>
        <v/>
      </c>
      <c r="J151" s="137" t="inlineStr">
        <is>
          <t>Shopify</t>
        </is>
      </c>
    </row>
    <row r="152">
      <c r="A152" s="5" t="inlineStr">
        <is>
          <t>Shopify Western Brothers › Western Brothers Outlet Lerma</t>
        </is>
      </c>
      <c r="B152" s="5">
        <f>IF($I2="","",INDEX(Productos!$A:$A,$I2))</f>
        <v/>
      </c>
      <c r="C152" s="134" t="inlineStr">
        <is>
          <t>A-CM126-S</t>
        </is>
      </c>
      <c r="D152" s="5">
        <f>IF($I2="","",INDEX(Productos!$B:$B,$I2))</f>
        <v/>
      </c>
      <c r="E152" s="5">
        <f>IF($I2="","",INDEX(Productos!$H:$H,$I2))</f>
        <v/>
      </c>
      <c r="F152" s="5">
        <f>IF($I2="","",INDEX(Productos!$I:$I,$I2))</f>
        <v/>
      </c>
      <c r="G152" s="135" t="n">
        <v>3</v>
      </c>
      <c r="H152" s="5">
        <f>IF($I2="","",INDEX(Productos!$AG:$AG,$I2))</f>
        <v/>
      </c>
      <c r="I152" s="136">
        <f>LET(_xlpm.r,Productos!$E$2:$E$204,_xlpm.m,IFERROR(_xlfn.XMATCH(C152,_xlpm.r),IFERROR(_xlfn.XMATCH(VALUE(C152),_xlpm.r),0)),IF(_xlpm.m=0,"",_xlpm.m+1))</f>
        <v/>
      </c>
      <c r="J152" s="137" t="inlineStr">
        <is>
          <t>Shopify</t>
        </is>
      </c>
    </row>
    <row r="153">
      <c r="A153" s="5" t="inlineStr">
        <is>
          <t>Shopify Western Brothers › Western Brothers Outlet Lerma</t>
        </is>
      </c>
      <c r="B153" s="5">
        <f>IF($I2="","",INDEX(Productos!$A:$A,$I2))</f>
        <v/>
      </c>
      <c r="C153" s="134" t="inlineStr">
        <is>
          <t>A-CM126-XL</t>
        </is>
      </c>
      <c r="D153" s="5">
        <f>IF($I2="","",INDEX(Productos!$B:$B,$I2))</f>
        <v/>
      </c>
      <c r="E153" s="5">
        <f>IF($I2="","",INDEX(Productos!$H:$H,$I2))</f>
        <v/>
      </c>
      <c r="F153" s="5">
        <f>IF($I2="","",INDEX(Productos!$I:$I,$I2))</f>
        <v/>
      </c>
      <c r="G153" s="135" t="n">
        <v>3</v>
      </c>
      <c r="H153" s="5">
        <f>IF($I2="","",INDEX(Productos!$AG:$AG,$I2))</f>
        <v/>
      </c>
      <c r="I153" s="136">
        <f>LET(_xlpm.r,Productos!$E$2:$E$204,_xlpm.m,IFERROR(_xlfn.XMATCH(C153,_xlpm.r),IFERROR(_xlfn.XMATCH(VALUE(C153),_xlpm.r),0)),IF(_xlpm.m=0,"",_xlpm.m+1))</f>
        <v/>
      </c>
      <c r="J153" s="137" t="inlineStr">
        <is>
          <t>Shopify</t>
        </is>
      </c>
    </row>
    <row r="154">
      <c r="A154" s="5" t="inlineStr">
        <is>
          <t>Shopify Western Brothers › Western Brothers Outlet Lerma</t>
        </is>
      </c>
      <c r="B154" s="5">
        <f>IF($I2="","",INDEX(Productos!$A:$A,$I2))</f>
        <v/>
      </c>
      <c r="C154" s="134" t="inlineStr">
        <is>
          <t>A-CM126-XS</t>
        </is>
      </c>
      <c r="D154" s="5">
        <f>IF($I2="","",INDEX(Productos!$B:$B,$I2))</f>
        <v/>
      </c>
      <c r="E154" s="5">
        <f>IF($I2="","",INDEX(Productos!$H:$H,$I2))</f>
        <v/>
      </c>
      <c r="F154" s="5">
        <f>IF($I2="","",INDEX(Productos!$I:$I,$I2))</f>
        <v/>
      </c>
      <c r="G154" s="135" t="n">
        <v>4</v>
      </c>
      <c r="H154" s="5">
        <f>IF($I2="","",INDEX(Productos!$AG:$AG,$I2))</f>
        <v/>
      </c>
      <c r="I154" s="136">
        <f>LET(_xlpm.r,Productos!$E$2:$E$204,_xlpm.m,IFERROR(_xlfn.XMATCH(C154,_xlpm.r),IFERROR(_xlfn.XMATCH(VALUE(C154),_xlpm.r),0)),IF(_xlpm.m=0,"",_xlpm.m+1))</f>
        <v/>
      </c>
      <c r="J154" s="137" t="inlineStr">
        <is>
          <t>Shopify</t>
        </is>
      </c>
    </row>
    <row r="155">
      <c r="A155" s="5" t="inlineStr">
        <is>
          <t>Shopify Western Brothers › Western Brothers Outlet Lerma</t>
        </is>
      </c>
      <c r="B155" s="5">
        <f>IF($I2="","",INDEX(Productos!$A:$A,$I2))</f>
        <v/>
      </c>
      <c r="C155" s="134" t="inlineStr">
        <is>
          <t>A-CM128-L</t>
        </is>
      </c>
      <c r="D155" s="5">
        <f>IF($I2="","",INDEX(Productos!$B:$B,$I2))</f>
        <v/>
      </c>
      <c r="E155" s="5">
        <f>IF($I2="","",INDEX(Productos!$H:$H,$I2))</f>
        <v/>
      </c>
      <c r="F155" s="5">
        <f>IF($I2="","",INDEX(Productos!$I:$I,$I2))</f>
        <v/>
      </c>
      <c r="G155" s="135" t="n">
        <v>4</v>
      </c>
      <c r="H155" s="5">
        <f>IF($I2="","",INDEX(Productos!$AG:$AG,$I2))</f>
        <v/>
      </c>
      <c r="I155" s="136">
        <f>LET(_xlpm.r,Productos!$E$2:$E$204,_xlpm.m,IFERROR(_xlfn.XMATCH(C155,_xlpm.r),IFERROR(_xlfn.XMATCH(VALUE(C155),_xlpm.r),0)),IF(_xlpm.m=0,"",_xlpm.m+1))</f>
        <v/>
      </c>
      <c r="J155" s="137" t="inlineStr">
        <is>
          <t>Shopify</t>
        </is>
      </c>
    </row>
    <row r="156">
      <c r="A156" s="5" t="inlineStr">
        <is>
          <t>Shopify Western Brothers › Western Brothers Outlet Lerma</t>
        </is>
      </c>
      <c r="B156" s="5">
        <f>IF($I2="","",INDEX(Productos!$A:$A,$I2))</f>
        <v/>
      </c>
      <c r="C156" s="134" t="inlineStr">
        <is>
          <t>A-CM132-XS</t>
        </is>
      </c>
      <c r="D156" s="5">
        <f>IF($I2="","",INDEX(Productos!$B:$B,$I2))</f>
        <v/>
      </c>
      <c r="E156" s="5">
        <f>IF($I2="","",INDEX(Productos!$H:$H,$I2))</f>
        <v/>
      </c>
      <c r="F156" s="5">
        <f>IF($I2="","",INDEX(Productos!$I:$I,$I2))</f>
        <v/>
      </c>
      <c r="G156" s="135" t="n">
        <v>3</v>
      </c>
      <c r="H156" s="5">
        <f>IF($I2="","",INDEX(Productos!$AG:$AG,$I2))</f>
        <v/>
      </c>
      <c r="I156" s="136">
        <f>LET(_xlpm.r,Productos!$E$2:$E$204,_xlpm.m,IFERROR(_xlfn.XMATCH(C156,_xlpm.r),IFERROR(_xlfn.XMATCH(VALUE(C156),_xlpm.r),0)),IF(_xlpm.m=0,"",_xlpm.m+1))</f>
        <v/>
      </c>
      <c r="J156" s="137" t="inlineStr">
        <is>
          <t>Shopify</t>
        </is>
      </c>
    </row>
    <row r="157">
      <c r="A157" s="5" t="inlineStr">
        <is>
          <t>Shopify Western Brothers › Western Brothers Outlet Lerma</t>
        </is>
      </c>
      <c r="B157" s="5">
        <f>IF($I2="","",INDEX(Productos!$A:$A,$I2))</f>
        <v/>
      </c>
      <c r="C157" s="134" t="inlineStr">
        <is>
          <t>A-CM134-L</t>
        </is>
      </c>
      <c r="D157" s="5">
        <f>IF($I2="","",INDEX(Productos!$B:$B,$I2))</f>
        <v/>
      </c>
      <c r="E157" s="5">
        <f>IF($I2="","",INDEX(Productos!$H:$H,$I2))</f>
        <v/>
      </c>
      <c r="F157" s="5">
        <f>IF($I2="","",INDEX(Productos!$I:$I,$I2))</f>
        <v/>
      </c>
      <c r="G157" s="135" t="n">
        <v>1</v>
      </c>
      <c r="H157" s="5">
        <f>IF($I2="","",INDEX(Productos!$AG:$AG,$I2))</f>
        <v/>
      </c>
      <c r="I157" s="136">
        <f>LET(_xlpm.r,Productos!$E$2:$E$204,_xlpm.m,IFERROR(_xlfn.XMATCH(C157,_xlpm.r),IFERROR(_xlfn.XMATCH(VALUE(C157),_xlpm.r),0)),IF(_xlpm.m=0,"",_xlpm.m+1))</f>
        <v/>
      </c>
      <c r="J157" s="137" t="inlineStr">
        <is>
          <t>Shopify</t>
        </is>
      </c>
    </row>
    <row r="158">
      <c r="A158" s="5" t="inlineStr">
        <is>
          <t>Shopify Western Brothers › Western Brothers Outlet Lerma</t>
        </is>
      </c>
      <c r="B158" s="5">
        <f>IF($I2="","",INDEX(Productos!$A:$A,$I2))</f>
        <v/>
      </c>
      <c r="C158" s="134" t="inlineStr">
        <is>
          <t>A-CM134-S</t>
        </is>
      </c>
      <c r="D158" s="5">
        <f>IF($I2="","",INDEX(Productos!$B:$B,$I2))</f>
        <v/>
      </c>
      <c r="E158" s="5">
        <f>IF($I2="","",INDEX(Productos!$H:$H,$I2))</f>
        <v/>
      </c>
      <c r="F158" s="5">
        <f>IF($I2="","",INDEX(Productos!$I:$I,$I2))</f>
        <v/>
      </c>
      <c r="G158" s="135" t="n">
        <v>4</v>
      </c>
      <c r="H158" s="5">
        <f>IF($I2="","",INDEX(Productos!$AG:$AG,$I2))</f>
        <v/>
      </c>
      <c r="I158" s="136">
        <f>LET(_xlpm.r,Productos!$E$2:$E$204,_xlpm.m,IFERROR(_xlfn.XMATCH(C158,_xlpm.r),IFERROR(_xlfn.XMATCH(VALUE(C158),_xlpm.r),0)),IF(_xlpm.m=0,"",_xlpm.m+1))</f>
        <v/>
      </c>
      <c r="J158" s="137" t="inlineStr">
        <is>
          <t>Shopify</t>
        </is>
      </c>
    </row>
    <row r="159">
      <c r="A159" s="5" t="inlineStr">
        <is>
          <t>Shopify Western Brothers › Western Brothers Outlet Lerma</t>
        </is>
      </c>
      <c r="B159" s="5">
        <f>IF($I2="","",INDEX(Productos!$A:$A,$I2))</f>
        <v/>
      </c>
      <c r="C159" s="134" t="inlineStr">
        <is>
          <t>A-CM152-L</t>
        </is>
      </c>
      <c r="D159" s="5">
        <f>IF($I2="","",INDEX(Productos!$B:$B,$I2))</f>
        <v/>
      </c>
      <c r="E159" s="5">
        <f>IF($I2="","",INDEX(Productos!$H:$H,$I2))</f>
        <v/>
      </c>
      <c r="F159" s="5">
        <f>IF($I2="","",INDEX(Productos!$I:$I,$I2))</f>
        <v/>
      </c>
      <c r="G159" s="135" t="n">
        <v>1</v>
      </c>
      <c r="H159" s="5">
        <f>IF($I2="","",INDEX(Productos!$AG:$AG,$I2))</f>
        <v/>
      </c>
      <c r="I159" s="136">
        <f>LET(_xlpm.r,Productos!$E$2:$E$204,_xlpm.m,IFERROR(_xlfn.XMATCH(C159,_xlpm.r),IFERROR(_xlfn.XMATCH(VALUE(C159),_xlpm.r),0)),IF(_xlpm.m=0,"",_xlpm.m+1))</f>
        <v/>
      </c>
      <c r="J159" s="137" t="inlineStr">
        <is>
          <t>Shopify</t>
        </is>
      </c>
    </row>
    <row r="160">
      <c r="A160" s="5" t="inlineStr">
        <is>
          <t>Shopify Western Brothers › Western Brothers Outlet Lerma</t>
        </is>
      </c>
      <c r="B160" s="5">
        <f>IF($I2="","",INDEX(Productos!$A:$A,$I2))</f>
        <v/>
      </c>
      <c r="C160" s="134" t="inlineStr">
        <is>
          <t>A-CM152-M</t>
        </is>
      </c>
      <c r="D160" s="5">
        <f>IF($I2="","",INDEX(Productos!$B:$B,$I2))</f>
        <v/>
      </c>
      <c r="E160" s="5">
        <f>IF($I2="","",INDEX(Productos!$H:$H,$I2))</f>
        <v/>
      </c>
      <c r="F160" s="5">
        <f>IF($I2="","",INDEX(Productos!$I:$I,$I2))</f>
        <v/>
      </c>
      <c r="G160" s="135" t="n">
        <v>3</v>
      </c>
      <c r="H160" s="5">
        <f>IF($I2="","",INDEX(Productos!$AG:$AG,$I2))</f>
        <v/>
      </c>
      <c r="I160" s="136">
        <f>LET(_xlpm.r,Productos!$E$2:$E$204,_xlpm.m,IFERROR(_xlfn.XMATCH(C160,_xlpm.r),IFERROR(_xlfn.XMATCH(VALUE(C160),_xlpm.r),0)),IF(_xlpm.m=0,"",_xlpm.m+1))</f>
        <v/>
      </c>
      <c r="J160" s="137" t="inlineStr">
        <is>
          <t>Shopify</t>
        </is>
      </c>
    </row>
    <row r="161">
      <c r="A161" s="5" t="inlineStr">
        <is>
          <t>Shopify Western Brothers › Western Brothers Outlet Lerma</t>
        </is>
      </c>
      <c r="B161" s="5">
        <f>IF($I2="","",INDEX(Productos!$A:$A,$I2))</f>
        <v/>
      </c>
      <c r="C161" s="134" t="inlineStr">
        <is>
          <t>A-CM152-XXL</t>
        </is>
      </c>
      <c r="D161" s="5">
        <f>IF($I2="","",INDEX(Productos!$B:$B,$I2))</f>
        <v/>
      </c>
      <c r="E161" s="5">
        <f>IF($I2="","",INDEX(Productos!$H:$H,$I2))</f>
        <v/>
      </c>
      <c r="F161" s="5">
        <f>IF($I2="","",INDEX(Productos!$I:$I,$I2))</f>
        <v/>
      </c>
      <c r="G161" s="135" t="n">
        <v>3</v>
      </c>
      <c r="H161" s="5">
        <f>IF($I2="","",INDEX(Productos!$AG:$AG,$I2))</f>
        <v/>
      </c>
      <c r="I161" s="136">
        <f>LET(_xlpm.r,Productos!$E$2:$E$204,_xlpm.m,IFERROR(_xlfn.XMATCH(C161,_xlpm.r),IFERROR(_xlfn.XMATCH(VALUE(C161),_xlpm.r),0)),IF(_xlpm.m=0,"",_xlpm.m+1))</f>
        <v/>
      </c>
      <c r="J161" s="137" t="inlineStr">
        <is>
          <t>Shopify</t>
        </is>
      </c>
    </row>
    <row r="162">
      <c r="A162" s="5" t="inlineStr">
        <is>
          <t>Shopify Western Brothers › Western Brothers Outlet Lerma</t>
        </is>
      </c>
      <c r="B162" s="5">
        <f>IF($I2="","",INDEX(Productos!$A:$A,$I2))</f>
        <v/>
      </c>
      <c r="C162" s="134" t="inlineStr">
        <is>
          <t>C-CM128-L</t>
        </is>
      </c>
      <c r="D162" s="5">
        <f>IF($I2="","",INDEX(Productos!$B:$B,$I2))</f>
        <v/>
      </c>
      <c r="E162" s="5">
        <f>IF($I2="","",INDEX(Productos!$H:$H,$I2))</f>
        <v/>
      </c>
      <c r="F162" s="5">
        <f>IF($I2="","",INDEX(Productos!$I:$I,$I2))</f>
        <v/>
      </c>
      <c r="G162" s="135" t="n">
        <v>4</v>
      </c>
      <c r="H162" s="5">
        <f>IF($I2="","",INDEX(Productos!$AG:$AG,$I2))</f>
        <v/>
      </c>
      <c r="I162" s="136">
        <f>LET(_xlpm.r,Productos!$E$2:$E$204,_xlpm.m,IFERROR(_xlfn.XMATCH(C162,_xlpm.r),IFERROR(_xlfn.XMATCH(VALUE(C162),_xlpm.r),0)),IF(_xlpm.m=0,"",_xlpm.m+1))</f>
        <v/>
      </c>
      <c r="J162" s="137" t="inlineStr">
        <is>
          <t>Shopify</t>
        </is>
      </c>
    </row>
    <row r="163">
      <c r="A163" s="5" t="inlineStr">
        <is>
          <t>Shopify Western Brothers › Western Brothers Outlet Lerma</t>
        </is>
      </c>
      <c r="B163" s="5">
        <f>IF($I2="","",INDEX(Productos!$A:$A,$I2))</f>
        <v/>
      </c>
      <c r="C163" s="134" t="inlineStr">
        <is>
          <t>C-CM128-M</t>
        </is>
      </c>
      <c r="D163" s="5">
        <f>IF($I2="","",INDEX(Productos!$B:$B,$I2))</f>
        <v/>
      </c>
      <c r="E163" s="5">
        <f>IF($I2="","",INDEX(Productos!$H:$H,$I2))</f>
        <v/>
      </c>
      <c r="F163" s="5">
        <f>IF($I2="","",INDEX(Productos!$I:$I,$I2))</f>
        <v/>
      </c>
      <c r="G163" s="135" t="n">
        <v>2</v>
      </c>
      <c r="H163" s="5">
        <f>IF($I2="","",INDEX(Productos!$AG:$AG,$I2))</f>
        <v/>
      </c>
      <c r="I163" s="136">
        <f>LET(_xlpm.r,Productos!$E$2:$E$204,_xlpm.m,IFERROR(_xlfn.XMATCH(C163,_xlpm.r),IFERROR(_xlfn.XMATCH(VALUE(C163),_xlpm.r),0)),IF(_xlpm.m=0,"",_xlpm.m+1))</f>
        <v/>
      </c>
      <c r="J163" s="137" t="inlineStr">
        <is>
          <t>Shopify</t>
        </is>
      </c>
    </row>
    <row r="164">
      <c r="A164" s="5" t="inlineStr">
        <is>
          <t>Shopify Western Brothers › Western Brothers Outlet Lerma</t>
        </is>
      </c>
      <c r="B164" s="5">
        <f>IF($I2="","",INDEX(Productos!$A:$A,$I2))</f>
        <v/>
      </c>
      <c r="C164" s="134" t="inlineStr">
        <is>
          <t>C-CM128-S</t>
        </is>
      </c>
      <c r="D164" s="5">
        <f>IF($I2="","",INDEX(Productos!$B:$B,$I2))</f>
        <v/>
      </c>
      <c r="E164" s="5">
        <f>IF($I2="","",INDEX(Productos!$H:$H,$I2))</f>
        <v/>
      </c>
      <c r="F164" s="5">
        <f>IF($I2="","",INDEX(Productos!$I:$I,$I2))</f>
        <v/>
      </c>
      <c r="G164" s="135" t="n">
        <v>4</v>
      </c>
      <c r="H164" s="5">
        <f>IF($I2="","",INDEX(Productos!$AG:$AG,$I2))</f>
        <v/>
      </c>
      <c r="I164" s="136">
        <f>LET(_xlpm.r,Productos!$E$2:$E$204,_xlpm.m,IFERROR(_xlfn.XMATCH(C164,_xlpm.r),IFERROR(_xlfn.XMATCH(VALUE(C164),_xlpm.r),0)),IF(_xlpm.m=0,"",_xlpm.m+1))</f>
        <v/>
      </c>
      <c r="J164" s="137" t="inlineStr">
        <is>
          <t>Shopify</t>
        </is>
      </c>
    </row>
    <row r="165">
      <c r="A165" s="5" t="inlineStr">
        <is>
          <t>Shopify Western Brothers › Western Brothers Outlet Lerma</t>
        </is>
      </c>
      <c r="B165" s="5">
        <f>IF($I2="","",INDEX(Productos!$A:$A,$I2))</f>
        <v/>
      </c>
      <c r="C165" s="134" t="inlineStr">
        <is>
          <t>C-CM128-XL</t>
        </is>
      </c>
      <c r="D165" s="5">
        <f>IF($I2="","",INDEX(Productos!$B:$B,$I2))</f>
        <v/>
      </c>
      <c r="E165" s="5">
        <f>IF($I2="","",INDEX(Productos!$H:$H,$I2))</f>
        <v/>
      </c>
      <c r="F165" s="5">
        <f>IF($I2="","",INDEX(Productos!$I:$I,$I2))</f>
        <v/>
      </c>
      <c r="G165" s="135" t="n">
        <v>1</v>
      </c>
      <c r="H165" s="5">
        <f>IF($I2="","",INDEX(Productos!$AG:$AG,$I2))</f>
        <v/>
      </c>
      <c r="I165" s="136">
        <f>LET(_xlpm.r,Productos!$E$2:$E$204,_xlpm.m,IFERROR(_xlfn.XMATCH(C165,_xlpm.r),IFERROR(_xlfn.XMATCH(VALUE(C165),_xlpm.r),0)),IF(_xlpm.m=0,"",_xlpm.m+1))</f>
        <v/>
      </c>
      <c r="J165" s="137" t="inlineStr">
        <is>
          <t>Shopify</t>
        </is>
      </c>
    </row>
    <row r="166">
      <c r="A166" s="5" t="inlineStr">
        <is>
          <t>Shopify Western Brothers › Western Brothers Outlet Lerma</t>
        </is>
      </c>
      <c r="B166" s="5">
        <f>IF($I2="","",INDEX(Productos!$A:$A,$I2))</f>
        <v/>
      </c>
      <c r="C166" s="134" t="inlineStr">
        <is>
          <t>C-CM128-XS</t>
        </is>
      </c>
      <c r="D166" s="5">
        <f>IF($I2="","",INDEX(Productos!$B:$B,$I2))</f>
        <v/>
      </c>
      <c r="E166" s="5">
        <f>IF($I2="","",INDEX(Productos!$H:$H,$I2))</f>
        <v/>
      </c>
      <c r="F166" s="5">
        <f>IF($I2="","",INDEX(Productos!$I:$I,$I2))</f>
        <v/>
      </c>
      <c r="G166" s="135" t="n">
        <v>4</v>
      </c>
      <c r="H166" s="5">
        <f>IF($I2="","",INDEX(Productos!$AG:$AG,$I2))</f>
        <v/>
      </c>
      <c r="I166" s="136">
        <f>LET(_xlpm.r,Productos!$E$2:$E$204,_xlpm.m,IFERROR(_xlfn.XMATCH(C166,_xlpm.r),IFERROR(_xlfn.XMATCH(VALUE(C166),_xlpm.r),0)),IF(_xlpm.m=0,"",_xlpm.m+1))</f>
        <v/>
      </c>
      <c r="J166" s="137" t="inlineStr">
        <is>
          <t>Shopify</t>
        </is>
      </c>
    </row>
    <row r="167">
      <c r="A167" s="5" t="inlineStr">
        <is>
          <t>Shopify Western Brothers › Western Brothers Outlet Lerma</t>
        </is>
      </c>
      <c r="B167" s="5">
        <f>IF($I2="","",INDEX(Productos!$A:$A,$I2))</f>
        <v/>
      </c>
      <c r="C167" s="134" t="inlineStr">
        <is>
          <t>C-CM130-L</t>
        </is>
      </c>
      <c r="D167" s="5">
        <f>IF($I2="","",INDEX(Productos!$B:$B,$I2))</f>
        <v/>
      </c>
      <c r="E167" s="5">
        <f>IF($I2="","",INDEX(Productos!$H:$H,$I2))</f>
        <v/>
      </c>
      <c r="F167" s="5">
        <f>IF($I2="","",INDEX(Productos!$I:$I,$I2))</f>
        <v/>
      </c>
      <c r="G167" s="135" t="n">
        <v>3</v>
      </c>
      <c r="H167" s="5">
        <f>IF($I2="","",INDEX(Productos!$AG:$AG,$I2))</f>
        <v/>
      </c>
      <c r="I167" s="136">
        <f>LET(_xlpm.r,Productos!$E$2:$E$204,_xlpm.m,IFERROR(_xlfn.XMATCH(C167,_xlpm.r),IFERROR(_xlfn.XMATCH(VALUE(C167),_xlpm.r),0)),IF(_xlpm.m=0,"",_xlpm.m+1))</f>
        <v/>
      </c>
      <c r="J167" s="137" t="inlineStr">
        <is>
          <t>Shopify</t>
        </is>
      </c>
    </row>
    <row r="168">
      <c r="A168" s="5" t="inlineStr">
        <is>
          <t>Shopify Western Brothers › Western Brothers Outlet Lerma</t>
        </is>
      </c>
      <c r="B168" s="5">
        <f>IF($I2="","",INDEX(Productos!$A:$A,$I2))</f>
        <v/>
      </c>
      <c r="C168" s="134" t="inlineStr">
        <is>
          <t>C-CM130-S</t>
        </is>
      </c>
      <c r="D168" s="5">
        <f>IF($I2="","",INDEX(Productos!$B:$B,$I2))</f>
        <v/>
      </c>
      <c r="E168" s="5">
        <f>IF($I2="","",INDEX(Productos!$H:$H,$I2))</f>
        <v/>
      </c>
      <c r="F168" s="5">
        <f>IF($I2="","",INDEX(Productos!$I:$I,$I2))</f>
        <v/>
      </c>
      <c r="G168" s="135" t="n">
        <v>1</v>
      </c>
      <c r="H168" s="5">
        <f>IF($I2="","",INDEX(Productos!$AG:$AG,$I2))</f>
        <v/>
      </c>
      <c r="I168" s="136">
        <f>LET(_xlpm.r,Productos!$E$2:$E$204,_xlpm.m,IFERROR(_xlfn.XMATCH(C168,_xlpm.r),IFERROR(_xlfn.XMATCH(VALUE(C168),_xlpm.r),0)),IF(_xlpm.m=0,"",_xlpm.m+1))</f>
        <v/>
      </c>
      <c r="J168" s="137" t="inlineStr">
        <is>
          <t>Shopify</t>
        </is>
      </c>
    </row>
    <row r="169">
      <c r="A169" s="5" t="inlineStr">
        <is>
          <t>Shopify Western Brothers › Western Brothers Outlet Lerma</t>
        </is>
      </c>
      <c r="B169" s="5">
        <f>IF($I2="","",INDEX(Productos!$A:$A,$I2))</f>
        <v/>
      </c>
      <c r="C169" s="134" t="inlineStr">
        <is>
          <t>CHH062-L</t>
        </is>
      </c>
      <c r="D169" s="5">
        <f>IF($I2="","",INDEX(Productos!$B:$B,$I2))</f>
        <v/>
      </c>
      <c r="E169" s="5">
        <f>IF($I2="","",INDEX(Productos!$H:$H,$I2))</f>
        <v/>
      </c>
      <c r="F169" s="5">
        <f>IF($I2="","",INDEX(Productos!$I:$I,$I2))</f>
        <v/>
      </c>
      <c r="G169" s="135" t="n">
        <v>2</v>
      </c>
      <c r="H169" s="5">
        <f>IF($I2="","",INDEX(Productos!$AG:$AG,$I2))</f>
        <v/>
      </c>
      <c r="I169" s="136">
        <f>LET(_xlpm.r,Productos!$E$2:$E$204,_xlpm.m,IFERROR(_xlfn.XMATCH(C169,_xlpm.r),IFERROR(_xlfn.XMATCH(VALUE(C169),_xlpm.r),0)),IF(_xlpm.m=0,"",_xlpm.m+1))</f>
        <v/>
      </c>
      <c r="J169" s="137" t="inlineStr">
        <is>
          <t>Shopify</t>
        </is>
      </c>
    </row>
    <row r="170">
      <c r="A170" s="5" t="inlineStr">
        <is>
          <t>Shopify Western Brothers › Western Brothers Outlet Lerma</t>
        </is>
      </c>
      <c r="B170" s="5">
        <f>IF($I2="","",INDEX(Productos!$A:$A,$I2))</f>
        <v/>
      </c>
      <c r="C170" s="134" t="inlineStr">
        <is>
          <t>CHH062-S</t>
        </is>
      </c>
      <c r="D170" s="5">
        <f>IF($I2="","",INDEX(Productos!$B:$B,$I2))</f>
        <v/>
      </c>
      <c r="E170" s="5">
        <f>IF($I2="","",INDEX(Productos!$H:$H,$I2))</f>
        <v/>
      </c>
      <c r="F170" s="5">
        <f>IF($I2="","",INDEX(Productos!$I:$I,$I2))</f>
        <v/>
      </c>
      <c r="G170" s="135" t="n">
        <v>4</v>
      </c>
      <c r="H170" s="5">
        <f>IF($I2="","",INDEX(Productos!$AG:$AG,$I2))</f>
        <v/>
      </c>
      <c r="I170" s="136">
        <f>LET(_xlpm.r,Productos!$E$2:$E$204,_xlpm.m,IFERROR(_xlfn.XMATCH(C170,_xlpm.r),IFERROR(_xlfn.XMATCH(VALUE(C170),_xlpm.r),0)),IF(_xlpm.m=0,"",_xlpm.m+1))</f>
        <v/>
      </c>
      <c r="J170" s="137" t="inlineStr">
        <is>
          <t>Shopify</t>
        </is>
      </c>
    </row>
    <row r="171">
      <c r="A171" s="5" t="inlineStr">
        <is>
          <t>Shopify Western Brothers › Western Brothers Outlet Lerma</t>
        </is>
      </c>
      <c r="B171" s="5">
        <f>IF($I2="","",INDEX(Productos!$A:$A,$I2))</f>
        <v/>
      </c>
      <c r="C171" s="134" t="inlineStr">
        <is>
          <t>CHH062-XL</t>
        </is>
      </c>
      <c r="D171" s="5">
        <f>IF($I2="","",INDEX(Productos!$B:$B,$I2))</f>
        <v/>
      </c>
      <c r="E171" s="5">
        <f>IF($I2="","",INDEX(Productos!$H:$H,$I2))</f>
        <v/>
      </c>
      <c r="F171" s="5">
        <f>IF($I2="","",INDEX(Productos!$I:$I,$I2))</f>
        <v/>
      </c>
      <c r="G171" s="135" t="n">
        <v>1</v>
      </c>
      <c r="H171" s="5">
        <f>IF($I2="","",INDEX(Productos!$AG:$AG,$I2))</f>
        <v/>
      </c>
      <c r="I171" s="136">
        <f>LET(_xlpm.r,Productos!$E$2:$E$204,_xlpm.m,IFERROR(_xlfn.XMATCH(C171,_xlpm.r),IFERROR(_xlfn.XMATCH(VALUE(C171),_xlpm.r),0)),IF(_xlpm.m=0,"",_xlpm.m+1))</f>
        <v/>
      </c>
      <c r="J171" s="137" t="inlineStr">
        <is>
          <t>Shopify</t>
        </is>
      </c>
    </row>
    <row r="172">
      <c r="A172" s="5" t="inlineStr">
        <is>
          <t>Shopify Western Brothers › Western Brothers Outlet Lerma</t>
        </is>
      </c>
      <c r="B172" s="5">
        <f>IF($I2="","",INDEX(Productos!$A:$A,$I2))</f>
        <v/>
      </c>
      <c r="C172" s="134" t="inlineStr">
        <is>
          <t>CM085-L</t>
        </is>
      </c>
      <c r="D172" s="5">
        <f>IF($I2="","",INDEX(Productos!$B:$B,$I2))</f>
        <v/>
      </c>
      <c r="E172" s="5">
        <f>IF($I2="","",INDEX(Productos!$H:$H,$I2))</f>
        <v/>
      </c>
      <c r="F172" s="5">
        <f>IF($I2="","",INDEX(Productos!$I:$I,$I2))</f>
        <v/>
      </c>
      <c r="G172" s="135" t="n">
        <v>1</v>
      </c>
      <c r="H172" s="5">
        <f>IF($I2="","",INDEX(Productos!$AG:$AG,$I2))</f>
        <v/>
      </c>
      <c r="I172" s="136">
        <f>LET(_xlpm.r,Productos!$E$2:$E$204,_xlpm.m,IFERROR(_xlfn.XMATCH(C172,_xlpm.r),IFERROR(_xlfn.XMATCH(VALUE(C172),_xlpm.r),0)),IF(_xlpm.m=0,"",_xlpm.m+1))</f>
        <v/>
      </c>
      <c r="J172" s="137" t="inlineStr">
        <is>
          <t>Shopify</t>
        </is>
      </c>
    </row>
    <row r="173">
      <c r="A173" s="5" t="inlineStr">
        <is>
          <t>Shopify Western Brothers › Western Brothers Outlet Lerma</t>
        </is>
      </c>
      <c r="B173" s="5">
        <f>IF($I2="","",INDEX(Productos!$A:$A,$I2))</f>
        <v/>
      </c>
      <c r="C173" s="134" t="inlineStr">
        <is>
          <t>CM085-M</t>
        </is>
      </c>
      <c r="D173" s="5">
        <f>IF($I2="","",INDEX(Productos!$B:$B,$I2))</f>
        <v/>
      </c>
      <c r="E173" s="5">
        <f>IF($I2="","",INDEX(Productos!$H:$H,$I2))</f>
        <v/>
      </c>
      <c r="F173" s="5">
        <f>IF($I2="","",INDEX(Productos!$I:$I,$I2))</f>
        <v/>
      </c>
      <c r="G173" s="135" t="n">
        <v>2</v>
      </c>
      <c r="H173" s="5">
        <f>IF($I2="","",INDEX(Productos!$AG:$AG,$I2))</f>
        <v/>
      </c>
      <c r="I173" s="136">
        <f>LET(_xlpm.r,Productos!$E$2:$E$204,_xlpm.m,IFERROR(_xlfn.XMATCH(C173,_xlpm.r),IFERROR(_xlfn.XMATCH(VALUE(C173),_xlpm.r),0)),IF(_xlpm.m=0,"",_xlpm.m+1))</f>
        <v/>
      </c>
      <c r="J173" s="137" t="inlineStr">
        <is>
          <t>Shopify</t>
        </is>
      </c>
    </row>
    <row r="174">
      <c r="A174" s="5" t="inlineStr">
        <is>
          <t>Shopify Western Brothers › Western Brothers Outlet Lerma</t>
        </is>
      </c>
      <c r="B174" s="5">
        <f>IF($I2="","",INDEX(Productos!$A:$A,$I2))</f>
        <v/>
      </c>
      <c r="C174" s="134" t="inlineStr">
        <is>
          <t>CM085-S</t>
        </is>
      </c>
      <c r="D174" s="5">
        <f>IF($I2="","",INDEX(Productos!$B:$B,$I2))</f>
        <v/>
      </c>
      <c r="E174" s="5">
        <f>IF($I2="","",INDEX(Productos!$H:$H,$I2))</f>
        <v/>
      </c>
      <c r="F174" s="5">
        <f>IF($I2="","",INDEX(Productos!$I:$I,$I2))</f>
        <v/>
      </c>
      <c r="G174" s="135" t="n">
        <v>4</v>
      </c>
      <c r="H174" s="5">
        <f>IF($I2="","",INDEX(Productos!$AG:$AG,$I2))</f>
        <v/>
      </c>
      <c r="I174" s="136">
        <f>LET(_xlpm.r,Productos!$E$2:$E$204,_xlpm.m,IFERROR(_xlfn.XMATCH(C174,_xlpm.r),IFERROR(_xlfn.XMATCH(VALUE(C174),_xlpm.r),0)),IF(_xlpm.m=0,"",_xlpm.m+1))</f>
        <v/>
      </c>
      <c r="J174" s="137" t="inlineStr">
        <is>
          <t>Shopify</t>
        </is>
      </c>
    </row>
    <row r="175">
      <c r="A175" s="5" t="inlineStr">
        <is>
          <t>Shopify Western Brothers › Western Brothers Outlet Lerma</t>
        </is>
      </c>
      <c r="B175" s="5">
        <f>IF($I2="","",INDEX(Productos!$A:$A,$I2))</f>
        <v/>
      </c>
      <c r="C175" s="134" t="inlineStr">
        <is>
          <t>CM085-XL</t>
        </is>
      </c>
      <c r="D175" s="5">
        <f>IF($I2="","",INDEX(Productos!$B:$B,$I2))</f>
        <v/>
      </c>
      <c r="E175" s="5">
        <f>IF($I2="","",INDEX(Productos!$H:$H,$I2))</f>
        <v/>
      </c>
      <c r="F175" s="5">
        <f>IF($I2="","",INDEX(Productos!$I:$I,$I2))</f>
        <v/>
      </c>
      <c r="G175" s="135" t="n">
        <v>5</v>
      </c>
      <c r="H175" s="5">
        <f>IF($I2="","",INDEX(Productos!$AG:$AG,$I2))</f>
        <v/>
      </c>
      <c r="I175" s="136">
        <f>LET(_xlpm.r,Productos!$E$2:$E$204,_xlpm.m,IFERROR(_xlfn.XMATCH(C175,_xlpm.r),IFERROR(_xlfn.XMATCH(VALUE(C175),_xlpm.r),0)),IF(_xlpm.m=0,"",_xlpm.m+1))</f>
        <v/>
      </c>
      <c r="J175" s="137" t="inlineStr">
        <is>
          <t>Shopify</t>
        </is>
      </c>
    </row>
    <row r="176">
      <c r="A176" s="5" t="inlineStr">
        <is>
          <t>Shopify Western Brothers › Western Brothers Outlet Lerma</t>
        </is>
      </c>
      <c r="B176" s="5">
        <f>IF($I2="","",INDEX(Productos!$A:$A,$I2))</f>
        <v/>
      </c>
      <c r="C176" s="134" t="inlineStr">
        <is>
          <t>CM110-L</t>
        </is>
      </c>
      <c r="D176" s="5">
        <f>IF($I2="","",INDEX(Productos!$B:$B,$I2))</f>
        <v/>
      </c>
      <c r="E176" s="5">
        <f>IF($I2="","",INDEX(Productos!$H:$H,$I2))</f>
        <v/>
      </c>
      <c r="F176" s="5">
        <f>IF($I2="","",INDEX(Productos!$I:$I,$I2))</f>
        <v/>
      </c>
      <c r="G176" s="135" t="n">
        <v>3</v>
      </c>
      <c r="H176" s="5">
        <f>IF($I2="","",INDEX(Productos!$AG:$AG,$I2))</f>
        <v/>
      </c>
      <c r="I176" s="136">
        <f>LET(_xlpm.r,Productos!$E$2:$E$204,_xlpm.m,IFERROR(_xlfn.XMATCH(C176,_xlpm.r),IFERROR(_xlfn.XMATCH(VALUE(C176),_xlpm.r),0)),IF(_xlpm.m=0,"",_xlpm.m+1))</f>
        <v/>
      </c>
      <c r="J176" s="137" t="inlineStr">
        <is>
          <t>Shopify</t>
        </is>
      </c>
    </row>
    <row r="177">
      <c r="A177" s="5" t="inlineStr">
        <is>
          <t>Shopify Western Brothers › Western Brothers Outlet Lerma</t>
        </is>
      </c>
      <c r="B177" s="5">
        <f>IF($I2="","",INDEX(Productos!$A:$A,$I2))</f>
        <v/>
      </c>
      <c r="C177" s="134" t="inlineStr">
        <is>
          <t>CM110-M</t>
        </is>
      </c>
      <c r="D177" s="5">
        <f>IF($I2="","",INDEX(Productos!$B:$B,$I2))</f>
        <v/>
      </c>
      <c r="E177" s="5">
        <f>IF($I2="","",INDEX(Productos!$H:$H,$I2))</f>
        <v/>
      </c>
      <c r="F177" s="5">
        <f>IF($I2="","",INDEX(Productos!$I:$I,$I2))</f>
        <v/>
      </c>
      <c r="G177" s="135" t="n">
        <v>4</v>
      </c>
      <c r="H177" s="5">
        <f>IF($I2="","",INDEX(Productos!$AG:$AG,$I2))</f>
        <v/>
      </c>
      <c r="I177" s="136">
        <f>LET(_xlpm.r,Productos!$E$2:$E$204,_xlpm.m,IFERROR(_xlfn.XMATCH(C177,_xlpm.r),IFERROR(_xlfn.XMATCH(VALUE(C177),_xlpm.r),0)),IF(_xlpm.m=0,"",_xlpm.m+1))</f>
        <v/>
      </c>
      <c r="J177" s="137" t="inlineStr">
        <is>
          <t>Shopify</t>
        </is>
      </c>
    </row>
    <row r="178">
      <c r="A178" s="5" t="inlineStr">
        <is>
          <t>Shopify Western Brothers › Western Brothers Outlet Lerma</t>
        </is>
      </c>
      <c r="B178" s="5">
        <f>IF($I2="","",INDEX(Productos!$A:$A,$I2))</f>
        <v/>
      </c>
      <c r="C178" s="134" t="inlineStr">
        <is>
          <t>CM110-S</t>
        </is>
      </c>
      <c r="D178" s="5">
        <f>IF($I2="","",INDEX(Productos!$B:$B,$I2))</f>
        <v/>
      </c>
      <c r="E178" s="5">
        <f>IF($I2="","",INDEX(Productos!$H:$H,$I2))</f>
        <v/>
      </c>
      <c r="F178" s="5">
        <f>IF($I2="","",INDEX(Productos!$I:$I,$I2))</f>
        <v/>
      </c>
      <c r="G178" s="135" t="n">
        <v>3</v>
      </c>
      <c r="H178" s="5">
        <f>IF($I2="","",INDEX(Productos!$AG:$AG,$I2))</f>
        <v/>
      </c>
      <c r="I178" s="136">
        <f>LET(_xlpm.r,Productos!$E$2:$E$204,_xlpm.m,IFERROR(_xlfn.XMATCH(C178,_xlpm.r),IFERROR(_xlfn.XMATCH(VALUE(C178),_xlpm.r),0)),IF(_xlpm.m=0,"",_xlpm.m+1))</f>
        <v/>
      </c>
      <c r="J178" s="137" t="inlineStr">
        <is>
          <t>Shopify</t>
        </is>
      </c>
    </row>
    <row r="179">
      <c r="A179" s="5" t="inlineStr">
        <is>
          <t>Shopify Western Brothers › Western Brothers Outlet Lerma</t>
        </is>
      </c>
      <c r="B179" s="5">
        <f>IF($I2="","",INDEX(Productos!$A:$A,$I2))</f>
        <v/>
      </c>
      <c r="C179" s="134" t="inlineStr">
        <is>
          <t>CM110-XL</t>
        </is>
      </c>
      <c r="D179" s="5">
        <f>IF($I2="","",INDEX(Productos!$B:$B,$I2))</f>
        <v/>
      </c>
      <c r="E179" s="5">
        <f>IF($I2="","",INDEX(Productos!$H:$H,$I2))</f>
        <v/>
      </c>
      <c r="F179" s="5">
        <f>IF($I2="","",INDEX(Productos!$I:$I,$I2))</f>
        <v/>
      </c>
      <c r="G179" s="135" t="n">
        <v>4</v>
      </c>
      <c r="H179" s="5">
        <f>IF($I2="","",INDEX(Productos!$AG:$AG,$I2))</f>
        <v/>
      </c>
      <c r="I179" s="136">
        <f>LET(_xlpm.r,Productos!$E$2:$E$204,_xlpm.m,IFERROR(_xlfn.XMATCH(C179,_xlpm.r),IFERROR(_xlfn.XMATCH(VALUE(C179),_xlpm.r),0)),IF(_xlpm.m=0,"",_xlpm.m+1))</f>
        <v/>
      </c>
      <c r="J179" s="137" t="inlineStr">
        <is>
          <t>Shopify</t>
        </is>
      </c>
    </row>
    <row r="180">
      <c r="A180" s="5" t="inlineStr">
        <is>
          <t>Shopify Western Brothers › Western Brothers Outlet Lerma</t>
        </is>
      </c>
      <c r="B180" s="5">
        <f>IF($I2="","",INDEX(Productos!$A:$A,$I2))</f>
        <v/>
      </c>
      <c r="C180" s="134" t="inlineStr">
        <is>
          <t>CM110-XS</t>
        </is>
      </c>
      <c r="D180" s="5">
        <f>IF($I2="","",INDEX(Productos!$B:$B,$I2))</f>
        <v/>
      </c>
      <c r="E180" s="5">
        <f>IF($I2="","",INDEX(Productos!$H:$H,$I2))</f>
        <v/>
      </c>
      <c r="F180" s="5">
        <f>IF($I2="","",INDEX(Productos!$I:$I,$I2))</f>
        <v/>
      </c>
      <c r="G180" s="135" t="n">
        <v>4</v>
      </c>
      <c r="H180" s="5">
        <f>IF($I2="","",INDEX(Productos!$AG:$AG,$I2))</f>
        <v/>
      </c>
      <c r="I180" s="136">
        <f>LET(_xlpm.r,Productos!$E$2:$E$204,_xlpm.m,IFERROR(_xlfn.XMATCH(C180,_xlpm.r),IFERROR(_xlfn.XMATCH(VALUE(C180),_xlpm.r),0)),IF(_xlpm.m=0,"",_xlpm.m+1))</f>
        <v/>
      </c>
      <c r="J180" s="137" t="inlineStr">
        <is>
          <t>Shopify</t>
        </is>
      </c>
    </row>
    <row r="181">
      <c r="A181" s="5" t="inlineStr">
        <is>
          <t>Shopify Western Brothers › Western Brothers Outlet Lerma</t>
        </is>
      </c>
      <c r="B181" s="5">
        <f>IF($I2="","",INDEX(Productos!$A:$A,$I2))</f>
        <v/>
      </c>
      <c r="C181" s="134" t="inlineStr">
        <is>
          <t>CM119-L</t>
        </is>
      </c>
      <c r="D181" s="5">
        <f>IF($I2="","",INDEX(Productos!$B:$B,$I2))</f>
        <v/>
      </c>
      <c r="E181" s="5">
        <f>IF($I2="","",INDEX(Productos!$H:$H,$I2))</f>
        <v/>
      </c>
      <c r="F181" s="5">
        <f>IF($I2="","",INDEX(Productos!$I:$I,$I2))</f>
        <v/>
      </c>
      <c r="G181" s="135" t="n">
        <v>2</v>
      </c>
      <c r="H181" s="5">
        <f>IF($I2="","",INDEX(Productos!$AG:$AG,$I2))</f>
        <v/>
      </c>
      <c r="I181" s="136">
        <f>LET(_xlpm.r,Productos!$E$2:$E$204,_xlpm.m,IFERROR(_xlfn.XMATCH(C181,_xlpm.r),IFERROR(_xlfn.XMATCH(VALUE(C181),_xlpm.r),0)),IF(_xlpm.m=0,"",_xlpm.m+1))</f>
        <v/>
      </c>
      <c r="J181" s="137" t="inlineStr">
        <is>
          <t>Shopify</t>
        </is>
      </c>
    </row>
    <row r="182">
      <c r="A182" s="5" t="inlineStr">
        <is>
          <t>Shopify Western Brothers › Western Brothers Outlet Lerma</t>
        </is>
      </c>
      <c r="B182" s="5">
        <f>IF($I2="","",INDEX(Productos!$A:$A,$I2))</f>
        <v/>
      </c>
      <c r="C182" s="134" t="inlineStr">
        <is>
          <t>CM119-M</t>
        </is>
      </c>
      <c r="D182" s="5">
        <f>IF($I2="","",INDEX(Productos!$B:$B,$I2))</f>
        <v/>
      </c>
      <c r="E182" s="5">
        <f>IF($I2="","",INDEX(Productos!$H:$H,$I2))</f>
        <v/>
      </c>
      <c r="F182" s="5">
        <f>IF($I2="","",INDEX(Productos!$I:$I,$I2))</f>
        <v/>
      </c>
      <c r="G182" s="135" t="n">
        <v>4</v>
      </c>
      <c r="H182" s="5">
        <f>IF($I2="","",INDEX(Productos!$AG:$AG,$I2))</f>
        <v/>
      </c>
      <c r="I182" s="136">
        <f>LET(_xlpm.r,Productos!$E$2:$E$204,_xlpm.m,IFERROR(_xlfn.XMATCH(C182,_xlpm.r),IFERROR(_xlfn.XMATCH(VALUE(C182),_xlpm.r),0)),IF(_xlpm.m=0,"",_xlpm.m+1))</f>
        <v/>
      </c>
      <c r="J182" s="137" t="inlineStr">
        <is>
          <t>Shopify</t>
        </is>
      </c>
    </row>
    <row r="183">
      <c r="A183" s="5" t="inlineStr">
        <is>
          <t>Shopify Western Brothers › Western Brothers Outlet Lerma</t>
        </is>
      </c>
      <c r="B183" s="5">
        <f>IF($I2="","",INDEX(Productos!$A:$A,$I2))</f>
        <v/>
      </c>
      <c r="C183" s="134" t="inlineStr">
        <is>
          <t>CM119-S</t>
        </is>
      </c>
      <c r="D183" s="5">
        <f>IF($I2="","",INDEX(Productos!$B:$B,$I2))</f>
        <v/>
      </c>
      <c r="E183" s="5">
        <f>IF($I2="","",INDEX(Productos!$H:$H,$I2))</f>
        <v/>
      </c>
      <c r="F183" s="5">
        <f>IF($I2="","",INDEX(Productos!$I:$I,$I2))</f>
        <v/>
      </c>
      <c r="G183" s="135" t="n">
        <v>3</v>
      </c>
      <c r="H183" s="5">
        <f>IF($I2="","",INDEX(Productos!$AG:$AG,$I2))</f>
        <v/>
      </c>
      <c r="I183" s="136">
        <f>LET(_xlpm.r,Productos!$E$2:$E$204,_xlpm.m,IFERROR(_xlfn.XMATCH(C183,_xlpm.r),IFERROR(_xlfn.XMATCH(VALUE(C183),_xlpm.r),0)),IF(_xlpm.m=0,"",_xlpm.m+1))</f>
        <v/>
      </c>
      <c r="J183" s="137" t="inlineStr">
        <is>
          <t>Shopify</t>
        </is>
      </c>
    </row>
    <row r="184">
      <c r="A184" s="5" t="inlineStr">
        <is>
          <t>Shopify Western Brothers › Western Brothers Outlet Lerma</t>
        </is>
      </c>
      <c r="B184" s="5">
        <f>IF($I2="","",INDEX(Productos!$A:$A,$I2))</f>
        <v/>
      </c>
      <c r="C184" s="134" t="inlineStr">
        <is>
          <t>CM119-XL</t>
        </is>
      </c>
      <c r="D184" s="5">
        <f>IF($I2="","",INDEX(Productos!$B:$B,$I2))</f>
        <v/>
      </c>
      <c r="E184" s="5">
        <f>IF($I2="","",INDEX(Productos!$H:$H,$I2))</f>
        <v/>
      </c>
      <c r="F184" s="5">
        <f>IF($I2="","",INDEX(Productos!$I:$I,$I2))</f>
        <v/>
      </c>
      <c r="G184" s="135" t="n">
        <v>3</v>
      </c>
      <c r="H184" s="5">
        <f>IF($I2="","",INDEX(Productos!$AG:$AG,$I2))</f>
        <v/>
      </c>
      <c r="I184" s="136">
        <f>LET(_xlpm.r,Productos!$E$2:$E$204,_xlpm.m,IFERROR(_xlfn.XMATCH(C184,_xlpm.r),IFERROR(_xlfn.XMATCH(VALUE(C184),_xlpm.r),0)),IF(_xlpm.m=0,"",_xlpm.m+1))</f>
        <v/>
      </c>
      <c r="J184" s="137" t="inlineStr">
        <is>
          <t>Shopify</t>
        </is>
      </c>
    </row>
    <row r="185">
      <c r="A185" s="5" t="inlineStr">
        <is>
          <t>Shopify Western Brothers › Western Brothers Outlet Lerma</t>
        </is>
      </c>
      <c r="B185" s="5">
        <f>IF($I2="","",INDEX(Productos!$A:$A,$I2))</f>
        <v/>
      </c>
      <c r="C185" s="134" t="inlineStr">
        <is>
          <t>CM119-XS</t>
        </is>
      </c>
      <c r="D185" s="5">
        <f>IF($I2="","",INDEX(Productos!$B:$B,$I2))</f>
        <v/>
      </c>
      <c r="E185" s="5">
        <f>IF($I2="","",INDEX(Productos!$H:$H,$I2))</f>
        <v/>
      </c>
      <c r="F185" s="5">
        <f>IF($I2="","",INDEX(Productos!$I:$I,$I2))</f>
        <v/>
      </c>
      <c r="G185" s="135" t="n">
        <v>4</v>
      </c>
      <c r="H185" s="5">
        <f>IF($I2="","",INDEX(Productos!$AG:$AG,$I2))</f>
        <v/>
      </c>
      <c r="I185" s="136">
        <f>LET(_xlpm.r,Productos!$E$2:$E$204,_xlpm.m,IFERROR(_xlfn.XMATCH(C185,_xlpm.r),IFERROR(_xlfn.XMATCH(VALUE(C185),_xlpm.r),0)),IF(_xlpm.m=0,"",_xlpm.m+1))</f>
        <v/>
      </c>
      <c r="J185" s="137" t="inlineStr">
        <is>
          <t>Shopify</t>
        </is>
      </c>
    </row>
    <row r="186">
      <c r="A186" s="5" t="inlineStr">
        <is>
          <t>Shopify Western Brothers › Western Brothers Outlet Lerma</t>
        </is>
      </c>
      <c r="B186" s="5">
        <f>IF($I2="","",INDEX(Productos!$A:$A,$I2))</f>
        <v/>
      </c>
      <c r="C186" s="134" t="inlineStr">
        <is>
          <t>CM135-L</t>
        </is>
      </c>
      <c r="D186" s="5">
        <f>IF($I2="","",INDEX(Productos!$B:$B,$I2))</f>
        <v/>
      </c>
      <c r="E186" s="5">
        <f>IF($I2="","",INDEX(Productos!$H:$H,$I2))</f>
        <v/>
      </c>
      <c r="F186" s="5">
        <f>IF($I2="","",INDEX(Productos!$I:$I,$I2))</f>
        <v/>
      </c>
      <c r="G186" s="135" t="n">
        <v>2</v>
      </c>
      <c r="H186" s="5">
        <f>IF($I2="","",INDEX(Productos!$AG:$AG,$I2))</f>
        <v/>
      </c>
      <c r="I186" s="136">
        <f>LET(_xlpm.r,Productos!$E$2:$E$204,_xlpm.m,IFERROR(_xlfn.XMATCH(C186,_xlpm.r),IFERROR(_xlfn.XMATCH(VALUE(C186),_xlpm.r),0)),IF(_xlpm.m=0,"",_xlpm.m+1))</f>
        <v/>
      </c>
      <c r="J186" s="137" t="inlineStr">
        <is>
          <t>Shopify</t>
        </is>
      </c>
    </row>
    <row r="187">
      <c r="A187" s="5" t="inlineStr">
        <is>
          <t>Shopify Western Brothers › Western Brothers Outlet Lerma</t>
        </is>
      </c>
      <c r="B187" s="5">
        <f>IF($I2="","",INDEX(Productos!$A:$A,$I2))</f>
        <v/>
      </c>
      <c r="C187" s="134" t="inlineStr">
        <is>
          <t>CM135-S</t>
        </is>
      </c>
      <c r="D187" s="5">
        <f>IF($I2="","",INDEX(Productos!$B:$B,$I2))</f>
        <v/>
      </c>
      <c r="E187" s="5">
        <f>IF($I2="","",INDEX(Productos!$H:$H,$I2))</f>
        <v/>
      </c>
      <c r="F187" s="5">
        <f>IF($I2="","",INDEX(Productos!$I:$I,$I2))</f>
        <v/>
      </c>
      <c r="G187" s="135" t="n">
        <v>4</v>
      </c>
      <c r="H187" s="5">
        <f>IF($I2="","",INDEX(Productos!$AG:$AG,$I2))</f>
        <v/>
      </c>
      <c r="I187" s="136">
        <f>LET(_xlpm.r,Productos!$E$2:$E$204,_xlpm.m,IFERROR(_xlfn.XMATCH(C187,_xlpm.r),IFERROR(_xlfn.XMATCH(VALUE(C187),_xlpm.r),0)),IF(_xlpm.m=0,"",_xlpm.m+1))</f>
        <v/>
      </c>
      <c r="J187" s="137" t="inlineStr">
        <is>
          <t>Shopify</t>
        </is>
      </c>
    </row>
    <row r="188">
      <c r="A188" s="5" t="inlineStr">
        <is>
          <t>Shopify Western Brothers › Western Brothers Outlet Lerma</t>
        </is>
      </c>
      <c r="B188" s="5">
        <f>IF($I2="","",INDEX(Productos!$A:$A,$I2))</f>
        <v/>
      </c>
      <c r="C188" s="134" t="inlineStr">
        <is>
          <t>CM135-XS</t>
        </is>
      </c>
      <c r="D188" s="5">
        <f>IF($I2="","",INDEX(Productos!$B:$B,$I2))</f>
        <v/>
      </c>
      <c r="E188" s="5">
        <f>IF($I2="","",INDEX(Productos!$H:$H,$I2))</f>
        <v/>
      </c>
      <c r="F188" s="5">
        <f>IF($I2="","",INDEX(Productos!$I:$I,$I2))</f>
        <v/>
      </c>
      <c r="G188" s="135" t="n">
        <v>4</v>
      </c>
      <c r="H188" s="5">
        <f>IF($I2="","",INDEX(Productos!$AG:$AG,$I2))</f>
        <v/>
      </c>
      <c r="I188" s="136">
        <f>LET(_xlpm.r,Productos!$E$2:$E$204,_xlpm.m,IFERROR(_xlfn.XMATCH(C188,_xlpm.r),IFERROR(_xlfn.XMATCH(VALUE(C188),_xlpm.r),0)),IF(_xlpm.m=0,"",_xlpm.m+1))</f>
        <v/>
      </c>
      <c r="J188" s="137" t="inlineStr">
        <is>
          <t>Shopify</t>
        </is>
      </c>
    </row>
    <row r="189">
      <c r="A189" s="5" t="inlineStr">
        <is>
          <t>Shopify Western Brothers › Western Brothers Outlet Lerma</t>
        </is>
      </c>
      <c r="B189" s="5">
        <f>IF($I2="","",INDEX(Productos!$A:$A,$I2))</f>
        <v/>
      </c>
      <c r="C189" s="134" t="inlineStr">
        <is>
          <t>DM029-13-32</t>
        </is>
      </c>
      <c r="D189" s="5">
        <f>IF($I2="","",INDEX(Productos!$B:$B,$I2))</f>
        <v/>
      </c>
      <c r="E189" s="5">
        <f>IF($I2="","",INDEX(Productos!$H:$H,$I2))</f>
        <v/>
      </c>
      <c r="F189" s="5">
        <f>IF($I2="","",INDEX(Productos!$I:$I,$I2))</f>
        <v/>
      </c>
      <c r="G189" s="135" t="n">
        <v>1</v>
      </c>
      <c r="H189" s="5">
        <f>IF($I2="","",INDEX(Productos!$AG:$AG,$I2))</f>
        <v/>
      </c>
      <c r="I189" s="136">
        <f>LET(_xlpm.r,Productos!$E$2:$E$204,_xlpm.m,IFERROR(_xlfn.XMATCH(C189,_xlpm.r),IFERROR(_xlfn.XMATCH(VALUE(C189),_xlpm.r),0)),IF(_xlpm.m=0,"",_xlpm.m+1))</f>
        <v/>
      </c>
      <c r="J189" s="137" t="inlineStr">
        <is>
          <t>Shopify</t>
        </is>
      </c>
    </row>
    <row r="190">
      <c r="A190" s="5" t="inlineStr">
        <is>
          <t>Shopify Western Brothers › Western Brothers Outlet Lerma</t>
        </is>
      </c>
      <c r="B190" s="5">
        <f>IF($I2="","",INDEX(Productos!$A:$A,$I2))</f>
        <v/>
      </c>
      <c r="C190" s="134" t="inlineStr">
        <is>
          <t>DM029-5-32</t>
        </is>
      </c>
      <c r="D190" s="5">
        <f>IF($I2="","",INDEX(Productos!$B:$B,$I2))</f>
        <v/>
      </c>
      <c r="E190" s="5">
        <f>IF($I2="","",INDEX(Productos!$H:$H,$I2))</f>
        <v/>
      </c>
      <c r="F190" s="5">
        <f>IF($I2="","",INDEX(Productos!$I:$I,$I2))</f>
        <v/>
      </c>
      <c r="G190" s="135" t="n">
        <v>1</v>
      </c>
      <c r="H190" s="5">
        <f>IF($I2="","",INDEX(Productos!$AG:$AG,$I2))</f>
        <v/>
      </c>
      <c r="I190" s="136">
        <f>LET(_xlpm.r,Productos!$E$2:$E$204,_xlpm.m,IFERROR(_xlfn.XMATCH(C190,_xlpm.r),IFERROR(_xlfn.XMATCH(VALUE(C190),_xlpm.r),0)),IF(_xlpm.m=0,"",_xlpm.m+1))</f>
        <v/>
      </c>
      <c r="J190" s="137" t="inlineStr">
        <is>
          <t>Shopify</t>
        </is>
      </c>
    </row>
    <row r="191">
      <c r="A191" s="5" t="inlineStr">
        <is>
          <t>Shopify Western Brothers › Western Brothers Outlet Lerma</t>
        </is>
      </c>
      <c r="B191" s="5">
        <f>IF($I2="","",INDEX(Productos!$A:$A,$I2))</f>
        <v/>
      </c>
      <c r="C191" s="134" t="inlineStr">
        <is>
          <t>DM030-5-32</t>
        </is>
      </c>
      <c r="D191" s="5">
        <f>IF($I2="","",INDEX(Productos!$B:$B,$I2))</f>
        <v/>
      </c>
      <c r="E191" s="5">
        <f>IF($I2="","",INDEX(Productos!$H:$H,$I2))</f>
        <v/>
      </c>
      <c r="F191" s="5">
        <f>IF($I2="","",INDEX(Productos!$I:$I,$I2))</f>
        <v/>
      </c>
      <c r="G191" s="135" t="n">
        <v>3</v>
      </c>
      <c r="H191" s="5">
        <f>IF($I2="","",INDEX(Productos!$AG:$AG,$I2))</f>
        <v/>
      </c>
      <c r="I191" s="136">
        <f>LET(_xlpm.r,Productos!$E$2:$E$204,_xlpm.m,IFERROR(_xlfn.XMATCH(C191,_xlpm.r),IFERROR(_xlfn.XMATCH(VALUE(C191),_xlpm.r),0)),IF(_xlpm.m=0,"",_xlpm.m+1))</f>
        <v/>
      </c>
      <c r="J191" s="137" t="inlineStr">
        <is>
          <t>Shopify</t>
        </is>
      </c>
    </row>
    <row r="192">
      <c r="A192" s="5" t="inlineStr">
        <is>
          <t>Shopify Western Brothers › Western Brothers Outlet Lerma</t>
        </is>
      </c>
      <c r="B192" s="5">
        <f>IF($I2="","",INDEX(Productos!$A:$A,$I2))</f>
        <v/>
      </c>
      <c r="C192" s="134" t="inlineStr">
        <is>
          <t>DM030-7-32</t>
        </is>
      </c>
      <c r="D192" s="5">
        <f>IF($I2="","",INDEX(Productos!$B:$B,$I2))</f>
        <v/>
      </c>
      <c r="E192" s="5">
        <f>IF($I2="","",INDEX(Productos!$H:$H,$I2))</f>
        <v/>
      </c>
      <c r="F192" s="5">
        <f>IF($I2="","",INDEX(Productos!$I:$I,$I2))</f>
        <v/>
      </c>
      <c r="G192" s="135" t="n">
        <v>4</v>
      </c>
      <c r="H192" s="5">
        <f>IF($I2="","",INDEX(Productos!$AG:$AG,$I2))</f>
        <v/>
      </c>
      <c r="I192" s="136">
        <f>LET(_xlpm.r,Productos!$E$2:$E$204,_xlpm.m,IFERROR(_xlfn.XMATCH(C192,_xlpm.r),IFERROR(_xlfn.XMATCH(VALUE(C192),_xlpm.r),0)),IF(_xlpm.m=0,"",_xlpm.m+1))</f>
        <v/>
      </c>
      <c r="J192" s="137" t="inlineStr">
        <is>
          <t>Shopify</t>
        </is>
      </c>
    </row>
    <row r="193">
      <c r="A193" s="5" t="inlineStr">
        <is>
          <t>Shopify Western Brothers › Western Brothers Outlet Lerma</t>
        </is>
      </c>
      <c r="B193" s="5">
        <f>IF($I2="","",INDEX(Productos!$A:$A,$I2))</f>
        <v/>
      </c>
      <c r="C193" s="134" t="inlineStr">
        <is>
          <t>F-CHH187-M</t>
        </is>
      </c>
      <c r="D193" s="5">
        <f>IF($I2="","",INDEX(Productos!$B:$B,$I2))</f>
        <v/>
      </c>
      <c r="E193" s="5">
        <f>IF($I2="","",INDEX(Productos!$H:$H,$I2))</f>
        <v/>
      </c>
      <c r="F193" s="5">
        <f>IF($I2="","",INDEX(Productos!$I:$I,$I2))</f>
        <v/>
      </c>
      <c r="G193" s="135" t="n">
        <v>1</v>
      </c>
      <c r="H193" s="5">
        <f>IF($I2="","",INDEX(Productos!$AG:$AG,$I2))</f>
        <v/>
      </c>
      <c r="I193" s="136">
        <f>LET(_xlpm.r,Productos!$E$2:$E$204,_xlpm.m,IFERROR(_xlfn.XMATCH(C193,_xlpm.r),IFERROR(_xlfn.XMATCH(VALUE(C193),_xlpm.r),0)),IF(_xlpm.m=0,"",_xlpm.m+1))</f>
        <v/>
      </c>
      <c r="J193" s="137" t="inlineStr">
        <is>
          <t>Shopify</t>
        </is>
      </c>
    </row>
    <row r="194">
      <c r="A194" s="5" t="inlineStr">
        <is>
          <t>Shopify Western Brothers › Western Brothers Outlet Lerma</t>
        </is>
      </c>
      <c r="B194" s="5">
        <f>IF($I2="","",INDEX(Productos!$A:$A,$I2))</f>
        <v/>
      </c>
      <c r="C194" s="134" t="inlineStr">
        <is>
          <t>F-CHH187-S</t>
        </is>
      </c>
      <c r="D194" s="5">
        <f>IF($I2="","",INDEX(Productos!$B:$B,$I2))</f>
        <v/>
      </c>
      <c r="E194" s="5">
        <f>IF($I2="","",INDEX(Productos!$H:$H,$I2))</f>
        <v/>
      </c>
      <c r="F194" s="5">
        <f>IF($I2="","",INDEX(Productos!$I:$I,$I2))</f>
        <v/>
      </c>
      <c r="G194" s="135" t="n">
        <v>1</v>
      </c>
      <c r="H194" s="5">
        <f>IF($I2="","",INDEX(Productos!$AG:$AG,$I2))</f>
        <v/>
      </c>
      <c r="I194" s="136">
        <f>LET(_xlpm.r,Productos!$E$2:$E$204,_xlpm.m,IFERROR(_xlfn.XMATCH(C194,_xlpm.r),IFERROR(_xlfn.XMATCH(VALUE(C194),_xlpm.r),0)),IF(_xlpm.m=0,"",_xlpm.m+1))</f>
        <v/>
      </c>
      <c r="J194" s="137" t="inlineStr">
        <is>
          <t>Shopify</t>
        </is>
      </c>
    </row>
    <row r="195">
      <c r="A195" s="5" t="inlineStr">
        <is>
          <t>Shopify Western Brothers › Western Brothers Outlet Lerma</t>
        </is>
      </c>
      <c r="B195" s="5">
        <f>IF($I2="","",INDEX(Productos!$A:$A,$I2))</f>
        <v/>
      </c>
      <c r="C195" s="134" t="inlineStr">
        <is>
          <t>F-CHH187-XL</t>
        </is>
      </c>
      <c r="D195" s="5">
        <f>IF($I2="","",INDEX(Productos!$B:$B,$I2))</f>
        <v/>
      </c>
      <c r="E195" s="5">
        <f>IF($I2="","",INDEX(Productos!$H:$H,$I2))</f>
        <v/>
      </c>
      <c r="F195" s="5">
        <f>IF($I2="","",INDEX(Productos!$I:$I,$I2))</f>
        <v/>
      </c>
      <c r="G195" s="135" t="n">
        <v>1</v>
      </c>
      <c r="H195" s="5">
        <f>IF($I2="","",INDEX(Productos!$AG:$AG,$I2))</f>
        <v/>
      </c>
      <c r="I195" s="136">
        <f>LET(_xlpm.r,Productos!$E$2:$E$204,_xlpm.m,IFERROR(_xlfn.XMATCH(C195,_xlpm.r),IFERROR(_xlfn.XMATCH(VALUE(C195),_xlpm.r),0)),IF(_xlpm.m=0,"",_xlpm.m+1))</f>
        <v/>
      </c>
      <c r="J195" s="137" t="inlineStr">
        <is>
          <t>Shopify</t>
        </is>
      </c>
    </row>
    <row r="196">
      <c r="A196" s="5" t="inlineStr">
        <is>
          <t>Shopify Western Brothers › Western Brothers Outlet Lerma</t>
        </is>
      </c>
      <c r="B196" s="5">
        <f>IF($I2="","",INDEX(Productos!$A:$A,$I2))</f>
        <v/>
      </c>
      <c r="C196" s="134" t="inlineStr">
        <is>
          <t>HDC001-TB1-XL</t>
        </is>
      </c>
      <c r="D196" s="5">
        <f>IF($I2="","",INDEX(Productos!$B:$B,$I2))</f>
        <v/>
      </c>
      <c r="E196" s="5">
        <f>IF($I2="","",INDEX(Productos!$H:$H,$I2))</f>
        <v/>
      </c>
      <c r="F196" s="5">
        <f>IF($I2="","",INDEX(Productos!$I:$I,$I2))</f>
        <v/>
      </c>
      <c r="G196" s="135" t="n">
        <v>1</v>
      </c>
      <c r="H196" s="5">
        <f>IF($I2="","",INDEX(Productos!$AG:$AG,$I2))</f>
        <v/>
      </c>
      <c r="I196" s="136">
        <f>LET(_xlpm.r,Productos!$E$2:$E$204,_xlpm.m,IFERROR(_xlfn.XMATCH(C196,_xlpm.r),IFERROR(_xlfn.XMATCH(VALUE(C196),_xlpm.r),0)),IF(_xlpm.m=0,"",_xlpm.m+1))</f>
        <v/>
      </c>
      <c r="J196" s="137" t="inlineStr">
        <is>
          <t>Shopify</t>
        </is>
      </c>
    </row>
    <row r="197">
      <c r="A197" s="5" t="inlineStr">
        <is>
          <t>Shopify Western Brothers › Western Brothers Outlet Lerma</t>
        </is>
      </c>
      <c r="B197" s="5">
        <f>IF($I2="","",INDEX(Productos!$A:$A,$I2))</f>
        <v/>
      </c>
      <c r="C197" s="134" t="inlineStr">
        <is>
          <t>HDC002-SB22-L</t>
        </is>
      </c>
      <c r="D197" s="5">
        <f>IF($I2="","",INDEX(Productos!$B:$B,$I2))</f>
        <v/>
      </c>
      <c r="E197" s="5">
        <f>IF($I2="","",INDEX(Productos!$H:$H,$I2))</f>
        <v/>
      </c>
      <c r="F197" s="5">
        <f>IF($I2="","",INDEX(Productos!$I:$I,$I2))</f>
        <v/>
      </c>
      <c r="G197" s="135" t="n">
        <v>2</v>
      </c>
      <c r="H197" s="5">
        <f>IF($I2="","",INDEX(Productos!$AG:$AG,$I2))</f>
        <v/>
      </c>
      <c r="I197" s="136">
        <f>LET(_xlpm.r,Productos!$E$2:$E$204,_xlpm.m,IFERROR(_xlfn.XMATCH(C197,_xlpm.r),IFERROR(_xlfn.XMATCH(VALUE(C197),_xlpm.r),0)),IF(_xlpm.m=0,"",_xlpm.m+1))</f>
        <v/>
      </c>
      <c r="J197" s="137" t="inlineStr">
        <is>
          <t>Shopify</t>
        </is>
      </c>
    </row>
    <row r="198">
      <c r="A198" s="5" t="inlineStr">
        <is>
          <t>Shopify Western Brothers › Western Brothers Outlet Lerma</t>
        </is>
      </c>
      <c r="B198" s="5">
        <f>IF($I2="","",INDEX(Productos!$A:$A,$I2))</f>
        <v/>
      </c>
      <c r="C198" s="134" t="inlineStr">
        <is>
          <t>HDC002-SB22-S</t>
        </is>
      </c>
      <c r="D198" s="5">
        <f>IF($I2="","",INDEX(Productos!$B:$B,$I2))</f>
        <v/>
      </c>
      <c r="E198" s="5">
        <f>IF($I2="","",INDEX(Productos!$H:$H,$I2))</f>
        <v/>
      </c>
      <c r="F198" s="5">
        <f>IF($I2="","",INDEX(Productos!$I:$I,$I2))</f>
        <v/>
      </c>
      <c r="G198" s="135" t="n">
        <v>1</v>
      </c>
      <c r="H198" s="5">
        <f>IF($I2="","",INDEX(Productos!$AG:$AG,$I2))</f>
        <v/>
      </c>
      <c r="I198" s="136">
        <f>LET(_xlpm.r,Productos!$E$2:$E$204,_xlpm.m,IFERROR(_xlfn.XMATCH(C198,_xlpm.r),IFERROR(_xlfn.XMATCH(VALUE(C198),_xlpm.r),0)),IF(_xlpm.m=0,"",_xlpm.m+1))</f>
        <v/>
      </c>
      <c r="J198" s="137" t="inlineStr">
        <is>
          <t>Shopify</t>
        </is>
      </c>
    </row>
    <row r="199">
      <c r="A199" s="5" t="inlineStr">
        <is>
          <t>Shopify Western Brothers › Western Brothers Outlet Lerma</t>
        </is>
      </c>
      <c r="B199" s="5">
        <f>IF($I2="","",INDEX(Productos!$A:$A,$I2))</f>
        <v/>
      </c>
      <c r="C199" s="134" t="inlineStr">
        <is>
          <t>JH001-30-34</t>
        </is>
      </c>
      <c r="D199" s="5">
        <f>IF($I2="","",INDEX(Productos!$B:$B,$I2))</f>
        <v/>
      </c>
      <c r="E199" s="5">
        <f>IF($I2="","",INDEX(Productos!$H:$H,$I2))</f>
        <v/>
      </c>
      <c r="F199" s="5">
        <f>IF($I2="","",INDEX(Productos!$I:$I,$I2))</f>
        <v/>
      </c>
      <c r="G199" s="135" t="n">
        <v>1</v>
      </c>
      <c r="H199" s="5">
        <f>IF($I2="","",INDEX(Productos!$AG:$AG,$I2))</f>
        <v/>
      </c>
      <c r="I199" s="136">
        <f>LET(_xlpm.r,Productos!$E$2:$E$204,_xlpm.m,IFERROR(_xlfn.XMATCH(C199,_xlpm.r),IFERROR(_xlfn.XMATCH(VALUE(C199),_xlpm.r),0)),IF(_xlpm.m=0,"",_xlpm.m+1))</f>
        <v/>
      </c>
      <c r="J199" s="137" t="inlineStr">
        <is>
          <t>Shopify</t>
        </is>
      </c>
    </row>
    <row r="200">
      <c r="A200" s="5" t="inlineStr">
        <is>
          <t>Shopify Western Brothers › Western Brothers Outlet Lerma</t>
        </is>
      </c>
      <c r="B200" s="5">
        <f>IF($I2="","",INDEX(Productos!$A:$A,$I2))</f>
        <v/>
      </c>
      <c r="C200" s="134" t="inlineStr">
        <is>
          <t>JH001-32-34</t>
        </is>
      </c>
      <c r="D200" s="5">
        <f>IF($I2="","",INDEX(Productos!$B:$B,$I2))</f>
        <v/>
      </c>
      <c r="E200" s="5">
        <f>IF($I2="","",INDEX(Productos!$H:$H,$I2))</f>
        <v/>
      </c>
      <c r="F200" s="5">
        <f>IF($I2="","",INDEX(Productos!$I:$I,$I2))</f>
        <v/>
      </c>
      <c r="G200" s="135" t="n">
        <v>3</v>
      </c>
      <c r="H200" s="5">
        <f>IF($I2="","",INDEX(Productos!$AG:$AG,$I2))</f>
        <v/>
      </c>
      <c r="I200" s="136">
        <f>LET(_xlpm.r,Productos!$E$2:$E$204,_xlpm.m,IFERROR(_xlfn.XMATCH(C200,_xlpm.r),IFERROR(_xlfn.XMATCH(VALUE(C200),_xlpm.r),0)),IF(_xlpm.m=0,"",_xlpm.m+1))</f>
        <v/>
      </c>
      <c r="J200" s="137" t="inlineStr">
        <is>
          <t>Shopify</t>
        </is>
      </c>
    </row>
    <row r="201">
      <c r="A201" s="5" t="inlineStr">
        <is>
          <t>Shopify Western Brothers › Western Brothers Outlet Lerma</t>
        </is>
      </c>
      <c r="B201" s="5">
        <f>IF($I2="","",INDEX(Productos!$A:$A,$I2))</f>
        <v/>
      </c>
      <c r="C201" s="134" t="inlineStr">
        <is>
          <t>JH001-36-34</t>
        </is>
      </c>
      <c r="D201" s="5">
        <f>IF($I2="","",INDEX(Productos!$B:$B,$I2))</f>
        <v/>
      </c>
      <c r="E201" s="5">
        <f>IF($I2="","",INDEX(Productos!$H:$H,$I2))</f>
        <v/>
      </c>
      <c r="F201" s="5">
        <f>IF($I2="","",INDEX(Productos!$I:$I,$I2))</f>
        <v/>
      </c>
      <c r="G201" s="135" t="n">
        <v>2</v>
      </c>
      <c r="H201" s="5">
        <f>IF($I2="","",INDEX(Productos!$AG:$AG,$I2))</f>
        <v/>
      </c>
      <c r="I201" s="136">
        <f>LET(_xlpm.r,Productos!$E$2:$E$204,_xlpm.m,IFERROR(_xlfn.XMATCH(C201,_xlpm.r),IFERROR(_xlfn.XMATCH(VALUE(C201),_xlpm.r),0)),IF(_xlpm.m=0,"",_xlpm.m+1))</f>
        <v/>
      </c>
      <c r="J201" s="137" t="inlineStr">
        <is>
          <t>Shopify</t>
        </is>
      </c>
    </row>
    <row r="202">
      <c r="A202" s="5" t="inlineStr">
        <is>
          <t>Shopify Western Brothers › Western Brothers Outlet Lerma</t>
        </is>
      </c>
      <c r="B202" s="5">
        <f>IF($I2="","",INDEX(Productos!$A:$A,$I2))</f>
        <v/>
      </c>
      <c r="C202" s="134" t="inlineStr">
        <is>
          <t>JH001-38-34</t>
        </is>
      </c>
      <c r="D202" s="5">
        <f>IF($I2="","",INDEX(Productos!$B:$B,$I2))</f>
        <v/>
      </c>
      <c r="E202" s="5">
        <f>IF($I2="","",INDEX(Productos!$H:$H,$I2))</f>
        <v/>
      </c>
      <c r="F202" s="5">
        <f>IF($I2="","",INDEX(Productos!$I:$I,$I2))</f>
        <v/>
      </c>
      <c r="G202" s="135" t="n">
        <v>2</v>
      </c>
      <c r="H202" s="5">
        <f>IF($I2="","",INDEX(Productos!$AG:$AG,$I2))</f>
        <v/>
      </c>
      <c r="I202" s="136">
        <f>LET(_xlpm.r,Productos!$E$2:$E$204,_xlpm.m,IFERROR(_xlfn.XMATCH(C202,_xlpm.r),IFERROR(_xlfn.XMATCH(VALUE(C202),_xlpm.r),0)),IF(_xlpm.m=0,"",_xlpm.m+1))</f>
        <v/>
      </c>
      <c r="J202" s="137" t="inlineStr">
        <is>
          <t>Shopify</t>
        </is>
      </c>
    </row>
    <row r="203">
      <c r="A203" s="5" t="inlineStr">
        <is>
          <t>Shopify Western Brothers › Western Brothers Outlet Lerma</t>
        </is>
      </c>
      <c r="B203" s="5">
        <f>IF($I2="","",INDEX(Productos!$A:$A,$I2))</f>
        <v/>
      </c>
      <c r="C203" s="134" t="inlineStr">
        <is>
          <t>JH001-40-30</t>
        </is>
      </c>
      <c r="D203" s="5">
        <f>IF($I2="","",INDEX(Productos!$B:$B,$I2))</f>
        <v/>
      </c>
      <c r="E203" s="5">
        <f>IF($I2="","",INDEX(Productos!$H:$H,$I2))</f>
        <v/>
      </c>
      <c r="F203" s="5">
        <f>IF($I2="","",INDEX(Productos!$I:$I,$I2))</f>
        <v/>
      </c>
      <c r="G203" s="135" t="n">
        <v>4</v>
      </c>
      <c r="H203" s="5">
        <f>IF($I2="","",INDEX(Productos!$AG:$AG,$I2))</f>
        <v/>
      </c>
      <c r="I203" s="136">
        <f>LET(_xlpm.r,Productos!$E$2:$E$204,_xlpm.m,IFERROR(_xlfn.XMATCH(C203,_xlpm.r),IFERROR(_xlfn.XMATCH(VALUE(C203),_xlpm.r),0)),IF(_xlpm.m=0,"",_xlpm.m+1))</f>
        <v/>
      </c>
      <c r="J203" s="137" t="inlineStr">
        <is>
          <t>Shopify</t>
        </is>
      </c>
    </row>
    <row r="204">
      <c r="A204" s="5" t="inlineStr">
        <is>
          <t>Shopify Western Brothers › Western Brothers Outlet Lerma</t>
        </is>
      </c>
      <c r="B204" s="5">
        <f>IF($I2="","",INDEX(Productos!$A:$A,$I2))</f>
        <v/>
      </c>
      <c r="C204" s="134" t="inlineStr">
        <is>
          <t>JH001-40-34</t>
        </is>
      </c>
      <c r="D204" s="5">
        <f>IF($I2="","",INDEX(Productos!$B:$B,$I2))</f>
        <v/>
      </c>
      <c r="E204" s="5">
        <f>IF($I2="","",INDEX(Productos!$H:$H,$I2))</f>
        <v/>
      </c>
      <c r="F204" s="5">
        <f>IF($I2="","",INDEX(Productos!$I:$I,$I2))</f>
        <v/>
      </c>
      <c r="G204" s="135" t="n">
        <v>3</v>
      </c>
      <c r="H204" s="5">
        <f>IF($I2="","",INDEX(Productos!$AG:$AG,$I2))</f>
        <v/>
      </c>
      <c r="I204" s="136">
        <f>LET(_xlpm.r,Productos!$E$2:$E$204,_xlpm.m,IFERROR(_xlfn.XMATCH(C204,_xlpm.r),IFERROR(_xlfn.XMATCH(VALUE(C204),_xlpm.r),0)),IF(_xlpm.m=0,"",_xlpm.m+1))</f>
        <v/>
      </c>
      <c r="J204" s="137" t="inlineStr">
        <is>
          <t>Shopify</t>
        </is>
      </c>
    </row>
    <row r="205">
      <c r="A205" s="5" t="inlineStr">
        <is>
          <t>Shopify Western Brothers › Western Brothers Outlet Lerma</t>
        </is>
      </c>
      <c r="B205" s="5">
        <f>IF($I2="","",INDEX(Productos!$A:$A,$I2))</f>
        <v/>
      </c>
      <c r="C205" s="134" t="inlineStr">
        <is>
          <t>JH003-28-34</t>
        </is>
      </c>
      <c r="D205" s="5">
        <f>IF($I2="","",INDEX(Productos!$B:$B,$I2))</f>
        <v/>
      </c>
      <c r="E205" s="5">
        <f>IF($I2="","",INDEX(Productos!$H:$H,$I2))</f>
        <v/>
      </c>
      <c r="F205" s="5">
        <f>IF($I2="","",INDEX(Productos!$I:$I,$I2))</f>
        <v/>
      </c>
      <c r="G205" s="135" t="n">
        <v>3</v>
      </c>
      <c r="H205" s="5">
        <f>IF($I2="","",INDEX(Productos!$AG:$AG,$I2))</f>
        <v/>
      </c>
      <c r="I205" s="136">
        <f>LET(_xlpm.r,Productos!$E$2:$E$204,_xlpm.m,IFERROR(_xlfn.XMATCH(C205,_xlpm.r),IFERROR(_xlfn.XMATCH(VALUE(C205),_xlpm.r),0)),IF(_xlpm.m=0,"",_xlpm.m+1))</f>
        <v/>
      </c>
      <c r="J205" s="137" t="inlineStr">
        <is>
          <t>Shopify</t>
        </is>
      </c>
    </row>
    <row r="206">
      <c r="A206" s="5" t="inlineStr">
        <is>
          <t>Shopify Western Brothers › Western Brothers Outlet Lerma</t>
        </is>
      </c>
      <c r="B206" s="5">
        <f>IF($I2="","",INDEX(Productos!$A:$A,$I2))</f>
        <v/>
      </c>
      <c r="C206" s="134" t="inlineStr">
        <is>
          <t>JH003-30-34</t>
        </is>
      </c>
      <c r="D206" s="5">
        <f>IF($I2="","",INDEX(Productos!$B:$B,$I2))</f>
        <v/>
      </c>
      <c r="E206" s="5">
        <f>IF($I2="","",INDEX(Productos!$H:$H,$I2))</f>
        <v/>
      </c>
      <c r="F206" s="5">
        <f>IF($I2="","",INDEX(Productos!$I:$I,$I2))</f>
        <v/>
      </c>
      <c r="G206" s="135" t="n">
        <v>4</v>
      </c>
      <c r="H206" s="5">
        <f>IF($I2="","",INDEX(Productos!$AG:$AG,$I2))</f>
        <v/>
      </c>
      <c r="I206" s="136">
        <f>LET(_xlpm.r,Productos!$E$2:$E$204,_xlpm.m,IFERROR(_xlfn.XMATCH(C206,_xlpm.r),IFERROR(_xlfn.XMATCH(VALUE(C206),_xlpm.r),0)),IF(_xlpm.m=0,"",_xlpm.m+1))</f>
        <v/>
      </c>
      <c r="J206" s="137" t="inlineStr">
        <is>
          <t>Shopify</t>
        </is>
      </c>
    </row>
    <row r="207">
      <c r="A207" s="5" t="inlineStr">
        <is>
          <t>Shopify Western Brothers › Western Brothers Outlet Lerma</t>
        </is>
      </c>
      <c r="B207" s="5">
        <f>IF($I2="","",INDEX(Productos!$A:$A,$I2))</f>
        <v/>
      </c>
      <c r="C207" s="134" t="inlineStr">
        <is>
          <t>JH003-32-34</t>
        </is>
      </c>
      <c r="D207" s="5">
        <f>IF($I2="","",INDEX(Productos!$B:$B,$I2))</f>
        <v/>
      </c>
      <c r="E207" s="5">
        <f>IF($I2="","",INDEX(Productos!$H:$H,$I2))</f>
        <v/>
      </c>
      <c r="F207" s="5">
        <f>IF($I2="","",INDEX(Productos!$I:$I,$I2))</f>
        <v/>
      </c>
      <c r="G207" s="135" t="n">
        <v>4</v>
      </c>
      <c r="H207" s="5">
        <f>IF($I2="","",INDEX(Productos!$AG:$AG,$I2))</f>
        <v/>
      </c>
      <c r="I207" s="136">
        <f>LET(_xlpm.r,Productos!$E$2:$E$204,_xlpm.m,IFERROR(_xlfn.XMATCH(C207,_xlpm.r),IFERROR(_xlfn.XMATCH(VALUE(C207),_xlpm.r),0)),IF(_xlpm.m=0,"",_xlpm.m+1))</f>
        <v/>
      </c>
      <c r="J207" s="137" t="inlineStr">
        <is>
          <t>Shopify</t>
        </is>
      </c>
    </row>
    <row r="208">
      <c r="A208" s="5" t="inlineStr">
        <is>
          <t>Shopify Western Brothers › Western Brothers Outlet Lerma</t>
        </is>
      </c>
      <c r="B208" s="5">
        <f>IF($I2="","",INDEX(Productos!$A:$A,$I2))</f>
        <v/>
      </c>
      <c r="C208" s="134" t="inlineStr">
        <is>
          <t>JH004-28-34</t>
        </is>
      </c>
      <c r="D208" s="5">
        <f>IF($I2="","",INDEX(Productos!$B:$B,$I2))</f>
        <v/>
      </c>
      <c r="E208" s="5">
        <f>IF($I2="","",INDEX(Productos!$H:$H,$I2))</f>
        <v/>
      </c>
      <c r="F208" s="5">
        <f>IF($I2="","",INDEX(Productos!$I:$I,$I2))</f>
        <v/>
      </c>
      <c r="G208" s="135" t="n">
        <v>1</v>
      </c>
      <c r="H208" s="5">
        <f>IF($I2="","",INDEX(Productos!$AG:$AG,$I2))</f>
        <v/>
      </c>
      <c r="I208" s="136">
        <f>LET(_xlpm.r,Productos!$E$2:$E$204,_xlpm.m,IFERROR(_xlfn.XMATCH(C208,_xlpm.r),IFERROR(_xlfn.XMATCH(VALUE(C208),_xlpm.r),0)),IF(_xlpm.m=0,"",_xlpm.m+1))</f>
        <v/>
      </c>
      <c r="J208" s="137" t="inlineStr">
        <is>
          <t>Shopify</t>
        </is>
      </c>
    </row>
    <row r="209">
      <c r="A209" s="5" t="inlineStr">
        <is>
          <t>Shopify Western Brothers › Western Brothers Outlet Lerma</t>
        </is>
      </c>
      <c r="B209" s="5">
        <f>IF($I2="","",INDEX(Productos!$A:$A,$I2))</f>
        <v/>
      </c>
      <c r="C209" s="134" t="inlineStr">
        <is>
          <t>JH004-32-34</t>
        </is>
      </c>
      <c r="D209" s="5">
        <f>IF($I2="","",INDEX(Productos!$B:$B,$I2))</f>
        <v/>
      </c>
      <c r="E209" s="5">
        <f>IF($I2="","",INDEX(Productos!$H:$H,$I2))</f>
        <v/>
      </c>
      <c r="F209" s="5">
        <f>IF($I2="","",INDEX(Productos!$I:$I,$I2))</f>
        <v/>
      </c>
      <c r="G209" s="135" t="n">
        <v>1</v>
      </c>
      <c r="H209" s="5">
        <f>IF($I2="","",INDEX(Productos!$AG:$AG,$I2))</f>
        <v/>
      </c>
      <c r="I209" s="136">
        <f>LET(_xlpm.r,Productos!$E$2:$E$204,_xlpm.m,IFERROR(_xlfn.XMATCH(C209,_xlpm.r),IFERROR(_xlfn.XMATCH(VALUE(C209),_xlpm.r),0)),IF(_xlpm.m=0,"",_xlpm.m+1))</f>
        <v/>
      </c>
      <c r="J209" s="137" t="inlineStr">
        <is>
          <t>Shopify</t>
        </is>
      </c>
    </row>
    <row r="210">
      <c r="A210" s="5" t="inlineStr">
        <is>
          <t>Shopify Western Brothers › Western Brothers Outlet Lerma</t>
        </is>
      </c>
      <c r="B210" s="5">
        <f>IF($I2="","",INDEX(Productos!$A:$A,$I2))</f>
        <v/>
      </c>
      <c r="C210" s="134" t="inlineStr">
        <is>
          <t>JH005-38-34</t>
        </is>
      </c>
      <c r="D210" s="5">
        <f>IF($I2="","",INDEX(Productos!$B:$B,$I2))</f>
        <v/>
      </c>
      <c r="E210" s="5">
        <f>IF($I2="","",INDEX(Productos!$H:$H,$I2))</f>
        <v/>
      </c>
      <c r="F210" s="5">
        <f>IF($I2="","",INDEX(Productos!$I:$I,$I2))</f>
        <v/>
      </c>
      <c r="G210" s="135" t="n">
        <v>3</v>
      </c>
      <c r="H210" s="5">
        <f>IF($I2="","",INDEX(Productos!$AG:$AG,$I2))</f>
        <v/>
      </c>
      <c r="I210" s="136">
        <f>LET(_xlpm.r,Productos!$E$2:$E$204,_xlpm.m,IFERROR(_xlfn.XMATCH(C210,_xlpm.r),IFERROR(_xlfn.XMATCH(VALUE(C210),_xlpm.r),0)),IF(_xlpm.m=0,"",_xlpm.m+1))</f>
        <v/>
      </c>
      <c r="J210" s="137" t="inlineStr">
        <is>
          <t>Shopify</t>
        </is>
      </c>
    </row>
    <row r="211">
      <c r="A211" s="5" t="inlineStr">
        <is>
          <t>Shopify Western Brothers › Western Brothers Outlet Lerma</t>
        </is>
      </c>
      <c r="B211" s="5">
        <f>IF($I2="","",INDEX(Productos!$A:$A,$I2))</f>
        <v/>
      </c>
      <c r="C211" s="134" t="inlineStr">
        <is>
          <t>JH005ST-32-34</t>
        </is>
      </c>
      <c r="D211" s="5">
        <f>IF($I2="","",INDEX(Productos!$B:$B,$I2))</f>
        <v/>
      </c>
      <c r="E211" s="5">
        <f>IF($I2="","",INDEX(Productos!$H:$H,$I2))</f>
        <v/>
      </c>
      <c r="F211" s="5">
        <f>IF($I2="","",INDEX(Productos!$I:$I,$I2))</f>
        <v/>
      </c>
      <c r="G211" s="135" t="n">
        <v>2</v>
      </c>
      <c r="H211" s="5">
        <f>IF($I2="","",INDEX(Productos!$AG:$AG,$I2))</f>
        <v/>
      </c>
      <c r="I211" s="136">
        <f>LET(_xlpm.r,Productos!$E$2:$E$204,_xlpm.m,IFERROR(_xlfn.XMATCH(C211,_xlpm.r),IFERROR(_xlfn.XMATCH(VALUE(C211),_xlpm.r),0)),IF(_xlpm.m=0,"",_xlpm.m+1))</f>
        <v/>
      </c>
      <c r="J211" s="137" t="inlineStr">
        <is>
          <t>Shopify</t>
        </is>
      </c>
    </row>
    <row r="212">
      <c r="A212" s="5" t="inlineStr">
        <is>
          <t>Shopify Western Brothers › Western Brothers Outlet Lerma</t>
        </is>
      </c>
      <c r="B212" s="5">
        <f>IF($I2="","",INDEX(Productos!$A:$A,$I2))</f>
        <v/>
      </c>
      <c r="C212" s="134" t="inlineStr">
        <is>
          <t>JH009-40-34</t>
        </is>
      </c>
      <c r="D212" s="5">
        <f>IF($I2="","",INDEX(Productos!$B:$B,$I2))</f>
        <v/>
      </c>
      <c r="E212" s="5">
        <f>IF($I2="","",INDEX(Productos!$H:$H,$I2))</f>
        <v/>
      </c>
      <c r="F212" s="5">
        <f>IF($I2="","",INDEX(Productos!$I:$I,$I2))</f>
        <v/>
      </c>
      <c r="G212" s="135" t="n">
        <v>2</v>
      </c>
      <c r="H212" s="5">
        <f>IF($I2="","",INDEX(Productos!$AG:$AG,$I2))</f>
        <v/>
      </c>
      <c r="I212" s="136">
        <f>LET(_xlpm.r,Productos!$E$2:$E$204,_xlpm.m,IFERROR(_xlfn.XMATCH(C212,_xlpm.r),IFERROR(_xlfn.XMATCH(VALUE(C212),_xlpm.r),0)),IF(_xlpm.m=0,"",_xlpm.m+1))</f>
        <v/>
      </c>
      <c r="J212" s="137" t="inlineStr">
        <is>
          <t>Shopify</t>
        </is>
      </c>
    </row>
    <row r="213">
      <c r="A213" s="5" t="inlineStr">
        <is>
          <t>Shopify Western Brothers › Western Brothers Outlet Lerma</t>
        </is>
      </c>
      <c r="B213" s="5">
        <f>IF($I2="","",INDEX(Productos!$A:$A,$I2))</f>
        <v/>
      </c>
      <c r="C213" s="134" t="inlineStr">
        <is>
          <t>JH010-28-34</t>
        </is>
      </c>
      <c r="D213" s="5">
        <f>IF($I2="","",INDEX(Productos!$B:$B,$I2))</f>
        <v/>
      </c>
      <c r="E213" s="5">
        <f>IF($I2="","",INDEX(Productos!$H:$H,$I2))</f>
        <v/>
      </c>
      <c r="F213" s="5">
        <f>IF($I2="","",INDEX(Productos!$I:$I,$I2))</f>
        <v/>
      </c>
      <c r="G213" s="135" t="n">
        <v>2</v>
      </c>
      <c r="H213" s="5">
        <f>IF($I2="","",INDEX(Productos!$AG:$AG,$I2))</f>
        <v/>
      </c>
      <c r="I213" s="136">
        <f>LET(_xlpm.r,Productos!$E$2:$E$204,_xlpm.m,IFERROR(_xlfn.XMATCH(C213,_xlpm.r),IFERROR(_xlfn.XMATCH(VALUE(C213),_xlpm.r),0)),IF(_xlpm.m=0,"",_xlpm.m+1))</f>
        <v/>
      </c>
      <c r="J213" s="137" t="inlineStr">
        <is>
          <t>Shopify</t>
        </is>
      </c>
    </row>
    <row r="214">
      <c r="A214" s="5" t="inlineStr">
        <is>
          <t>Shopify Western Brothers › Western Brothers Outlet Lerma</t>
        </is>
      </c>
      <c r="B214" s="5">
        <f>IF($I2="","",INDEX(Productos!$A:$A,$I2))</f>
        <v/>
      </c>
      <c r="C214" s="134" t="inlineStr">
        <is>
          <t>JH010-38-34</t>
        </is>
      </c>
      <c r="D214" s="5">
        <f>IF($I2="","",INDEX(Productos!$B:$B,$I2))</f>
        <v/>
      </c>
      <c r="E214" s="5">
        <f>IF($I2="","",INDEX(Productos!$H:$H,$I2))</f>
        <v/>
      </c>
      <c r="F214" s="5">
        <f>IF($I2="","",INDEX(Productos!$I:$I,$I2))</f>
        <v/>
      </c>
      <c r="G214" s="135" t="n">
        <v>1</v>
      </c>
      <c r="H214" s="5">
        <f>IF($I2="","",INDEX(Productos!$AG:$AG,$I2))</f>
        <v/>
      </c>
      <c r="I214" s="136">
        <f>LET(_xlpm.r,Productos!$E$2:$E$204,_xlpm.m,IFERROR(_xlfn.XMATCH(C214,_xlpm.r),IFERROR(_xlfn.XMATCH(VALUE(C214),_xlpm.r),0)),IF(_xlpm.m=0,"",_xlpm.m+1))</f>
        <v/>
      </c>
      <c r="J214" s="137" t="inlineStr">
        <is>
          <t>Shopify</t>
        </is>
      </c>
    </row>
    <row r="215">
      <c r="A215" s="5" t="inlineStr">
        <is>
          <t>Shopify Western Brothers › Western Brothers Outlet Lerma</t>
        </is>
      </c>
      <c r="B215" s="5">
        <f>IF($I2="","",INDEX(Productos!$A:$A,$I2))</f>
        <v/>
      </c>
      <c r="C215" s="134" t="inlineStr">
        <is>
          <t>SBMQCAD-9-63/4</t>
        </is>
      </c>
      <c r="D215" s="5">
        <f>IF($I2="","",INDEX(Productos!$B:$B,$I2))</f>
        <v/>
      </c>
      <c r="E215" s="5">
        <f>IF($I2="","",INDEX(Productos!$H:$H,$I2))</f>
        <v/>
      </c>
      <c r="F215" s="5">
        <f>IF($I2="","",INDEX(Productos!$I:$I,$I2))</f>
        <v/>
      </c>
      <c r="G215" s="135" t="n">
        <v>4</v>
      </c>
      <c r="H215" s="5">
        <f>IF($I2="","",INDEX(Productos!$AG:$AG,$I2))</f>
        <v/>
      </c>
      <c r="I215" s="136">
        <f>LET(_xlpm.r,Productos!$E$2:$E$204,_xlpm.m,IFERROR(_xlfn.XMATCH(C215,_xlpm.r),IFERROR(_xlfn.XMATCH(VALUE(C215),_xlpm.r),0)),IF(_xlpm.m=0,"",_xlpm.m+1))</f>
        <v/>
      </c>
      <c r="J215" s="137" t="inlineStr">
        <is>
          <t>Shopify</t>
        </is>
      </c>
    </row>
    <row r="216">
      <c r="A216" s="5" t="inlineStr">
        <is>
          <t>Shopify Western Brothers › Western Brothers Outlet Lerma</t>
        </is>
      </c>
      <c r="B216" s="5">
        <f>IF($I2="","",INDEX(Productos!$A:$A,$I2))</f>
        <v/>
      </c>
      <c r="C216" s="134" t="inlineStr">
        <is>
          <t>SBMQCAD-9-67/8</t>
        </is>
      </c>
      <c r="D216" s="5">
        <f>IF($I2="","",INDEX(Productos!$B:$B,$I2))</f>
        <v/>
      </c>
      <c r="E216" s="5">
        <f>IF($I2="","",INDEX(Productos!$H:$H,$I2))</f>
        <v/>
      </c>
      <c r="F216" s="5">
        <f>IF($I2="","",INDEX(Productos!$I:$I,$I2))</f>
        <v/>
      </c>
      <c r="G216" s="135" t="n">
        <v>4</v>
      </c>
      <c r="H216" s="5">
        <f>IF($I2="","",INDEX(Productos!$AG:$AG,$I2))</f>
        <v/>
      </c>
      <c r="I216" s="136">
        <f>LET(_xlpm.r,Productos!$E$2:$E$204,_xlpm.m,IFERROR(_xlfn.XMATCH(C216,_xlpm.r),IFERROR(_xlfn.XMATCH(VALUE(C216),_xlpm.r),0)),IF(_xlpm.m=0,"",_xlpm.m+1))</f>
        <v/>
      </c>
      <c r="J216" s="137" t="inlineStr">
        <is>
          <t>Shopify</t>
        </is>
      </c>
    </row>
    <row r="217">
      <c r="A217" s="5" t="inlineStr">
        <is>
          <t>Shopify Western Brothers › Western Brothers Outlet Lerma</t>
        </is>
      </c>
      <c r="B217" s="5">
        <f>IF($I2="","",INDEX(Productos!$A:$A,$I2))</f>
        <v/>
      </c>
      <c r="C217" s="134" t="inlineStr">
        <is>
          <t>SBMQCAD-9-71/2</t>
        </is>
      </c>
      <c r="D217" s="5">
        <f>IF($I2="","",INDEX(Productos!$B:$B,$I2))</f>
        <v/>
      </c>
      <c r="E217" s="5">
        <f>IF($I2="","",INDEX(Productos!$H:$H,$I2))</f>
        <v/>
      </c>
      <c r="F217" s="5">
        <f>IF($I2="","",INDEX(Productos!$I:$I,$I2))</f>
        <v/>
      </c>
      <c r="G217" s="135" t="n">
        <v>1</v>
      </c>
      <c r="H217" s="5">
        <f>IF($I2="","",INDEX(Productos!$AG:$AG,$I2))</f>
        <v/>
      </c>
      <c r="I217" s="136">
        <f>LET(_xlpm.r,Productos!$E$2:$E$204,_xlpm.m,IFERROR(_xlfn.XMATCH(C217,_xlpm.r),IFERROR(_xlfn.XMATCH(VALUE(C217),_xlpm.r),0)),IF(_xlpm.m=0,"",_xlpm.m+1))</f>
        <v/>
      </c>
      <c r="J217" s="137" t="inlineStr">
        <is>
          <t>Shopify</t>
        </is>
      </c>
    </row>
    <row r="218">
      <c r="A218" s="5" t="inlineStr">
        <is>
          <t>Shopify Western Brothers › Western Brothers Outlet Lerma</t>
        </is>
      </c>
      <c r="B218" s="5">
        <f>IF($I2="","",INDEX(Productos!$A:$A,$I2))</f>
        <v/>
      </c>
      <c r="C218" s="134" t="inlineStr">
        <is>
          <t>SBMQCAD-9-71/8</t>
        </is>
      </c>
      <c r="D218" s="5">
        <f>IF($I2="","",INDEX(Productos!$B:$B,$I2))</f>
        <v/>
      </c>
      <c r="E218" s="5">
        <f>IF($I2="","",INDEX(Productos!$H:$H,$I2))</f>
        <v/>
      </c>
      <c r="F218" s="5">
        <f>IF($I2="","",INDEX(Productos!$I:$I,$I2))</f>
        <v/>
      </c>
      <c r="G218" s="135" t="n">
        <v>1</v>
      </c>
      <c r="H218" s="5">
        <f>IF($I2="","",INDEX(Productos!$AG:$AG,$I2))</f>
        <v/>
      </c>
      <c r="I218" s="136">
        <f>LET(_xlpm.r,Productos!$E$2:$E$204,_xlpm.m,IFERROR(_xlfn.XMATCH(C218,_xlpm.r),IFERROR(_xlfn.XMATCH(VALUE(C218),_xlpm.r),0)),IF(_xlpm.m=0,"",_xlpm.m+1))</f>
        <v/>
      </c>
      <c r="J218" s="137" t="inlineStr">
        <is>
          <t>Shopify</t>
        </is>
      </c>
    </row>
    <row r="219">
      <c r="A219" s="5" t="inlineStr">
        <is>
          <t>Shopify Western Brothers › Western Brothers Outlet Lerma</t>
        </is>
      </c>
      <c r="B219" s="5">
        <f>IF($I2="","",INDEX(Productos!$A:$A,$I2))</f>
        <v/>
      </c>
      <c r="C219" s="134" t="inlineStr">
        <is>
          <t>SBTEJTD-7-63/4</t>
        </is>
      </c>
      <c r="D219" s="5">
        <f>IF($I2="","",INDEX(Productos!$B:$B,$I2))</f>
        <v/>
      </c>
      <c r="E219" s="5">
        <f>IF($I2="","",INDEX(Productos!$H:$H,$I2))</f>
        <v/>
      </c>
      <c r="F219" s="5">
        <f>IF($I2="","",INDEX(Productos!$I:$I,$I2))</f>
        <v/>
      </c>
      <c r="G219" s="135" t="n">
        <v>1</v>
      </c>
      <c r="H219" s="5">
        <f>IF($I2="","",INDEX(Productos!$AG:$AG,$I2))</f>
        <v/>
      </c>
      <c r="I219" s="136">
        <f>LET(_xlpm.r,Productos!$E$2:$E$204,_xlpm.m,IFERROR(_xlfn.XMATCH(C219,_xlpm.r),IFERROR(_xlfn.XMATCH(VALUE(C219),_xlpm.r),0)),IF(_xlpm.m=0,"",_xlpm.m+1))</f>
        <v/>
      </c>
      <c r="J219" s="137" t="inlineStr">
        <is>
          <t>Shopify</t>
        </is>
      </c>
    </row>
    <row r="220">
      <c r="A220" s="5" t="inlineStr">
        <is>
          <t>Shopify Western Brothers › Western Brothers Outlet Lerma</t>
        </is>
      </c>
      <c r="B220" s="5">
        <f>IF($I2="","",INDEX(Productos!$A:$A,$I2))</f>
        <v/>
      </c>
      <c r="C220" s="134" t="inlineStr">
        <is>
          <t>SBTEJTD-7-67/8</t>
        </is>
      </c>
      <c r="D220" s="5">
        <f>IF($I2="","",INDEX(Productos!$B:$B,$I2))</f>
        <v/>
      </c>
      <c r="E220" s="5">
        <f>IF($I2="","",INDEX(Productos!$H:$H,$I2))</f>
        <v/>
      </c>
      <c r="F220" s="5">
        <f>IF($I2="","",INDEX(Productos!$I:$I,$I2))</f>
        <v/>
      </c>
      <c r="G220" s="135" t="n">
        <v>3</v>
      </c>
      <c r="H220" s="5">
        <f>IF($I2="","",INDEX(Productos!$AG:$AG,$I2))</f>
        <v/>
      </c>
      <c r="I220" s="136">
        <f>LET(_xlpm.r,Productos!$E$2:$E$204,_xlpm.m,IFERROR(_xlfn.XMATCH(C220,_xlpm.r),IFERROR(_xlfn.XMATCH(VALUE(C220),_xlpm.r),0)),IF(_xlpm.m=0,"",_xlpm.m+1))</f>
        <v/>
      </c>
      <c r="J220" s="137" t="inlineStr">
        <is>
          <t>Shopify</t>
        </is>
      </c>
    </row>
    <row r="221">
      <c r="A221" s="5" t="inlineStr">
        <is>
          <t>Shopify Western Brothers › Western Brothers Outlet Lerma</t>
        </is>
      </c>
      <c r="B221" s="5">
        <f>IF($I2="","",INDEX(Productos!$A:$A,$I2))</f>
        <v/>
      </c>
      <c r="C221" s="134" t="inlineStr">
        <is>
          <t>SBTEJTD-7-7</t>
        </is>
      </c>
      <c r="D221" s="5">
        <f>IF($I2="","",INDEX(Productos!$B:$B,$I2))</f>
        <v/>
      </c>
      <c r="E221" s="5">
        <f>IF($I2="","",INDEX(Productos!$H:$H,$I2))</f>
        <v/>
      </c>
      <c r="F221" s="5">
        <f>IF($I2="","",INDEX(Productos!$I:$I,$I2))</f>
        <v/>
      </c>
      <c r="G221" s="135" t="n">
        <v>3</v>
      </c>
      <c r="H221" s="5">
        <f>IF($I2="","",INDEX(Productos!$AG:$AG,$I2))</f>
        <v/>
      </c>
      <c r="I221" s="136">
        <f>LET(_xlpm.r,Productos!$E$2:$E$204,_xlpm.m,IFERROR(_xlfn.XMATCH(C221,_xlpm.r),IFERROR(_xlfn.XMATCH(VALUE(C221),_xlpm.r),0)),IF(_xlpm.m=0,"",_xlpm.m+1))</f>
        <v/>
      </c>
      <c r="J221" s="137" t="inlineStr">
        <is>
          <t>Shopify</t>
        </is>
      </c>
    </row>
    <row r="222">
      <c r="A222" s="5" t="inlineStr">
        <is>
          <t>Shopify Western Brothers › Western Brothers Outlet Lerma</t>
        </is>
      </c>
      <c r="B222" s="5">
        <f>IF($I2="","",INDEX(Productos!$A:$A,$I2))</f>
        <v/>
      </c>
      <c r="C222" s="134" t="inlineStr">
        <is>
          <t>SBTEJTD-7-71/4</t>
        </is>
      </c>
      <c r="D222" s="5">
        <f>IF($I2="","",INDEX(Productos!$B:$B,$I2))</f>
        <v/>
      </c>
      <c r="E222" s="5">
        <f>IF($I2="","",INDEX(Productos!$H:$H,$I2))</f>
        <v/>
      </c>
      <c r="F222" s="5">
        <f>IF($I2="","",INDEX(Productos!$I:$I,$I2))</f>
        <v/>
      </c>
      <c r="G222" s="135" t="n">
        <v>1</v>
      </c>
      <c r="H222" s="5">
        <f>IF($I2="","",INDEX(Productos!$AG:$AG,$I2))</f>
        <v/>
      </c>
      <c r="I222" s="136">
        <f>LET(_xlpm.r,Productos!$E$2:$E$204,_xlpm.m,IFERROR(_xlfn.XMATCH(C222,_xlpm.r),IFERROR(_xlfn.XMATCH(VALUE(C222),_xlpm.r),0)),IF(_xlpm.m=0,"",_xlpm.m+1))</f>
        <v/>
      </c>
      <c r="J222" s="137" t="inlineStr">
        <is>
          <t>Shopify</t>
        </is>
      </c>
    </row>
    <row r="223">
      <c r="A223" s="5" t="inlineStr">
        <is>
          <t>Shopify Western Brothers › Western Brothers Outlet Lerma</t>
        </is>
      </c>
      <c r="B223" s="5">
        <f>IF($I2="","",INDEX(Productos!$A:$A,$I2))</f>
        <v/>
      </c>
      <c r="C223" s="134" t="inlineStr">
        <is>
          <t>SBTEJTD-7-73/8</t>
        </is>
      </c>
      <c r="D223" s="5">
        <f>IF($I2="","",INDEX(Productos!$B:$B,$I2))</f>
        <v/>
      </c>
      <c r="E223" s="5">
        <f>IF($I2="","",INDEX(Productos!$H:$H,$I2))</f>
        <v/>
      </c>
      <c r="F223" s="5">
        <f>IF($I2="","",INDEX(Productos!$I:$I,$I2))</f>
        <v/>
      </c>
      <c r="G223" s="135" t="n">
        <v>1</v>
      </c>
      <c r="H223" s="5">
        <f>IF($I2="","",INDEX(Productos!$AG:$AG,$I2))</f>
        <v/>
      </c>
      <c r="I223" s="136">
        <f>LET(_xlpm.r,Productos!$E$2:$E$204,_xlpm.m,IFERROR(_xlfn.XMATCH(C223,_xlpm.r),IFERROR(_xlfn.XMATCH(VALUE(C223),_xlpm.r),0)),IF(_xlpm.m=0,"",_xlpm.m+1))</f>
        <v/>
      </c>
      <c r="J223" s="137" t="inlineStr">
        <is>
          <t>Shopify</t>
        </is>
      </c>
    </row>
    <row r="224">
      <c r="A224" s="5" t="inlineStr">
        <is>
          <t>Shopify Western Brothers › Western Brothers Outlet Lerma</t>
        </is>
      </c>
      <c r="B224" s="5">
        <f>IF($I2="","",INDEX(Productos!$A:$A,$I2))</f>
        <v/>
      </c>
      <c r="C224" s="134" t="inlineStr">
        <is>
          <t>TSCP-002-M</t>
        </is>
      </c>
      <c r="D224" s="5">
        <f>IF($I2="","",INDEX(Productos!$B:$B,$I2))</f>
        <v/>
      </c>
      <c r="E224" s="5">
        <f>IF($I2="","",INDEX(Productos!$H:$H,$I2))</f>
        <v/>
      </c>
      <c r="F224" s="5">
        <f>IF($I2="","",INDEX(Productos!$I:$I,$I2))</f>
        <v/>
      </c>
      <c r="G224" s="135" t="n">
        <v>3</v>
      </c>
      <c r="H224" s="5">
        <f>IF($I2="","",INDEX(Productos!$AG:$AG,$I2))</f>
        <v/>
      </c>
      <c r="I224" s="136">
        <f>LET(_xlpm.r,Productos!$E$2:$E$204,_xlpm.m,IFERROR(_xlfn.XMATCH(C224,_xlpm.r),IFERROR(_xlfn.XMATCH(VALUE(C224),_xlpm.r),0)),IF(_xlpm.m=0,"",_xlpm.m+1))</f>
        <v/>
      </c>
      <c r="J224" s="137" t="inlineStr">
        <is>
          <t>Shopify</t>
        </is>
      </c>
    </row>
    <row r="225">
      <c r="A225" s="5" t="inlineStr">
        <is>
          <t>Shopify Western Brothers › Western Brothers Outlet Lerma</t>
        </is>
      </c>
      <c r="B225" s="5">
        <f>IF($I2="","",INDEX(Productos!$A:$A,$I2))</f>
        <v/>
      </c>
      <c r="C225" s="134" t="inlineStr">
        <is>
          <t>TSCP-002-S</t>
        </is>
      </c>
      <c r="D225" s="5">
        <f>IF($I2="","",INDEX(Productos!$B:$B,$I2))</f>
        <v/>
      </c>
      <c r="E225" s="5">
        <f>IF($I2="","",INDEX(Productos!$H:$H,$I2))</f>
        <v/>
      </c>
      <c r="F225" s="5">
        <f>IF($I2="","",INDEX(Productos!$I:$I,$I2))</f>
        <v/>
      </c>
      <c r="G225" s="135" t="n">
        <v>3</v>
      </c>
      <c r="H225" s="5">
        <f>IF($I2="","",INDEX(Productos!$AG:$AG,$I2))</f>
        <v/>
      </c>
      <c r="I225" s="136">
        <f>LET(_xlpm.r,Productos!$E$2:$E$204,_xlpm.m,IFERROR(_xlfn.XMATCH(C225,_xlpm.r),IFERROR(_xlfn.XMATCH(VALUE(C225),_xlpm.r),0)),IF(_xlpm.m=0,"",_xlpm.m+1))</f>
        <v/>
      </c>
      <c r="J225" s="137" t="inlineStr">
        <is>
          <t>Shopify</t>
        </is>
      </c>
    </row>
    <row r="226">
      <c r="A226" s="5" t="inlineStr">
        <is>
          <t>Shopify Western Brothers › Western Brothers Outlet Lerma</t>
        </is>
      </c>
      <c r="B226" s="5">
        <f>IF($I2="","",INDEX(Productos!$A:$A,$I2))</f>
        <v/>
      </c>
      <c r="C226" s="134" t="inlineStr">
        <is>
          <t>TSCP-002-XL</t>
        </is>
      </c>
      <c r="D226" s="5">
        <f>IF($I2="","",INDEX(Productos!$B:$B,$I2))</f>
        <v/>
      </c>
      <c r="E226" s="5">
        <f>IF($I2="","",INDEX(Productos!$H:$H,$I2))</f>
        <v/>
      </c>
      <c r="F226" s="5">
        <f>IF($I2="","",INDEX(Productos!$I:$I,$I2))</f>
        <v/>
      </c>
      <c r="G226" s="135" t="n">
        <v>1</v>
      </c>
      <c r="H226" s="5">
        <f>IF($I2="","",INDEX(Productos!$AG:$AG,$I2))</f>
        <v/>
      </c>
      <c r="I226" s="136">
        <f>LET(_xlpm.r,Productos!$E$2:$E$204,_xlpm.m,IFERROR(_xlfn.XMATCH(C226,_xlpm.r),IFERROR(_xlfn.XMATCH(VALUE(C226),_xlpm.r),0)),IF(_xlpm.m=0,"",_xlpm.m+1))</f>
        <v/>
      </c>
      <c r="J226" s="137" t="inlineStr">
        <is>
          <t>Shopify</t>
        </is>
      </c>
    </row>
    <row r="227">
      <c r="A227" s="5" t="inlineStr">
        <is>
          <t>Shopify Western Brothers › Western Brothers Outlet Lerma</t>
        </is>
      </c>
      <c r="B227" s="5">
        <f>IF($I2="","",INDEX(Productos!$A:$A,$I2))</f>
        <v/>
      </c>
      <c r="C227" s="134" t="inlineStr">
        <is>
          <t>TSCP-006-M</t>
        </is>
      </c>
      <c r="D227" s="5">
        <f>IF($I2="","",INDEX(Productos!$B:$B,$I2))</f>
        <v/>
      </c>
      <c r="E227" s="5">
        <f>IF($I2="","",INDEX(Productos!$H:$H,$I2))</f>
        <v/>
      </c>
      <c r="F227" s="5">
        <f>IF($I2="","",INDEX(Productos!$I:$I,$I2))</f>
        <v/>
      </c>
      <c r="G227" s="135" t="n">
        <v>2</v>
      </c>
      <c r="H227" s="5">
        <f>IF($I2="","",INDEX(Productos!$AG:$AG,$I2))</f>
        <v/>
      </c>
      <c r="I227" s="136">
        <f>LET(_xlpm.r,Productos!$E$2:$E$204,_xlpm.m,IFERROR(_xlfn.XMATCH(C227,_xlpm.r),IFERROR(_xlfn.XMATCH(VALUE(C227),_xlpm.r),0)),IF(_xlpm.m=0,"",_xlpm.m+1))</f>
        <v/>
      </c>
      <c r="J227" s="137" t="inlineStr">
        <is>
          <t>Shopify</t>
        </is>
      </c>
    </row>
    <row r="228">
      <c r="A228" s="5" t="inlineStr">
        <is>
          <t>Shopify Western Brothers › Western Brothers Outlet Lerma</t>
        </is>
      </c>
      <c r="B228" s="5">
        <f>IF($I2="","",INDEX(Productos!$A:$A,$I2))</f>
        <v/>
      </c>
      <c r="C228" s="134" t="inlineStr">
        <is>
          <t>TSCP-006-S</t>
        </is>
      </c>
      <c r="D228" s="5">
        <f>IF($I2="","",INDEX(Productos!$B:$B,$I2))</f>
        <v/>
      </c>
      <c r="E228" s="5">
        <f>IF($I2="","",INDEX(Productos!$H:$H,$I2))</f>
        <v/>
      </c>
      <c r="F228" s="5">
        <f>IF($I2="","",INDEX(Productos!$I:$I,$I2))</f>
        <v/>
      </c>
      <c r="G228" s="135" t="n">
        <v>4</v>
      </c>
      <c r="H228" s="5">
        <f>IF($I2="","",INDEX(Productos!$AG:$AG,$I2))</f>
        <v/>
      </c>
      <c r="I228" s="136">
        <f>LET(_xlpm.r,Productos!$E$2:$E$204,_xlpm.m,IFERROR(_xlfn.XMATCH(C228,_xlpm.r),IFERROR(_xlfn.XMATCH(VALUE(C228),_xlpm.r),0)),IF(_xlpm.m=0,"",_xlpm.m+1))</f>
        <v/>
      </c>
      <c r="J228" s="137" t="inlineStr">
        <is>
          <t>Shopify</t>
        </is>
      </c>
    </row>
    <row r="229">
      <c r="A229" s="5" t="inlineStr">
        <is>
          <t>Shopify Western Brothers › Western Brothers Outlet Lerma</t>
        </is>
      </c>
      <c r="B229" s="5">
        <f>IF($I2="","",INDEX(Productos!$A:$A,$I2))</f>
        <v/>
      </c>
      <c r="C229" s="134" t="inlineStr">
        <is>
          <t>TXMTYSLD-17-63/4</t>
        </is>
      </c>
      <c r="D229" s="5">
        <f>IF($I2="","",INDEX(Productos!$B:$B,$I2))</f>
        <v/>
      </c>
      <c r="E229" s="5">
        <f>IF($I2="","",INDEX(Productos!$H:$H,$I2))</f>
        <v/>
      </c>
      <c r="F229" s="5">
        <f>IF($I2="","",INDEX(Productos!$I:$I,$I2))</f>
        <v/>
      </c>
      <c r="G229" s="135" t="n">
        <v>2</v>
      </c>
      <c r="H229" s="5">
        <f>IF($I2="","",INDEX(Productos!$AG:$AG,$I2))</f>
        <v/>
      </c>
      <c r="I229" s="136">
        <f>LET(_xlpm.r,Productos!$E$2:$E$204,_xlpm.m,IFERROR(_xlfn.XMATCH(C229,_xlpm.r),IFERROR(_xlfn.XMATCH(VALUE(C229),_xlpm.r),0)),IF(_xlpm.m=0,"",_xlpm.m+1))</f>
        <v/>
      </c>
      <c r="J229" s="137" t="inlineStr">
        <is>
          <t>Shopify</t>
        </is>
      </c>
    </row>
    <row r="230">
      <c r="A230" s="5" t="inlineStr">
        <is>
          <t>Shopify Western Brothers › Western Brothers Outlet Lerma</t>
        </is>
      </c>
      <c r="B230" s="5">
        <f>IF($I2="","",INDEX(Productos!$A:$A,$I2))</f>
        <v/>
      </c>
      <c r="C230" s="134" t="inlineStr">
        <is>
          <t>TXMTYSLD-17-71/2</t>
        </is>
      </c>
      <c r="D230" s="5">
        <f>IF($I2="","",INDEX(Productos!$B:$B,$I2))</f>
        <v/>
      </c>
      <c r="E230" s="5">
        <f>IF($I2="","",INDEX(Productos!$H:$H,$I2))</f>
        <v/>
      </c>
      <c r="F230" s="5">
        <f>IF($I2="","",INDEX(Productos!$I:$I,$I2))</f>
        <v/>
      </c>
      <c r="G230" s="135" t="n">
        <v>4</v>
      </c>
      <c r="H230" s="5">
        <f>IF($I2="","",INDEX(Productos!$AG:$AG,$I2))</f>
        <v/>
      </c>
      <c r="I230" s="136">
        <f>LET(_xlpm.r,Productos!$E$2:$E$204,_xlpm.m,IFERROR(_xlfn.XMATCH(C230,_xlpm.r),IFERROR(_xlfn.XMATCH(VALUE(C230),_xlpm.r),0)),IF(_xlpm.m=0,"",_xlpm.m+1))</f>
        <v/>
      </c>
      <c r="J230" s="137" t="inlineStr">
        <is>
          <t>Shopify</t>
        </is>
      </c>
    </row>
    <row r="231">
      <c r="A231" s="5" t="inlineStr">
        <is>
          <t>Shopify Western Brothers › Western Brothers Outlet Lerma</t>
        </is>
      </c>
      <c r="B231" s="5">
        <f>IF($I2="","",INDEX(Productos!$A:$A,$I2))</f>
        <v/>
      </c>
      <c r="C231" s="134" t="inlineStr">
        <is>
          <t>TXMTYSLD-17-71/4</t>
        </is>
      </c>
      <c r="D231" s="5">
        <f>IF($I2="","",INDEX(Productos!$B:$B,$I2))</f>
        <v/>
      </c>
      <c r="E231" s="5">
        <f>IF($I2="","",INDEX(Productos!$H:$H,$I2))</f>
        <v/>
      </c>
      <c r="F231" s="5">
        <f>IF($I2="","",INDEX(Productos!$I:$I,$I2))</f>
        <v/>
      </c>
      <c r="G231" s="135" t="n">
        <v>3</v>
      </c>
      <c r="H231" s="5">
        <f>IF($I2="","",INDEX(Productos!$AG:$AG,$I2))</f>
        <v/>
      </c>
      <c r="I231" s="136">
        <f>LET(_xlpm.r,Productos!$E$2:$E$204,_xlpm.m,IFERROR(_xlfn.XMATCH(C231,_xlpm.r),IFERROR(_xlfn.XMATCH(VALUE(C231),_xlpm.r),0)),IF(_xlpm.m=0,"",_xlpm.m+1))</f>
        <v/>
      </c>
      <c r="J231" s="137" t="inlineStr">
        <is>
          <t>Shopify</t>
        </is>
      </c>
    </row>
    <row r="232">
      <c r="A232" s="5" t="inlineStr">
        <is>
          <t>Shopify Western Brothers › Western Brothers Outlet Lerma</t>
        </is>
      </c>
      <c r="B232" s="5">
        <f>IF($I2="","",INDEX(Productos!$A:$A,$I2))</f>
        <v/>
      </c>
      <c r="C232" s="134" t="inlineStr">
        <is>
          <t>TXMTYSLD-17-71/8</t>
        </is>
      </c>
      <c r="D232" s="5">
        <f>IF($I2="","",INDEX(Productos!$B:$B,$I2))</f>
        <v/>
      </c>
      <c r="E232" s="5">
        <f>IF($I2="","",INDEX(Productos!$H:$H,$I2))</f>
        <v/>
      </c>
      <c r="F232" s="5">
        <f>IF($I2="","",INDEX(Productos!$I:$I,$I2))</f>
        <v/>
      </c>
      <c r="G232" s="135" t="n">
        <v>1</v>
      </c>
      <c r="H232" s="5">
        <f>IF($I2="","",INDEX(Productos!$AG:$AG,$I2))</f>
        <v/>
      </c>
      <c r="I232" s="136">
        <f>LET(_xlpm.r,Productos!$E$2:$E$204,_xlpm.m,IFERROR(_xlfn.XMATCH(C232,_xlpm.r),IFERROR(_xlfn.XMATCH(VALUE(C232),_xlpm.r),0)),IF(_xlpm.m=0,"",_xlpm.m+1))</f>
        <v/>
      </c>
      <c r="J232" s="137" t="inlineStr">
        <is>
          <t>Shopify</t>
        </is>
      </c>
    </row>
    <row r="233">
      <c r="A233" s="5" t="inlineStr">
        <is>
          <t>Shopify Western Brothers › Western Brothers Outlet Lerma</t>
        </is>
      </c>
      <c r="B233" s="5">
        <f>IF($I2="","",INDEX(Productos!$A:$A,$I2))</f>
        <v/>
      </c>
      <c r="C233" s="134" t="inlineStr">
        <is>
          <t>TXMTYSLD-17-73/8</t>
        </is>
      </c>
      <c r="D233" s="5">
        <f>IF($I2="","",INDEX(Productos!$B:$B,$I2))</f>
        <v/>
      </c>
      <c r="E233" s="5">
        <f>IF($I2="","",INDEX(Productos!$H:$H,$I2))</f>
        <v/>
      </c>
      <c r="F233" s="5">
        <f>IF($I2="","",INDEX(Productos!$I:$I,$I2))</f>
        <v/>
      </c>
      <c r="G233" s="135" t="n">
        <v>4</v>
      </c>
      <c r="H233" s="5">
        <f>IF($I2="","",INDEX(Productos!$AG:$AG,$I2))</f>
        <v/>
      </c>
      <c r="I233" s="136">
        <f>LET(_xlpm.r,Productos!$E$2:$E$204,_xlpm.m,IFERROR(_xlfn.XMATCH(C233,_xlpm.r),IFERROR(_xlfn.XMATCH(VALUE(C233),_xlpm.r),0)),IF(_xlpm.m=0,"",_xlpm.m+1))</f>
        <v/>
      </c>
      <c r="J233" s="137" t="inlineStr">
        <is>
          <t>Shopify</t>
        </is>
      </c>
    </row>
    <row r="234">
      <c r="A234" s="5" t="inlineStr">
        <is>
          <t>Shopify Western Brothers › Western Brothers Outlet Lerma</t>
        </is>
      </c>
      <c r="B234" s="5">
        <f>IF($I2="","",INDEX(Productos!$A:$A,$I2))</f>
        <v/>
      </c>
      <c r="C234" s="134" t="inlineStr">
        <is>
          <t>TXMTYSLD-19-63/4</t>
        </is>
      </c>
      <c r="D234" s="5">
        <f>IF($I2="","",INDEX(Productos!$B:$B,$I2))</f>
        <v/>
      </c>
      <c r="E234" s="5">
        <f>IF($I2="","",INDEX(Productos!$H:$H,$I2))</f>
        <v/>
      </c>
      <c r="F234" s="5">
        <f>IF($I2="","",INDEX(Productos!$I:$I,$I2))</f>
        <v/>
      </c>
      <c r="G234" s="135" t="n">
        <v>2</v>
      </c>
      <c r="H234" s="5">
        <f>IF($I2="","",INDEX(Productos!$AG:$AG,$I2))</f>
        <v/>
      </c>
      <c r="I234" s="136">
        <f>LET(_xlpm.r,Productos!$E$2:$E$204,_xlpm.m,IFERROR(_xlfn.XMATCH(C234,_xlpm.r),IFERROR(_xlfn.XMATCH(VALUE(C234),_xlpm.r),0)),IF(_xlpm.m=0,"",_xlpm.m+1))</f>
        <v/>
      </c>
      <c r="J234" s="137" t="inlineStr">
        <is>
          <t>Shopify</t>
        </is>
      </c>
    </row>
    <row r="235">
      <c r="A235" s="5" t="inlineStr">
        <is>
          <t>Shopify Western Brothers › Western Brothers Outlet Lerma</t>
        </is>
      </c>
      <c r="B235" s="5">
        <f>IF($I2="","",INDEX(Productos!$A:$A,$I2))</f>
        <v/>
      </c>
      <c r="C235" s="134" t="inlineStr">
        <is>
          <t>VE908-PP4-XL</t>
        </is>
      </c>
      <c r="D235" s="5">
        <f>IF($I2="","",INDEX(Productos!$B:$B,$I2))</f>
        <v/>
      </c>
      <c r="E235" s="5">
        <f>IF($I2="","",INDEX(Productos!$H:$H,$I2))</f>
        <v/>
      </c>
      <c r="F235" s="5">
        <f>IF($I2="","",INDEX(Productos!$I:$I,$I2))</f>
        <v/>
      </c>
      <c r="G235" s="135" t="n">
        <v>1</v>
      </c>
      <c r="H235" s="5">
        <f>IF($I2="","",INDEX(Productos!$AG:$AG,$I2))</f>
        <v/>
      </c>
      <c r="I235" s="136">
        <f>LET(_xlpm.r,Productos!$E$2:$E$204,_xlpm.m,IFERROR(_xlfn.XMATCH(C235,_xlpm.r),IFERROR(_xlfn.XMATCH(VALUE(C235),_xlpm.r),0)),IF(_xlpm.m=0,"",_xlpm.m+1))</f>
        <v/>
      </c>
      <c r="J235" s="137" t="inlineStr">
        <is>
          <t>Shopify</t>
        </is>
      </c>
    </row>
    <row r="236">
      <c r="A236" s="5" t="inlineStr">
        <is>
          <t>Shopify Western Brothers › Western Brothers Outlet Lerma</t>
        </is>
      </c>
      <c r="B236" s="5">
        <f>IF($I2="","",INDEX(Productos!$A:$A,$I2))</f>
        <v/>
      </c>
      <c r="C236" s="134" t="inlineStr">
        <is>
          <t>WJK917-FG29-5-S</t>
        </is>
      </c>
      <c r="D236" s="5">
        <f>IF($I2="","",INDEX(Productos!$B:$B,$I2))</f>
        <v/>
      </c>
      <c r="E236" s="5">
        <f>IF($I2="","",INDEX(Productos!$H:$H,$I2))</f>
        <v/>
      </c>
      <c r="F236" s="5">
        <f>IF($I2="","",INDEX(Productos!$I:$I,$I2))</f>
        <v/>
      </c>
      <c r="G236" s="135" t="n">
        <v>1</v>
      </c>
      <c r="H236" s="5">
        <f>IF($I2="","",INDEX(Productos!$AG:$AG,$I2))</f>
        <v/>
      </c>
      <c r="I236" s="136">
        <f>LET(_xlpm.r,Productos!$E$2:$E$204,_xlpm.m,IFERROR(_xlfn.XMATCH(C236,_xlpm.r),IFERROR(_xlfn.XMATCH(VALUE(C236),_xlpm.r),0)),IF(_xlpm.m=0,"",_xlpm.m+1))</f>
        <v/>
      </c>
      <c r="J236" s="137" t="inlineStr">
        <is>
          <t>Shopify</t>
        </is>
      </c>
    </row>
    <row r="237">
      <c r="A237" s="5" t="inlineStr">
        <is>
          <t>Shopify Western Brothers › Western Brothers Outlet Lerma</t>
        </is>
      </c>
      <c r="B237" s="5">
        <f>IF($I2="","",INDEX(Productos!$A:$A,$I2))</f>
        <v/>
      </c>
      <c r="C237" s="134" t="inlineStr">
        <is>
          <t>WVE913-FG1-2-M</t>
        </is>
      </c>
      <c r="D237" s="5">
        <f>IF($I2="","",INDEX(Productos!$B:$B,$I2))</f>
        <v/>
      </c>
      <c r="E237" s="5">
        <f>IF($I2="","",INDEX(Productos!$H:$H,$I2))</f>
        <v/>
      </c>
      <c r="F237" s="5">
        <f>IF($I2="","",INDEX(Productos!$I:$I,$I2))</f>
        <v/>
      </c>
      <c r="G237" s="135" t="n">
        <v>2</v>
      </c>
      <c r="H237" s="5">
        <f>IF($I2="","",INDEX(Productos!$AG:$AG,$I2))</f>
        <v/>
      </c>
      <c r="I237" s="136">
        <f>LET(_xlpm.r,Productos!$E$2:$E$204,_xlpm.m,IFERROR(_xlfn.XMATCH(C237,_xlpm.r),IFERROR(_xlfn.XMATCH(VALUE(C237),_xlpm.r),0)),IF(_xlpm.m=0,"",_xlpm.m+1))</f>
        <v/>
      </c>
      <c r="J237" s="137" t="inlineStr">
        <is>
          <t>Shopify</t>
        </is>
      </c>
    </row>
    <row r="238">
      <c r="A238" s="5" t="inlineStr">
        <is>
          <t>Shopify Western Brothers › Western Brothers Outlet Lerma</t>
        </is>
      </c>
      <c r="B238" s="5">
        <f>IF($I2="","",INDEX(Productos!$A:$A,$I2))</f>
        <v/>
      </c>
      <c r="C238" s="134" t="inlineStr">
        <is>
          <t>WVE913-FG1-2-S</t>
        </is>
      </c>
      <c r="D238" s="5">
        <f>IF($I2="","",INDEX(Productos!$B:$B,$I2))</f>
        <v/>
      </c>
      <c r="E238" s="5">
        <f>IF($I2="","",INDEX(Productos!$H:$H,$I2))</f>
        <v/>
      </c>
      <c r="F238" s="5">
        <f>IF($I2="","",INDEX(Productos!$I:$I,$I2))</f>
        <v/>
      </c>
      <c r="G238" s="135" t="n">
        <v>1</v>
      </c>
      <c r="H238" s="5">
        <f>IF($I2="","",INDEX(Productos!$AG:$AG,$I2))</f>
        <v/>
      </c>
      <c r="I238" s="136">
        <f>LET(_xlpm.r,Productos!$E$2:$E$204,_xlpm.m,IFERROR(_xlfn.XMATCH(C238,_xlpm.r),IFERROR(_xlfn.XMATCH(VALUE(C238),_xlpm.r),0)),IF(_xlpm.m=0,"",_xlpm.m+1))</f>
        <v/>
      </c>
      <c r="J238" s="137" t="inlineStr">
        <is>
          <t>Shopify</t>
        </is>
      </c>
    </row>
  </sheetData>
  <autoFilter ref="A1:J238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IF(ISNUMBER(I6),SUM(I6:I744),0)</f>
        <v/>
      </c>
      <c r="F3" s="145" t="inlineStr">
        <is>
          <t>Renglones:</t>
        </is>
      </c>
      <c r="G3" s="144">
        <f>IF(ISNUMBER(I6),COUNT(I6:I744),0)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43"",""""))))),pE,Productos!$E$2:$E$204,pA,Productos!$A$2:$A$204&amp;"""",s,'Stock por Ubicación'!$A$2:$J$238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$204,""""),sk,XLOOKUP(sk,pE,Produc"&amp;"tos!$B$2:$B$2502,""""),XLOOKUP(sk,pE,Productos!$H$2:$H$204,""""),XLOOKUP(sk,pE,Productos!$I$2:$I$204,""""),pz),IFERROR(FILTER(rw,pz&gt;0),""""))),todo,IF(INDEX(a,1,1)="""",b,IF(INDEX(b,1,1)="""",a,VSTACK(a,b))),IF(INDEX(todo,1,1)="""",""Sin existencias en "&amp;"esta bodega"",LET(tl,XLOOKUP(INDEX(todo,0,4),pE,Productos!$F$2:$F$204,"""")&amp;"""",o,HSTACK(CHOOSECOLS(todo,1,2,3,4,5,6,7),tl,CHOOSECOLS(todo,8)),x,SORT(o,1,TRUE,4,TRUE),IF(x="""","""",x)))))"),"B25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IF(ISNUMBER(I6),SUM(I6:I744),0)</f>
        <v/>
      </c>
      <c r="F3" s="145" t="inlineStr">
        <is>
          <t>Renglones:</t>
        </is>
      </c>
      <c r="G3" s="144">
        <f>IF(ISNUMBER(I6),COUNT(I6:I744),0)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43"",""""))))),pE,Productos!$E$2:$E$204,s,'Stock por Ubicación'!$A$2:$J$238,su,INDEX(s,0,1),sq,INDEX(s,0,7),selSis,(su&lt;&gt;"""")*ISNUMBER(sq)*(sq&gt;0)*(asig(su)=bod)&gt;0,a,IFERROR(FILTER(CHOOSECOLS(s,1,10,2,3,4,5,6,7),sel"&amp;"Sis),""""),tu,Table_2[Ubicación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$204,""""),sk,XLOOKUP(sk,pE,Productos!$B$2:$B$204"&amp;"02,""""),XLOOKUP(sk,pE,Productos!$H$2:$H$204,""""),XLOOKUP(sk,pE,Productos!$I$2:$I$204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$204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76" min="1" max="1"/>
    <col width="22" customWidth="1" style="176" min="2" max="2"/>
    <col width="22" customWidth="1" style="176" min="3" max="3"/>
    <col width="22" customWidth="1" style="176" min="4" max="4"/>
    <col width="22" customWidth="1" style="176" min="5" max="5"/>
    <col width="40" customWidth="1" style="176" min="6" max="6"/>
    <col width="22" customWidth="1" style="176" min="7" max="7"/>
    <col width="22" customWidth="1" style="176" min="8" max="8"/>
    <col width="22" customWidth="1" style="176" min="9" max="9"/>
    <col width="22" customWidth="1" style="176" min="10" max="10"/>
    <col width="22" customWidth="1" style="176" min="11" max="11"/>
    <col width="22" customWidth="1" style="176" min="12" max="12"/>
    <col width="14" customWidth="1" style="176" min="13" max="13"/>
    <col width="14" customWidth="1" style="176" min="14" max="14"/>
    <col width="14" customWidth="1" style="176" min="15" max="15"/>
    <col width="14" customWidth="1" style="176" min="16" max="16"/>
    <col width="14" customWidth="1" style="176" min="17" max="17"/>
    <col width="14" customWidth="1" style="176" min="18" max="18"/>
    <col width="14" customWidth="1" style="176" min="19" max="19"/>
    <col width="14" customWidth="1" style="176" min="20" max="20"/>
    <col width="14" customWidth="1" style="176" min="21" max="21"/>
    <col width="22" customWidth="1" style="176" min="22" max="22"/>
    <col width="14" customWidth="1" style="176" min="23" max="23"/>
    <col width="14" customWidth="1" style="176" min="24" max="24"/>
    <col width="14" customWidth="1" style="176" min="25" max="25"/>
    <col width="14" customWidth="1" style="176" min="26" max="26"/>
    <col width="22" customWidth="1" style="176" min="27" max="27"/>
    <col width="14" customWidth="1" style="176" min="28" max="28"/>
    <col width="14" customWidth="1" style="176" min="29" max="29"/>
    <col width="22" customWidth="1" style="176" min="30" max="30"/>
    <col width="14" customWidth="1" style="176" min="31" max="31"/>
  </cols>
  <sheetData>
    <row r="1" ht="45" customHeight="1" s="176">
      <c r="A1" s="185" t="inlineStr">
        <is>
          <t>Código de barras</t>
        </is>
      </c>
      <c r="B1" s="185" t="inlineStr">
        <is>
          <t>Identificador interno</t>
        </is>
      </c>
      <c r="C1" s="185" t="inlineStr">
        <is>
          <t>WB SKU</t>
        </is>
      </c>
      <c r="D1" s="185" t="inlineStr">
        <is>
          <t>WB N.º de estilo</t>
        </is>
      </c>
      <c r="E1" s="185" t="inlineStr">
        <is>
          <t>WB Marca</t>
        </is>
      </c>
      <c r="F1" s="185" t="inlineStr">
        <is>
          <t>WB Descripcion</t>
        </is>
      </c>
      <c r="G1" s="185" t="inlineStr">
        <is>
          <t>WB Talla</t>
        </is>
      </c>
      <c r="H1" s="185" t="inlineStr">
        <is>
          <t>WB Color</t>
        </is>
      </c>
      <c r="I1" s="185" t="inlineStr">
        <is>
          <t>WB División</t>
        </is>
      </c>
      <c r="J1" s="185" t="inlineStr">
        <is>
          <t>WB Categoría</t>
        </is>
      </c>
      <c r="K1" s="185" t="inlineStr">
        <is>
          <t>WB Género</t>
        </is>
      </c>
      <c r="L1" s="185" t="inlineStr">
        <is>
          <t>Unidad</t>
        </is>
      </c>
      <c r="M1" s="185" t="inlineStr">
        <is>
          <t>Precio de compra</t>
        </is>
      </c>
      <c r="N1" s="185" t="inlineStr">
        <is>
          <t>Precio de venta</t>
        </is>
      </c>
      <c r="O1" s="185" t="inlineStr">
        <is>
          <t>En mano NetSuite</t>
        </is>
      </c>
      <c r="P1" s="185" t="inlineStr">
        <is>
          <t>Disponible NetSuite</t>
        </is>
      </c>
      <c r="Q1" s="185" t="inlineStr">
        <is>
          <t>Comprometido NetSuite</t>
        </is>
      </c>
      <c r="R1" s="185" t="inlineStr">
        <is>
          <t>En pedido NetSuite</t>
        </is>
      </c>
      <c r="S1" s="185" t="inlineStr">
        <is>
          <t>En tránsito NetSuite</t>
        </is>
      </c>
      <c r="T1" s="185" t="inlineStr">
        <is>
          <t>Pendiente por surtir NetSuite</t>
        </is>
      </c>
      <c r="U1" s="185" t="inlineStr">
        <is>
          <t>En mano en ubicaciones inactivas</t>
        </is>
      </c>
      <c r="V1" s="185" t="inlineStr">
        <is>
          <t>Ubicaciones en negativo</t>
        </is>
      </c>
      <c r="W1" s="185" t="inlineStr">
        <is>
          <t>En mano NetSuite 28/09/2026</t>
        </is>
      </c>
      <c r="X1" s="185" t="inlineStr">
        <is>
          <t>Variación neta</t>
        </is>
      </c>
      <c r="Y1" s="185" t="inlineStr">
        <is>
          <t>Shopify Western Brothers</t>
        </is>
      </c>
      <c r="Z1" s="185" t="inlineStr">
        <is>
          <t>Piezas contadas (Escaneos)</t>
        </is>
      </c>
      <c r="AA1" s="185" t="inlineStr">
        <is>
          <t>Fecha del último conteo</t>
        </is>
      </c>
      <c r="AB1" s="185" t="inlineStr">
        <is>
          <t>Valor en mano a costo</t>
        </is>
      </c>
      <c r="AC1" s="185" t="inlineStr">
        <is>
          <t>Valor en mano a precio de venta</t>
        </is>
      </c>
      <c r="AD1" s="185" t="inlineStr">
        <is>
          <t>Estado del inventario</t>
        </is>
      </c>
      <c r="AE1" s="185" t="inlineStr">
        <is>
          <t>NS · WB OUTLET LERMA</t>
        </is>
      </c>
    </row>
    <row r="2">
      <c r="A2" t="inlineStr">
        <is>
          <t>7506499570900</t>
        </is>
      </c>
      <c r="B2" t="inlineStr">
        <is>
          <t>108694</t>
        </is>
      </c>
      <c r="C2" t="inlineStr">
        <is>
          <t>SBMQCAD-9-63/4</t>
        </is>
      </c>
      <c r="D2" t="inlineStr">
        <is>
          <t>SBMQCAD-9</t>
        </is>
      </c>
      <c r="E2" t="inlineStr">
        <is>
          <t>Denver</t>
        </is>
      </c>
      <c r="F2" t="inlineStr">
        <is>
          <t>Sombrero Denver marfil mezquite cuadro ancho</t>
        </is>
      </c>
      <c r="G2" t="inlineStr">
        <is>
          <t>6 3/4</t>
        </is>
      </c>
      <c r="H2" t="inlineStr">
        <is>
          <t>Beige</t>
        </is>
      </c>
      <c r="I2" t="inlineStr">
        <is>
          <t>Accesorios</t>
        </is>
      </c>
      <c r="J2" t="inlineStr">
        <is>
          <t>Sombreros</t>
        </is>
      </c>
      <c r="K2" t="inlineStr">
        <is>
          <t>Unisex</t>
        </is>
      </c>
      <c r="L2" t="inlineStr">
        <is>
          <t>PZS</t>
        </is>
      </c>
      <c r="M2" s="186" t="n">
        <v>1249</v>
      </c>
      <c r="N2" s="186" t="n">
        <v>2154.310345</v>
      </c>
      <c r="O2" t="n">
        <v>4</v>
      </c>
      <c r="P2" t="n">
        <v>4</v>
      </c>
      <c r="W2" t="n">
        <v>4</v>
      </c>
      <c r="X2">
        <f>O2-W2</f>
        <v/>
      </c>
      <c r="Y2" t="n">
        <v>4</v>
      </c>
      <c r="AB2" s="186">
        <f>IFERROR(O2*M2,0)</f>
        <v/>
      </c>
      <c r="AC2" s="186">
        <f>IFERROR(O2*N2,0)</f>
        <v/>
      </c>
      <c r="AD2" t="inlineStr">
        <is>
          <t>Con existencia</t>
        </is>
      </c>
      <c r="AE2" t="n">
        <v>4</v>
      </c>
    </row>
    <row r="3">
      <c r="A3" t="inlineStr">
        <is>
          <t>7506499570901</t>
        </is>
      </c>
      <c r="B3" t="inlineStr">
        <is>
          <t>108695</t>
        </is>
      </c>
      <c r="C3" t="inlineStr">
        <is>
          <t>SBMQCAD-9-67/8</t>
        </is>
      </c>
      <c r="D3" t="inlineStr">
        <is>
          <t>SBMQCAD-9</t>
        </is>
      </c>
      <c r="E3" t="inlineStr">
        <is>
          <t>Denver</t>
        </is>
      </c>
      <c r="F3" t="inlineStr">
        <is>
          <t>Sombrero Denver marfil mezquite cuadro ancho</t>
        </is>
      </c>
      <c r="G3" t="inlineStr">
        <is>
          <t>6 7/8</t>
        </is>
      </c>
      <c r="H3" t="inlineStr">
        <is>
          <t>Beige</t>
        </is>
      </c>
      <c r="I3" t="inlineStr">
        <is>
          <t>Accesorios</t>
        </is>
      </c>
      <c r="J3" t="inlineStr">
        <is>
          <t>Sombreros</t>
        </is>
      </c>
      <c r="K3" t="inlineStr">
        <is>
          <t>Unisex</t>
        </is>
      </c>
      <c r="L3" t="inlineStr">
        <is>
          <t>PZS</t>
        </is>
      </c>
      <c r="M3" s="186" t="n">
        <v>1249</v>
      </c>
      <c r="N3" s="186" t="n">
        <v>2154.310345</v>
      </c>
      <c r="O3" t="n">
        <v>4</v>
      </c>
      <c r="P3" t="n">
        <v>4</v>
      </c>
      <c r="W3" t="n">
        <v>4</v>
      </c>
      <c r="X3">
        <f>O3-W3</f>
        <v/>
      </c>
      <c r="Y3" t="n">
        <v>4</v>
      </c>
      <c r="AB3" s="186">
        <f>IFERROR(O3*M3,0)</f>
        <v/>
      </c>
      <c r="AC3" s="186">
        <f>IFERROR(O3*N3,0)</f>
        <v/>
      </c>
      <c r="AD3" t="inlineStr">
        <is>
          <t>Con existencia</t>
        </is>
      </c>
      <c r="AE3" t="n">
        <v>4</v>
      </c>
    </row>
    <row r="4">
      <c r="A4" t="inlineStr">
        <is>
          <t>7506499570902</t>
        </is>
      </c>
      <c r="B4" t="inlineStr">
        <is>
          <t>108696</t>
        </is>
      </c>
      <c r="C4" t="inlineStr">
        <is>
          <t>SBMQCAD-9-7</t>
        </is>
      </c>
      <c r="D4" t="inlineStr">
        <is>
          <t>SBMQCAD-9</t>
        </is>
      </c>
      <c r="E4" t="inlineStr">
        <is>
          <t>Denver</t>
        </is>
      </c>
      <c r="F4" t="inlineStr">
        <is>
          <t>Sombrero Denver marfil mezquite cuadro ancho</t>
        </is>
      </c>
      <c r="G4" t="inlineStr">
        <is>
          <t>7</t>
        </is>
      </c>
      <c r="H4" t="inlineStr">
        <is>
          <t>Beige</t>
        </is>
      </c>
      <c r="I4" t="inlineStr">
        <is>
          <t>Accesorios</t>
        </is>
      </c>
      <c r="J4" t="inlineStr">
        <is>
          <t>Sombreros</t>
        </is>
      </c>
      <c r="K4" t="inlineStr">
        <is>
          <t>Unisex</t>
        </is>
      </c>
      <c r="L4" t="inlineStr">
        <is>
          <t>PZS</t>
        </is>
      </c>
      <c r="M4" s="186" t="n">
        <v>1249</v>
      </c>
      <c r="N4" s="186" t="n">
        <v>2154.310345</v>
      </c>
      <c r="O4" t="n">
        <v>-1</v>
      </c>
      <c r="V4" t="inlineStr">
        <is>
          <t>WB OUTLET LERMA (-1)</t>
        </is>
      </c>
      <c r="W4" t="n">
        <v>-1</v>
      </c>
      <c r="X4">
        <f>O4-W4</f>
        <v/>
      </c>
      <c r="AB4" s="186">
        <f>IFERROR(O4*M4,0)</f>
        <v/>
      </c>
      <c r="AC4" s="186">
        <f>IFERROR(O4*N4,0)</f>
        <v/>
      </c>
      <c r="AD4" t="inlineStr">
        <is>
          <t>Existencia negativa</t>
        </is>
      </c>
      <c r="AE4" t="n">
        <v>-1</v>
      </c>
    </row>
    <row r="5">
      <c r="A5" t="inlineStr">
        <is>
          <t>7506499570904</t>
        </is>
      </c>
      <c r="B5" t="inlineStr">
        <is>
          <t>108698</t>
        </is>
      </c>
      <c r="C5" t="inlineStr">
        <is>
          <t>SBMQCAD-9-71/2</t>
        </is>
      </c>
      <c r="D5" t="inlineStr">
        <is>
          <t>SBMQCAD-9</t>
        </is>
      </c>
      <c r="E5" t="inlineStr">
        <is>
          <t>Denver</t>
        </is>
      </c>
      <c r="F5" t="inlineStr">
        <is>
          <t>Sombrero Denver marfil mezquite cuadro ancho</t>
        </is>
      </c>
      <c r="G5" t="inlineStr">
        <is>
          <t>7 1/2</t>
        </is>
      </c>
      <c r="H5" t="inlineStr">
        <is>
          <t>Beige</t>
        </is>
      </c>
      <c r="I5" t="inlineStr">
        <is>
          <t>Accesorios</t>
        </is>
      </c>
      <c r="J5" t="inlineStr">
        <is>
          <t>Sombreros</t>
        </is>
      </c>
      <c r="K5" t="inlineStr">
        <is>
          <t>Unisex</t>
        </is>
      </c>
      <c r="L5" t="inlineStr">
        <is>
          <t>PZS</t>
        </is>
      </c>
      <c r="M5" s="186" t="n">
        <v>1249</v>
      </c>
      <c r="N5" s="186" t="n">
        <v>2154.310345</v>
      </c>
      <c r="O5" t="n">
        <v>1</v>
      </c>
      <c r="P5" t="n">
        <v>1</v>
      </c>
      <c r="W5" t="n">
        <v>1</v>
      </c>
      <c r="X5">
        <f>O5-W5</f>
        <v/>
      </c>
      <c r="Y5" t="n">
        <v>1</v>
      </c>
      <c r="AB5" s="186">
        <f>IFERROR(O5*M5,0)</f>
        <v/>
      </c>
      <c r="AC5" s="186">
        <f>IFERROR(O5*N5,0)</f>
        <v/>
      </c>
      <c r="AD5" t="inlineStr">
        <is>
          <t>Con existencia</t>
        </is>
      </c>
      <c r="AE5" t="n">
        <v>1</v>
      </c>
    </row>
    <row r="6">
      <c r="A6" t="inlineStr">
        <is>
          <t>7506499570903</t>
        </is>
      </c>
      <c r="B6" t="inlineStr">
        <is>
          <t>108697</t>
        </is>
      </c>
      <c r="C6" t="inlineStr">
        <is>
          <t>SBMQCAD-9-71/8</t>
        </is>
      </c>
      <c r="D6" t="inlineStr">
        <is>
          <t>SBMQCAD-9</t>
        </is>
      </c>
      <c r="E6" t="inlineStr">
        <is>
          <t>Denver</t>
        </is>
      </c>
      <c r="F6" t="inlineStr">
        <is>
          <t>Sombrero Denver marfil mezquite cuadro ancho</t>
        </is>
      </c>
      <c r="G6" t="inlineStr">
        <is>
          <t>7 1/8</t>
        </is>
      </c>
      <c r="H6" t="inlineStr">
        <is>
          <t>Beige</t>
        </is>
      </c>
      <c r="I6" t="inlineStr">
        <is>
          <t>Accesorios</t>
        </is>
      </c>
      <c r="J6" t="inlineStr">
        <is>
          <t>Sombreros</t>
        </is>
      </c>
      <c r="K6" t="inlineStr">
        <is>
          <t>Unisex</t>
        </is>
      </c>
      <c r="L6" t="inlineStr">
        <is>
          <t>PZS</t>
        </is>
      </c>
      <c r="M6" s="186" t="n">
        <v>1249</v>
      </c>
      <c r="N6" s="186" t="n">
        <v>2154.310345</v>
      </c>
      <c r="O6" t="n">
        <v>0</v>
      </c>
      <c r="W6" t="n">
        <v>1</v>
      </c>
      <c r="X6">
        <f>O6-W6</f>
        <v/>
      </c>
      <c r="Y6" t="n">
        <v>1</v>
      </c>
      <c r="AB6" s="186">
        <f>IFERROR(O6*M6,0)</f>
        <v/>
      </c>
      <c r="AC6" s="186">
        <f>IFERROR(O6*N6,0)</f>
        <v/>
      </c>
      <c r="AD6" t="inlineStr">
        <is>
          <t>Solo en plataformas</t>
        </is>
      </c>
    </row>
    <row r="7">
      <c r="A7" t="inlineStr">
        <is>
          <t>7506499570905</t>
        </is>
      </c>
      <c r="B7" t="inlineStr">
        <is>
          <t>108699</t>
        </is>
      </c>
      <c r="C7" t="inlineStr">
        <is>
          <t>SBTEJTD-7-63/4</t>
        </is>
      </c>
      <c r="D7" t="inlineStr">
        <is>
          <t>SBTEJTD-7</t>
        </is>
      </c>
      <c r="E7" t="inlineStr">
        <is>
          <t>Denver</t>
        </is>
      </c>
      <c r="F7" t="inlineStr">
        <is>
          <t>Sombrero Denver marfil justin toro especial</t>
        </is>
      </c>
      <c r="G7" t="inlineStr">
        <is>
          <t>6 3/4</t>
        </is>
      </c>
      <c r="H7" t="inlineStr">
        <is>
          <t>Beige</t>
        </is>
      </c>
      <c r="I7" t="inlineStr">
        <is>
          <t>Accesorios</t>
        </is>
      </c>
      <c r="J7" t="inlineStr">
        <is>
          <t>Sombreros</t>
        </is>
      </c>
      <c r="K7" t="inlineStr">
        <is>
          <t>Unisex</t>
        </is>
      </c>
      <c r="L7" t="inlineStr">
        <is>
          <t>PZS</t>
        </is>
      </c>
      <c r="M7" s="186" t="n">
        <v>1249</v>
      </c>
      <c r="N7" s="186" t="n">
        <v>2154.310345</v>
      </c>
      <c r="O7" t="n">
        <v>1</v>
      </c>
      <c r="P7" t="n">
        <v>1</v>
      </c>
      <c r="W7" t="n">
        <v>1</v>
      </c>
      <c r="X7">
        <f>O7-W7</f>
        <v/>
      </c>
      <c r="Y7" t="n">
        <v>1</v>
      </c>
      <c r="AB7" s="186">
        <f>IFERROR(O7*M7,0)</f>
        <v/>
      </c>
      <c r="AC7" s="186">
        <f>IFERROR(O7*N7,0)</f>
        <v/>
      </c>
      <c r="AD7" t="inlineStr">
        <is>
          <t>Con existencia</t>
        </is>
      </c>
      <c r="AE7" t="n">
        <v>1</v>
      </c>
    </row>
    <row r="8">
      <c r="A8" t="inlineStr">
        <is>
          <t>7506499570906</t>
        </is>
      </c>
      <c r="B8" t="inlineStr">
        <is>
          <t>108700</t>
        </is>
      </c>
      <c r="C8" t="inlineStr">
        <is>
          <t>SBTEJTD-7-67/8</t>
        </is>
      </c>
      <c r="D8" t="inlineStr">
        <is>
          <t>SBTEJTD-7</t>
        </is>
      </c>
      <c r="E8" t="inlineStr">
        <is>
          <t>Denver</t>
        </is>
      </c>
      <c r="F8" t="inlineStr">
        <is>
          <t>Sombrero Denver marfil justin toro especial</t>
        </is>
      </c>
      <c r="G8" t="inlineStr">
        <is>
          <t>6 7/8</t>
        </is>
      </c>
      <c r="H8" t="inlineStr">
        <is>
          <t>Beige</t>
        </is>
      </c>
      <c r="I8" t="inlineStr">
        <is>
          <t>Accesorios</t>
        </is>
      </c>
      <c r="J8" t="inlineStr">
        <is>
          <t>Sombreros</t>
        </is>
      </c>
      <c r="K8" t="inlineStr">
        <is>
          <t>Unisex</t>
        </is>
      </c>
      <c r="L8" t="inlineStr">
        <is>
          <t>PZS</t>
        </is>
      </c>
      <c r="M8" s="186" t="n">
        <v>1249</v>
      </c>
      <c r="N8" s="186" t="n">
        <v>2154.310345</v>
      </c>
      <c r="O8" t="n">
        <v>3</v>
      </c>
      <c r="P8" t="n">
        <v>3</v>
      </c>
      <c r="W8" t="n">
        <v>4</v>
      </c>
      <c r="X8">
        <f>O8-W8</f>
        <v/>
      </c>
      <c r="Y8" t="n">
        <v>3</v>
      </c>
      <c r="AB8" s="186">
        <f>IFERROR(O8*M8,0)</f>
        <v/>
      </c>
      <c r="AC8" s="186">
        <f>IFERROR(O8*N8,0)</f>
        <v/>
      </c>
      <c r="AD8" t="inlineStr">
        <is>
          <t>Con existencia</t>
        </is>
      </c>
      <c r="AE8" t="n">
        <v>3</v>
      </c>
    </row>
    <row r="9">
      <c r="A9" t="inlineStr">
        <is>
          <t>7506499570907</t>
        </is>
      </c>
      <c r="B9" t="inlineStr">
        <is>
          <t>108701</t>
        </is>
      </c>
      <c r="C9" t="inlineStr">
        <is>
          <t>SBTEJTD-7-7</t>
        </is>
      </c>
      <c r="D9" t="inlineStr">
        <is>
          <t>SBTEJTD-7</t>
        </is>
      </c>
      <c r="E9" t="inlineStr">
        <is>
          <t>Denver</t>
        </is>
      </c>
      <c r="F9" t="inlineStr">
        <is>
          <t>Sombrero Denver marfil justin toro especial</t>
        </is>
      </c>
      <c r="G9" t="inlineStr">
        <is>
          <t>7</t>
        </is>
      </c>
      <c r="H9" t="inlineStr">
        <is>
          <t>Beige</t>
        </is>
      </c>
      <c r="I9" t="inlineStr">
        <is>
          <t>Accesorios</t>
        </is>
      </c>
      <c r="J9" t="inlineStr">
        <is>
          <t>Sombreros</t>
        </is>
      </c>
      <c r="K9" t="inlineStr">
        <is>
          <t>Unisex</t>
        </is>
      </c>
      <c r="L9" t="inlineStr">
        <is>
          <t>PZS</t>
        </is>
      </c>
      <c r="M9" s="186" t="n">
        <v>1249</v>
      </c>
      <c r="N9" s="186" t="n">
        <v>2154.310345</v>
      </c>
      <c r="O9" t="n">
        <v>3</v>
      </c>
      <c r="P9" t="n">
        <v>3</v>
      </c>
      <c r="W9" t="n">
        <v>3</v>
      </c>
      <c r="X9">
        <f>O9-W9</f>
        <v/>
      </c>
      <c r="Y9" t="n">
        <v>3</v>
      </c>
      <c r="AB9" s="186">
        <f>IFERROR(O9*M9,0)</f>
        <v/>
      </c>
      <c r="AC9" s="186">
        <f>IFERROR(O9*N9,0)</f>
        <v/>
      </c>
      <c r="AD9" t="inlineStr">
        <is>
          <t>Con existencia</t>
        </is>
      </c>
      <c r="AE9" t="n">
        <v>3</v>
      </c>
    </row>
    <row r="10">
      <c r="A10" t="inlineStr">
        <is>
          <t>7506499570909</t>
        </is>
      </c>
      <c r="B10" t="inlineStr">
        <is>
          <t>108703</t>
        </is>
      </c>
      <c r="C10" t="inlineStr">
        <is>
          <t>SBTEJTD-7-71/4</t>
        </is>
      </c>
      <c r="D10" t="inlineStr">
        <is>
          <t>SBTEJTD-7</t>
        </is>
      </c>
      <c r="E10" t="inlineStr">
        <is>
          <t>Denver</t>
        </is>
      </c>
      <c r="F10" t="inlineStr">
        <is>
          <t>Sombrero Denver marfil justin toro especial</t>
        </is>
      </c>
      <c r="G10" t="inlineStr">
        <is>
          <t>7 1/4</t>
        </is>
      </c>
      <c r="H10" t="inlineStr">
        <is>
          <t>Beige</t>
        </is>
      </c>
      <c r="I10" t="inlineStr">
        <is>
          <t>Accesorios</t>
        </is>
      </c>
      <c r="J10" t="inlineStr">
        <is>
          <t>Sombreros</t>
        </is>
      </c>
      <c r="K10" t="inlineStr">
        <is>
          <t>Unisex</t>
        </is>
      </c>
      <c r="L10" t="inlineStr">
        <is>
          <t>PZS</t>
        </is>
      </c>
      <c r="M10" s="186" t="n">
        <v>1249</v>
      </c>
      <c r="N10" s="186" t="n">
        <v>2154.310345</v>
      </c>
      <c r="O10" t="n">
        <v>1</v>
      </c>
      <c r="P10" t="n">
        <v>1</v>
      </c>
      <c r="W10" t="n">
        <v>1</v>
      </c>
      <c r="X10">
        <f>O10-W10</f>
        <v/>
      </c>
      <c r="Y10" t="n">
        <v>1</v>
      </c>
      <c r="AB10" s="186">
        <f>IFERROR(O10*M10,0)</f>
        <v/>
      </c>
      <c r="AC10" s="186">
        <f>IFERROR(O10*N10,0)</f>
        <v/>
      </c>
      <c r="AD10" t="inlineStr">
        <is>
          <t>Con existencia</t>
        </is>
      </c>
      <c r="AE10" t="n">
        <v>1</v>
      </c>
    </row>
    <row r="11">
      <c r="A11" t="inlineStr">
        <is>
          <t>7506499570910</t>
        </is>
      </c>
      <c r="B11" t="inlineStr">
        <is>
          <t>108704</t>
        </is>
      </c>
      <c r="C11" t="inlineStr">
        <is>
          <t>SBTEJTD-7-73/8</t>
        </is>
      </c>
      <c r="D11" t="inlineStr">
        <is>
          <t>SBTEJTD-7</t>
        </is>
      </c>
      <c r="E11" t="inlineStr">
        <is>
          <t>Denver</t>
        </is>
      </c>
      <c r="F11" t="inlineStr">
        <is>
          <t>Sombrero Denver marfil justin toro especial</t>
        </is>
      </c>
      <c r="G11" t="inlineStr">
        <is>
          <t>7 3/8</t>
        </is>
      </c>
      <c r="H11" t="inlineStr">
        <is>
          <t>Beige</t>
        </is>
      </c>
      <c r="I11" t="inlineStr">
        <is>
          <t>Accesorios</t>
        </is>
      </c>
      <c r="J11" t="inlineStr">
        <is>
          <t>Sombreros</t>
        </is>
      </c>
      <c r="K11" t="inlineStr">
        <is>
          <t>Unisex</t>
        </is>
      </c>
      <c r="L11" t="inlineStr">
        <is>
          <t>PZS</t>
        </is>
      </c>
      <c r="M11" s="186" t="n">
        <v>1249</v>
      </c>
      <c r="N11" s="186" t="n">
        <v>2154.310345</v>
      </c>
      <c r="O11" t="n">
        <v>1</v>
      </c>
      <c r="P11" t="n">
        <v>1</v>
      </c>
      <c r="W11" t="n">
        <v>1</v>
      </c>
      <c r="X11">
        <f>O11-W11</f>
        <v/>
      </c>
      <c r="Y11" t="n">
        <v>1</v>
      </c>
      <c r="AB11" s="186">
        <f>IFERROR(O11*M11,0)</f>
        <v/>
      </c>
      <c r="AC11" s="186">
        <f>IFERROR(O11*N11,0)</f>
        <v/>
      </c>
      <c r="AD11" t="inlineStr">
        <is>
          <t>Con existencia</t>
        </is>
      </c>
      <c r="AE11" t="n">
        <v>1</v>
      </c>
    </row>
    <row r="12">
      <c r="A12" t="inlineStr">
        <is>
          <t>7506499570892</t>
        </is>
      </c>
      <c r="B12" t="inlineStr">
        <is>
          <t>108686</t>
        </is>
      </c>
      <c r="C12" t="inlineStr">
        <is>
          <t>TXMTYSLD-17-63/4</t>
        </is>
      </c>
      <c r="D12" t="inlineStr">
        <is>
          <t>TXMTYSLD-17</t>
        </is>
      </c>
      <c r="E12" t="inlineStr">
        <is>
          <t>Denver</t>
        </is>
      </c>
      <c r="F12" t="inlineStr">
        <is>
          <t>Texana Denver sinaloa vino</t>
        </is>
      </c>
      <c r="G12" t="inlineStr">
        <is>
          <t>6 3/4</t>
        </is>
      </c>
      <c r="H12" t="inlineStr">
        <is>
          <t>Rojo</t>
        </is>
      </c>
      <c r="I12" t="inlineStr">
        <is>
          <t>Accesorios</t>
        </is>
      </c>
      <c r="J12" t="inlineStr">
        <is>
          <t>Sombreros</t>
        </is>
      </c>
      <c r="K12" t="inlineStr">
        <is>
          <t>Unisex</t>
        </is>
      </c>
      <c r="L12" t="inlineStr">
        <is>
          <t>PZS</t>
        </is>
      </c>
      <c r="M12" s="186" t="n">
        <v>869</v>
      </c>
      <c r="N12" s="186" t="n">
        <v>1550.862069</v>
      </c>
      <c r="O12" t="n">
        <v>2</v>
      </c>
      <c r="P12" t="n">
        <v>2</v>
      </c>
      <c r="W12" t="n">
        <v>2</v>
      </c>
      <c r="X12">
        <f>O12-W12</f>
        <v/>
      </c>
      <c r="Y12" t="n">
        <v>2</v>
      </c>
      <c r="AB12" s="186">
        <f>IFERROR(O12*M12,0)</f>
        <v/>
      </c>
      <c r="AC12" s="186">
        <f>IFERROR(O12*N12,0)</f>
        <v/>
      </c>
      <c r="AD12" t="inlineStr">
        <is>
          <t>Con existencia</t>
        </is>
      </c>
      <c r="AE12" t="n">
        <v>2</v>
      </c>
    </row>
    <row r="13">
      <c r="A13" t="inlineStr">
        <is>
          <t>7506499570896</t>
        </is>
      </c>
      <c r="B13" t="inlineStr">
        <is>
          <t>108690</t>
        </is>
      </c>
      <c r="C13" t="inlineStr">
        <is>
          <t>TXMTYSLD-17-71/2</t>
        </is>
      </c>
      <c r="D13" t="inlineStr">
        <is>
          <t>TXMTYSLD-17</t>
        </is>
      </c>
      <c r="E13" t="inlineStr">
        <is>
          <t>Denver</t>
        </is>
      </c>
      <c r="F13" t="inlineStr">
        <is>
          <t>Texana Denver sinaloa vino</t>
        </is>
      </c>
      <c r="G13" t="inlineStr">
        <is>
          <t>7 1/2</t>
        </is>
      </c>
      <c r="H13" t="inlineStr">
        <is>
          <t>Rojo</t>
        </is>
      </c>
      <c r="I13" t="inlineStr">
        <is>
          <t>Accesorios</t>
        </is>
      </c>
      <c r="J13" t="inlineStr">
        <is>
          <t>Sombreros</t>
        </is>
      </c>
      <c r="K13" t="inlineStr">
        <is>
          <t>Unisex</t>
        </is>
      </c>
      <c r="L13" t="inlineStr">
        <is>
          <t>PZS</t>
        </is>
      </c>
      <c r="M13" s="186" t="n">
        <v>869</v>
      </c>
      <c r="N13" s="186" t="n">
        <v>1550.862069</v>
      </c>
      <c r="O13" t="n">
        <v>4</v>
      </c>
      <c r="P13" t="n">
        <v>4</v>
      </c>
      <c r="W13" t="n">
        <v>4</v>
      </c>
      <c r="X13">
        <f>O13-W13</f>
        <v/>
      </c>
      <c r="Y13" t="n">
        <v>4</v>
      </c>
      <c r="AB13" s="186">
        <f>IFERROR(O13*M13,0)</f>
        <v/>
      </c>
      <c r="AC13" s="186">
        <f>IFERROR(O13*N13,0)</f>
        <v/>
      </c>
      <c r="AD13" t="inlineStr">
        <is>
          <t>Con existencia</t>
        </is>
      </c>
      <c r="AE13" t="n">
        <v>4</v>
      </c>
    </row>
    <row r="14">
      <c r="A14" t="inlineStr">
        <is>
          <t>7506499570894</t>
        </is>
      </c>
      <c r="B14" t="inlineStr">
        <is>
          <t>108688</t>
        </is>
      </c>
      <c r="C14" t="inlineStr">
        <is>
          <t>TXMTYSLD-17-71/4</t>
        </is>
      </c>
      <c r="D14" t="inlineStr">
        <is>
          <t>TXMTYSLD-17</t>
        </is>
      </c>
      <c r="E14" t="inlineStr">
        <is>
          <t>Denver</t>
        </is>
      </c>
      <c r="F14" t="inlineStr">
        <is>
          <t>Texana Denver sinaloa vino</t>
        </is>
      </c>
      <c r="G14" t="inlineStr">
        <is>
          <t>7 1/4</t>
        </is>
      </c>
      <c r="H14" t="inlineStr">
        <is>
          <t>Rojo</t>
        </is>
      </c>
      <c r="I14" t="inlineStr">
        <is>
          <t>Accesorios</t>
        </is>
      </c>
      <c r="J14" t="inlineStr">
        <is>
          <t>Sombreros</t>
        </is>
      </c>
      <c r="K14" t="inlineStr">
        <is>
          <t>Unisex</t>
        </is>
      </c>
      <c r="L14" t="inlineStr">
        <is>
          <t>PZS</t>
        </is>
      </c>
      <c r="M14" s="186" t="n">
        <v>869</v>
      </c>
      <c r="N14" s="186" t="n">
        <v>1550.862069</v>
      </c>
      <c r="O14" t="n">
        <v>3</v>
      </c>
      <c r="P14" t="n">
        <v>3</v>
      </c>
      <c r="W14" t="n">
        <v>3</v>
      </c>
      <c r="X14">
        <f>O14-W14</f>
        <v/>
      </c>
      <c r="Y14" t="n">
        <v>3</v>
      </c>
      <c r="AB14" s="186">
        <f>IFERROR(O14*M14,0)</f>
        <v/>
      </c>
      <c r="AC14" s="186">
        <f>IFERROR(O14*N14,0)</f>
        <v/>
      </c>
      <c r="AD14" t="inlineStr">
        <is>
          <t>Con existencia</t>
        </is>
      </c>
      <c r="AE14" t="n">
        <v>3</v>
      </c>
    </row>
    <row r="15">
      <c r="A15" t="inlineStr">
        <is>
          <t>7506499570893</t>
        </is>
      </c>
      <c r="B15" t="inlineStr">
        <is>
          <t>108687</t>
        </is>
      </c>
      <c r="C15" t="inlineStr">
        <is>
          <t>TXMTYSLD-17-71/8</t>
        </is>
      </c>
      <c r="D15" t="inlineStr">
        <is>
          <t>TXMTYSLD-17</t>
        </is>
      </c>
      <c r="E15" t="inlineStr">
        <is>
          <t>Denver</t>
        </is>
      </c>
      <c r="F15" t="inlineStr">
        <is>
          <t>Texana Denver sinaloa vino</t>
        </is>
      </c>
      <c r="G15" t="inlineStr">
        <is>
          <t>7 1/8</t>
        </is>
      </c>
      <c r="H15" t="inlineStr">
        <is>
          <t>Rojo</t>
        </is>
      </c>
      <c r="I15" t="inlineStr">
        <is>
          <t>Accesorios</t>
        </is>
      </c>
      <c r="J15" t="inlineStr">
        <is>
          <t>Sombreros</t>
        </is>
      </c>
      <c r="K15" t="inlineStr">
        <is>
          <t>Unisex</t>
        </is>
      </c>
      <c r="L15" t="inlineStr">
        <is>
          <t>PZS</t>
        </is>
      </c>
      <c r="M15" s="186" t="n">
        <v>869</v>
      </c>
      <c r="N15" s="186" t="n">
        <v>1550.862069</v>
      </c>
      <c r="O15" t="n">
        <v>1</v>
      </c>
      <c r="P15" t="n">
        <v>1</v>
      </c>
      <c r="W15" t="n">
        <v>1</v>
      </c>
      <c r="X15">
        <f>O15-W15</f>
        <v/>
      </c>
      <c r="Y15" t="n">
        <v>1</v>
      </c>
      <c r="AB15" s="186">
        <f>IFERROR(O15*M15,0)</f>
        <v/>
      </c>
      <c r="AC15" s="186">
        <f>IFERROR(O15*N15,0)</f>
        <v/>
      </c>
      <c r="AD15" t="inlineStr">
        <is>
          <t>Con existencia</t>
        </is>
      </c>
      <c r="AE15" t="n">
        <v>1</v>
      </c>
    </row>
    <row r="16">
      <c r="A16" t="inlineStr">
        <is>
          <t>7506499570895</t>
        </is>
      </c>
      <c r="B16" t="inlineStr">
        <is>
          <t>108689</t>
        </is>
      </c>
      <c r="C16" t="inlineStr">
        <is>
          <t>TXMTYSLD-17-73/8</t>
        </is>
      </c>
      <c r="D16" t="inlineStr">
        <is>
          <t>TXMTYSLD-17</t>
        </is>
      </c>
      <c r="E16" t="inlineStr">
        <is>
          <t>Denver</t>
        </is>
      </c>
      <c r="F16" t="inlineStr">
        <is>
          <t>Texana Denver sinaloa vino</t>
        </is>
      </c>
      <c r="G16" t="inlineStr">
        <is>
          <t>7 3/8</t>
        </is>
      </c>
      <c r="H16" t="inlineStr">
        <is>
          <t>Rojo</t>
        </is>
      </c>
      <c r="I16" t="inlineStr">
        <is>
          <t>Accesorios</t>
        </is>
      </c>
      <c r="J16" t="inlineStr">
        <is>
          <t>Sombreros</t>
        </is>
      </c>
      <c r="K16" t="inlineStr">
        <is>
          <t>Unisex</t>
        </is>
      </c>
      <c r="L16" t="inlineStr">
        <is>
          <t>PZS</t>
        </is>
      </c>
      <c r="M16" s="186" t="n">
        <v>869</v>
      </c>
      <c r="N16" s="186" t="n">
        <v>1550.862069</v>
      </c>
      <c r="O16" t="n">
        <v>3</v>
      </c>
      <c r="P16" t="n">
        <v>3</v>
      </c>
      <c r="W16" t="n">
        <v>4</v>
      </c>
      <c r="X16">
        <f>O16-W16</f>
        <v/>
      </c>
      <c r="Y16" t="n">
        <v>4</v>
      </c>
      <c r="AB16" s="186">
        <f>IFERROR(O16*M16,0)</f>
        <v/>
      </c>
      <c r="AC16" s="186">
        <f>IFERROR(O16*N16,0)</f>
        <v/>
      </c>
      <c r="AD16" t="inlineStr">
        <is>
          <t>Con existencia</t>
        </is>
      </c>
      <c r="AE16" t="n">
        <v>3</v>
      </c>
    </row>
    <row r="17">
      <c r="A17" t="inlineStr">
        <is>
          <t>7506499570911</t>
        </is>
      </c>
      <c r="B17" t="inlineStr">
        <is>
          <t>108705</t>
        </is>
      </c>
      <c r="C17" t="inlineStr">
        <is>
          <t>TXMTYSLD-19-63/4</t>
        </is>
      </c>
      <c r="D17" t="inlineStr">
        <is>
          <t>TXMTYSLD-19</t>
        </is>
      </c>
      <c r="E17" t="inlineStr">
        <is>
          <t>Denver</t>
        </is>
      </c>
      <c r="F17" t="inlineStr">
        <is>
          <t>Texana Denver sinaloa marino</t>
        </is>
      </c>
      <c r="G17" t="inlineStr">
        <is>
          <t>6 3/4</t>
        </is>
      </c>
      <c r="H17" t="inlineStr">
        <is>
          <t>Azul</t>
        </is>
      </c>
      <c r="I17" t="inlineStr">
        <is>
          <t>Accesorios</t>
        </is>
      </c>
      <c r="J17" t="inlineStr">
        <is>
          <t>Sombreros</t>
        </is>
      </c>
      <c r="K17" t="inlineStr">
        <is>
          <t>Unisex</t>
        </is>
      </c>
      <c r="L17" t="inlineStr">
        <is>
          <t>PZS</t>
        </is>
      </c>
      <c r="M17" s="186" t="n">
        <v>869</v>
      </c>
      <c r="N17" s="186" t="n">
        <v>1550.862069</v>
      </c>
      <c r="O17" t="n">
        <v>2</v>
      </c>
      <c r="P17" t="n">
        <v>2</v>
      </c>
      <c r="W17" t="n">
        <v>2</v>
      </c>
      <c r="X17">
        <f>O17-W17</f>
        <v/>
      </c>
      <c r="Y17" t="n">
        <v>2</v>
      </c>
      <c r="AB17" s="186">
        <f>IFERROR(O17*M17,0)</f>
        <v/>
      </c>
      <c r="AC17" s="186">
        <f>IFERROR(O17*N17,0)</f>
        <v/>
      </c>
      <c r="AD17" t="inlineStr">
        <is>
          <t>Con existencia</t>
        </is>
      </c>
      <c r="AE17" t="n">
        <v>2</v>
      </c>
    </row>
    <row r="18">
      <c r="A18" t="inlineStr">
        <is>
          <t>7506499570870</t>
        </is>
      </c>
      <c r="B18" t="inlineStr">
        <is>
          <t>108554</t>
        </is>
      </c>
      <c r="C18" t="inlineStr">
        <is>
          <t>DM029-13-32</t>
        </is>
      </c>
      <c r="D18" t="inlineStr">
        <is>
          <t>DM029</t>
        </is>
      </c>
      <c r="E18" t="inlineStr">
        <is>
          <t>Denver</t>
        </is>
      </c>
      <c r="F18" t="inlineStr">
        <is>
          <t>Pantalon Denver dama azul medio</t>
        </is>
      </c>
      <c r="G18" t="inlineStr">
        <is>
          <t>13</t>
        </is>
      </c>
      <c r="H18" t="inlineStr">
        <is>
          <t>Azul</t>
        </is>
      </c>
      <c r="I18" t="inlineStr">
        <is>
          <t>Denim</t>
        </is>
      </c>
      <c r="J18" t="inlineStr">
        <is>
          <t>Jeans</t>
        </is>
      </c>
      <c r="K18" t="inlineStr">
        <is>
          <t>Mujer</t>
        </is>
      </c>
      <c r="L18" t="inlineStr">
        <is>
          <t>PZS</t>
        </is>
      </c>
      <c r="M18" s="186" t="n">
        <v>371.25</v>
      </c>
      <c r="N18" s="186" t="n">
        <v>947.4137931</v>
      </c>
      <c r="O18" t="n">
        <v>1</v>
      </c>
      <c r="P18" t="n">
        <v>1</v>
      </c>
      <c r="W18" t="n">
        <v>1</v>
      </c>
      <c r="X18">
        <f>O18-W18</f>
        <v/>
      </c>
      <c r="Y18" t="n">
        <v>1</v>
      </c>
      <c r="AB18" s="186">
        <f>IFERROR(O18*M18,0)</f>
        <v/>
      </c>
      <c r="AC18" s="186">
        <f>IFERROR(O18*N18,0)</f>
        <v/>
      </c>
      <c r="AD18" t="inlineStr">
        <is>
          <t>Con existencia</t>
        </is>
      </c>
      <c r="AE18" t="n">
        <v>1</v>
      </c>
    </row>
    <row r="19">
      <c r="A19" t="inlineStr">
        <is>
          <t>7506499570869</t>
        </is>
      </c>
      <c r="B19" t="inlineStr">
        <is>
          <t>108553</t>
        </is>
      </c>
      <c r="C19" t="inlineStr">
        <is>
          <t>DM029-5-32</t>
        </is>
      </c>
      <c r="D19" t="inlineStr">
        <is>
          <t>DM029</t>
        </is>
      </c>
      <c r="E19" t="inlineStr">
        <is>
          <t>Denver</t>
        </is>
      </c>
      <c r="F19" t="inlineStr">
        <is>
          <t>Pantalon Denver dama azul medio</t>
        </is>
      </c>
      <c r="G19" t="inlineStr">
        <is>
          <t>5</t>
        </is>
      </c>
      <c r="H19" t="inlineStr">
        <is>
          <t>Azul</t>
        </is>
      </c>
      <c r="I19" t="inlineStr">
        <is>
          <t>Denim</t>
        </is>
      </c>
      <c r="J19" t="inlineStr">
        <is>
          <t>Jeans</t>
        </is>
      </c>
      <c r="K19" t="inlineStr">
        <is>
          <t>Mujer</t>
        </is>
      </c>
      <c r="L19" t="inlineStr">
        <is>
          <t>PZS</t>
        </is>
      </c>
      <c r="M19" s="186" t="n">
        <v>371.25</v>
      </c>
      <c r="N19" s="186" t="n">
        <v>947.4137931</v>
      </c>
      <c r="O19" t="n">
        <v>1</v>
      </c>
      <c r="P19" t="n">
        <v>1</v>
      </c>
      <c r="W19" t="n">
        <v>1</v>
      </c>
      <c r="X19">
        <f>O19-W19</f>
        <v/>
      </c>
      <c r="Y19" t="n">
        <v>1</v>
      </c>
      <c r="AB19" s="186">
        <f>IFERROR(O19*M19,0)</f>
        <v/>
      </c>
      <c r="AC19" s="186">
        <f>IFERROR(O19*N19,0)</f>
        <v/>
      </c>
      <c r="AD19" t="inlineStr">
        <is>
          <t>Con existencia</t>
        </is>
      </c>
      <c r="AE19" t="n">
        <v>1</v>
      </c>
    </row>
    <row r="20">
      <c r="A20" t="inlineStr">
        <is>
          <t>7506499570871</t>
        </is>
      </c>
      <c r="B20" t="inlineStr">
        <is>
          <t>108555</t>
        </is>
      </c>
      <c r="C20" t="inlineStr">
        <is>
          <t>DM030-5-32</t>
        </is>
      </c>
      <c r="D20" t="inlineStr">
        <is>
          <t>DM030</t>
        </is>
      </c>
      <c r="E20" t="inlineStr">
        <is>
          <t>Denver</t>
        </is>
      </c>
      <c r="F20" t="inlineStr">
        <is>
          <t>Pantalon Denver dama negro</t>
        </is>
      </c>
      <c r="G20" t="inlineStr">
        <is>
          <t>5</t>
        </is>
      </c>
      <c r="H20" t="inlineStr">
        <is>
          <t>Negro</t>
        </is>
      </c>
      <c r="I20" t="inlineStr">
        <is>
          <t>Denim</t>
        </is>
      </c>
      <c r="J20" t="inlineStr">
        <is>
          <t>Jeans</t>
        </is>
      </c>
      <c r="K20" t="inlineStr">
        <is>
          <t>Mujer</t>
        </is>
      </c>
      <c r="L20" t="inlineStr">
        <is>
          <t>PZS</t>
        </is>
      </c>
      <c r="M20" s="186" t="n">
        <v>371.25</v>
      </c>
      <c r="N20" s="186" t="n">
        <v>947.4137931</v>
      </c>
      <c r="O20" t="n">
        <v>3</v>
      </c>
      <c r="P20" t="n">
        <v>3</v>
      </c>
      <c r="W20" t="n">
        <v>3</v>
      </c>
      <c r="X20">
        <f>O20-W20</f>
        <v/>
      </c>
      <c r="Y20" t="n">
        <v>3</v>
      </c>
      <c r="AB20" s="186">
        <f>IFERROR(O20*M20,0)</f>
        <v/>
      </c>
      <c r="AC20" s="186">
        <f>IFERROR(O20*N20,0)</f>
        <v/>
      </c>
      <c r="AD20" t="inlineStr">
        <is>
          <t>Con existencia</t>
        </is>
      </c>
      <c r="AE20" t="n">
        <v>3</v>
      </c>
    </row>
    <row r="21">
      <c r="A21" t="inlineStr">
        <is>
          <t>7506499570872</t>
        </is>
      </c>
      <c r="B21" t="inlineStr">
        <is>
          <t>108556</t>
        </is>
      </c>
      <c r="C21" t="inlineStr">
        <is>
          <t>DM030-7-32</t>
        </is>
      </c>
      <c r="D21" t="inlineStr">
        <is>
          <t>DM030</t>
        </is>
      </c>
      <c r="E21" t="inlineStr">
        <is>
          <t>Denver</t>
        </is>
      </c>
      <c r="F21" t="inlineStr">
        <is>
          <t>Pantalon Denver dama negro</t>
        </is>
      </c>
      <c r="G21" t="inlineStr">
        <is>
          <t>7</t>
        </is>
      </c>
      <c r="H21" t="inlineStr">
        <is>
          <t>Negro</t>
        </is>
      </c>
      <c r="I21" t="inlineStr">
        <is>
          <t>Denim</t>
        </is>
      </c>
      <c r="J21" t="inlineStr">
        <is>
          <t>Jeans</t>
        </is>
      </c>
      <c r="K21" t="inlineStr">
        <is>
          <t>Mujer</t>
        </is>
      </c>
      <c r="L21" t="inlineStr">
        <is>
          <t>PZS</t>
        </is>
      </c>
      <c r="M21" s="186" t="n">
        <v>371.25</v>
      </c>
      <c r="N21" s="186" t="n">
        <v>947.4137931</v>
      </c>
      <c r="O21" t="n">
        <v>4</v>
      </c>
      <c r="P21" t="n">
        <v>4</v>
      </c>
      <c r="W21" t="n">
        <v>4</v>
      </c>
      <c r="X21">
        <f>O21-W21</f>
        <v/>
      </c>
      <c r="Y21" t="n">
        <v>4</v>
      </c>
      <c r="AB21" s="186">
        <f>IFERROR(O21*M21,0)</f>
        <v/>
      </c>
      <c r="AC21" s="186">
        <f>IFERROR(O21*N21,0)</f>
        <v/>
      </c>
      <c r="AD21" t="inlineStr">
        <is>
          <t>Con existencia</t>
        </is>
      </c>
      <c r="AE21" t="n">
        <v>4</v>
      </c>
    </row>
    <row r="22">
      <c r="A22" t="inlineStr">
        <is>
          <t>7506499570873</t>
        </is>
      </c>
      <c r="B22" t="inlineStr">
        <is>
          <t>108557</t>
        </is>
      </c>
      <c r="C22" t="inlineStr">
        <is>
          <t>JH001-30-34</t>
        </is>
      </c>
      <c r="D22" t="inlineStr">
        <is>
          <t>JH001</t>
        </is>
      </c>
      <c r="E22" t="inlineStr">
        <is>
          <t>Denver</t>
        </is>
      </c>
      <c r="F22" t="inlineStr">
        <is>
          <t>Pantalon Denver caballero negro lavado</t>
        </is>
      </c>
      <c r="G22" t="inlineStr">
        <is>
          <t>30 x 34</t>
        </is>
      </c>
      <c r="H22" t="inlineStr">
        <is>
          <t>Negro</t>
        </is>
      </c>
      <c r="I22" t="inlineStr">
        <is>
          <t>Denim</t>
        </is>
      </c>
      <c r="J22" t="inlineStr">
        <is>
          <t>Jeans</t>
        </is>
      </c>
      <c r="K22" t="inlineStr">
        <is>
          <t>Hombre</t>
        </is>
      </c>
      <c r="L22" t="inlineStr">
        <is>
          <t>PZS</t>
        </is>
      </c>
      <c r="M22" s="186" t="n">
        <v>419.25</v>
      </c>
      <c r="N22" s="186" t="n">
        <v>1033.62069</v>
      </c>
      <c r="O22" t="n">
        <v>1</v>
      </c>
      <c r="P22" t="n">
        <v>1</v>
      </c>
      <c r="W22" t="n">
        <v>1</v>
      </c>
      <c r="X22">
        <f>O22-W22</f>
        <v/>
      </c>
      <c r="Y22" t="n">
        <v>1</v>
      </c>
      <c r="AB22" s="186">
        <f>IFERROR(O22*M22,0)</f>
        <v/>
      </c>
      <c r="AC22" s="186">
        <f>IFERROR(O22*N22,0)</f>
        <v/>
      </c>
      <c r="AD22" t="inlineStr">
        <is>
          <t>Con existencia</t>
        </is>
      </c>
      <c r="AE22" t="n">
        <v>1</v>
      </c>
    </row>
    <row r="23">
      <c r="A23" t="inlineStr">
        <is>
          <t>7506499570874</t>
        </is>
      </c>
      <c r="B23" t="inlineStr">
        <is>
          <t>108558</t>
        </is>
      </c>
      <c r="C23" t="inlineStr">
        <is>
          <t>JH001-32-34</t>
        </is>
      </c>
      <c r="D23" t="inlineStr">
        <is>
          <t>JH001</t>
        </is>
      </c>
      <c r="E23" t="inlineStr">
        <is>
          <t>Denver</t>
        </is>
      </c>
      <c r="F23" t="inlineStr">
        <is>
          <t>Pantalon Denver caballero negro lavado</t>
        </is>
      </c>
      <c r="G23" t="inlineStr">
        <is>
          <t>32 x 34</t>
        </is>
      </c>
      <c r="H23" t="inlineStr">
        <is>
          <t>Negro</t>
        </is>
      </c>
      <c r="I23" t="inlineStr">
        <is>
          <t>Denim</t>
        </is>
      </c>
      <c r="J23" t="inlineStr">
        <is>
          <t>Jeans</t>
        </is>
      </c>
      <c r="K23" t="inlineStr">
        <is>
          <t>Hombre</t>
        </is>
      </c>
      <c r="L23" t="inlineStr">
        <is>
          <t>PZS</t>
        </is>
      </c>
      <c r="M23" s="186" t="n">
        <v>419.25</v>
      </c>
      <c r="N23" s="186" t="n">
        <v>1033.62069</v>
      </c>
      <c r="O23" t="n">
        <v>3</v>
      </c>
      <c r="P23" t="n">
        <v>3</v>
      </c>
      <c r="W23" t="n">
        <v>3</v>
      </c>
      <c r="X23">
        <f>O23-W23</f>
        <v/>
      </c>
      <c r="Y23" t="n">
        <v>3</v>
      </c>
      <c r="AB23" s="186">
        <f>IFERROR(O23*M23,0)</f>
        <v/>
      </c>
      <c r="AC23" s="186">
        <f>IFERROR(O23*N23,0)</f>
        <v/>
      </c>
      <c r="AD23" t="inlineStr">
        <is>
          <t>Con existencia</t>
        </is>
      </c>
      <c r="AE23" t="n">
        <v>3</v>
      </c>
    </row>
    <row r="24">
      <c r="A24" t="inlineStr">
        <is>
          <t>7506499570875</t>
        </is>
      </c>
      <c r="B24" t="inlineStr">
        <is>
          <t>108559</t>
        </is>
      </c>
      <c r="C24" t="inlineStr">
        <is>
          <t>JH001-34-34</t>
        </is>
      </c>
      <c r="D24" t="inlineStr">
        <is>
          <t>JH001</t>
        </is>
      </c>
      <c r="E24" t="inlineStr">
        <is>
          <t>Denver</t>
        </is>
      </c>
      <c r="F24" t="inlineStr">
        <is>
          <t>Pantalon Denver caballero negro lavado</t>
        </is>
      </c>
      <c r="G24" t="inlineStr">
        <is>
          <t>34 x 34</t>
        </is>
      </c>
      <c r="H24" t="inlineStr">
        <is>
          <t>Negro</t>
        </is>
      </c>
      <c r="I24" t="inlineStr">
        <is>
          <t>Denim</t>
        </is>
      </c>
      <c r="J24" t="inlineStr">
        <is>
          <t>Jeans</t>
        </is>
      </c>
      <c r="K24" t="inlineStr">
        <is>
          <t>Hombre</t>
        </is>
      </c>
      <c r="L24" t="inlineStr">
        <is>
          <t>PZS</t>
        </is>
      </c>
      <c r="M24" s="186" t="n">
        <v>419.25</v>
      </c>
      <c r="N24" s="186" t="n">
        <v>1033.62069</v>
      </c>
      <c r="O24" t="n">
        <v>-1</v>
      </c>
      <c r="V24" t="inlineStr">
        <is>
          <t>WB OUTLET LERMA (-1)</t>
        </is>
      </c>
      <c r="W24" t="n">
        <v>-1</v>
      </c>
      <c r="X24">
        <f>O24-W24</f>
        <v/>
      </c>
      <c r="AB24" s="186">
        <f>IFERROR(O24*M24,0)</f>
        <v/>
      </c>
      <c r="AC24" s="186">
        <f>IFERROR(O24*N24,0)</f>
        <v/>
      </c>
      <c r="AD24" t="inlineStr">
        <is>
          <t>Existencia negativa</t>
        </is>
      </c>
      <c r="AE24" t="n">
        <v>-1</v>
      </c>
    </row>
    <row r="25">
      <c r="A25" t="inlineStr">
        <is>
          <t>7506499570876</t>
        </is>
      </c>
      <c r="B25" t="inlineStr">
        <is>
          <t>108560</t>
        </is>
      </c>
      <c r="C25" t="inlineStr">
        <is>
          <t>JH001-36-34</t>
        </is>
      </c>
      <c r="D25" t="inlineStr">
        <is>
          <t>JH001</t>
        </is>
      </c>
      <c r="E25" t="inlineStr">
        <is>
          <t>Denver</t>
        </is>
      </c>
      <c r="F25" t="inlineStr">
        <is>
          <t>Pantalon Denver caballero negro lavado</t>
        </is>
      </c>
      <c r="G25" t="inlineStr">
        <is>
          <t>36 x 34</t>
        </is>
      </c>
      <c r="H25" t="inlineStr">
        <is>
          <t>Negro</t>
        </is>
      </c>
      <c r="I25" t="inlineStr">
        <is>
          <t>Denim</t>
        </is>
      </c>
      <c r="J25" t="inlineStr">
        <is>
          <t>Jeans</t>
        </is>
      </c>
      <c r="K25" t="inlineStr">
        <is>
          <t>Hombre</t>
        </is>
      </c>
      <c r="L25" t="inlineStr">
        <is>
          <t>PZS</t>
        </is>
      </c>
      <c r="M25" s="186" t="n">
        <v>419.25</v>
      </c>
      <c r="N25" s="186" t="n">
        <v>1033.62069</v>
      </c>
      <c r="O25" t="n">
        <v>2</v>
      </c>
      <c r="P25" t="n">
        <v>2</v>
      </c>
      <c r="W25" t="n">
        <v>2</v>
      </c>
      <c r="X25">
        <f>O25-W25</f>
        <v/>
      </c>
      <c r="Y25" t="n">
        <v>2</v>
      </c>
      <c r="AB25" s="186">
        <f>IFERROR(O25*M25,0)</f>
        <v/>
      </c>
      <c r="AC25" s="186">
        <f>IFERROR(O25*N25,0)</f>
        <v/>
      </c>
      <c r="AD25" t="inlineStr">
        <is>
          <t>Con existencia</t>
        </is>
      </c>
      <c r="AE25" t="n">
        <v>2</v>
      </c>
    </row>
    <row r="26">
      <c r="A26" t="inlineStr">
        <is>
          <t>7506499570877</t>
        </is>
      </c>
      <c r="B26" t="inlineStr">
        <is>
          <t>108561</t>
        </is>
      </c>
      <c r="C26" t="inlineStr">
        <is>
          <t>JH001-38-34</t>
        </is>
      </c>
      <c r="D26" t="inlineStr">
        <is>
          <t>JH001</t>
        </is>
      </c>
      <c r="E26" t="inlineStr">
        <is>
          <t>Denver</t>
        </is>
      </c>
      <c r="F26" t="inlineStr">
        <is>
          <t>Pantalon Denver caballero negro lavado</t>
        </is>
      </c>
      <c r="G26" t="inlineStr">
        <is>
          <t>38 x 34</t>
        </is>
      </c>
      <c r="H26" t="inlineStr">
        <is>
          <t>Negro</t>
        </is>
      </c>
      <c r="I26" t="inlineStr">
        <is>
          <t>Denim</t>
        </is>
      </c>
      <c r="J26" t="inlineStr">
        <is>
          <t>Jeans</t>
        </is>
      </c>
      <c r="K26" t="inlineStr">
        <is>
          <t>Hombre</t>
        </is>
      </c>
      <c r="L26" t="inlineStr">
        <is>
          <t>PZS</t>
        </is>
      </c>
      <c r="M26" s="186" t="n">
        <v>419.25</v>
      </c>
      <c r="N26" s="186" t="n">
        <v>1033.62069</v>
      </c>
      <c r="O26" t="n">
        <v>2</v>
      </c>
      <c r="P26" t="n">
        <v>2</v>
      </c>
      <c r="W26" t="n">
        <v>2</v>
      </c>
      <c r="X26">
        <f>O26-W26</f>
        <v/>
      </c>
      <c r="Y26" t="n">
        <v>2</v>
      </c>
      <c r="AB26" s="186">
        <f>IFERROR(O26*M26,0)</f>
        <v/>
      </c>
      <c r="AC26" s="186">
        <f>IFERROR(O26*N26,0)</f>
        <v/>
      </c>
      <c r="AD26" t="inlineStr">
        <is>
          <t>Con existencia</t>
        </is>
      </c>
      <c r="AE26" t="n">
        <v>2</v>
      </c>
    </row>
    <row r="27">
      <c r="A27" t="inlineStr">
        <is>
          <t>7506499570879</t>
        </is>
      </c>
      <c r="B27" t="inlineStr">
        <is>
          <t>108563</t>
        </is>
      </c>
      <c r="C27" t="inlineStr">
        <is>
          <t>JH001-40-30</t>
        </is>
      </c>
      <c r="D27" t="inlineStr">
        <is>
          <t>JH001</t>
        </is>
      </c>
      <c r="E27" t="inlineStr">
        <is>
          <t>Denver</t>
        </is>
      </c>
      <c r="F27" t="inlineStr">
        <is>
          <t>Pantalon Denver caballero negro lavado</t>
        </is>
      </c>
      <c r="G27" t="inlineStr">
        <is>
          <t>40 x 30</t>
        </is>
      </c>
      <c r="H27" t="inlineStr">
        <is>
          <t>Negro</t>
        </is>
      </c>
      <c r="I27" t="inlineStr">
        <is>
          <t>Denim</t>
        </is>
      </c>
      <c r="J27" t="inlineStr">
        <is>
          <t>Jeans</t>
        </is>
      </c>
      <c r="K27" t="inlineStr">
        <is>
          <t>Hombre</t>
        </is>
      </c>
      <c r="L27" t="inlineStr">
        <is>
          <t>PZS</t>
        </is>
      </c>
      <c r="M27" s="186" t="n">
        <v>419.25</v>
      </c>
      <c r="N27" s="186" t="n">
        <v>1033.62069</v>
      </c>
      <c r="O27" t="n">
        <v>4</v>
      </c>
      <c r="P27" t="n">
        <v>4</v>
      </c>
      <c r="W27" t="n">
        <v>4</v>
      </c>
      <c r="X27">
        <f>O27-W27</f>
        <v/>
      </c>
      <c r="Y27" t="n">
        <v>4</v>
      </c>
      <c r="AB27" s="186">
        <f>IFERROR(O27*M27,0)</f>
        <v/>
      </c>
      <c r="AC27" s="186">
        <f>IFERROR(O27*N27,0)</f>
        <v/>
      </c>
      <c r="AD27" t="inlineStr">
        <is>
          <t>Con existencia</t>
        </is>
      </c>
      <c r="AE27" t="n">
        <v>4</v>
      </c>
    </row>
    <row r="28">
      <c r="A28" t="inlineStr">
        <is>
          <t>7506499570878</t>
        </is>
      </c>
      <c r="B28" t="inlineStr">
        <is>
          <t>108562</t>
        </is>
      </c>
      <c r="C28" t="inlineStr">
        <is>
          <t>JH001-40-34</t>
        </is>
      </c>
      <c r="D28" t="inlineStr">
        <is>
          <t>JH001</t>
        </is>
      </c>
      <c r="E28" t="inlineStr">
        <is>
          <t>Denver</t>
        </is>
      </c>
      <c r="F28" t="inlineStr">
        <is>
          <t>Pantalon Denver caballero negro lavado</t>
        </is>
      </c>
      <c r="G28" t="inlineStr">
        <is>
          <t>40 x 34</t>
        </is>
      </c>
      <c r="H28" t="inlineStr">
        <is>
          <t>Negro</t>
        </is>
      </c>
      <c r="I28" t="inlineStr">
        <is>
          <t>Denim</t>
        </is>
      </c>
      <c r="J28" t="inlineStr">
        <is>
          <t>Jeans</t>
        </is>
      </c>
      <c r="K28" t="inlineStr">
        <is>
          <t>Hombre</t>
        </is>
      </c>
      <c r="L28" t="inlineStr">
        <is>
          <t>PZS</t>
        </is>
      </c>
      <c r="M28" s="186" t="n">
        <v>419.25</v>
      </c>
      <c r="N28" s="186" t="n">
        <v>1033.62069</v>
      </c>
      <c r="O28" t="n">
        <v>3</v>
      </c>
      <c r="P28" t="n">
        <v>3</v>
      </c>
      <c r="W28" t="n">
        <v>3</v>
      </c>
      <c r="X28">
        <f>O28-W28</f>
        <v/>
      </c>
      <c r="Y28" t="n">
        <v>3</v>
      </c>
      <c r="AB28" s="186">
        <f>IFERROR(O28*M28,0)</f>
        <v/>
      </c>
      <c r="AC28" s="186">
        <f>IFERROR(O28*N28,0)</f>
        <v/>
      </c>
      <c r="AD28" t="inlineStr">
        <is>
          <t>Con existencia</t>
        </is>
      </c>
      <c r="AE28" t="n">
        <v>3</v>
      </c>
    </row>
    <row r="29">
      <c r="A29" t="inlineStr">
        <is>
          <t>7506499570880</t>
        </is>
      </c>
      <c r="B29" t="inlineStr">
        <is>
          <t>108564</t>
        </is>
      </c>
      <c r="C29" t="inlineStr">
        <is>
          <t>JH003-28-34</t>
        </is>
      </c>
      <c r="D29" t="inlineStr">
        <is>
          <t>JH003</t>
        </is>
      </c>
      <c r="E29" t="inlineStr">
        <is>
          <t>Denver</t>
        </is>
      </c>
      <c r="F29" t="inlineStr">
        <is>
          <t>Pantalon Denver caballero azul cielo</t>
        </is>
      </c>
      <c r="G29" t="inlineStr">
        <is>
          <t>28 x 34</t>
        </is>
      </c>
      <c r="H29" t="inlineStr">
        <is>
          <t>Azul</t>
        </is>
      </c>
      <c r="I29" t="inlineStr">
        <is>
          <t>Denim</t>
        </is>
      </c>
      <c r="J29" t="inlineStr">
        <is>
          <t>Jeans</t>
        </is>
      </c>
      <c r="K29" t="inlineStr">
        <is>
          <t>Hombre</t>
        </is>
      </c>
      <c r="L29" t="inlineStr">
        <is>
          <t>PZS</t>
        </is>
      </c>
      <c r="M29" s="186" t="n">
        <v>396.75</v>
      </c>
      <c r="N29" s="186" t="n">
        <v>1033.62069</v>
      </c>
      <c r="O29" t="n">
        <v>3</v>
      </c>
      <c r="P29" t="n">
        <v>3</v>
      </c>
      <c r="W29" t="n">
        <v>3</v>
      </c>
      <c r="X29">
        <f>O29-W29</f>
        <v/>
      </c>
      <c r="Y29" t="n">
        <v>3</v>
      </c>
      <c r="AB29" s="186">
        <f>IFERROR(O29*M29,0)</f>
        <v/>
      </c>
      <c r="AC29" s="186">
        <f>IFERROR(O29*N29,0)</f>
        <v/>
      </c>
      <c r="AD29" t="inlineStr">
        <is>
          <t>Con existencia</t>
        </is>
      </c>
      <c r="AE29" t="n">
        <v>3</v>
      </c>
    </row>
    <row r="30">
      <c r="A30" t="inlineStr">
        <is>
          <t>7506499570881</t>
        </is>
      </c>
      <c r="B30" t="inlineStr">
        <is>
          <t>108565</t>
        </is>
      </c>
      <c r="C30" t="inlineStr">
        <is>
          <t>JH003-30-34</t>
        </is>
      </c>
      <c r="D30" t="inlineStr">
        <is>
          <t>JH003</t>
        </is>
      </c>
      <c r="E30" t="inlineStr">
        <is>
          <t>Denver</t>
        </is>
      </c>
      <c r="F30" t="inlineStr">
        <is>
          <t>Pantalon Denver caballero azul cielo</t>
        </is>
      </c>
      <c r="G30" t="inlineStr">
        <is>
          <t>30 x 34</t>
        </is>
      </c>
      <c r="H30" t="inlineStr">
        <is>
          <t>Azul</t>
        </is>
      </c>
      <c r="I30" t="inlineStr">
        <is>
          <t>Denim</t>
        </is>
      </c>
      <c r="J30" t="inlineStr">
        <is>
          <t>Jeans</t>
        </is>
      </c>
      <c r="K30" t="inlineStr">
        <is>
          <t>Hombre</t>
        </is>
      </c>
      <c r="L30" t="inlineStr">
        <is>
          <t>PZS</t>
        </is>
      </c>
      <c r="M30" s="186" t="n">
        <v>396.75</v>
      </c>
      <c r="N30" s="186" t="n">
        <v>1033.62069</v>
      </c>
      <c r="O30" t="n">
        <v>4</v>
      </c>
      <c r="P30" t="n">
        <v>4</v>
      </c>
      <c r="W30" t="n">
        <v>4</v>
      </c>
      <c r="X30">
        <f>O30-W30</f>
        <v/>
      </c>
      <c r="Y30" t="n">
        <v>4</v>
      </c>
      <c r="AB30" s="186">
        <f>IFERROR(O30*M30,0)</f>
        <v/>
      </c>
      <c r="AC30" s="186">
        <f>IFERROR(O30*N30,0)</f>
        <v/>
      </c>
      <c r="AD30" t="inlineStr">
        <is>
          <t>Con existencia</t>
        </is>
      </c>
      <c r="AE30" t="n">
        <v>4</v>
      </c>
    </row>
    <row r="31">
      <c r="A31" t="inlineStr">
        <is>
          <t>7506499570882</t>
        </is>
      </c>
      <c r="B31" t="inlineStr">
        <is>
          <t>108566</t>
        </is>
      </c>
      <c r="C31" t="inlineStr">
        <is>
          <t>JH003-32-34</t>
        </is>
      </c>
      <c r="D31" t="inlineStr">
        <is>
          <t>JH003</t>
        </is>
      </c>
      <c r="E31" t="inlineStr">
        <is>
          <t>Denver</t>
        </is>
      </c>
      <c r="F31" t="inlineStr">
        <is>
          <t>Pantalon Denver caballero azul cielo</t>
        </is>
      </c>
      <c r="G31" t="inlineStr">
        <is>
          <t>32 x 34</t>
        </is>
      </c>
      <c r="H31" t="inlineStr">
        <is>
          <t>Azul</t>
        </is>
      </c>
      <c r="I31" t="inlineStr">
        <is>
          <t>Denim</t>
        </is>
      </c>
      <c r="J31" t="inlineStr">
        <is>
          <t>Jeans</t>
        </is>
      </c>
      <c r="K31" t="inlineStr">
        <is>
          <t>Hombre</t>
        </is>
      </c>
      <c r="L31" t="inlineStr">
        <is>
          <t>PZS</t>
        </is>
      </c>
      <c r="M31" s="186" t="n">
        <v>396.75</v>
      </c>
      <c r="N31" s="186" t="n">
        <v>1033.62069</v>
      </c>
      <c r="O31" t="n">
        <v>4</v>
      </c>
      <c r="P31" t="n">
        <v>4</v>
      </c>
      <c r="W31" t="n">
        <v>4</v>
      </c>
      <c r="X31">
        <f>O31-W31</f>
        <v/>
      </c>
      <c r="Y31" t="n">
        <v>4</v>
      </c>
      <c r="AB31" s="186">
        <f>IFERROR(O31*M31,0)</f>
        <v/>
      </c>
      <c r="AC31" s="186">
        <f>IFERROR(O31*N31,0)</f>
        <v/>
      </c>
      <c r="AD31" t="inlineStr">
        <is>
          <t>Con existencia</t>
        </is>
      </c>
      <c r="AE31" t="n">
        <v>4</v>
      </c>
    </row>
    <row r="32">
      <c r="A32" t="inlineStr">
        <is>
          <t>7506499570884</t>
        </is>
      </c>
      <c r="B32" t="inlineStr">
        <is>
          <t>108568</t>
        </is>
      </c>
      <c r="C32" t="inlineStr">
        <is>
          <t>JH004-28-34</t>
        </is>
      </c>
      <c r="D32" t="inlineStr">
        <is>
          <t>JH004</t>
        </is>
      </c>
      <c r="E32" t="inlineStr">
        <is>
          <t>Denver</t>
        </is>
      </c>
      <c r="F32" t="inlineStr">
        <is>
          <t>Pantalon Denver caballero azul recto</t>
        </is>
      </c>
      <c r="G32" t="inlineStr">
        <is>
          <t>28 x 34</t>
        </is>
      </c>
      <c r="H32" t="inlineStr">
        <is>
          <t>Azul</t>
        </is>
      </c>
      <c r="I32" t="inlineStr">
        <is>
          <t>Denim</t>
        </is>
      </c>
      <c r="J32" t="inlineStr">
        <is>
          <t>Jeans</t>
        </is>
      </c>
      <c r="K32" t="inlineStr">
        <is>
          <t>Hombre</t>
        </is>
      </c>
      <c r="L32" t="inlineStr">
        <is>
          <t>PZS</t>
        </is>
      </c>
      <c r="M32" s="186" t="n">
        <v>396.75</v>
      </c>
      <c r="N32" s="186" t="n">
        <v>1033.62069</v>
      </c>
      <c r="O32" t="n">
        <v>1</v>
      </c>
      <c r="P32" t="n">
        <v>1</v>
      </c>
      <c r="W32" t="n">
        <v>1</v>
      </c>
      <c r="X32">
        <f>O32-W32</f>
        <v/>
      </c>
      <c r="Y32" t="n">
        <v>1</v>
      </c>
      <c r="AB32" s="186">
        <f>IFERROR(O32*M32,0)</f>
        <v/>
      </c>
      <c r="AC32" s="186">
        <f>IFERROR(O32*N32,0)</f>
        <v/>
      </c>
      <c r="AD32" t="inlineStr">
        <is>
          <t>Con existencia</t>
        </is>
      </c>
      <c r="AE32" t="n">
        <v>1</v>
      </c>
    </row>
    <row r="33">
      <c r="A33" t="inlineStr">
        <is>
          <t>7506499570885</t>
        </is>
      </c>
      <c r="B33" t="inlineStr">
        <is>
          <t>108569</t>
        </is>
      </c>
      <c r="C33" t="inlineStr">
        <is>
          <t>JH004-32-34</t>
        </is>
      </c>
      <c r="D33" t="inlineStr">
        <is>
          <t>JH004</t>
        </is>
      </c>
      <c r="E33" t="inlineStr">
        <is>
          <t>Denver</t>
        </is>
      </c>
      <c r="F33" t="inlineStr">
        <is>
          <t>Pantalon Denver caballero azul recto</t>
        </is>
      </c>
      <c r="G33" t="inlineStr">
        <is>
          <t>32 x 34</t>
        </is>
      </c>
      <c r="H33" t="inlineStr">
        <is>
          <t>Azul</t>
        </is>
      </c>
      <c r="I33" t="inlineStr">
        <is>
          <t>Denim</t>
        </is>
      </c>
      <c r="J33" t="inlineStr">
        <is>
          <t>Jeans</t>
        </is>
      </c>
      <c r="K33" t="inlineStr">
        <is>
          <t>Hombre</t>
        </is>
      </c>
      <c r="L33" t="inlineStr">
        <is>
          <t>PZS</t>
        </is>
      </c>
      <c r="M33" s="186" t="n">
        <v>396.75</v>
      </c>
      <c r="N33" s="186" t="n">
        <v>1033.62069</v>
      </c>
      <c r="O33" t="n">
        <v>1</v>
      </c>
      <c r="P33" t="n">
        <v>1</v>
      </c>
      <c r="W33" t="n">
        <v>1</v>
      </c>
      <c r="X33">
        <f>O33-W33</f>
        <v/>
      </c>
      <c r="Y33" t="n">
        <v>1</v>
      </c>
      <c r="AB33" s="186">
        <f>IFERROR(O33*M33,0)</f>
        <v/>
      </c>
      <c r="AC33" s="186">
        <f>IFERROR(O33*N33,0)</f>
        <v/>
      </c>
      <c r="AD33" t="inlineStr">
        <is>
          <t>Con existencia</t>
        </is>
      </c>
      <c r="AE33" t="n">
        <v>1</v>
      </c>
    </row>
    <row r="34">
      <c r="A34" t="inlineStr">
        <is>
          <t>7506499570891</t>
        </is>
      </c>
      <c r="B34" t="inlineStr">
        <is>
          <t>108575</t>
        </is>
      </c>
      <c r="C34" t="inlineStr">
        <is>
          <t>JH005-38-34</t>
        </is>
      </c>
      <c r="D34" t="inlineStr">
        <is>
          <t>JH005</t>
        </is>
      </c>
      <c r="E34" t="inlineStr">
        <is>
          <t>Denver</t>
        </is>
      </c>
      <c r="F34" t="inlineStr">
        <is>
          <t>Pantalon Denver caballero recto azul medio</t>
        </is>
      </c>
      <c r="G34" t="inlineStr">
        <is>
          <t>38 x 34</t>
        </is>
      </c>
      <c r="H34" t="inlineStr">
        <is>
          <t>Azul</t>
        </is>
      </c>
      <c r="I34" t="inlineStr">
        <is>
          <t>Denim</t>
        </is>
      </c>
      <c r="J34" t="inlineStr">
        <is>
          <t>Jeans</t>
        </is>
      </c>
      <c r="K34" t="inlineStr">
        <is>
          <t>Hombre</t>
        </is>
      </c>
      <c r="L34" t="inlineStr">
        <is>
          <t>PZS</t>
        </is>
      </c>
      <c r="M34" s="186" t="n">
        <v>396.75</v>
      </c>
      <c r="N34" s="186" t="n">
        <v>1033.62069</v>
      </c>
      <c r="O34" t="n">
        <v>3</v>
      </c>
      <c r="P34" t="n">
        <v>3</v>
      </c>
      <c r="W34" t="n">
        <v>3</v>
      </c>
      <c r="X34">
        <f>O34-W34</f>
        <v/>
      </c>
      <c r="Y34" t="n">
        <v>3</v>
      </c>
      <c r="AB34" s="186">
        <f>IFERROR(O34*M34,0)</f>
        <v/>
      </c>
      <c r="AC34" s="186">
        <f>IFERROR(O34*N34,0)</f>
        <v/>
      </c>
      <c r="AD34" t="inlineStr">
        <is>
          <t>Con existencia</t>
        </is>
      </c>
      <c r="AE34" t="n">
        <v>3</v>
      </c>
    </row>
    <row r="35">
      <c r="A35" t="inlineStr">
        <is>
          <t>7506499570883</t>
        </is>
      </c>
      <c r="B35" t="inlineStr">
        <is>
          <t>108567</t>
        </is>
      </c>
      <c r="C35" t="inlineStr">
        <is>
          <t>JH005ST-32-34</t>
        </is>
      </c>
      <c r="D35" t="inlineStr">
        <is>
          <t>JH005ST</t>
        </is>
      </c>
      <c r="E35" t="inlineStr">
        <is>
          <t>Denver</t>
        </is>
      </c>
      <c r="F35" t="inlineStr">
        <is>
          <t>Pantalon Denver caballero azul medio piedra</t>
        </is>
      </c>
      <c r="G35" t="inlineStr">
        <is>
          <t>32 x 34</t>
        </is>
      </c>
      <c r="H35" t="inlineStr">
        <is>
          <t>Azul</t>
        </is>
      </c>
      <c r="I35" t="inlineStr">
        <is>
          <t>Denim</t>
        </is>
      </c>
      <c r="J35" t="inlineStr">
        <is>
          <t>Jeans</t>
        </is>
      </c>
      <c r="K35" t="inlineStr">
        <is>
          <t>Hombre</t>
        </is>
      </c>
      <c r="L35" t="inlineStr">
        <is>
          <t>PZS</t>
        </is>
      </c>
      <c r="M35" s="186" t="n">
        <v>419.25</v>
      </c>
      <c r="N35" s="186" t="n">
        <v>1033.62069</v>
      </c>
      <c r="O35" t="n">
        <v>2</v>
      </c>
      <c r="P35" t="n">
        <v>2</v>
      </c>
      <c r="W35" t="n">
        <v>2</v>
      </c>
      <c r="X35">
        <f>O35-W35</f>
        <v/>
      </c>
      <c r="Y35" t="n">
        <v>2</v>
      </c>
      <c r="AB35" s="186">
        <f>IFERROR(O35*M35,0)</f>
        <v/>
      </c>
      <c r="AC35" s="186">
        <f>IFERROR(O35*N35,0)</f>
        <v/>
      </c>
      <c r="AD35" t="inlineStr">
        <is>
          <t>Con existencia</t>
        </is>
      </c>
      <c r="AE35" t="n">
        <v>2</v>
      </c>
    </row>
    <row r="36">
      <c r="A36" t="inlineStr">
        <is>
          <t>7506499570886</t>
        </is>
      </c>
      <c r="B36" t="inlineStr">
        <is>
          <t>108570</t>
        </is>
      </c>
      <c r="C36" t="inlineStr">
        <is>
          <t>JH009-40-34</t>
        </is>
      </c>
      <c r="D36" t="inlineStr">
        <is>
          <t>JH009</t>
        </is>
      </c>
      <c r="E36" t="inlineStr">
        <is>
          <t>Denver</t>
        </is>
      </c>
      <c r="F36" t="inlineStr">
        <is>
          <t>Pantalon Denver caballero piedra oscura</t>
        </is>
      </c>
      <c r="G36" t="inlineStr">
        <is>
          <t>40 x 34</t>
        </is>
      </c>
      <c r="H36" t="inlineStr">
        <is>
          <t>Gris</t>
        </is>
      </c>
      <c r="I36" t="inlineStr">
        <is>
          <t>Denim</t>
        </is>
      </c>
      <c r="J36" t="inlineStr">
        <is>
          <t>Jeans</t>
        </is>
      </c>
      <c r="K36" t="inlineStr">
        <is>
          <t>Hombre</t>
        </is>
      </c>
      <c r="L36" t="inlineStr">
        <is>
          <t>PZS</t>
        </is>
      </c>
      <c r="M36" s="186" t="n">
        <v>419.25</v>
      </c>
      <c r="N36" s="186" t="n">
        <v>1033.62069</v>
      </c>
      <c r="O36" t="n">
        <v>2</v>
      </c>
      <c r="P36" t="n">
        <v>2</v>
      </c>
      <c r="W36" t="n">
        <v>2</v>
      </c>
      <c r="X36">
        <f>O36-W36</f>
        <v/>
      </c>
      <c r="Y36" t="n">
        <v>2</v>
      </c>
      <c r="AB36" s="186">
        <f>IFERROR(O36*M36,0)</f>
        <v/>
      </c>
      <c r="AC36" s="186">
        <f>IFERROR(O36*N36,0)</f>
        <v/>
      </c>
      <c r="AD36" t="inlineStr">
        <is>
          <t>Con existencia</t>
        </is>
      </c>
      <c r="AE36" t="n">
        <v>2</v>
      </c>
    </row>
    <row r="37">
      <c r="A37" t="inlineStr">
        <is>
          <t>7506499570887</t>
        </is>
      </c>
      <c r="B37" t="inlineStr">
        <is>
          <t>108571</t>
        </is>
      </c>
      <c r="C37" t="inlineStr">
        <is>
          <t>JH010-28-34</t>
        </is>
      </c>
      <c r="D37" t="inlineStr">
        <is>
          <t>JH010</t>
        </is>
      </c>
      <c r="E37" t="inlineStr">
        <is>
          <t>Denver</t>
        </is>
      </c>
      <c r="F37" t="inlineStr">
        <is>
          <t>Pantalon Denver caballero ajustado con tinte gris</t>
        </is>
      </c>
      <c r="G37" t="inlineStr">
        <is>
          <t>28 x 34</t>
        </is>
      </c>
      <c r="H37" t="inlineStr">
        <is>
          <t>Gris</t>
        </is>
      </c>
      <c r="I37" t="inlineStr">
        <is>
          <t>Denim</t>
        </is>
      </c>
      <c r="J37" t="inlineStr">
        <is>
          <t>Jeans</t>
        </is>
      </c>
      <c r="K37" t="inlineStr">
        <is>
          <t>Hombre</t>
        </is>
      </c>
      <c r="L37" t="inlineStr">
        <is>
          <t>PZS</t>
        </is>
      </c>
      <c r="M37" s="186" t="n">
        <v>396.75</v>
      </c>
      <c r="N37" s="186" t="n">
        <v>1033.62069</v>
      </c>
      <c r="O37" t="n">
        <v>2</v>
      </c>
      <c r="P37" t="n">
        <v>2</v>
      </c>
      <c r="W37" t="n">
        <v>2</v>
      </c>
      <c r="X37">
        <f>O37-W37</f>
        <v/>
      </c>
      <c r="Y37" t="n">
        <v>2</v>
      </c>
      <c r="AB37" s="186">
        <f>IFERROR(O37*M37,0)</f>
        <v/>
      </c>
      <c r="AC37" s="186">
        <f>IFERROR(O37*N37,0)</f>
        <v/>
      </c>
      <c r="AD37" t="inlineStr">
        <is>
          <t>Con existencia</t>
        </is>
      </c>
      <c r="AE37" t="n">
        <v>2</v>
      </c>
    </row>
    <row r="38">
      <c r="A38" t="inlineStr">
        <is>
          <t>7506499570889</t>
        </is>
      </c>
      <c r="B38" t="inlineStr">
        <is>
          <t>108573</t>
        </is>
      </c>
      <c r="C38" t="inlineStr">
        <is>
          <t>JH010-38-34</t>
        </is>
      </c>
      <c r="D38" t="inlineStr">
        <is>
          <t>JH010</t>
        </is>
      </c>
      <c r="E38" t="inlineStr">
        <is>
          <t>Denver</t>
        </is>
      </c>
      <c r="F38" t="inlineStr">
        <is>
          <t>Pantalon Denver caballero ajustado con tinte gris</t>
        </is>
      </c>
      <c r="G38" t="inlineStr">
        <is>
          <t>38 x 34</t>
        </is>
      </c>
      <c r="H38" t="inlineStr">
        <is>
          <t>Gris</t>
        </is>
      </c>
      <c r="I38" t="inlineStr">
        <is>
          <t>Denim</t>
        </is>
      </c>
      <c r="J38" t="inlineStr">
        <is>
          <t>Jeans</t>
        </is>
      </c>
      <c r="K38" t="inlineStr">
        <is>
          <t>Hombre</t>
        </is>
      </c>
      <c r="L38" t="inlineStr">
        <is>
          <t>PZS</t>
        </is>
      </c>
      <c r="M38" s="186" t="n">
        <v>396.75</v>
      </c>
      <c r="N38" s="186" t="n">
        <v>1033.62069</v>
      </c>
      <c r="O38" t="n">
        <v>1</v>
      </c>
      <c r="P38" t="n">
        <v>1</v>
      </c>
      <c r="W38" t="n">
        <v>1</v>
      </c>
      <c r="X38">
        <f>O38-W38</f>
        <v/>
      </c>
      <c r="Y38" t="n">
        <v>1</v>
      </c>
      <c r="AB38" s="186">
        <f>IFERROR(O38*M38,0)</f>
        <v/>
      </c>
      <c r="AC38" s="186">
        <f>IFERROR(O38*N38,0)</f>
        <v/>
      </c>
      <c r="AD38" t="inlineStr">
        <is>
          <t>Con existencia</t>
        </is>
      </c>
      <c r="AE38" t="n">
        <v>1</v>
      </c>
    </row>
    <row r="39">
      <c r="A39" t="inlineStr">
        <is>
          <t>7506499531047</t>
        </is>
      </c>
      <c r="B39" t="inlineStr">
        <is>
          <t>108387</t>
        </is>
      </c>
      <c r="C39" t="inlineStr">
        <is>
          <t>A-CHH180-M</t>
        </is>
      </c>
      <c r="D39" t="inlineStr">
        <is>
          <t>A-CHH180</t>
        </is>
      </c>
      <c r="E39" t="inlineStr">
        <is>
          <t>Denver</t>
        </is>
      </c>
      <c r="F39" t="inlineStr">
        <is>
          <t>Camisa Denver caballero estampado biznaga negra</t>
        </is>
      </c>
      <c r="G39" t="inlineStr">
        <is>
          <t>M</t>
        </is>
      </c>
      <c r="H39" t="inlineStr">
        <is>
          <t>Negro</t>
        </is>
      </c>
      <c r="I39" t="inlineStr">
        <is>
          <t>Ropa</t>
        </is>
      </c>
      <c r="J39" t="inlineStr">
        <is>
          <t>Camisas</t>
        </is>
      </c>
      <c r="K39" t="inlineStr">
        <is>
          <t>Hombre</t>
        </is>
      </c>
      <c r="L39" t="inlineStr">
        <is>
          <t>PZS</t>
        </is>
      </c>
      <c r="M39" s="186" t="n">
        <v>419</v>
      </c>
      <c r="N39" s="186" t="n">
        <v>947.4137931</v>
      </c>
      <c r="O39" t="n">
        <v>3</v>
      </c>
      <c r="P39" t="n">
        <v>3</v>
      </c>
      <c r="W39" t="n">
        <v>3</v>
      </c>
      <c r="X39">
        <f>O39-W39</f>
        <v/>
      </c>
      <c r="Y39" t="n">
        <v>3</v>
      </c>
      <c r="AB39" s="186">
        <f>IFERROR(O39*M39,0)</f>
        <v/>
      </c>
      <c r="AC39" s="186">
        <f>IFERROR(O39*N39,0)</f>
        <v/>
      </c>
      <c r="AD39" t="inlineStr">
        <is>
          <t>Con existencia</t>
        </is>
      </c>
      <c r="AE39" t="n">
        <v>3</v>
      </c>
    </row>
    <row r="40">
      <c r="A40" t="inlineStr">
        <is>
          <t>7506499530439</t>
        </is>
      </c>
      <c r="B40" t="inlineStr">
        <is>
          <t>108386</t>
        </is>
      </c>
      <c r="C40" t="inlineStr">
        <is>
          <t>A-CHH180-S</t>
        </is>
      </c>
      <c r="D40" t="inlineStr">
        <is>
          <t>A-CHH180</t>
        </is>
      </c>
      <c r="E40" t="inlineStr">
        <is>
          <t>Denver</t>
        </is>
      </c>
      <c r="F40" t="inlineStr">
        <is>
          <t>Camisa Denver caballero estampado biznaga negra</t>
        </is>
      </c>
      <c r="G40" t="inlineStr">
        <is>
          <t>S</t>
        </is>
      </c>
      <c r="H40" t="inlineStr">
        <is>
          <t>Negro</t>
        </is>
      </c>
      <c r="I40" t="inlineStr">
        <is>
          <t>Ropa</t>
        </is>
      </c>
      <c r="J40" t="inlineStr">
        <is>
          <t>Camisas</t>
        </is>
      </c>
      <c r="K40" t="inlineStr">
        <is>
          <t>Hombre</t>
        </is>
      </c>
      <c r="L40" t="inlineStr">
        <is>
          <t>PZS</t>
        </is>
      </c>
      <c r="M40" s="186" t="n">
        <v>419</v>
      </c>
      <c r="N40" s="186" t="n">
        <v>947.4137931</v>
      </c>
      <c r="O40" t="n">
        <v>3</v>
      </c>
      <c r="P40" t="n">
        <v>3</v>
      </c>
      <c r="W40" t="n">
        <v>3</v>
      </c>
      <c r="X40">
        <f>O40-W40</f>
        <v/>
      </c>
      <c r="Y40" t="n">
        <v>3</v>
      </c>
      <c r="AB40" s="186">
        <f>IFERROR(O40*M40,0)</f>
        <v/>
      </c>
      <c r="AC40" s="186">
        <f>IFERROR(O40*N40,0)</f>
        <v/>
      </c>
      <c r="AD40" t="inlineStr">
        <is>
          <t>Con existencia</t>
        </is>
      </c>
      <c r="AE40" t="n">
        <v>3</v>
      </c>
    </row>
    <row r="41">
      <c r="A41" t="inlineStr">
        <is>
          <t>7506499531184</t>
        </is>
      </c>
      <c r="B41" t="inlineStr">
        <is>
          <t>108390</t>
        </is>
      </c>
      <c r="C41" t="inlineStr">
        <is>
          <t>A-CHH185-S</t>
        </is>
      </c>
      <c r="D41" t="inlineStr">
        <is>
          <t>A-CHH185</t>
        </is>
      </c>
      <c r="E41" t="inlineStr">
        <is>
          <t>Denver</t>
        </is>
      </c>
      <c r="F41" t="inlineStr">
        <is>
          <t>Camisa Denver caballero estampado nopal en verde</t>
        </is>
      </c>
      <c r="G41" t="inlineStr">
        <is>
          <t>S</t>
        </is>
      </c>
      <c r="H41" t="inlineStr">
        <is>
          <t>Verde</t>
        </is>
      </c>
      <c r="I41" t="inlineStr">
        <is>
          <t>Ropa</t>
        </is>
      </c>
      <c r="J41" t="inlineStr">
        <is>
          <t>Camisas</t>
        </is>
      </c>
      <c r="K41" t="inlineStr">
        <is>
          <t>Hombre</t>
        </is>
      </c>
      <c r="L41" t="inlineStr">
        <is>
          <t>PZS</t>
        </is>
      </c>
      <c r="M41" s="186" t="n">
        <v>419</v>
      </c>
      <c r="N41" s="186" t="n">
        <v>947.4137931</v>
      </c>
      <c r="O41" t="n">
        <v>3</v>
      </c>
      <c r="P41" t="n">
        <v>3</v>
      </c>
      <c r="W41" t="n">
        <v>4</v>
      </c>
      <c r="X41">
        <f>O41-W41</f>
        <v/>
      </c>
      <c r="Y41" t="n">
        <v>3</v>
      </c>
      <c r="AB41" s="186">
        <f>IFERROR(O41*M41,0)</f>
        <v/>
      </c>
      <c r="AC41" s="186">
        <f>IFERROR(O41*N41,0)</f>
        <v/>
      </c>
      <c r="AD41" t="inlineStr">
        <is>
          <t>Con existencia</t>
        </is>
      </c>
      <c r="AE41" t="n">
        <v>3</v>
      </c>
    </row>
    <row r="42">
      <c r="A42" t="inlineStr">
        <is>
          <t>7506499550390</t>
        </is>
      </c>
      <c r="B42" t="inlineStr">
        <is>
          <t>108395</t>
        </is>
      </c>
      <c r="C42" t="inlineStr">
        <is>
          <t>A-CHH206-L</t>
        </is>
      </c>
      <c r="D42" t="inlineStr">
        <is>
          <t>A-CHH206</t>
        </is>
      </c>
      <c r="E42" t="inlineStr">
        <is>
          <t>Denver</t>
        </is>
      </c>
      <c r="F42" t="inlineStr">
        <is>
          <t>Camisa Denver caballero mosaico estrella en azul</t>
        </is>
      </c>
      <c r="G42" t="inlineStr">
        <is>
          <t>L</t>
        </is>
      </c>
      <c r="H42" t="inlineStr">
        <is>
          <t>Azul</t>
        </is>
      </c>
      <c r="I42" t="inlineStr">
        <is>
          <t>Ropa</t>
        </is>
      </c>
      <c r="J42" t="inlineStr">
        <is>
          <t>Camisas</t>
        </is>
      </c>
      <c r="K42" t="inlineStr">
        <is>
          <t>Hombre</t>
        </is>
      </c>
      <c r="L42" t="inlineStr">
        <is>
          <t>PZS</t>
        </is>
      </c>
      <c r="M42" s="186" t="n">
        <v>419</v>
      </c>
      <c r="N42" s="186" t="n">
        <v>947.4137931</v>
      </c>
      <c r="O42" t="n">
        <v>2</v>
      </c>
      <c r="P42" t="n">
        <v>2</v>
      </c>
      <c r="W42" t="n">
        <v>3</v>
      </c>
      <c r="X42">
        <f>O42-W42</f>
        <v/>
      </c>
      <c r="Y42" t="n">
        <v>3</v>
      </c>
      <c r="AB42" s="186">
        <f>IFERROR(O42*M42,0)</f>
        <v/>
      </c>
      <c r="AC42" s="186">
        <f>IFERROR(O42*N42,0)</f>
        <v/>
      </c>
      <c r="AD42" t="inlineStr">
        <is>
          <t>Con existencia</t>
        </is>
      </c>
      <c r="AE42" t="n">
        <v>2</v>
      </c>
    </row>
    <row r="43">
      <c r="A43" t="inlineStr">
        <is>
          <t>7506499550383</t>
        </is>
      </c>
      <c r="B43" t="inlineStr">
        <is>
          <t>108394</t>
        </is>
      </c>
      <c r="C43" t="inlineStr">
        <is>
          <t>A-CHH206-M</t>
        </is>
      </c>
      <c r="D43" t="inlineStr">
        <is>
          <t>A-CHH206</t>
        </is>
      </c>
      <c r="E43" t="inlineStr">
        <is>
          <t>Denver</t>
        </is>
      </c>
      <c r="F43" t="inlineStr">
        <is>
          <t>Camisa Denver caballero mosaico estrella en azul</t>
        </is>
      </c>
      <c r="G43" t="inlineStr">
        <is>
          <t>M</t>
        </is>
      </c>
      <c r="H43" t="inlineStr">
        <is>
          <t>Azul</t>
        </is>
      </c>
      <c r="I43" t="inlineStr">
        <is>
          <t>Ropa</t>
        </is>
      </c>
      <c r="J43" t="inlineStr">
        <is>
          <t>Camisas</t>
        </is>
      </c>
      <c r="K43" t="inlineStr">
        <is>
          <t>Hombre</t>
        </is>
      </c>
      <c r="L43" t="inlineStr">
        <is>
          <t>PZS</t>
        </is>
      </c>
      <c r="M43" s="186" t="n">
        <v>419</v>
      </c>
      <c r="N43" s="186" t="n">
        <v>947.4137931</v>
      </c>
      <c r="O43" t="n">
        <v>4</v>
      </c>
      <c r="P43" t="n">
        <v>4</v>
      </c>
      <c r="W43" t="n">
        <v>4</v>
      </c>
      <c r="X43">
        <f>O43-W43</f>
        <v/>
      </c>
      <c r="Y43" t="n">
        <v>4</v>
      </c>
      <c r="AB43" s="186">
        <f>IFERROR(O43*M43,0)</f>
        <v/>
      </c>
      <c r="AC43" s="186">
        <f>IFERROR(O43*N43,0)</f>
        <v/>
      </c>
      <c r="AD43" t="inlineStr">
        <is>
          <t>Con existencia</t>
        </is>
      </c>
      <c r="AE43" t="n">
        <v>4</v>
      </c>
    </row>
    <row r="44">
      <c r="A44" t="inlineStr">
        <is>
          <t>7506499550376</t>
        </is>
      </c>
      <c r="B44" t="inlineStr">
        <is>
          <t>108393</t>
        </is>
      </c>
      <c r="C44" t="inlineStr">
        <is>
          <t>A-CHH206-S</t>
        </is>
      </c>
      <c r="D44" t="inlineStr">
        <is>
          <t>A-CHH206</t>
        </is>
      </c>
      <c r="E44" t="inlineStr">
        <is>
          <t>Denver</t>
        </is>
      </c>
      <c r="F44" t="inlineStr">
        <is>
          <t>Camisa Denver caballero mosaico estrella en azul</t>
        </is>
      </c>
      <c r="G44" t="inlineStr">
        <is>
          <t>S</t>
        </is>
      </c>
      <c r="H44" t="inlineStr">
        <is>
          <t>Azul</t>
        </is>
      </c>
      <c r="I44" t="inlineStr">
        <is>
          <t>Ropa</t>
        </is>
      </c>
      <c r="J44" t="inlineStr">
        <is>
          <t>Camisas</t>
        </is>
      </c>
      <c r="K44" t="inlineStr">
        <is>
          <t>Hombre</t>
        </is>
      </c>
      <c r="L44" t="inlineStr">
        <is>
          <t>PZS</t>
        </is>
      </c>
      <c r="M44" s="186" t="n">
        <v>419</v>
      </c>
      <c r="N44" s="186" t="n">
        <v>947.4137931</v>
      </c>
      <c r="O44" t="n">
        <v>4</v>
      </c>
      <c r="P44" t="n">
        <v>4</v>
      </c>
      <c r="W44" t="n">
        <v>4</v>
      </c>
      <c r="X44">
        <f>O44-W44</f>
        <v/>
      </c>
      <c r="Y44" t="n">
        <v>4</v>
      </c>
      <c r="AB44" s="186">
        <f>IFERROR(O44*M44,0)</f>
        <v/>
      </c>
      <c r="AC44" s="186">
        <f>IFERROR(O44*N44,0)</f>
        <v/>
      </c>
      <c r="AD44" t="inlineStr">
        <is>
          <t>Con existencia</t>
        </is>
      </c>
      <c r="AE44" t="n">
        <v>4</v>
      </c>
    </row>
    <row r="45">
      <c r="A45" t="inlineStr">
        <is>
          <t>7506499550406</t>
        </is>
      </c>
      <c r="B45" t="inlineStr">
        <is>
          <t>108396</t>
        </is>
      </c>
      <c r="C45" t="inlineStr">
        <is>
          <t>A-CHH206-XL</t>
        </is>
      </c>
      <c r="D45" t="inlineStr">
        <is>
          <t>A-CHH206</t>
        </is>
      </c>
      <c r="E45" t="inlineStr">
        <is>
          <t>Denver</t>
        </is>
      </c>
      <c r="F45" t="inlineStr">
        <is>
          <t>Camisa Denver caballero mosaico estrella en azul</t>
        </is>
      </c>
      <c r="G45" t="inlineStr">
        <is>
          <t>XL</t>
        </is>
      </c>
      <c r="H45" t="inlineStr">
        <is>
          <t>Azul</t>
        </is>
      </c>
      <c r="I45" t="inlineStr">
        <is>
          <t>Ropa</t>
        </is>
      </c>
      <c r="J45" t="inlineStr">
        <is>
          <t>Camisas</t>
        </is>
      </c>
      <c r="K45" t="inlineStr">
        <is>
          <t>Hombre</t>
        </is>
      </c>
      <c r="L45" t="inlineStr">
        <is>
          <t>PZS</t>
        </is>
      </c>
      <c r="M45" s="186" t="n">
        <v>419</v>
      </c>
      <c r="N45" s="186" t="n">
        <v>947.4137931</v>
      </c>
      <c r="O45" t="n">
        <v>2</v>
      </c>
      <c r="P45" t="n">
        <v>2</v>
      </c>
      <c r="W45" t="n">
        <v>2</v>
      </c>
      <c r="X45">
        <f>O45-W45</f>
        <v/>
      </c>
      <c r="Y45" t="n">
        <v>2</v>
      </c>
      <c r="AB45" s="186">
        <f>IFERROR(O45*M45,0)</f>
        <v/>
      </c>
      <c r="AC45" s="186">
        <f>IFERROR(O45*N45,0)</f>
        <v/>
      </c>
      <c r="AD45" t="inlineStr">
        <is>
          <t>Con existencia</t>
        </is>
      </c>
      <c r="AE45" t="n">
        <v>2</v>
      </c>
    </row>
    <row r="46">
      <c r="A46" t="inlineStr">
        <is>
          <t>7506499526487</t>
        </is>
      </c>
      <c r="B46" t="inlineStr">
        <is>
          <t>108400</t>
        </is>
      </c>
      <c r="C46" t="inlineStr">
        <is>
          <t>A-CM126-L</t>
        </is>
      </c>
      <c r="D46" t="inlineStr">
        <is>
          <t>A-CM126</t>
        </is>
      </c>
      <c r="E46" t="inlineStr">
        <is>
          <t>Denver</t>
        </is>
      </c>
      <c r="F46" t="inlineStr">
        <is>
          <t>Camisa Denver dama flores amarillo</t>
        </is>
      </c>
      <c r="G46" t="inlineStr">
        <is>
          <t>L</t>
        </is>
      </c>
      <c r="H46" t="inlineStr">
        <is>
          <t>Amarillo</t>
        </is>
      </c>
      <c r="I46" t="inlineStr">
        <is>
          <t>Ropa</t>
        </is>
      </c>
      <c r="J46" t="inlineStr">
        <is>
          <t>Camisas</t>
        </is>
      </c>
      <c r="K46" t="inlineStr">
        <is>
          <t>Mujer</t>
        </is>
      </c>
      <c r="L46" t="inlineStr">
        <is>
          <t>PZS</t>
        </is>
      </c>
      <c r="M46" s="186" t="n">
        <v>336</v>
      </c>
      <c r="N46" s="186" t="n">
        <v>775</v>
      </c>
      <c r="O46" t="n">
        <v>2</v>
      </c>
      <c r="P46" t="n">
        <v>2</v>
      </c>
      <c r="W46" t="n">
        <v>2</v>
      </c>
      <c r="X46">
        <f>O46-W46</f>
        <v/>
      </c>
      <c r="Y46" t="n">
        <v>2</v>
      </c>
      <c r="AB46" s="186">
        <f>IFERROR(O46*M46,0)</f>
        <v/>
      </c>
      <c r="AC46" s="186">
        <f>IFERROR(O46*N46,0)</f>
        <v/>
      </c>
      <c r="AD46" t="inlineStr">
        <is>
          <t>Con existencia</t>
        </is>
      </c>
      <c r="AE46" t="n">
        <v>2</v>
      </c>
    </row>
    <row r="47">
      <c r="A47" t="inlineStr">
        <is>
          <t>7506499526470</t>
        </is>
      </c>
      <c r="B47" t="inlineStr">
        <is>
          <t>108399</t>
        </is>
      </c>
      <c r="C47" t="inlineStr">
        <is>
          <t>A-CM126-M</t>
        </is>
      </c>
      <c r="D47" t="inlineStr">
        <is>
          <t>A-CM126</t>
        </is>
      </c>
      <c r="E47" t="inlineStr">
        <is>
          <t>Denver</t>
        </is>
      </c>
      <c r="F47" t="inlineStr">
        <is>
          <t>Camisa Denver dama flores amarillo</t>
        </is>
      </c>
      <c r="G47" t="inlineStr">
        <is>
          <t>M</t>
        </is>
      </c>
      <c r="H47" t="inlineStr">
        <is>
          <t>Amarillo</t>
        </is>
      </c>
      <c r="I47" t="inlineStr">
        <is>
          <t>Ropa</t>
        </is>
      </c>
      <c r="J47" t="inlineStr">
        <is>
          <t>Camisas</t>
        </is>
      </c>
      <c r="K47" t="inlineStr">
        <is>
          <t>Mujer</t>
        </is>
      </c>
      <c r="L47" t="inlineStr">
        <is>
          <t>PZS</t>
        </is>
      </c>
      <c r="M47" s="186" t="n">
        <v>336</v>
      </c>
      <c r="N47" s="186" t="n">
        <v>775</v>
      </c>
      <c r="O47" t="n">
        <v>1</v>
      </c>
      <c r="P47" t="n">
        <v>1</v>
      </c>
      <c r="W47" t="n">
        <v>1</v>
      </c>
      <c r="X47">
        <f>O47-W47</f>
        <v/>
      </c>
      <c r="Y47" t="n">
        <v>1</v>
      </c>
      <c r="AB47" s="186">
        <f>IFERROR(O47*M47,0)</f>
        <v/>
      </c>
      <c r="AC47" s="186">
        <f>IFERROR(O47*N47,0)</f>
        <v/>
      </c>
      <c r="AD47" t="inlineStr">
        <is>
          <t>Con existencia</t>
        </is>
      </c>
      <c r="AE47" t="n">
        <v>1</v>
      </c>
    </row>
    <row r="48">
      <c r="A48" t="inlineStr">
        <is>
          <t>7506499526463</t>
        </is>
      </c>
      <c r="B48" t="inlineStr">
        <is>
          <t>108398</t>
        </is>
      </c>
      <c r="C48" t="inlineStr">
        <is>
          <t>A-CM126-S</t>
        </is>
      </c>
      <c r="D48" t="inlineStr">
        <is>
          <t>A-CM126</t>
        </is>
      </c>
      <c r="E48" t="inlineStr">
        <is>
          <t>Denver</t>
        </is>
      </c>
      <c r="F48" t="inlineStr">
        <is>
          <t>Camisa Denver dama flores amarillo</t>
        </is>
      </c>
      <c r="G48" t="inlineStr">
        <is>
          <t>S</t>
        </is>
      </c>
      <c r="H48" t="inlineStr">
        <is>
          <t>Amarillo</t>
        </is>
      </c>
      <c r="I48" t="inlineStr">
        <is>
          <t>Ropa</t>
        </is>
      </c>
      <c r="J48" t="inlineStr">
        <is>
          <t>Camisas</t>
        </is>
      </c>
      <c r="K48" t="inlineStr">
        <is>
          <t>Mujer</t>
        </is>
      </c>
      <c r="L48" t="inlineStr">
        <is>
          <t>PZS</t>
        </is>
      </c>
      <c r="M48" s="186" t="n">
        <v>336</v>
      </c>
      <c r="N48" s="186" t="n">
        <v>775</v>
      </c>
      <c r="O48" t="n">
        <v>3</v>
      </c>
      <c r="P48" t="n">
        <v>3</v>
      </c>
      <c r="W48" t="n">
        <v>3</v>
      </c>
      <c r="X48">
        <f>O48-W48</f>
        <v/>
      </c>
      <c r="Y48" t="n">
        <v>3</v>
      </c>
      <c r="AB48" s="186">
        <f>IFERROR(O48*M48,0)</f>
        <v/>
      </c>
      <c r="AC48" s="186">
        <f>IFERROR(O48*N48,0)</f>
        <v/>
      </c>
      <c r="AD48" t="inlineStr">
        <is>
          <t>Con existencia</t>
        </is>
      </c>
      <c r="AE48" t="n">
        <v>3</v>
      </c>
    </row>
    <row r="49">
      <c r="A49" t="inlineStr">
        <is>
          <t>7506499526494</t>
        </is>
      </c>
      <c r="B49" t="inlineStr">
        <is>
          <t>108401</t>
        </is>
      </c>
      <c r="C49" t="inlineStr">
        <is>
          <t>A-CM126-XL</t>
        </is>
      </c>
      <c r="D49" t="inlineStr">
        <is>
          <t>A-CM126</t>
        </is>
      </c>
      <c r="E49" t="inlineStr">
        <is>
          <t>Denver</t>
        </is>
      </c>
      <c r="F49" t="inlineStr">
        <is>
          <t>Camisa Denver dama flores amarillo</t>
        </is>
      </c>
      <c r="G49" t="inlineStr">
        <is>
          <t>XL</t>
        </is>
      </c>
      <c r="H49" t="inlineStr">
        <is>
          <t>Amarillo</t>
        </is>
      </c>
      <c r="I49" t="inlineStr">
        <is>
          <t>Ropa</t>
        </is>
      </c>
      <c r="J49" t="inlineStr">
        <is>
          <t>Camisas</t>
        </is>
      </c>
      <c r="K49" t="inlineStr">
        <is>
          <t>Mujer</t>
        </is>
      </c>
      <c r="L49" t="inlineStr">
        <is>
          <t>PZS</t>
        </is>
      </c>
      <c r="M49" s="186" t="n">
        <v>336</v>
      </c>
      <c r="N49" s="186" t="n">
        <v>775</v>
      </c>
      <c r="O49" t="n">
        <v>3</v>
      </c>
      <c r="P49" t="n">
        <v>3</v>
      </c>
      <c r="W49" t="n">
        <v>3</v>
      </c>
      <c r="X49">
        <f>O49-W49</f>
        <v/>
      </c>
      <c r="Y49" t="n">
        <v>3</v>
      </c>
      <c r="AB49" s="186">
        <f>IFERROR(O49*M49,0)</f>
        <v/>
      </c>
      <c r="AC49" s="186">
        <f>IFERROR(O49*N49,0)</f>
        <v/>
      </c>
      <c r="AD49" t="inlineStr">
        <is>
          <t>Con existencia</t>
        </is>
      </c>
      <c r="AE49" t="n">
        <v>3</v>
      </c>
    </row>
    <row r="50">
      <c r="A50" t="inlineStr">
        <is>
          <t>7506499526456</t>
        </is>
      </c>
      <c r="B50" t="inlineStr">
        <is>
          <t>108397</t>
        </is>
      </c>
      <c r="C50" t="inlineStr">
        <is>
          <t>A-CM126-XS</t>
        </is>
      </c>
      <c r="D50" t="inlineStr">
        <is>
          <t>A-CM126</t>
        </is>
      </c>
      <c r="E50" t="inlineStr">
        <is>
          <t>Denver</t>
        </is>
      </c>
      <c r="F50" t="inlineStr">
        <is>
          <t>Camisa Denver dama flores amarillo</t>
        </is>
      </c>
      <c r="G50" t="inlineStr">
        <is>
          <t>XS</t>
        </is>
      </c>
      <c r="H50" t="inlineStr">
        <is>
          <t>Amarillo</t>
        </is>
      </c>
      <c r="I50" t="inlineStr">
        <is>
          <t>Ropa</t>
        </is>
      </c>
      <c r="J50" t="inlineStr">
        <is>
          <t>Camisas</t>
        </is>
      </c>
      <c r="K50" t="inlineStr">
        <is>
          <t>Mujer</t>
        </is>
      </c>
      <c r="L50" t="inlineStr">
        <is>
          <t>PZS</t>
        </is>
      </c>
      <c r="M50" s="186" t="n">
        <v>336</v>
      </c>
      <c r="N50" s="186" t="n">
        <v>775</v>
      </c>
      <c r="O50" t="n">
        <v>4</v>
      </c>
      <c r="P50" t="n">
        <v>4</v>
      </c>
      <c r="W50" t="n">
        <v>4</v>
      </c>
      <c r="X50">
        <f>O50-W50</f>
        <v/>
      </c>
      <c r="Y50" t="n">
        <v>4</v>
      </c>
      <c r="AB50" s="186">
        <f>IFERROR(O50*M50,0)</f>
        <v/>
      </c>
      <c r="AC50" s="186">
        <f>IFERROR(O50*N50,0)</f>
        <v/>
      </c>
      <c r="AD50" t="inlineStr">
        <is>
          <t>Con existencia</t>
        </is>
      </c>
      <c r="AE50" t="n">
        <v>4</v>
      </c>
    </row>
    <row r="51">
      <c r="A51" t="inlineStr">
        <is>
          <t>7506499529617</t>
        </is>
      </c>
      <c r="B51" t="inlineStr">
        <is>
          <t>108404</t>
        </is>
      </c>
      <c r="C51" t="inlineStr">
        <is>
          <t>A-CM128-L</t>
        </is>
      </c>
      <c r="D51" t="inlineStr">
        <is>
          <t>A-CM128</t>
        </is>
      </c>
      <c r="E51" t="inlineStr">
        <is>
          <t>Denver</t>
        </is>
      </c>
      <c r="F51" t="inlineStr">
        <is>
          <t>Camisa Denver de dama verde</t>
        </is>
      </c>
      <c r="G51" t="inlineStr">
        <is>
          <t>L</t>
        </is>
      </c>
      <c r="H51" t="inlineStr">
        <is>
          <t>Verde</t>
        </is>
      </c>
      <c r="I51" t="inlineStr">
        <is>
          <t>Ropa</t>
        </is>
      </c>
      <c r="J51" t="inlineStr">
        <is>
          <t>Camisas</t>
        </is>
      </c>
      <c r="K51" t="inlineStr">
        <is>
          <t>Mujer</t>
        </is>
      </c>
      <c r="L51" t="inlineStr">
        <is>
          <t>PZS</t>
        </is>
      </c>
      <c r="M51" s="186" t="n">
        <v>336</v>
      </c>
      <c r="N51" s="186" t="n">
        <v>775</v>
      </c>
      <c r="O51" t="n">
        <v>4</v>
      </c>
      <c r="P51" t="n">
        <v>4</v>
      </c>
      <c r="W51" t="n">
        <v>4</v>
      </c>
      <c r="X51">
        <f>O51-W51</f>
        <v/>
      </c>
      <c r="Y51" t="n">
        <v>4</v>
      </c>
      <c r="AB51" s="186">
        <f>IFERROR(O51*M51,0)</f>
        <v/>
      </c>
      <c r="AC51" s="186">
        <f>IFERROR(O51*N51,0)</f>
        <v/>
      </c>
      <c r="AD51" t="inlineStr">
        <is>
          <t>Con existencia</t>
        </is>
      </c>
      <c r="AE51" t="n">
        <v>4</v>
      </c>
    </row>
    <row r="52">
      <c r="A52" t="inlineStr">
        <is>
          <t>7506499529785</t>
        </is>
      </c>
      <c r="B52" t="inlineStr">
        <is>
          <t>108405</t>
        </is>
      </c>
      <c r="C52" t="inlineStr">
        <is>
          <t>A-CM132-XS</t>
        </is>
      </c>
      <c r="D52" t="inlineStr">
        <is>
          <t>A-CM132</t>
        </is>
      </c>
      <c r="E52" t="inlineStr">
        <is>
          <t>Denver</t>
        </is>
      </c>
      <c r="F52" t="inlineStr">
        <is>
          <t>Camisa Denver dama estampado bisnaga naranja</t>
        </is>
      </c>
      <c r="G52" t="inlineStr">
        <is>
          <t>XS</t>
        </is>
      </c>
      <c r="H52" t="inlineStr">
        <is>
          <t>Naranja</t>
        </is>
      </c>
      <c r="I52" t="inlineStr">
        <is>
          <t>Ropa</t>
        </is>
      </c>
      <c r="J52" t="inlineStr">
        <is>
          <t>Camisas</t>
        </is>
      </c>
      <c r="K52" t="inlineStr">
        <is>
          <t>Mujer</t>
        </is>
      </c>
      <c r="L52" t="inlineStr">
        <is>
          <t>PZS</t>
        </is>
      </c>
      <c r="M52" s="186" t="n">
        <v>336</v>
      </c>
      <c r="N52" s="186" t="n">
        <v>775</v>
      </c>
      <c r="O52" t="n">
        <v>3</v>
      </c>
      <c r="P52" t="n">
        <v>3</v>
      </c>
      <c r="W52" t="n">
        <v>3</v>
      </c>
      <c r="X52">
        <f>O52-W52</f>
        <v/>
      </c>
      <c r="Y52" t="n">
        <v>3</v>
      </c>
      <c r="AB52" s="186">
        <f>IFERROR(O52*M52,0)</f>
        <v/>
      </c>
      <c r="AC52" s="186">
        <f>IFERROR(O52*N52,0)</f>
        <v/>
      </c>
      <c r="AD52" t="inlineStr">
        <is>
          <t>Con existencia</t>
        </is>
      </c>
      <c r="AE52" t="n">
        <v>3</v>
      </c>
    </row>
    <row r="53">
      <c r="A53" t="inlineStr">
        <is>
          <t>7506499529914</t>
        </is>
      </c>
      <c r="B53" t="inlineStr">
        <is>
          <t>108410</t>
        </is>
      </c>
      <c r="C53" t="inlineStr">
        <is>
          <t>A-CM134-L</t>
        </is>
      </c>
      <c r="D53" t="inlineStr">
        <is>
          <t>A-CM134</t>
        </is>
      </c>
      <c r="E53" t="inlineStr">
        <is>
          <t>Denver</t>
        </is>
      </c>
      <c r="F53" t="inlineStr">
        <is>
          <t>Camisa Denver dama estampado dalia durazno</t>
        </is>
      </c>
      <c r="G53" t="inlineStr">
        <is>
          <t>L</t>
        </is>
      </c>
      <c r="H53" t="inlineStr">
        <is>
          <t>Naranja</t>
        </is>
      </c>
      <c r="I53" t="inlineStr">
        <is>
          <t>Ropa</t>
        </is>
      </c>
      <c r="J53" t="inlineStr">
        <is>
          <t>Camisas</t>
        </is>
      </c>
      <c r="K53" t="inlineStr">
        <is>
          <t>Mujer</t>
        </is>
      </c>
      <c r="L53" t="inlineStr">
        <is>
          <t>PZS</t>
        </is>
      </c>
      <c r="M53" s="186" t="n">
        <v>336</v>
      </c>
      <c r="N53" s="186" t="n">
        <v>775</v>
      </c>
      <c r="O53" t="n">
        <v>1</v>
      </c>
      <c r="P53" t="n">
        <v>1</v>
      </c>
      <c r="W53" t="n">
        <v>1</v>
      </c>
      <c r="X53">
        <f>O53-W53</f>
        <v/>
      </c>
      <c r="Y53" t="n">
        <v>1</v>
      </c>
      <c r="AB53" s="186">
        <f>IFERROR(O53*M53,0)</f>
        <v/>
      </c>
      <c r="AC53" s="186">
        <f>IFERROR(O53*N53,0)</f>
        <v/>
      </c>
      <c r="AD53" t="inlineStr">
        <is>
          <t>Con existencia</t>
        </is>
      </c>
      <c r="AE53" t="n">
        <v>1</v>
      </c>
    </row>
    <row r="54">
      <c r="A54" t="inlineStr">
        <is>
          <t>7506499529891</t>
        </is>
      </c>
      <c r="B54" t="inlineStr">
        <is>
          <t>108409</t>
        </is>
      </c>
      <c r="C54" t="inlineStr">
        <is>
          <t>A-CM134-S</t>
        </is>
      </c>
      <c r="D54" t="inlineStr">
        <is>
          <t>A-CM134</t>
        </is>
      </c>
      <c r="E54" t="inlineStr">
        <is>
          <t>Denver</t>
        </is>
      </c>
      <c r="F54" t="inlineStr">
        <is>
          <t>Camisa Denver dama estampado dalia durazno</t>
        </is>
      </c>
      <c r="G54" t="inlineStr">
        <is>
          <t>S</t>
        </is>
      </c>
      <c r="H54" t="inlineStr">
        <is>
          <t>Naranja</t>
        </is>
      </c>
      <c r="I54" t="inlineStr">
        <is>
          <t>Ropa</t>
        </is>
      </c>
      <c r="J54" t="inlineStr">
        <is>
          <t>Camisas</t>
        </is>
      </c>
      <c r="K54" t="inlineStr">
        <is>
          <t>Mujer</t>
        </is>
      </c>
      <c r="L54" t="inlineStr">
        <is>
          <t>PZS</t>
        </is>
      </c>
      <c r="M54" s="186" t="n">
        <v>336</v>
      </c>
      <c r="N54" s="186" t="n">
        <v>775</v>
      </c>
      <c r="O54" t="n">
        <v>4</v>
      </c>
      <c r="P54" t="n">
        <v>4</v>
      </c>
      <c r="W54" t="n">
        <v>4</v>
      </c>
      <c r="X54">
        <f>O54-W54</f>
        <v/>
      </c>
      <c r="Y54" t="n">
        <v>4</v>
      </c>
      <c r="AB54" s="186">
        <f>IFERROR(O54*M54,0)</f>
        <v/>
      </c>
      <c r="AC54" s="186">
        <f>IFERROR(O54*N54,0)</f>
        <v/>
      </c>
      <c r="AD54" t="inlineStr">
        <is>
          <t>Con existencia</t>
        </is>
      </c>
      <c r="AE54" t="n">
        <v>4</v>
      </c>
    </row>
    <row r="55">
      <c r="A55" t="inlineStr">
        <is>
          <t>7506499551076</t>
        </is>
      </c>
      <c r="B55" t="inlineStr">
        <is>
          <t>108412</t>
        </is>
      </c>
      <c r="C55" t="inlineStr">
        <is>
          <t>A-CM152-L</t>
        </is>
      </c>
      <c r="D55" t="inlineStr">
        <is>
          <t>A-CM152</t>
        </is>
      </c>
      <c r="E55" t="inlineStr">
        <is>
          <t>Denver</t>
        </is>
      </c>
      <c r="F55" t="inlineStr">
        <is>
          <t>Camisa Denver vaqueras</t>
        </is>
      </c>
      <c r="G55" t="inlineStr">
        <is>
          <t>L</t>
        </is>
      </c>
      <c r="H55" t="inlineStr">
        <is>
          <t>Naranja</t>
        </is>
      </c>
      <c r="I55" t="inlineStr">
        <is>
          <t>Ropa</t>
        </is>
      </c>
      <c r="J55" t="inlineStr">
        <is>
          <t>Camisas</t>
        </is>
      </c>
      <c r="K55" t="inlineStr">
        <is>
          <t>Mujer</t>
        </is>
      </c>
      <c r="L55" t="inlineStr">
        <is>
          <t>PZS</t>
        </is>
      </c>
      <c r="M55" s="186" t="n">
        <v>336</v>
      </c>
      <c r="N55" s="186" t="n">
        <v>775</v>
      </c>
      <c r="O55" t="n">
        <v>1</v>
      </c>
      <c r="P55" t="n">
        <v>1</v>
      </c>
      <c r="W55" t="n">
        <v>1</v>
      </c>
      <c r="X55">
        <f>O55-W55</f>
        <v/>
      </c>
      <c r="Y55" t="n">
        <v>1</v>
      </c>
      <c r="AB55" s="186">
        <f>IFERROR(O55*M55,0)</f>
        <v/>
      </c>
      <c r="AC55" s="186">
        <f>IFERROR(O55*N55,0)</f>
        <v/>
      </c>
      <c r="AD55" t="inlineStr">
        <is>
          <t>Con existencia</t>
        </is>
      </c>
      <c r="AE55" t="n">
        <v>1</v>
      </c>
    </row>
    <row r="56">
      <c r="A56" t="inlineStr">
        <is>
          <t>7506499551069</t>
        </is>
      </c>
      <c r="B56" t="inlineStr">
        <is>
          <t>108411</t>
        </is>
      </c>
      <c r="C56" t="inlineStr">
        <is>
          <t>A-CM152-M</t>
        </is>
      </c>
      <c r="D56" t="inlineStr">
        <is>
          <t>A-CM152</t>
        </is>
      </c>
      <c r="E56" t="inlineStr">
        <is>
          <t>Denver</t>
        </is>
      </c>
      <c r="F56" t="inlineStr">
        <is>
          <t>Camisa Denver vaqueras</t>
        </is>
      </c>
      <c r="G56" t="inlineStr">
        <is>
          <t>M</t>
        </is>
      </c>
      <c r="H56" t="inlineStr">
        <is>
          <t>Naranja</t>
        </is>
      </c>
      <c r="I56" t="inlineStr">
        <is>
          <t>Ropa</t>
        </is>
      </c>
      <c r="J56" t="inlineStr">
        <is>
          <t>Camisas</t>
        </is>
      </c>
      <c r="K56" t="inlineStr">
        <is>
          <t>Mujer</t>
        </is>
      </c>
      <c r="L56" t="inlineStr">
        <is>
          <t>PZS</t>
        </is>
      </c>
      <c r="M56" s="186" t="n">
        <v>336</v>
      </c>
      <c r="N56" s="186" t="n">
        <v>775</v>
      </c>
      <c r="O56" t="n">
        <v>3</v>
      </c>
      <c r="P56" t="n">
        <v>3</v>
      </c>
      <c r="W56" t="n">
        <v>3</v>
      </c>
      <c r="X56">
        <f>O56-W56</f>
        <v/>
      </c>
      <c r="Y56" t="n">
        <v>3</v>
      </c>
      <c r="AB56" s="186">
        <f>IFERROR(O56*M56,0)</f>
        <v/>
      </c>
      <c r="AC56" s="186">
        <f>IFERROR(O56*N56,0)</f>
        <v/>
      </c>
      <c r="AD56" t="inlineStr">
        <is>
          <t>Con existencia</t>
        </is>
      </c>
      <c r="AE56" t="n">
        <v>3</v>
      </c>
    </row>
    <row r="57">
      <c r="A57" t="inlineStr">
        <is>
          <t>7506499551090</t>
        </is>
      </c>
      <c r="B57" t="inlineStr">
        <is>
          <t>108413</t>
        </is>
      </c>
      <c r="C57" t="inlineStr">
        <is>
          <t>A-CM152-XXL</t>
        </is>
      </c>
      <c r="D57" t="inlineStr">
        <is>
          <t>A-CM152</t>
        </is>
      </c>
      <c r="E57" t="inlineStr">
        <is>
          <t>Denver</t>
        </is>
      </c>
      <c r="F57" t="inlineStr">
        <is>
          <t>Camisa Denver vaqueras</t>
        </is>
      </c>
      <c r="G57" t="inlineStr">
        <is>
          <t>XXL</t>
        </is>
      </c>
      <c r="H57" t="inlineStr">
        <is>
          <t>Naranja</t>
        </is>
      </c>
      <c r="I57" t="inlineStr">
        <is>
          <t>Ropa</t>
        </is>
      </c>
      <c r="J57" t="inlineStr">
        <is>
          <t>Camisas</t>
        </is>
      </c>
      <c r="K57" t="inlineStr">
        <is>
          <t>Mujer</t>
        </is>
      </c>
      <c r="L57" t="inlineStr">
        <is>
          <t>PZS</t>
        </is>
      </c>
      <c r="M57" s="186" t="n">
        <v>336</v>
      </c>
      <c r="N57" s="186" t="n">
        <v>775</v>
      </c>
      <c r="O57" t="n">
        <v>3</v>
      </c>
      <c r="P57" t="n">
        <v>3</v>
      </c>
      <c r="W57" t="n">
        <v>3</v>
      </c>
      <c r="X57">
        <f>O57-W57</f>
        <v/>
      </c>
      <c r="Y57" t="n">
        <v>3</v>
      </c>
      <c r="AB57" s="186">
        <f>IFERROR(O57*M57,0)</f>
        <v/>
      </c>
      <c r="AC57" s="186">
        <f>IFERROR(O57*N57,0)</f>
        <v/>
      </c>
      <c r="AD57" t="inlineStr">
        <is>
          <t>Con existencia</t>
        </is>
      </c>
      <c r="AE57" t="n">
        <v>3</v>
      </c>
    </row>
    <row r="58">
      <c r="A58" t="inlineStr">
        <is>
          <t>7506499530118</t>
        </is>
      </c>
      <c r="B58" t="inlineStr">
        <is>
          <t>108417</t>
        </is>
      </c>
      <c r="C58" t="inlineStr">
        <is>
          <t>C-CM128-L</t>
        </is>
      </c>
      <c r="D58" t="inlineStr">
        <is>
          <t>C-CM128</t>
        </is>
      </c>
      <c r="E58" t="inlineStr">
        <is>
          <t>Denver</t>
        </is>
      </c>
      <c r="F58" t="inlineStr">
        <is>
          <t>Camisa Denver dama estampado flor de yuca verde</t>
        </is>
      </c>
      <c r="G58" t="inlineStr">
        <is>
          <t>L</t>
        </is>
      </c>
      <c r="H58" t="inlineStr">
        <is>
          <t>Verde</t>
        </is>
      </c>
      <c r="I58" t="inlineStr">
        <is>
          <t>Ropa</t>
        </is>
      </c>
      <c r="J58" t="inlineStr">
        <is>
          <t>Camisas</t>
        </is>
      </c>
      <c r="K58" t="inlineStr">
        <is>
          <t>Mujer</t>
        </is>
      </c>
      <c r="L58" t="inlineStr">
        <is>
          <t>PZS</t>
        </is>
      </c>
      <c r="M58" s="186" t="n">
        <v>336</v>
      </c>
      <c r="N58" s="186" t="n">
        <v>775</v>
      </c>
      <c r="O58" t="n">
        <v>4</v>
      </c>
      <c r="P58" t="n">
        <v>4</v>
      </c>
      <c r="W58" t="n">
        <v>4</v>
      </c>
      <c r="X58">
        <f>O58-W58</f>
        <v/>
      </c>
      <c r="Y58" t="n">
        <v>4</v>
      </c>
      <c r="AB58" s="186">
        <f>IFERROR(O58*M58,0)</f>
        <v/>
      </c>
      <c r="AC58" s="186">
        <f>IFERROR(O58*N58,0)</f>
        <v/>
      </c>
      <c r="AD58" t="inlineStr">
        <is>
          <t>Con existencia</t>
        </is>
      </c>
      <c r="AE58" t="n">
        <v>4</v>
      </c>
    </row>
    <row r="59">
      <c r="A59" t="inlineStr">
        <is>
          <t>7506499530101</t>
        </is>
      </c>
      <c r="B59" t="inlineStr">
        <is>
          <t>108416</t>
        </is>
      </c>
      <c r="C59" t="inlineStr">
        <is>
          <t>C-CM128-M</t>
        </is>
      </c>
      <c r="D59" t="inlineStr">
        <is>
          <t>C-CM128</t>
        </is>
      </c>
      <c r="E59" t="inlineStr">
        <is>
          <t>Denver</t>
        </is>
      </c>
      <c r="F59" t="inlineStr">
        <is>
          <t>Camisa Denver dama estampado flor de yuca verde</t>
        </is>
      </c>
      <c r="G59" t="inlineStr">
        <is>
          <t>M</t>
        </is>
      </c>
      <c r="H59" t="inlineStr">
        <is>
          <t>Verde</t>
        </is>
      </c>
      <c r="I59" t="inlineStr">
        <is>
          <t>Ropa</t>
        </is>
      </c>
      <c r="J59" t="inlineStr">
        <is>
          <t>Camisas</t>
        </is>
      </c>
      <c r="K59" t="inlineStr">
        <is>
          <t>Mujer</t>
        </is>
      </c>
      <c r="L59" t="inlineStr">
        <is>
          <t>PZS</t>
        </is>
      </c>
      <c r="M59" s="186" t="n">
        <v>336</v>
      </c>
      <c r="N59" s="186" t="n">
        <v>775</v>
      </c>
      <c r="O59" t="n">
        <v>2</v>
      </c>
      <c r="P59" t="n">
        <v>2</v>
      </c>
      <c r="W59" t="n">
        <v>2</v>
      </c>
      <c r="X59">
        <f>O59-W59</f>
        <v/>
      </c>
      <c r="Y59" t="n">
        <v>2</v>
      </c>
      <c r="AB59" s="186">
        <f>IFERROR(O59*M59,0)</f>
        <v/>
      </c>
      <c r="AC59" s="186">
        <f>IFERROR(O59*N59,0)</f>
        <v/>
      </c>
      <c r="AD59" t="inlineStr">
        <is>
          <t>Con existencia</t>
        </is>
      </c>
      <c r="AE59" t="n">
        <v>2</v>
      </c>
    </row>
    <row r="60">
      <c r="A60" t="inlineStr">
        <is>
          <t>7506499530095</t>
        </is>
      </c>
      <c r="B60" t="inlineStr">
        <is>
          <t>108415</t>
        </is>
      </c>
      <c r="C60" t="inlineStr">
        <is>
          <t>C-CM128-S</t>
        </is>
      </c>
      <c r="D60" t="inlineStr">
        <is>
          <t>C-CM128</t>
        </is>
      </c>
      <c r="E60" t="inlineStr">
        <is>
          <t>Denver</t>
        </is>
      </c>
      <c r="F60" t="inlineStr">
        <is>
          <t>Camisa Denver dama estampado flor de yuca verde</t>
        </is>
      </c>
      <c r="G60" t="inlineStr">
        <is>
          <t>S</t>
        </is>
      </c>
      <c r="H60" t="inlineStr">
        <is>
          <t>Verde</t>
        </is>
      </c>
      <c r="I60" t="inlineStr">
        <is>
          <t>Ropa</t>
        </is>
      </c>
      <c r="J60" t="inlineStr">
        <is>
          <t>Camisas</t>
        </is>
      </c>
      <c r="K60" t="inlineStr">
        <is>
          <t>Mujer</t>
        </is>
      </c>
      <c r="L60" t="inlineStr">
        <is>
          <t>PZS</t>
        </is>
      </c>
      <c r="M60" s="186" t="n">
        <v>336</v>
      </c>
      <c r="N60" s="186" t="n">
        <v>775</v>
      </c>
      <c r="O60" t="n">
        <v>4</v>
      </c>
      <c r="P60" t="n">
        <v>4</v>
      </c>
      <c r="W60" t="n">
        <v>4</v>
      </c>
      <c r="X60">
        <f>O60-W60</f>
        <v/>
      </c>
      <c r="Y60" t="n">
        <v>4</v>
      </c>
      <c r="AB60" s="186">
        <f>IFERROR(O60*M60,0)</f>
        <v/>
      </c>
      <c r="AC60" s="186">
        <f>IFERROR(O60*N60,0)</f>
        <v/>
      </c>
      <c r="AD60" t="inlineStr">
        <is>
          <t>Con existencia</t>
        </is>
      </c>
      <c r="AE60" t="n">
        <v>4</v>
      </c>
    </row>
    <row r="61">
      <c r="A61" t="inlineStr">
        <is>
          <t>7506499530125</t>
        </is>
      </c>
      <c r="B61" t="inlineStr">
        <is>
          <t>108418</t>
        </is>
      </c>
      <c r="C61" t="inlineStr">
        <is>
          <t>C-CM128-XL</t>
        </is>
      </c>
      <c r="D61" t="inlineStr">
        <is>
          <t>C-CM128</t>
        </is>
      </c>
      <c r="E61" t="inlineStr">
        <is>
          <t>Denver</t>
        </is>
      </c>
      <c r="F61" t="inlineStr">
        <is>
          <t>Camisa Denver dama estampado flor de yuca verde</t>
        </is>
      </c>
      <c r="G61" t="inlineStr">
        <is>
          <t>XL</t>
        </is>
      </c>
      <c r="H61" t="inlineStr">
        <is>
          <t>Verde</t>
        </is>
      </c>
      <c r="I61" t="inlineStr">
        <is>
          <t>Ropa</t>
        </is>
      </c>
      <c r="J61" t="inlineStr">
        <is>
          <t>Camisas</t>
        </is>
      </c>
      <c r="K61" t="inlineStr">
        <is>
          <t>Mujer</t>
        </is>
      </c>
      <c r="L61" t="inlineStr">
        <is>
          <t>PZS</t>
        </is>
      </c>
      <c r="M61" s="186" t="n">
        <v>336</v>
      </c>
      <c r="N61" s="186" t="n">
        <v>775</v>
      </c>
      <c r="O61" t="n">
        <v>1</v>
      </c>
      <c r="P61" t="n">
        <v>1</v>
      </c>
      <c r="W61" t="n">
        <v>1</v>
      </c>
      <c r="X61">
        <f>O61-W61</f>
        <v/>
      </c>
      <c r="Y61" t="n">
        <v>1</v>
      </c>
      <c r="AB61" s="186">
        <f>IFERROR(O61*M61,0)</f>
        <v/>
      </c>
      <c r="AC61" s="186">
        <f>IFERROR(O61*N61,0)</f>
        <v/>
      </c>
      <c r="AD61" t="inlineStr">
        <is>
          <t>Con existencia</t>
        </is>
      </c>
      <c r="AE61" t="n">
        <v>1</v>
      </c>
    </row>
    <row r="62">
      <c r="A62" t="inlineStr">
        <is>
          <t>7506499530088</t>
        </is>
      </c>
      <c r="B62" t="inlineStr">
        <is>
          <t>108414</t>
        </is>
      </c>
      <c r="C62" t="inlineStr">
        <is>
          <t>C-CM128-XS</t>
        </is>
      </c>
      <c r="D62" t="inlineStr">
        <is>
          <t>C-CM128</t>
        </is>
      </c>
      <c r="E62" t="inlineStr">
        <is>
          <t>Denver</t>
        </is>
      </c>
      <c r="F62" t="inlineStr">
        <is>
          <t>Camisa Denver dama estampado flor de yuca verde</t>
        </is>
      </c>
      <c r="G62" t="inlineStr">
        <is>
          <t>XS</t>
        </is>
      </c>
      <c r="H62" t="inlineStr">
        <is>
          <t>Verde</t>
        </is>
      </c>
      <c r="I62" t="inlineStr">
        <is>
          <t>Ropa</t>
        </is>
      </c>
      <c r="J62" t="inlineStr">
        <is>
          <t>Camisas</t>
        </is>
      </c>
      <c r="K62" t="inlineStr">
        <is>
          <t>Mujer</t>
        </is>
      </c>
      <c r="L62" t="inlineStr">
        <is>
          <t>PZS</t>
        </is>
      </c>
      <c r="M62" s="186" t="n">
        <v>336</v>
      </c>
      <c r="N62" s="186" t="n">
        <v>775</v>
      </c>
      <c r="O62" t="n">
        <v>4</v>
      </c>
      <c r="P62" t="n">
        <v>4</v>
      </c>
      <c r="W62" t="n">
        <v>4</v>
      </c>
      <c r="X62">
        <f>O62-W62</f>
        <v/>
      </c>
      <c r="Y62" t="n">
        <v>4</v>
      </c>
      <c r="AB62" s="186">
        <f>IFERROR(O62*M62,0)</f>
        <v/>
      </c>
      <c r="AC62" s="186">
        <f>IFERROR(O62*N62,0)</f>
        <v/>
      </c>
      <c r="AD62" t="inlineStr">
        <is>
          <t>Con existencia</t>
        </is>
      </c>
      <c r="AE62" t="n">
        <v>4</v>
      </c>
    </row>
    <row r="63">
      <c r="A63" t="inlineStr">
        <is>
          <t>7506499530163</t>
        </is>
      </c>
      <c r="B63" t="inlineStr">
        <is>
          <t>108579</t>
        </is>
      </c>
      <c r="C63" t="inlineStr">
        <is>
          <t>C-CM130-L</t>
        </is>
      </c>
      <c r="D63" t="inlineStr">
        <is>
          <t>C-CM130</t>
        </is>
      </c>
      <c r="E63" t="inlineStr">
        <is>
          <t>Denver</t>
        </is>
      </c>
      <c r="F63" t="inlineStr">
        <is>
          <t>Camisa Denver dama estampado establo</t>
        </is>
      </c>
      <c r="G63" t="inlineStr">
        <is>
          <t>L</t>
        </is>
      </c>
      <c r="H63" t="inlineStr">
        <is>
          <t>Cafe</t>
        </is>
      </c>
      <c r="I63" t="inlineStr">
        <is>
          <t>Ropa</t>
        </is>
      </c>
      <c r="J63" t="inlineStr">
        <is>
          <t>Camisas</t>
        </is>
      </c>
      <c r="K63" t="inlineStr">
        <is>
          <t>Mujer</t>
        </is>
      </c>
      <c r="L63" t="inlineStr">
        <is>
          <t>PZS</t>
        </is>
      </c>
      <c r="M63" s="186" t="n">
        <v>336</v>
      </c>
      <c r="N63" s="186" t="n">
        <v>775</v>
      </c>
      <c r="O63" t="n">
        <v>3</v>
      </c>
      <c r="P63" t="n">
        <v>3</v>
      </c>
      <c r="W63" t="n">
        <v>3</v>
      </c>
      <c r="X63">
        <f>O63-W63</f>
        <v/>
      </c>
      <c r="Y63" t="n">
        <v>3</v>
      </c>
      <c r="AB63" s="186">
        <f>IFERROR(O63*M63,0)</f>
        <v/>
      </c>
      <c r="AC63" s="186">
        <f>IFERROR(O63*N63,0)</f>
        <v/>
      </c>
      <c r="AD63" t="inlineStr">
        <is>
          <t>Con existencia</t>
        </is>
      </c>
      <c r="AE63" t="n">
        <v>3</v>
      </c>
    </row>
    <row r="64">
      <c r="A64" t="inlineStr">
        <is>
          <t>7506499530149</t>
        </is>
      </c>
      <c r="B64" t="inlineStr">
        <is>
          <t>108577</t>
        </is>
      </c>
      <c r="C64" t="inlineStr">
        <is>
          <t>C-CM130-S</t>
        </is>
      </c>
      <c r="D64" t="inlineStr">
        <is>
          <t>C-CM130</t>
        </is>
      </c>
      <c r="E64" t="inlineStr">
        <is>
          <t>Denver</t>
        </is>
      </c>
      <c r="F64" t="inlineStr">
        <is>
          <t>Camisa Denver dama estampado establo</t>
        </is>
      </c>
      <c r="G64" t="inlineStr">
        <is>
          <t>S</t>
        </is>
      </c>
      <c r="H64" t="inlineStr">
        <is>
          <t>Cafe</t>
        </is>
      </c>
      <c r="I64" t="inlineStr">
        <is>
          <t>Ropa</t>
        </is>
      </c>
      <c r="J64" t="inlineStr">
        <is>
          <t>Camisas</t>
        </is>
      </c>
      <c r="K64" t="inlineStr">
        <is>
          <t>Mujer</t>
        </is>
      </c>
      <c r="L64" t="inlineStr">
        <is>
          <t>PZS</t>
        </is>
      </c>
      <c r="M64" s="186" t="n">
        <v>336</v>
      </c>
      <c r="N64" s="186" t="n">
        <v>775</v>
      </c>
      <c r="O64" t="n">
        <v>0</v>
      </c>
      <c r="W64" t="n">
        <v>1</v>
      </c>
      <c r="X64">
        <f>O64-W64</f>
        <v/>
      </c>
      <c r="Y64" t="n">
        <v>1</v>
      </c>
      <c r="AB64" s="186">
        <f>IFERROR(O64*M64,0)</f>
        <v/>
      </c>
      <c r="AC64" s="186">
        <f>IFERROR(O64*N64,0)</f>
        <v/>
      </c>
      <c r="AD64" t="inlineStr">
        <is>
          <t>Solo en plataformas</t>
        </is>
      </c>
    </row>
    <row r="65">
      <c r="A65" t="inlineStr">
        <is>
          <t>7506499570862</t>
        </is>
      </c>
      <c r="B65" t="inlineStr">
        <is>
          <t>108421</t>
        </is>
      </c>
      <c r="C65" t="inlineStr">
        <is>
          <t>CHH062-L</t>
        </is>
      </c>
      <c r="D65" t="inlineStr">
        <is>
          <t>CHH062</t>
        </is>
      </c>
      <c r="E65" t="inlineStr">
        <is>
          <t>Denver</t>
        </is>
      </c>
      <c r="F65" t="inlineStr">
        <is>
          <t>Camisa Denver hombre vaquera morada/lineas rojas</t>
        </is>
      </c>
      <c r="G65" t="inlineStr">
        <is>
          <t>L</t>
        </is>
      </c>
      <c r="H65" t="inlineStr">
        <is>
          <t>Morado</t>
        </is>
      </c>
      <c r="I65" t="inlineStr">
        <is>
          <t>Ropa</t>
        </is>
      </c>
      <c r="J65" t="inlineStr">
        <is>
          <t>Camisas</t>
        </is>
      </c>
      <c r="K65" t="inlineStr">
        <is>
          <t>Hombre</t>
        </is>
      </c>
      <c r="L65" t="inlineStr">
        <is>
          <t>PZS</t>
        </is>
      </c>
      <c r="M65" s="186" t="n">
        <v>419</v>
      </c>
      <c r="N65" s="186" t="n">
        <v>947.4137931</v>
      </c>
      <c r="O65" t="n">
        <v>2</v>
      </c>
      <c r="P65" t="n">
        <v>2</v>
      </c>
      <c r="W65" t="n">
        <v>2</v>
      </c>
      <c r="X65">
        <f>O65-W65</f>
        <v/>
      </c>
      <c r="Y65" t="n">
        <v>2</v>
      </c>
      <c r="AB65" s="186">
        <f>IFERROR(O65*M65,0)</f>
        <v/>
      </c>
      <c r="AC65" s="186">
        <f>IFERROR(O65*N65,0)</f>
        <v/>
      </c>
      <c r="AD65" t="inlineStr">
        <is>
          <t>Con existencia</t>
        </is>
      </c>
      <c r="AE65" t="n">
        <v>2</v>
      </c>
    </row>
    <row r="66">
      <c r="A66" t="inlineStr">
        <is>
          <t>7506499570860</t>
        </is>
      </c>
      <c r="B66" t="inlineStr">
        <is>
          <t>108419</t>
        </is>
      </c>
      <c r="C66" t="inlineStr">
        <is>
          <t>CHH062-S</t>
        </is>
      </c>
      <c r="D66" t="inlineStr">
        <is>
          <t>CHH062</t>
        </is>
      </c>
      <c r="E66" t="inlineStr">
        <is>
          <t>Denver</t>
        </is>
      </c>
      <c r="F66" t="inlineStr">
        <is>
          <t>Camisa Denver hombre vaquera morada/lineas rojas</t>
        </is>
      </c>
      <c r="G66" t="inlineStr">
        <is>
          <t>S</t>
        </is>
      </c>
      <c r="H66" t="inlineStr">
        <is>
          <t>Morado</t>
        </is>
      </c>
      <c r="I66" t="inlineStr">
        <is>
          <t>Ropa</t>
        </is>
      </c>
      <c r="J66" t="inlineStr">
        <is>
          <t>Camisas</t>
        </is>
      </c>
      <c r="K66" t="inlineStr">
        <is>
          <t>Hombre</t>
        </is>
      </c>
      <c r="L66" t="inlineStr">
        <is>
          <t>PZS</t>
        </is>
      </c>
      <c r="M66" s="186" t="n">
        <v>419</v>
      </c>
      <c r="N66" s="186" t="n">
        <v>947.4137931</v>
      </c>
      <c r="O66" t="n">
        <v>4</v>
      </c>
      <c r="P66" t="n">
        <v>4</v>
      </c>
      <c r="W66" t="n">
        <v>4</v>
      </c>
      <c r="X66">
        <f>O66-W66</f>
        <v/>
      </c>
      <c r="Y66" t="n">
        <v>4</v>
      </c>
      <c r="AB66" s="186">
        <f>IFERROR(O66*M66,0)</f>
        <v/>
      </c>
      <c r="AC66" s="186">
        <f>IFERROR(O66*N66,0)</f>
        <v/>
      </c>
      <c r="AD66" t="inlineStr">
        <is>
          <t>Con existencia</t>
        </is>
      </c>
      <c r="AE66" t="n">
        <v>4</v>
      </c>
    </row>
    <row r="67">
      <c r="A67" t="inlineStr">
        <is>
          <t>7506499570863</t>
        </is>
      </c>
      <c r="B67" t="inlineStr">
        <is>
          <t>108422</t>
        </is>
      </c>
      <c r="C67" t="inlineStr">
        <is>
          <t>CHH062-XL</t>
        </is>
      </c>
      <c r="D67" t="inlineStr">
        <is>
          <t>CHH062</t>
        </is>
      </c>
      <c r="E67" t="inlineStr">
        <is>
          <t>Denver</t>
        </is>
      </c>
      <c r="F67" t="inlineStr">
        <is>
          <t>Camisa Denver hombre vaquera morada/lineas rojas</t>
        </is>
      </c>
      <c r="G67" t="inlineStr">
        <is>
          <t>XL</t>
        </is>
      </c>
      <c r="H67" t="inlineStr">
        <is>
          <t>Morado</t>
        </is>
      </c>
      <c r="I67" t="inlineStr">
        <is>
          <t>Ropa</t>
        </is>
      </c>
      <c r="J67" t="inlineStr">
        <is>
          <t>Camisas</t>
        </is>
      </c>
      <c r="K67" t="inlineStr">
        <is>
          <t>Hombre</t>
        </is>
      </c>
      <c r="L67" t="inlineStr">
        <is>
          <t>PZS</t>
        </is>
      </c>
      <c r="M67" s="186" t="n">
        <v>419</v>
      </c>
      <c r="N67" s="186" t="n">
        <v>947.4137931</v>
      </c>
      <c r="O67" t="n">
        <v>1</v>
      </c>
      <c r="P67" t="n">
        <v>1</v>
      </c>
      <c r="W67" t="n">
        <v>1</v>
      </c>
      <c r="X67">
        <f>O67-W67</f>
        <v/>
      </c>
      <c r="Y67" t="n">
        <v>1</v>
      </c>
      <c r="AB67" s="186">
        <f>IFERROR(O67*M67,0)</f>
        <v/>
      </c>
      <c r="AC67" s="186">
        <f>IFERROR(O67*N67,0)</f>
        <v/>
      </c>
      <c r="AD67" t="inlineStr">
        <is>
          <t>Con existencia</t>
        </is>
      </c>
      <c r="AE67" t="n">
        <v>1</v>
      </c>
    </row>
    <row r="68">
      <c r="A68" t="inlineStr">
        <is>
          <t>7506499514972</t>
        </is>
      </c>
      <c r="B68" t="inlineStr">
        <is>
          <t>108425</t>
        </is>
      </c>
      <c r="C68" t="inlineStr">
        <is>
          <t>CM085-L</t>
        </is>
      </c>
      <c r="D68" t="inlineStr">
        <is>
          <t>CM085</t>
        </is>
      </c>
      <c r="E68" t="inlineStr">
        <is>
          <t>Denver</t>
        </is>
      </c>
      <c r="F68" t="inlineStr">
        <is>
          <t>Camisa Denver dama print blanco franjas verde</t>
        </is>
      </c>
      <c r="G68" t="inlineStr">
        <is>
          <t>L</t>
        </is>
      </c>
      <c r="H68" t="inlineStr">
        <is>
          <t>Azul</t>
        </is>
      </c>
      <c r="I68" t="inlineStr">
        <is>
          <t>Ropa</t>
        </is>
      </c>
      <c r="J68" t="inlineStr">
        <is>
          <t>Camisas</t>
        </is>
      </c>
      <c r="K68" t="inlineStr">
        <is>
          <t>Mujer</t>
        </is>
      </c>
      <c r="L68" t="inlineStr">
        <is>
          <t>PZS</t>
        </is>
      </c>
      <c r="M68" s="186" t="n">
        <v>336</v>
      </c>
      <c r="N68" s="186" t="n">
        <v>775</v>
      </c>
      <c r="O68" t="n">
        <v>1</v>
      </c>
      <c r="P68" t="n">
        <v>1</v>
      </c>
      <c r="W68" t="n">
        <v>1</v>
      </c>
      <c r="X68">
        <f>O68-W68</f>
        <v/>
      </c>
      <c r="Y68" t="n">
        <v>1</v>
      </c>
      <c r="AB68" s="186">
        <f>IFERROR(O68*M68,0)</f>
        <v/>
      </c>
      <c r="AC68" s="186">
        <f>IFERROR(O68*N68,0)</f>
        <v/>
      </c>
      <c r="AD68" t="inlineStr">
        <is>
          <t>Con existencia</t>
        </is>
      </c>
      <c r="AE68" t="n">
        <v>1</v>
      </c>
    </row>
    <row r="69">
      <c r="A69" t="inlineStr">
        <is>
          <t>7506499514965</t>
        </is>
      </c>
      <c r="B69" t="inlineStr">
        <is>
          <t>108424</t>
        </is>
      </c>
      <c r="C69" t="inlineStr">
        <is>
          <t>CM085-M</t>
        </is>
      </c>
      <c r="D69" t="inlineStr">
        <is>
          <t>CM085</t>
        </is>
      </c>
      <c r="E69" t="inlineStr">
        <is>
          <t>Denver</t>
        </is>
      </c>
      <c r="F69" t="inlineStr">
        <is>
          <t>Camisa Denver dama print blanco franjas verde</t>
        </is>
      </c>
      <c r="G69" t="inlineStr">
        <is>
          <t>M</t>
        </is>
      </c>
      <c r="H69" t="inlineStr">
        <is>
          <t>Azul</t>
        </is>
      </c>
      <c r="I69" t="inlineStr">
        <is>
          <t>Ropa</t>
        </is>
      </c>
      <c r="J69" t="inlineStr">
        <is>
          <t>Camisas</t>
        </is>
      </c>
      <c r="K69" t="inlineStr">
        <is>
          <t>Mujer</t>
        </is>
      </c>
      <c r="L69" t="inlineStr">
        <is>
          <t>PZS</t>
        </is>
      </c>
      <c r="M69" s="186" t="n">
        <v>336</v>
      </c>
      <c r="N69" s="186" t="n">
        <v>775</v>
      </c>
      <c r="O69" t="n">
        <v>2</v>
      </c>
      <c r="P69" t="n">
        <v>2</v>
      </c>
      <c r="W69" t="n">
        <v>2</v>
      </c>
      <c r="X69">
        <f>O69-W69</f>
        <v/>
      </c>
      <c r="Y69" t="n">
        <v>2</v>
      </c>
      <c r="AB69" s="186">
        <f>IFERROR(O69*M69,0)</f>
        <v/>
      </c>
      <c r="AC69" s="186">
        <f>IFERROR(O69*N69,0)</f>
        <v/>
      </c>
      <c r="AD69" t="inlineStr">
        <is>
          <t>Con existencia</t>
        </is>
      </c>
      <c r="AE69" t="n">
        <v>2</v>
      </c>
    </row>
    <row r="70">
      <c r="A70" t="inlineStr">
        <is>
          <t>7506499514958</t>
        </is>
      </c>
      <c r="B70" t="inlineStr">
        <is>
          <t>108423</t>
        </is>
      </c>
      <c r="C70" t="inlineStr">
        <is>
          <t>CM085-S</t>
        </is>
      </c>
      <c r="D70" t="inlineStr">
        <is>
          <t>CM085</t>
        </is>
      </c>
      <c r="E70" t="inlineStr">
        <is>
          <t>Denver</t>
        </is>
      </c>
      <c r="F70" t="inlineStr">
        <is>
          <t>Camisa Denver dama print blanco franjas verde</t>
        </is>
      </c>
      <c r="G70" t="inlineStr">
        <is>
          <t>S</t>
        </is>
      </c>
      <c r="H70" t="inlineStr">
        <is>
          <t>Azul</t>
        </is>
      </c>
      <c r="I70" t="inlineStr">
        <is>
          <t>Ropa</t>
        </is>
      </c>
      <c r="J70" t="inlineStr">
        <is>
          <t>Camisas</t>
        </is>
      </c>
      <c r="K70" t="inlineStr">
        <is>
          <t>Mujer</t>
        </is>
      </c>
      <c r="L70" t="inlineStr">
        <is>
          <t>PZS</t>
        </is>
      </c>
      <c r="M70" s="186" t="n">
        <v>336</v>
      </c>
      <c r="N70" s="186" t="n">
        <v>775</v>
      </c>
      <c r="O70" t="n">
        <v>4</v>
      </c>
      <c r="P70" t="n">
        <v>4</v>
      </c>
      <c r="W70" t="n">
        <v>4</v>
      </c>
      <c r="X70">
        <f>O70-W70</f>
        <v/>
      </c>
      <c r="Y70" t="n">
        <v>4</v>
      </c>
      <c r="AB70" s="186">
        <f>IFERROR(O70*M70,0)</f>
        <v/>
      </c>
      <c r="AC70" s="186">
        <f>IFERROR(O70*N70,0)</f>
        <v/>
      </c>
      <c r="AD70" t="inlineStr">
        <is>
          <t>Con existencia</t>
        </is>
      </c>
      <c r="AE70" t="n">
        <v>4</v>
      </c>
    </row>
    <row r="71">
      <c r="A71" t="inlineStr">
        <is>
          <t>7506499514989</t>
        </is>
      </c>
      <c r="B71" t="inlineStr">
        <is>
          <t>108426</t>
        </is>
      </c>
      <c r="C71" t="inlineStr">
        <is>
          <t>CM085-XL</t>
        </is>
      </c>
      <c r="D71" t="inlineStr">
        <is>
          <t>CM085</t>
        </is>
      </c>
      <c r="E71" t="inlineStr">
        <is>
          <t>Denver</t>
        </is>
      </c>
      <c r="F71" t="inlineStr">
        <is>
          <t>Camisa Denver dama print blanco franjas verde</t>
        </is>
      </c>
      <c r="G71" t="inlineStr">
        <is>
          <t>XL</t>
        </is>
      </c>
      <c r="H71" t="inlineStr">
        <is>
          <t>Azul</t>
        </is>
      </c>
      <c r="I71" t="inlineStr">
        <is>
          <t>Ropa</t>
        </is>
      </c>
      <c r="J71" t="inlineStr">
        <is>
          <t>Camisas</t>
        </is>
      </c>
      <c r="K71" t="inlineStr">
        <is>
          <t>Mujer</t>
        </is>
      </c>
      <c r="L71" t="inlineStr">
        <is>
          <t>PZS</t>
        </is>
      </c>
      <c r="M71" s="186" t="n">
        <v>336</v>
      </c>
      <c r="N71" s="186" t="n">
        <v>775</v>
      </c>
      <c r="O71" t="n">
        <v>5</v>
      </c>
      <c r="P71" t="n">
        <v>5</v>
      </c>
      <c r="W71" t="n">
        <v>5</v>
      </c>
      <c r="X71">
        <f>O71-W71</f>
        <v/>
      </c>
      <c r="Y71" t="n">
        <v>5</v>
      </c>
      <c r="AB71" s="186">
        <f>IFERROR(O71*M71,0)</f>
        <v/>
      </c>
      <c r="AC71" s="186">
        <f>IFERROR(O71*N71,0)</f>
        <v/>
      </c>
      <c r="AD71" t="inlineStr">
        <is>
          <t>Con existencia</t>
        </is>
      </c>
      <c r="AE71" t="n">
        <v>5</v>
      </c>
    </row>
    <row r="72">
      <c r="A72" t="inlineStr">
        <is>
          <t>7506499520676</t>
        </is>
      </c>
      <c r="B72" t="inlineStr">
        <is>
          <t>108430</t>
        </is>
      </c>
      <c r="C72" t="inlineStr">
        <is>
          <t>CM110-L</t>
        </is>
      </c>
      <c r="D72" t="inlineStr">
        <is>
          <t>CM110</t>
        </is>
      </c>
      <c r="E72" t="inlineStr">
        <is>
          <t>Denver</t>
        </is>
      </c>
      <c r="F72" t="inlineStr">
        <is>
          <t>Camisa Denver dama print con flores amarillas</t>
        </is>
      </c>
      <c r="G72" t="inlineStr">
        <is>
          <t>L</t>
        </is>
      </c>
      <c r="H72" t="inlineStr">
        <is>
          <t>Amarillo</t>
        </is>
      </c>
      <c r="I72" t="inlineStr">
        <is>
          <t>Ropa</t>
        </is>
      </c>
      <c r="J72" t="inlineStr">
        <is>
          <t>Camisas</t>
        </is>
      </c>
      <c r="K72" t="inlineStr">
        <is>
          <t>Mujer</t>
        </is>
      </c>
      <c r="L72" t="inlineStr">
        <is>
          <t>PZS</t>
        </is>
      </c>
      <c r="M72" s="186" t="n">
        <v>336</v>
      </c>
      <c r="N72" s="186" t="n">
        <v>775</v>
      </c>
      <c r="O72" t="n">
        <v>3</v>
      </c>
      <c r="P72" t="n">
        <v>3</v>
      </c>
      <c r="W72" t="n">
        <v>3</v>
      </c>
      <c r="X72">
        <f>O72-W72</f>
        <v/>
      </c>
      <c r="Y72" t="n">
        <v>3</v>
      </c>
      <c r="AB72" s="186">
        <f>IFERROR(O72*M72,0)</f>
        <v/>
      </c>
      <c r="AC72" s="186">
        <f>IFERROR(O72*N72,0)</f>
        <v/>
      </c>
      <c r="AD72" t="inlineStr">
        <is>
          <t>Con existencia</t>
        </is>
      </c>
      <c r="AE72" t="n">
        <v>3</v>
      </c>
    </row>
    <row r="73">
      <c r="A73" t="inlineStr">
        <is>
          <t>7506499520669</t>
        </is>
      </c>
      <c r="B73" t="inlineStr">
        <is>
          <t>108429</t>
        </is>
      </c>
      <c r="C73" t="inlineStr">
        <is>
          <t>CM110-M</t>
        </is>
      </c>
      <c r="D73" t="inlineStr">
        <is>
          <t>CM110</t>
        </is>
      </c>
      <c r="E73" t="inlineStr">
        <is>
          <t>Denver</t>
        </is>
      </c>
      <c r="F73" t="inlineStr">
        <is>
          <t>Camisa Denver dama print con flores amarillas</t>
        </is>
      </c>
      <c r="G73" t="inlineStr">
        <is>
          <t>M</t>
        </is>
      </c>
      <c r="H73" t="inlineStr">
        <is>
          <t>Amarillo</t>
        </is>
      </c>
      <c r="I73" t="inlineStr">
        <is>
          <t>Ropa</t>
        </is>
      </c>
      <c r="J73" t="inlineStr">
        <is>
          <t>Camisas</t>
        </is>
      </c>
      <c r="K73" t="inlineStr">
        <is>
          <t>Mujer</t>
        </is>
      </c>
      <c r="L73" t="inlineStr">
        <is>
          <t>PZS</t>
        </is>
      </c>
      <c r="M73" s="186" t="n">
        <v>336</v>
      </c>
      <c r="N73" s="186" t="n">
        <v>775</v>
      </c>
      <c r="O73" t="n">
        <v>4</v>
      </c>
      <c r="P73" t="n">
        <v>4</v>
      </c>
      <c r="W73" t="n">
        <v>4</v>
      </c>
      <c r="X73">
        <f>O73-W73</f>
        <v/>
      </c>
      <c r="Y73" t="n">
        <v>4</v>
      </c>
      <c r="AB73" s="186">
        <f>IFERROR(O73*M73,0)</f>
        <v/>
      </c>
      <c r="AC73" s="186">
        <f>IFERROR(O73*N73,0)</f>
        <v/>
      </c>
      <c r="AD73" t="inlineStr">
        <is>
          <t>Con existencia</t>
        </is>
      </c>
      <c r="AE73" t="n">
        <v>4</v>
      </c>
    </row>
    <row r="74">
      <c r="A74" t="inlineStr">
        <is>
          <t>7506499520652</t>
        </is>
      </c>
      <c r="B74" t="inlineStr">
        <is>
          <t>108428</t>
        </is>
      </c>
      <c r="C74" t="inlineStr">
        <is>
          <t>CM110-S</t>
        </is>
      </c>
      <c r="D74" t="inlineStr">
        <is>
          <t>CM110</t>
        </is>
      </c>
      <c r="E74" t="inlineStr">
        <is>
          <t>Denver</t>
        </is>
      </c>
      <c r="F74" t="inlineStr">
        <is>
          <t>Camisa Denver dama print con flores amarillas</t>
        </is>
      </c>
      <c r="G74" t="inlineStr">
        <is>
          <t>S</t>
        </is>
      </c>
      <c r="H74" t="inlineStr">
        <is>
          <t>Amarillo</t>
        </is>
      </c>
      <c r="I74" t="inlineStr">
        <is>
          <t>Ropa</t>
        </is>
      </c>
      <c r="J74" t="inlineStr">
        <is>
          <t>Camisas</t>
        </is>
      </c>
      <c r="K74" t="inlineStr">
        <is>
          <t>Mujer</t>
        </is>
      </c>
      <c r="L74" t="inlineStr">
        <is>
          <t>PZS</t>
        </is>
      </c>
      <c r="M74" s="186" t="n">
        <v>336</v>
      </c>
      <c r="N74" s="186" t="n">
        <v>775</v>
      </c>
      <c r="O74" t="n">
        <v>3</v>
      </c>
      <c r="P74" t="n">
        <v>3</v>
      </c>
      <c r="W74" t="n">
        <v>3</v>
      </c>
      <c r="X74">
        <f>O74-W74</f>
        <v/>
      </c>
      <c r="Y74" t="n">
        <v>3</v>
      </c>
      <c r="AB74" s="186">
        <f>IFERROR(O74*M74,0)</f>
        <v/>
      </c>
      <c r="AC74" s="186">
        <f>IFERROR(O74*N74,0)</f>
        <v/>
      </c>
      <c r="AD74" t="inlineStr">
        <is>
          <t>Con existencia</t>
        </is>
      </c>
      <c r="AE74" t="n">
        <v>3</v>
      </c>
    </row>
    <row r="75">
      <c r="A75" t="inlineStr">
        <is>
          <t>7506499520683</t>
        </is>
      </c>
      <c r="B75" t="inlineStr">
        <is>
          <t>108431</t>
        </is>
      </c>
      <c r="C75" t="inlineStr">
        <is>
          <t>CM110-XL</t>
        </is>
      </c>
      <c r="D75" t="inlineStr">
        <is>
          <t>CM110</t>
        </is>
      </c>
      <c r="E75" t="inlineStr">
        <is>
          <t>Denver</t>
        </is>
      </c>
      <c r="F75" t="inlineStr">
        <is>
          <t>Camisa Denver dama print con flores amarillas</t>
        </is>
      </c>
      <c r="G75" t="inlineStr">
        <is>
          <t>XL</t>
        </is>
      </c>
      <c r="H75" t="inlineStr">
        <is>
          <t>Amarillo</t>
        </is>
      </c>
      <c r="I75" t="inlineStr">
        <is>
          <t>Ropa</t>
        </is>
      </c>
      <c r="J75" t="inlineStr">
        <is>
          <t>Camisas</t>
        </is>
      </c>
      <c r="K75" t="inlineStr">
        <is>
          <t>Mujer</t>
        </is>
      </c>
      <c r="L75" t="inlineStr">
        <is>
          <t>PZS</t>
        </is>
      </c>
      <c r="M75" s="186" t="n">
        <v>336</v>
      </c>
      <c r="N75" s="186" t="n">
        <v>775</v>
      </c>
      <c r="O75" t="n">
        <v>4</v>
      </c>
      <c r="P75" t="n">
        <v>4</v>
      </c>
      <c r="W75" t="n">
        <v>4</v>
      </c>
      <c r="X75">
        <f>O75-W75</f>
        <v/>
      </c>
      <c r="Y75" t="n">
        <v>4</v>
      </c>
      <c r="AB75" s="186">
        <f>IFERROR(O75*M75,0)</f>
        <v/>
      </c>
      <c r="AC75" s="186">
        <f>IFERROR(O75*N75,0)</f>
        <v/>
      </c>
      <c r="AD75" t="inlineStr">
        <is>
          <t>Con existencia</t>
        </is>
      </c>
      <c r="AE75" t="n">
        <v>4</v>
      </c>
    </row>
    <row r="76">
      <c r="A76" t="inlineStr">
        <is>
          <t>7506499520768</t>
        </is>
      </c>
      <c r="B76" t="inlineStr">
        <is>
          <t>108427</t>
        </is>
      </c>
      <c r="C76" t="inlineStr">
        <is>
          <t>CM110-XS</t>
        </is>
      </c>
      <c r="D76" t="inlineStr">
        <is>
          <t>CM110</t>
        </is>
      </c>
      <c r="E76" t="inlineStr">
        <is>
          <t>Denver</t>
        </is>
      </c>
      <c r="F76" t="inlineStr">
        <is>
          <t>Camisa Denver dama print con flores amarillas</t>
        </is>
      </c>
      <c r="G76" t="inlineStr">
        <is>
          <t>XS</t>
        </is>
      </c>
      <c r="H76" t="inlineStr">
        <is>
          <t>Amarillo</t>
        </is>
      </c>
      <c r="I76" t="inlineStr">
        <is>
          <t>Ropa</t>
        </is>
      </c>
      <c r="J76" t="inlineStr">
        <is>
          <t>Camisas</t>
        </is>
      </c>
      <c r="K76" t="inlineStr">
        <is>
          <t>Mujer</t>
        </is>
      </c>
      <c r="L76" t="inlineStr">
        <is>
          <t>PZS</t>
        </is>
      </c>
      <c r="M76" s="186" t="n">
        <v>336</v>
      </c>
      <c r="N76" s="186" t="n">
        <v>775</v>
      </c>
      <c r="O76" t="n">
        <v>4</v>
      </c>
      <c r="P76" t="n">
        <v>4</v>
      </c>
      <c r="W76" t="n">
        <v>4</v>
      </c>
      <c r="X76">
        <f>O76-W76</f>
        <v/>
      </c>
      <c r="Y76" t="n">
        <v>4</v>
      </c>
      <c r="AB76" s="186">
        <f>IFERROR(O76*M76,0)</f>
        <v/>
      </c>
      <c r="AC76" s="186">
        <f>IFERROR(O76*N76,0)</f>
        <v/>
      </c>
      <c r="AD76" t="inlineStr">
        <is>
          <t>Con existencia</t>
        </is>
      </c>
      <c r="AE76" t="n">
        <v>4</v>
      </c>
    </row>
    <row r="77">
      <c r="A77" t="inlineStr">
        <is>
          <t>7506499526135</t>
        </is>
      </c>
      <c r="B77" t="inlineStr">
        <is>
          <t>108435</t>
        </is>
      </c>
      <c r="C77" t="inlineStr">
        <is>
          <t>CM119-L</t>
        </is>
      </c>
      <c r="D77" t="inlineStr">
        <is>
          <t>CM119</t>
        </is>
      </c>
      <c r="E77" t="inlineStr">
        <is>
          <t>Denver</t>
        </is>
      </c>
      <c r="F77" t="inlineStr">
        <is>
          <t>Camisa Denver dama estampado camuflaje de flores</t>
        </is>
      </c>
      <c r="G77" t="inlineStr">
        <is>
          <t>L</t>
        </is>
      </c>
      <c r="H77" t="inlineStr">
        <is>
          <t>Verde</t>
        </is>
      </c>
      <c r="I77" t="inlineStr">
        <is>
          <t>Ropa</t>
        </is>
      </c>
      <c r="J77" t="inlineStr">
        <is>
          <t>Camisas</t>
        </is>
      </c>
      <c r="K77" t="inlineStr">
        <is>
          <t>Mujer</t>
        </is>
      </c>
      <c r="L77" t="inlineStr">
        <is>
          <t>PZS</t>
        </is>
      </c>
      <c r="M77" s="186" t="n">
        <v>336</v>
      </c>
      <c r="N77" s="186" t="n">
        <v>775</v>
      </c>
      <c r="O77" t="n">
        <v>2</v>
      </c>
      <c r="P77" t="n">
        <v>2</v>
      </c>
      <c r="W77" t="n">
        <v>2</v>
      </c>
      <c r="X77">
        <f>O77-W77</f>
        <v/>
      </c>
      <c r="Y77" t="n">
        <v>2</v>
      </c>
      <c r="AB77" s="186">
        <f>IFERROR(O77*M77,0)</f>
        <v/>
      </c>
      <c r="AC77" s="186">
        <f>IFERROR(O77*N77,0)</f>
        <v/>
      </c>
      <c r="AD77" t="inlineStr">
        <is>
          <t>Con existencia</t>
        </is>
      </c>
      <c r="AE77" t="n">
        <v>2</v>
      </c>
    </row>
    <row r="78">
      <c r="A78" t="inlineStr">
        <is>
          <t>7506499526128</t>
        </is>
      </c>
      <c r="B78" t="inlineStr">
        <is>
          <t>108434</t>
        </is>
      </c>
      <c r="C78" t="inlineStr">
        <is>
          <t>CM119-M</t>
        </is>
      </c>
      <c r="D78" t="inlineStr">
        <is>
          <t>CM119</t>
        </is>
      </c>
      <c r="E78" t="inlineStr">
        <is>
          <t>Denver</t>
        </is>
      </c>
      <c r="F78" t="inlineStr">
        <is>
          <t>Camisa Denver dama estampado camuflaje de flores</t>
        </is>
      </c>
      <c r="G78" t="inlineStr">
        <is>
          <t>M</t>
        </is>
      </c>
      <c r="H78" t="inlineStr">
        <is>
          <t>Verde</t>
        </is>
      </c>
      <c r="I78" t="inlineStr">
        <is>
          <t>Ropa</t>
        </is>
      </c>
      <c r="J78" t="inlineStr">
        <is>
          <t>Camisas</t>
        </is>
      </c>
      <c r="K78" t="inlineStr">
        <is>
          <t>Mujer</t>
        </is>
      </c>
      <c r="L78" t="inlineStr">
        <is>
          <t>PZS</t>
        </is>
      </c>
      <c r="M78" s="186" t="n">
        <v>336</v>
      </c>
      <c r="N78" s="186" t="n">
        <v>775</v>
      </c>
      <c r="O78" t="n">
        <v>4</v>
      </c>
      <c r="P78" t="n">
        <v>4</v>
      </c>
      <c r="W78" t="n">
        <v>4</v>
      </c>
      <c r="X78">
        <f>O78-W78</f>
        <v/>
      </c>
      <c r="Y78" t="n">
        <v>4</v>
      </c>
      <c r="AB78" s="186">
        <f>IFERROR(O78*M78,0)</f>
        <v/>
      </c>
      <c r="AC78" s="186">
        <f>IFERROR(O78*N78,0)</f>
        <v/>
      </c>
      <c r="AD78" t="inlineStr">
        <is>
          <t>Con existencia</t>
        </is>
      </c>
      <c r="AE78" t="n">
        <v>4</v>
      </c>
    </row>
    <row r="79">
      <c r="A79" t="inlineStr">
        <is>
          <t>7506499526111</t>
        </is>
      </c>
      <c r="B79" t="inlineStr">
        <is>
          <t>108433</t>
        </is>
      </c>
      <c r="C79" t="inlineStr">
        <is>
          <t>CM119-S</t>
        </is>
      </c>
      <c r="D79" t="inlineStr">
        <is>
          <t>CM119</t>
        </is>
      </c>
      <c r="E79" t="inlineStr">
        <is>
          <t>Denver</t>
        </is>
      </c>
      <c r="F79" t="inlineStr">
        <is>
          <t>Camisa Denver dama estampado camuflaje de flores</t>
        </is>
      </c>
      <c r="G79" t="inlineStr">
        <is>
          <t>S</t>
        </is>
      </c>
      <c r="H79" t="inlineStr">
        <is>
          <t>Verde</t>
        </is>
      </c>
      <c r="I79" t="inlineStr">
        <is>
          <t>Ropa</t>
        </is>
      </c>
      <c r="J79" t="inlineStr">
        <is>
          <t>Camisas</t>
        </is>
      </c>
      <c r="K79" t="inlineStr">
        <is>
          <t>Mujer</t>
        </is>
      </c>
      <c r="L79" t="inlineStr">
        <is>
          <t>PZS</t>
        </is>
      </c>
      <c r="M79" s="186" t="n">
        <v>336</v>
      </c>
      <c r="N79" s="186" t="n">
        <v>775</v>
      </c>
      <c r="O79" t="n">
        <v>3</v>
      </c>
      <c r="P79" t="n">
        <v>3</v>
      </c>
      <c r="W79" t="n">
        <v>3</v>
      </c>
      <c r="X79">
        <f>O79-W79</f>
        <v/>
      </c>
      <c r="Y79" t="n">
        <v>3</v>
      </c>
      <c r="AB79" s="186">
        <f>IFERROR(O79*M79,0)</f>
        <v/>
      </c>
      <c r="AC79" s="186">
        <f>IFERROR(O79*N79,0)</f>
        <v/>
      </c>
      <c r="AD79" t="inlineStr">
        <is>
          <t>Con existencia</t>
        </is>
      </c>
      <c r="AE79" t="n">
        <v>3</v>
      </c>
    </row>
    <row r="80">
      <c r="A80" t="inlineStr">
        <is>
          <t>7506499526142</t>
        </is>
      </c>
      <c r="B80" t="inlineStr">
        <is>
          <t>108436</t>
        </is>
      </c>
      <c r="C80" t="inlineStr">
        <is>
          <t>CM119-XL</t>
        </is>
      </c>
      <c r="D80" t="inlineStr">
        <is>
          <t>CM119</t>
        </is>
      </c>
      <c r="E80" t="inlineStr">
        <is>
          <t>Denver</t>
        </is>
      </c>
      <c r="F80" t="inlineStr">
        <is>
          <t>Camisa Denver dama estampado camuflaje de flores</t>
        </is>
      </c>
      <c r="G80" t="inlineStr">
        <is>
          <t>XL</t>
        </is>
      </c>
      <c r="H80" t="inlineStr">
        <is>
          <t>Verde</t>
        </is>
      </c>
      <c r="I80" t="inlineStr">
        <is>
          <t>Ropa</t>
        </is>
      </c>
      <c r="J80" t="inlineStr">
        <is>
          <t>Camisas</t>
        </is>
      </c>
      <c r="K80" t="inlineStr">
        <is>
          <t>Mujer</t>
        </is>
      </c>
      <c r="L80" t="inlineStr">
        <is>
          <t>PZS</t>
        </is>
      </c>
      <c r="M80" s="186" t="n">
        <v>336</v>
      </c>
      <c r="N80" s="186" t="n">
        <v>775</v>
      </c>
      <c r="O80" t="n">
        <v>3</v>
      </c>
      <c r="P80" t="n">
        <v>3</v>
      </c>
      <c r="W80" t="n">
        <v>3</v>
      </c>
      <c r="X80">
        <f>O80-W80</f>
        <v/>
      </c>
      <c r="Y80" t="n">
        <v>3</v>
      </c>
      <c r="AB80" s="186">
        <f>IFERROR(O80*M80,0)</f>
        <v/>
      </c>
      <c r="AC80" s="186">
        <f>IFERROR(O80*N80,0)</f>
        <v/>
      </c>
      <c r="AD80" t="inlineStr">
        <is>
          <t>Con existencia</t>
        </is>
      </c>
      <c r="AE80" t="n">
        <v>3</v>
      </c>
    </row>
    <row r="81">
      <c r="A81" t="inlineStr">
        <is>
          <t>7506499526104</t>
        </is>
      </c>
      <c r="B81" t="inlineStr">
        <is>
          <t>108432</t>
        </is>
      </c>
      <c r="C81" t="inlineStr">
        <is>
          <t>CM119-XS</t>
        </is>
      </c>
      <c r="D81" t="inlineStr">
        <is>
          <t>CM119</t>
        </is>
      </c>
      <c r="E81" t="inlineStr">
        <is>
          <t>Denver</t>
        </is>
      </c>
      <c r="F81" t="inlineStr">
        <is>
          <t>Camisa Denver dama estampado camuflaje de flores</t>
        </is>
      </c>
      <c r="G81" t="inlineStr">
        <is>
          <t>XS</t>
        </is>
      </c>
      <c r="H81" t="inlineStr">
        <is>
          <t>Verde</t>
        </is>
      </c>
      <c r="I81" t="inlineStr">
        <is>
          <t>Ropa</t>
        </is>
      </c>
      <c r="J81" t="inlineStr">
        <is>
          <t>Camisas</t>
        </is>
      </c>
      <c r="K81" t="inlineStr">
        <is>
          <t>Mujer</t>
        </is>
      </c>
      <c r="L81" t="inlineStr">
        <is>
          <t>PZS</t>
        </is>
      </c>
      <c r="M81" s="186" t="n">
        <v>336</v>
      </c>
      <c r="N81" s="186" t="n">
        <v>775</v>
      </c>
      <c r="O81" t="n">
        <v>4</v>
      </c>
      <c r="P81" t="n">
        <v>4</v>
      </c>
      <c r="W81" t="n">
        <v>4</v>
      </c>
      <c r="X81">
        <f>O81-W81</f>
        <v/>
      </c>
      <c r="Y81" t="n">
        <v>4</v>
      </c>
      <c r="AB81" s="186">
        <f>IFERROR(O81*M81,0)</f>
        <v/>
      </c>
      <c r="AC81" s="186">
        <f>IFERROR(O81*N81,0)</f>
        <v/>
      </c>
      <c r="AD81" t="inlineStr">
        <is>
          <t>Con existencia</t>
        </is>
      </c>
      <c r="AE81" t="n">
        <v>4</v>
      </c>
    </row>
    <row r="82">
      <c r="A82" t="inlineStr">
        <is>
          <t>7506499529969</t>
        </is>
      </c>
      <c r="B82" t="inlineStr">
        <is>
          <t>108439</t>
        </is>
      </c>
      <c r="C82" t="inlineStr">
        <is>
          <t>CM135-L</t>
        </is>
      </c>
      <c r="D82" t="inlineStr">
        <is>
          <t>CM135</t>
        </is>
      </c>
      <c r="E82" t="inlineStr">
        <is>
          <t>Denver</t>
        </is>
      </c>
      <c r="F82" t="inlineStr">
        <is>
          <t>Camisa Denver dama negra con flores rojas y amarillas</t>
        </is>
      </c>
      <c r="G82" t="inlineStr">
        <is>
          <t>L</t>
        </is>
      </c>
      <c r="H82" t="inlineStr">
        <is>
          <t>Negro</t>
        </is>
      </c>
      <c r="I82" t="inlineStr">
        <is>
          <t>Ropa</t>
        </is>
      </c>
      <c r="J82" t="inlineStr">
        <is>
          <t>Camisas</t>
        </is>
      </c>
      <c r="K82" t="inlineStr">
        <is>
          <t>Mujer</t>
        </is>
      </c>
      <c r="L82" t="inlineStr">
        <is>
          <t>PZS</t>
        </is>
      </c>
      <c r="M82" s="186" t="n">
        <v>336</v>
      </c>
      <c r="N82" s="186" t="n">
        <v>775</v>
      </c>
      <c r="O82" t="n">
        <v>2</v>
      </c>
      <c r="P82" t="n">
        <v>2</v>
      </c>
      <c r="W82" t="n">
        <v>2</v>
      </c>
      <c r="X82">
        <f>O82-W82</f>
        <v/>
      </c>
      <c r="Y82" t="n">
        <v>2</v>
      </c>
      <c r="AB82" s="186">
        <f>IFERROR(O82*M82,0)</f>
        <v/>
      </c>
      <c r="AC82" s="186">
        <f>IFERROR(O82*N82,0)</f>
        <v/>
      </c>
      <c r="AD82" t="inlineStr">
        <is>
          <t>Con existencia</t>
        </is>
      </c>
      <c r="AE82" t="n">
        <v>2</v>
      </c>
    </row>
    <row r="83">
      <c r="A83" t="inlineStr">
        <is>
          <t>7506499529945</t>
        </is>
      </c>
      <c r="B83" t="inlineStr">
        <is>
          <t>108438</t>
        </is>
      </c>
      <c r="C83" t="inlineStr">
        <is>
          <t>CM135-S</t>
        </is>
      </c>
      <c r="D83" t="inlineStr">
        <is>
          <t>CM135</t>
        </is>
      </c>
      <c r="E83" t="inlineStr">
        <is>
          <t>Denver</t>
        </is>
      </c>
      <c r="F83" t="inlineStr">
        <is>
          <t>Camisa Denver dama negra con flores rojas y amarillas</t>
        </is>
      </c>
      <c r="G83" t="inlineStr">
        <is>
          <t>S</t>
        </is>
      </c>
      <c r="H83" t="inlineStr">
        <is>
          <t>Negro</t>
        </is>
      </c>
      <c r="I83" t="inlineStr">
        <is>
          <t>Ropa</t>
        </is>
      </c>
      <c r="J83" t="inlineStr">
        <is>
          <t>Camisas</t>
        </is>
      </c>
      <c r="K83" t="inlineStr">
        <is>
          <t>Mujer</t>
        </is>
      </c>
      <c r="L83" t="inlineStr">
        <is>
          <t>PZS</t>
        </is>
      </c>
      <c r="M83" s="186" t="n">
        <v>336</v>
      </c>
      <c r="N83" s="186" t="n">
        <v>775</v>
      </c>
      <c r="O83" t="n">
        <v>4</v>
      </c>
      <c r="P83" t="n">
        <v>4</v>
      </c>
      <c r="W83" t="n">
        <v>4</v>
      </c>
      <c r="X83">
        <f>O83-W83</f>
        <v/>
      </c>
      <c r="Y83" t="n">
        <v>4</v>
      </c>
      <c r="AB83" s="186">
        <f>IFERROR(O83*M83,0)</f>
        <v/>
      </c>
      <c r="AC83" s="186">
        <f>IFERROR(O83*N83,0)</f>
        <v/>
      </c>
      <c r="AD83" t="inlineStr">
        <is>
          <t>Con existencia</t>
        </is>
      </c>
      <c r="AE83" t="n">
        <v>4</v>
      </c>
    </row>
    <row r="84">
      <c r="A84" t="inlineStr">
        <is>
          <t>7506499529938</t>
        </is>
      </c>
      <c r="B84" t="inlineStr">
        <is>
          <t>108437</t>
        </is>
      </c>
      <c r="C84" t="inlineStr">
        <is>
          <t>CM135-XS</t>
        </is>
      </c>
      <c r="D84" t="inlineStr">
        <is>
          <t>CM135</t>
        </is>
      </c>
      <c r="E84" t="inlineStr">
        <is>
          <t>Denver</t>
        </is>
      </c>
      <c r="F84" t="inlineStr">
        <is>
          <t>Camisa Denver dama negra con flores rojas y amarillas</t>
        </is>
      </c>
      <c r="G84" t="inlineStr">
        <is>
          <t>XS</t>
        </is>
      </c>
      <c r="H84" t="inlineStr">
        <is>
          <t>Negro</t>
        </is>
      </c>
      <c r="I84" t="inlineStr">
        <is>
          <t>Ropa</t>
        </is>
      </c>
      <c r="J84" t="inlineStr">
        <is>
          <t>Camisas</t>
        </is>
      </c>
      <c r="K84" t="inlineStr">
        <is>
          <t>Mujer</t>
        </is>
      </c>
      <c r="L84" t="inlineStr">
        <is>
          <t>PZS</t>
        </is>
      </c>
      <c r="M84" s="186" t="n">
        <v>336</v>
      </c>
      <c r="N84" s="186" t="n">
        <v>775</v>
      </c>
      <c r="O84" t="n">
        <v>4</v>
      </c>
      <c r="P84" t="n">
        <v>4</v>
      </c>
      <c r="W84" t="n">
        <v>4</v>
      </c>
      <c r="X84">
        <f>O84-W84</f>
        <v/>
      </c>
      <c r="Y84" t="n">
        <v>4</v>
      </c>
      <c r="AB84" s="186">
        <f>IFERROR(O84*M84,0)</f>
        <v/>
      </c>
      <c r="AC84" s="186">
        <f>IFERROR(O84*N84,0)</f>
        <v/>
      </c>
      <c r="AD84" t="inlineStr">
        <is>
          <t>Con existencia</t>
        </is>
      </c>
      <c r="AE84" t="n">
        <v>4</v>
      </c>
    </row>
    <row r="85">
      <c r="A85" t="inlineStr">
        <is>
          <t>7506499552127</t>
        </is>
      </c>
      <c r="B85" t="inlineStr">
        <is>
          <t>108442</t>
        </is>
      </c>
      <c r="C85" t="inlineStr">
        <is>
          <t>F-CHH187-L</t>
        </is>
      </c>
      <c r="D85" t="inlineStr">
        <is>
          <t>F-CHH187</t>
        </is>
      </c>
      <c r="E85" t="inlineStr">
        <is>
          <t>Denver</t>
        </is>
      </c>
      <c r="F85" t="inlineStr">
        <is>
          <t>Camisa Denver frisco estampado étnico tapete colorido</t>
        </is>
      </c>
      <c r="G85" t="inlineStr">
        <is>
          <t>L</t>
        </is>
      </c>
      <c r="H85" t="inlineStr">
        <is>
          <t>Azul</t>
        </is>
      </c>
      <c r="I85" t="inlineStr">
        <is>
          <t>Ropa</t>
        </is>
      </c>
      <c r="J85" t="inlineStr">
        <is>
          <t>Camisas</t>
        </is>
      </c>
      <c r="K85" t="inlineStr">
        <is>
          <t>Hombre</t>
        </is>
      </c>
      <c r="L85" t="inlineStr">
        <is>
          <t>PZS</t>
        </is>
      </c>
      <c r="M85" s="186" t="n">
        <v>365</v>
      </c>
      <c r="N85" s="186" t="n">
        <v>559.4827586</v>
      </c>
      <c r="O85" t="n">
        <v>-1</v>
      </c>
      <c r="V85" t="inlineStr">
        <is>
          <t>WB OUTLET LERMA (-1)</t>
        </is>
      </c>
      <c r="W85" t="n">
        <v>-1</v>
      </c>
      <c r="X85">
        <f>O85-W85</f>
        <v/>
      </c>
      <c r="AB85" s="186">
        <f>IFERROR(O85*M85,0)</f>
        <v/>
      </c>
      <c r="AC85" s="186">
        <f>IFERROR(O85*N85,0)</f>
        <v/>
      </c>
      <c r="AD85" t="inlineStr">
        <is>
          <t>Existencia negativa</t>
        </is>
      </c>
      <c r="AE85" t="n">
        <v>-1</v>
      </c>
    </row>
    <row r="86">
      <c r="A86" t="inlineStr">
        <is>
          <t>7506499552110</t>
        </is>
      </c>
      <c r="B86" t="inlineStr">
        <is>
          <t>108441</t>
        </is>
      </c>
      <c r="C86" t="inlineStr">
        <is>
          <t>F-CHH187-M</t>
        </is>
      </c>
      <c r="D86" t="inlineStr">
        <is>
          <t>F-CHH187</t>
        </is>
      </c>
      <c r="E86" t="inlineStr">
        <is>
          <t>Denver</t>
        </is>
      </c>
      <c r="F86" t="inlineStr">
        <is>
          <t>Camisa Denver frisco estampado étnico tapete colorido</t>
        </is>
      </c>
      <c r="G86" t="inlineStr">
        <is>
          <t>M</t>
        </is>
      </c>
      <c r="H86" t="inlineStr">
        <is>
          <t>Azul</t>
        </is>
      </c>
      <c r="I86" t="inlineStr">
        <is>
          <t>Ropa</t>
        </is>
      </c>
      <c r="J86" t="inlineStr">
        <is>
          <t>Camisas</t>
        </is>
      </c>
      <c r="K86" t="inlineStr">
        <is>
          <t>Hombre</t>
        </is>
      </c>
      <c r="L86" t="inlineStr">
        <is>
          <t>PZS</t>
        </is>
      </c>
      <c r="M86" s="186" t="n">
        <v>365</v>
      </c>
      <c r="N86" s="186" t="n">
        <v>559.4827586</v>
      </c>
      <c r="O86" t="n">
        <v>0</v>
      </c>
      <c r="W86" t="n">
        <v>1</v>
      </c>
      <c r="X86">
        <f>O86-W86</f>
        <v/>
      </c>
      <c r="Y86" t="n">
        <v>1</v>
      </c>
      <c r="AB86" s="186">
        <f>IFERROR(O86*M86,0)</f>
        <v/>
      </c>
      <c r="AC86" s="186">
        <f>IFERROR(O86*N86,0)</f>
        <v/>
      </c>
      <c r="AD86" t="inlineStr">
        <is>
          <t>Solo en plataformas</t>
        </is>
      </c>
    </row>
    <row r="87">
      <c r="A87" t="inlineStr">
        <is>
          <t>7506499552103</t>
        </is>
      </c>
      <c r="B87" t="inlineStr">
        <is>
          <t>108440</t>
        </is>
      </c>
      <c r="C87" t="inlineStr">
        <is>
          <t>F-CHH187-S</t>
        </is>
      </c>
      <c r="D87" t="inlineStr">
        <is>
          <t>F-CHH187</t>
        </is>
      </c>
      <c r="E87" t="inlineStr">
        <is>
          <t>Denver</t>
        </is>
      </c>
      <c r="F87" t="inlineStr">
        <is>
          <t>Camisa Denver frisco estampado étnico tapete colorido</t>
        </is>
      </c>
      <c r="G87" t="inlineStr">
        <is>
          <t>S</t>
        </is>
      </c>
      <c r="H87" t="inlineStr">
        <is>
          <t>Azul</t>
        </is>
      </c>
      <c r="I87" t="inlineStr">
        <is>
          <t>Ropa</t>
        </is>
      </c>
      <c r="J87" t="inlineStr">
        <is>
          <t>Camisas</t>
        </is>
      </c>
      <c r="K87" t="inlineStr">
        <is>
          <t>Hombre</t>
        </is>
      </c>
      <c r="L87" t="inlineStr">
        <is>
          <t>PZS</t>
        </is>
      </c>
      <c r="M87" s="186" t="n">
        <v>365</v>
      </c>
      <c r="N87" s="186" t="n">
        <v>559.4827586</v>
      </c>
      <c r="O87" t="n">
        <v>1</v>
      </c>
      <c r="P87" t="n">
        <v>1</v>
      </c>
      <c r="W87" t="n">
        <v>1</v>
      </c>
      <c r="X87">
        <f>O87-W87</f>
        <v/>
      </c>
      <c r="Y87" t="n">
        <v>1</v>
      </c>
      <c r="AB87" s="186">
        <f>IFERROR(O87*M87,0)</f>
        <v/>
      </c>
      <c r="AC87" s="186">
        <f>IFERROR(O87*N87,0)</f>
        <v/>
      </c>
      <c r="AD87" t="inlineStr">
        <is>
          <t>Con existencia</t>
        </is>
      </c>
      <c r="AE87" t="n">
        <v>1</v>
      </c>
    </row>
    <row r="88">
      <c r="A88" t="inlineStr">
        <is>
          <t>7506499552134</t>
        </is>
      </c>
      <c r="B88" t="inlineStr">
        <is>
          <t>108443</t>
        </is>
      </c>
      <c r="C88" t="inlineStr">
        <is>
          <t>F-CHH187-XL</t>
        </is>
      </c>
      <c r="D88" t="inlineStr">
        <is>
          <t>F-CHH187</t>
        </is>
      </c>
      <c r="E88" t="inlineStr">
        <is>
          <t>Denver</t>
        </is>
      </c>
      <c r="F88" t="inlineStr">
        <is>
          <t>Camisa Denver frisco estampado étnico tapete colorido</t>
        </is>
      </c>
      <c r="G88" t="inlineStr">
        <is>
          <t>XL</t>
        </is>
      </c>
      <c r="H88" t="inlineStr">
        <is>
          <t>Azul</t>
        </is>
      </c>
      <c r="I88" t="inlineStr">
        <is>
          <t>Ropa</t>
        </is>
      </c>
      <c r="J88" t="inlineStr">
        <is>
          <t>Camisas</t>
        </is>
      </c>
      <c r="K88" t="inlineStr">
        <is>
          <t>Hombre</t>
        </is>
      </c>
      <c r="L88" t="inlineStr">
        <is>
          <t>PZS</t>
        </is>
      </c>
      <c r="M88" s="186" t="n">
        <v>365</v>
      </c>
      <c r="N88" s="186" t="n">
        <v>559.4827586</v>
      </c>
      <c r="O88" t="n">
        <v>1</v>
      </c>
      <c r="P88" t="n">
        <v>1</v>
      </c>
      <c r="W88" t="n">
        <v>1</v>
      </c>
      <c r="X88">
        <f>O88-W88</f>
        <v/>
      </c>
      <c r="Y88" t="n">
        <v>1</v>
      </c>
      <c r="AB88" s="186">
        <f>IFERROR(O88*M88,0)</f>
        <v/>
      </c>
      <c r="AC88" s="186">
        <f>IFERROR(O88*N88,0)</f>
        <v/>
      </c>
      <c r="AD88" t="inlineStr">
        <is>
          <t>Con existencia</t>
        </is>
      </c>
      <c r="AE88" t="n">
        <v>1</v>
      </c>
    </row>
    <row r="89">
      <c r="A89" t="inlineStr">
        <is>
          <t>7506499566957</t>
        </is>
      </c>
      <c r="B89" t="inlineStr">
        <is>
          <t>108479</t>
        </is>
      </c>
      <c r="C89" t="inlineStr">
        <is>
          <t>VE908-PP4-XL</t>
        </is>
      </c>
      <c r="D89" t="inlineStr">
        <is>
          <t>VE908-PP4</t>
        </is>
      </c>
      <c r="E89" t="inlineStr">
        <is>
          <t>Denver</t>
        </is>
      </c>
      <c r="F89" t="inlineStr">
        <is>
          <t>Chaleco Denver Hombre Azul</t>
        </is>
      </c>
      <c r="G89" t="inlineStr">
        <is>
          <t>XL</t>
        </is>
      </c>
      <c r="H89" t="inlineStr">
        <is>
          <t>Azul</t>
        </is>
      </c>
      <c r="I89" t="inlineStr">
        <is>
          <t>Ropa</t>
        </is>
      </c>
      <c r="J89" t="inlineStr">
        <is>
          <t>Chalecos</t>
        </is>
      </c>
      <c r="K89" t="inlineStr">
        <is>
          <t>Hombre</t>
        </is>
      </c>
      <c r="L89" t="inlineStr">
        <is>
          <t>PZS</t>
        </is>
      </c>
      <c r="M89" s="186" t="n">
        <v>534.65</v>
      </c>
      <c r="N89" s="186" t="n">
        <v>1076.724138</v>
      </c>
      <c r="O89" t="n">
        <v>1</v>
      </c>
      <c r="P89" t="n">
        <v>1</v>
      </c>
      <c r="W89" t="n">
        <v>1</v>
      </c>
      <c r="X89">
        <f>O89-W89</f>
        <v/>
      </c>
      <c r="Y89" t="n">
        <v>1</v>
      </c>
      <c r="AB89" s="186">
        <f>IFERROR(O89*M89,0)</f>
        <v/>
      </c>
      <c r="AC89" s="186">
        <f>IFERROR(O89*N89,0)</f>
        <v/>
      </c>
      <c r="AD89" t="inlineStr">
        <is>
          <t>Con existencia</t>
        </is>
      </c>
      <c r="AE89" t="n">
        <v>1</v>
      </c>
    </row>
    <row r="90">
      <c r="A90" t="inlineStr">
        <is>
          <t>7506499532846</t>
        </is>
      </c>
      <c r="B90" t="inlineStr">
        <is>
          <t>108490</t>
        </is>
      </c>
      <c r="C90" t="inlineStr">
        <is>
          <t>WVE913-FG1-2-M</t>
        </is>
      </c>
      <c r="D90" t="inlineStr">
        <is>
          <t>WVE913-FG1-2</t>
        </is>
      </c>
      <c r="E90" t="inlineStr">
        <is>
          <t>Denver</t>
        </is>
      </c>
      <c r="F90" t="inlineStr">
        <is>
          <t>Chaleco Denver Mujer Negro</t>
        </is>
      </c>
      <c r="G90" t="inlineStr">
        <is>
          <t>M</t>
        </is>
      </c>
      <c r="H90" t="inlineStr">
        <is>
          <t>Negro</t>
        </is>
      </c>
      <c r="I90" t="inlineStr">
        <is>
          <t>Ropa</t>
        </is>
      </c>
      <c r="J90" t="inlineStr">
        <is>
          <t>Chalecos</t>
        </is>
      </c>
      <c r="K90" t="inlineStr">
        <is>
          <t>Mujer</t>
        </is>
      </c>
      <c r="L90" t="inlineStr">
        <is>
          <t>PZS</t>
        </is>
      </c>
      <c r="M90" s="186" t="n">
        <v>548.25</v>
      </c>
      <c r="N90" s="186" t="n">
        <v>1249.137931</v>
      </c>
      <c r="O90" t="n">
        <v>2</v>
      </c>
      <c r="P90" t="n">
        <v>2</v>
      </c>
      <c r="W90" t="n">
        <v>2</v>
      </c>
      <c r="X90">
        <f>O90-W90</f>
        <v/>
      </c>
      <c r="Y90" t="n">
        <v>2</v>
      </c>
      <c r="AB90" s="186">
        <f>IFERROR(O90*M90,0)</f>
        <v/>
      </c>
      <c r="AC90" s="186">
        <f>IFERROR(O90*N90,0)</f>
        <v/>
      </c>
      <c r="AD90" t="inlineStr">
        <is>
          <t>Con existencia</t>
        </is>
      </c>
      <c r="AE90" t="n">
        <v>2</v>
      </c>
    </row>
    <row r="91">
      <c r="A91" t="inlineStr">
        <is>
          <t>7506499532839</t>
        </is>
      </c>
      <c r="B91" t="inlineStr">
        <is>
          <t>108489</t>
        </is>
      </c>
      <c r="C91" t="inlineStr">
        <is>
          <t>WVE913-FG1-2-S</t>
        </is>
      </c>
      <c r="D91" t="inlineStr">
        <is>
          <t>WVE913-FG1-2</t>
        </is>
      </c>
      <c r="E91" t="inlineStr">
        <is>
          <t>Denver</t>
        </is>
      </c>
      <c r="F91" t="inlineStr">
        <is>
          <t>Chaleco Denver Mujer Negro</t>
        </is>
      </c>
      <c r="G91" t="inlineStr">
        <is>
          <t>S</t>
        </is>
      </c>
      <c r="H91" t="inlineStr">
        <is>
          <t>Negro</t>
        </is>
      </c>
      <c r="I91" t="inlineStr">
        <is>
          <t>Ropa</t>
        </is>
      </c>
      <c r="J91" t="inlineStr">
        <is>
          <t>Chalecos</t>
        </is>
      </c>
      <c r="K91" t="inlineStr">
        <is>
          <t>Mujer</t>
        </is>
      </c>
      <c r="L91" t="inlineStr">
        <is>
          <t>PZS</t>
        </is>
      </c>
      <c r="M91" s="186" t="n">
        <v>548.25</v>
      </c>
      <c r="N91" s="186" t="n">
        <v>1249.137931</v>
      </c>
      <c r="O91" t="n">
        <v>1</v>
      </c>
      <c r="P91" t="n">
        <v>1</v>
      </c>
      <c r="W91" t="n">
        <v>1</v>
      </c>
      <c r="X91">
        <f>O91-W91</f>
        <v/>
      </c>
      <c r="Y91" t="n">
        <v>1</v>
      </c>
      <c r="AB91" s="186">
        <f>IFERROR(O91*M91,0)</f>
        <v/>
      </c>
      <c r="AC91" s="186">
        <f>IFERROR(O91*N91,0)</f>
        <v/>
      </c>
      <c r="AD91" t="inlineStr">
        <is>
          <t>Con existencia</t>
        </is>
      </c>
      <c r="AE91" t="n">
        <v>1</v>
      </c>
    </row>
    <row r="92">
      <c r="A92" t="inlineStr">
        <is>
          <t>7506499532358</t>
        </is>
      </c>
      <c r="B92" t="inlineStr">
        <is>
          <t>108466</t>
        </is>
      </c>
      <c r="C92" t="inlineStr">
        <is>
          <t>KD920-PP1-UNI-108466</t>
        </is>
      </c>
      <c r="D92" t="inlineStr">
        <is>
          <t>KD920-PP1</t>
        </is>
      </c>
      <c r="E92" t="inlineStr">
        <is>
          <t>Denver</t>
        </is>
      </c>
      <c r="F92" t="inlineStr">
        <is>
          <t>KD920-PP1 : 46366 : Chamarra Denver negra ribete café</t>
        </is>
      </c>
      <c r="G92" t="inlineStr">
        <is>
          <t>Talla única</t>
        </is>
      </c>
      <c r="H92" t="inlineStr">
        <is>
          <t>Negro</t>
        </is>
      </c>
      <c r="I92" t="inlineStr">
        <is>
          <t>Ropa</t>
        </is>
      </c>
      <c r="J92" t="inlineStr">
        <is>
          <t>Chamarras</t>
        </is>
      </c>
      <c r="K92" t="inlineStr">
        <is>
          <t>Niño</t>
        </is>
      </c>
      <c r="L92" t="inlineStr">
        <is>
          <t>PZS</t>
        </is>
      </c>
      <c r="M92" s="186" t="n">
        <v>529.55</v>
      </c>
      <c r="N92" s="186" t="n">
        <v>1076.724138</v>
      </c>
      <c r="O92" t="n">
        <v>2</v>
      </c>
      <c r="P92" t="n">
        <v>2</v>
      </c>
      <c r="W92" t="n">
        <v>2</v>
      </c>
      <c r="X92">
        <f>O92-W92</f>
        <v/>
      </c>
      <c r="AB92" s="186">
        <f>IFERROR(O92*M92,0)</f>
        <v/>
      </c>
      <c r="AC92" s="186">
        <f>IFERROR(O92*N92,0)</f>
        <v/>
      </c>
      <c r="AD92" t="inlineStr">
        <is>
          <t>Con existencia</t>
        </is>
      </c>
      <c r="AE92" t="n">
        <v>2</v>
      </c>
    </row>
    <row r="93">
      <c r="A93" t="inlineStr">
        <is>
          <t>7506499532655</t>
        </is>
      </c>
      <c r="B93" t="inlineStr">
        <is>
          <t>108482</t>
        </is>
      </c>
      <c r="C93" t="inlineStr">
        <is>
          <t>WJK917-FG29-5-L</t>
        </is>
      </c>
      <c r="D93" t="inlineStr">
        <is>
          <t>WJK917-FG29-5</t>
        </is>
      </c>
      <c r="E93" t="inlineStr">
        <is>
          <t>Denver</t>
        </is>
      </c>
      <c r="F93" t="inlineStr">
        <is>
          <t>Chaqueta Denver Mujer Rojo</t>
        </is>
      </c>
      <c r="G93" t="inlineStr">
        <is>
          <t>L</t>
        </is>
      </c>
      <c r="H93" t="inlineStr">
        <is>
          <t>Rojo</t>
        </is>
      </c>
      <c r="I93" t="inlineStr">
        <is>
          <t>Ropa</t>
        </is>
      </c>
      <c r="J93" t="inlineStr">
        <is>
          <t>Chamarras</t>
        </is>
      </c>
      <c r="K93" t="inlineStr">
        <is>
          <t>Mujer</t>
        </is>
      </c>
      <c r="L93" t="inlineStr">
        <is>
          <t>PZS</t>
        </is>
      </c>
      <c r="M93" s="186" t="n">
        <v>589.5</v>
      </c>
      <c r="N93" s="186" t="n">
        <v>1378.448276</v>
      </c>
      <c r="O93" t="n">
        <v>-1</v>
      </c>
      <c r="V93" t="inlineStr">
        <is>
          <t>WB OUTLET LERMA (-1)</t>
        </is>
      </c>
      <c r="W93" t="n">
        <v>-1</v>
      </c>
      <c r="X93">
        <f>O93-W93</f>
        <v/>
      </c>
      <c r="AB93" s="186">
        <f>IFERROR(O93*M93,0)</f>
        <v/>
      </c>
      <c r="AC93" s="186">
        <f>IFERROR(O93*N93,0)</f>
        <v/>
      </c>
      <c r="AD93" t="inlineStr">
        <is>
          <t>Existencia negativa</t>
        </is>
      </c>
      <c r="AE93" t="n">
        <v>-1</v>
      </c>
    </row>
    <row r="94">
      <c r="A94" t="inlineStr">
        <is>
          <t>7506499532631</t>
        </is>
      </c>
      <c r="B94" t="inlineStr">
        <is>
          <t>108480</t>
        </is>
      </c>
      <c r="C94" t="inlineStr">
        <is>
          <t>WJK917-FG29-5-S</t>
        </is>
      </c>
      <c r="D94" t="inlineStr">
        <is>
          <t>WJK917-FG29-5</t>
        </is>
      </c>
      <c r="E94" t="inlineStr">
        <is>
          <t>Denver</t>
        </is>
      </c>
      <c r="F94" t="inlineStr">
        <is>
          <t>Chaqueta Denver Mujer Rojo</t>
        </is>
      </c>
      <c r="G94" t="inlineStr">
        <is>
          <t>S</t>
        </is>
      </c>
      <c r="H94" t="inlineStr">
        <is>
          <t>Rojo</t>
        </is>
      </c>
      <c r="I94" t="inlineStr">
        <is>
          <t>Ropa</t>
        </is>
      </c>
      <c r="J94" t="inlineStr">
        <is>
          <t>Chamarras</t>
        </is>
      </c>
      <c r="K94" t="inlineStr">
        <is>
          <t>Mujer</t>
        </is>
      </c>
      <c r="L94" t="inlineStr">
        <is>
          <t>PZS</t>
        </is>
      </c>
      <c r="M94" s="186" t="n">
        <v>589.5</v>
      </c>
      <c r="N94" s="186" t="n">
        <v>1378.448276</v>
      </c>
      <c r="O94" t="n">
        <v>1</v>
      </c>
      <c r="P94" t="n">
        <v>1</v>
      </c>
      <c r="W94" t="n">
        <v>1</v>
      </c>
      <c r="X94">
        <f>O94-W94</f>
        <v/>
      </c>
      <c r="Y94" t="n">
        <v>1</v>
      </c>
      <c r="AB94" s="186">
        <f>IFERROR(O94*M94,0)</f>
        <v/>
      </c>
      <c r="AC94" s="186">
        <f>IFERROR(O94*N94,0)</f>
        <v/>
      </c>
      <c r="AD94" t="inlineStr">
        <is>
          <t>Con existencia</t>
        </is>
      </c>
      <c r="AE94" t="n">
        <v>1</v>
      </c>
    </row>
    <row r="95">
      <c r="A95" t="inlineStr">
        <is>
          <t>7506499570834</t>
        </is>
      </c>
      <c r="B95" t="inlineStr">
        <is>
          <t>108360</t>
        </is>
      </c>
      <c r="C95" t="inlineStr">
        <is>
          <t>01-TDAG012-0010-L</t>
        </is>
      </c>
      <c r="D95" t="inlineStr">
        <is>
          <t>01-TDAG012-0010</t>
        </is>
      </c>
      <c r="E95" t="inlineStr">
        <is>
          <t>Denver</t>
        </is>
      </c>
      <c r="F95" t="inlineStr">
        <is>
          <t>Playera Denver caballero blanco</t>
        </is>
      </c>
      <c r="G95" t="inlineStr">
        <is>
          <t>L</t>
        </is>
      </c>
      <c r="H95" t="inlineStr">
        <is>
          <t>Blanco</t>
        </is>
      </c>
      <c r="I95" t="inlineStr">
        <is>
          <t>Ropa</t>
        </is>
      </c>
      <c r="J95" t="inlineStr">
        <is>
          <t>Playeras</t>
        </is>
      </c>
      <c r="K95" t="inlineStr">
        <is>
          <t>Hombre</t>
        </is>
      </c>
      <c r="L95" t="inlineStr">
        <is>
          <t>PZS</t>
        </is>
      </c>
      <c r="M95" s="186" t="n">
        <v>329</v>
      </c>
      <c r="N95" s="186" t="n">
        <v>559.4827586</v>
      </c>
      <c r="O95" t="n">
        <v>3</v>
      </c>
      <c r="P95" t="n">
        <v>3</v>
      </c>
      <c r="W95" t="n">
        <v>3</v>
      </c>
      <c r="X95">
        <f>O95-W95</f>
        <v/>
      </c>
      <c r="Y95" t="n">
        <v>3</v>
      </c>
      <c r="AB95" s="186">
        <f>IFERROR(O95*M95,0)</f>
        <v/>
      </c>
      <c r="AC95" s="186">
        <f>IFERROR(O95*N95,0)</f>
        <v/>
      </c>
      <c r="AD95" t="inlineStr">
        <is>
          <t>Con existencia</t>
        </is>
      </c>
      <c r="AE95" t="n">
        <v>3</v>
      </c>
    </row>
    <row r="96">
      <c r="A96" t="inlineStr">
        <is>
          <t>7506499570835</t>
        </is>
      </c>
      <c r="B96" t="inlineStr">
        <is>
          <t>108361</t>
        </is>
      </c>
      <c r="C96" t="inlineStr">
        <is>
          <t>01-TDAG012-0010-XL</t>
        </is>
      </c>
      <c r="D96" t="inlineStr">
        <is>
          <t>01-TDAG012-0010</t>
        </is>
      </c>
      <c r="E96" t="inlineStr">
        <is>
          <t>Denver</t>
        </is>
      </c>
      <c r="F96" t="inlineStr">
        <is>
          <t>Playera Denver caballero blanco</t>
        </is>
      </c>
      <c r="G96" t="inlineStr">
        <is>
          <t>XL</t>
        </is>
      </c>
      <c r="H96" t="inlineStr">
        <is>
          <t>Blanco</t>
        </is>
      </c>
      <c r="I96" t="inlineStr">
        <is>
          <t>Ropa</t>
        </is>
      </c>
      <c r="J96" t="inlineStr">
        <is>
          <t>Playeras</t>
        </is>
      </c>
      <c r="K96" t="inlineStr">
        <is>
          <t>Hombre</t>
        </is>
      </c>
      <c r="L96" t="inlineStr">
        <is>
          <t>PZS</t>
        </is>
      </c>
      <c r="M96" s="186" t="n">
        <v>329</v>
      </c>
      <c r="N96" s="186" t="n">
        <v>559.4827586</v>
      </c>
      <c r="O96" t="n">
        <v>3</v>
      </c>
      <c r="P96" t="n">
        <v>3</v>
      </c>
      <c r="W96" t="n">
        <v>3</v>
      </c>
      <c r="X96">
        <f>O96-W96</f>
        <v/>
      </c>
      <c r="Y96" t="n">
        <v>3</v>
      </c>
      <c r="AB96" s="186">
        <f>IFERROR(O96*M96,0)</f>
        <v/>
      </c>
      <c r="AC96" s="186">
        <f>IFERROR(O96*N96,0)</f>
        <v/>
      </c>
      <c r="AD96" t="inlineStr">
        <is>
          <t>Con existencia</t>
        </is>
      </c>
      <c r="AE96" t="n">
        <v>3</v>
      </c>
    </row>
    <row r="97">
      <c r="A97" t="inlineStr">
        <is>
          <t>7506499570838</t>
        </is>
      </c>
      <c r="B97" t="inlineStr">
        <is>
          <t>108364</t>
        </is>
      </c>
      <c r="C97" t="inlineStr">
        <is>
          <t>01-TDAG012-0011-L</t>
        </is>
      </c>
      <c r="D97" t="inlineStr">
        <is>
          <t>01-TDAG012-0011</t>
        </is>
      </c>
      <c r="E97" t="inlineStr">
        <is>
          <t>Denver</t>
        </is>
      </c>
      <c r="F97" t="inlineStr">
        <is>
          <t>Playera Denver caballero negro calavera con guitarra</t>
        </is>
      </c>
      <c r="G97" t="inlineStr">
        <is>
          <t>L</t>
        </is>
      </c>
      <c r="H97" t="inlineStr">
        <is>
          <t>Negro</t>
        </is>
      </c>
      <c r="I97" t="inlineStr">
        <is>
          <t>Ropa</t>
        </is>
      </c>
      <c r="J97" t="inlineStr">
        <is>
          <t>Playeras</t>
        </is>
      </c>
      <c r="K97" t="inlineStr">
        <is>
          <t>Hombre</t>
        </is>
      </c>
      <c r="L97" t="inlineStr">
        <is>
          <t>PZS</t>
        </is>
      </c>
      <c r="M97" s="186" t="n">
        <v>329</v>
      </c>
      <c r="N97" s="186" t="n">
        <v>559.4827586</v>
      </c>
      <c r="O97" t="n">
        <v>1</v>
      </c>
      <c r="P97" t="n">
        <v>1</v>
      </c>
      <c r="W97" t="n">
        <v>1</v>
      </c>
      <c r="X97">
        <f>O97-W97</f>
        <v/>
      </c>
      <c r="Y97" t="n">
        <v>1</v>
      </c>
      <c r="AB97" s="186">
        <f>IFERROR(O97*M97,0)</f>
        <v/>
      </c>
      <c r="AC97" s="186">
        <f>IFERROR(O97*N97,0)</f>
        <v/>
      </c>
      <c r="AD97" t="inlineStr">
        <is>
          <t>Con existencia</t>
        </is>
      </c>
      <c r="AE97" t="n">
        <v>1</v>
      </c>
    </row>
    <row r="98">
      <c r="A98" t="inlineStr">
        <is>
          <t>7506499570837</t>
        </is>
      </c>
      <c r="B98" t="inlineStr">
        <is>
          <t>108363</t>
        </is>
      </c>
      <c r="C98" t="inlineStr">
        <is>
          <t>01-TDAG012-0011-M</t>
        </is>
      </c>
      <c r="D98" t="inlineStr">
        <is>
          <t>01-TDAG012-0011</t>
        </is>
      </c>
      <c r="E98" t="inlineStr">
        <is>
          <t>Denver</t>
        </is>
      </c>
      <c r="F98" t="inlineStr">
        <is>
          <t>Playera Denver caballero negro calavera con guitarra</t>
        </is>
      </c>
      <c r="G98" t="inlineStr">
        <is>
          <t>M</t>
        </is>
      </c>
      <c r="H98" t="inlineStr">
        <is>
          <t>Negro</t>
        </is>
      </c>
      <c r="I98" t="inlineStr">
        <is>
          <t>Ropa</t>
        </is>
      </c>
      <c r="J98" t="inlineStr">
        <is>
          <t>Playeras</t>
        </is>
      </c>
      <c r="K98" t="inlineStr">
        <is>
          <t>Hombre</t>
        </is>
      </c>
      <c r="L98" t="inlineStr">
        <is>
          <t>PZS</t>
        </is>
      </c>
      <c r="M98" s="186" t="n">
        <v>329</v>
      </c>
      <c r="N98" s="186" t="n">
        <v>559.4827586</v>
      </c>
      <c r="O98" t="n">
        <v>1</v>
      </c>
      <c r="P98" t="n">
        <v>1</v>
      </c>
      <c r="W98" t="n">
        <v>1</v>
      </c>
      <c r="X98">
        <f>O98-W98</f>
        <v/>
      </c>
      <c r="Y98" t="n">
        <v>1</v>
      </c>
      <c r="AB98" s="186">
        <f>IFERROR(O98*M98,0)</f>
        <v/>
      </c>
      <c r="AC98" s="186">
        <f>IFERROR(O98*N98,0)</f>
        <v/>
      </c>
      <c r="AD98" t="inlineStr">
        <is>
          <t>Con existencia</t>
        </is>
      </c>
      <c r="AE98" t="n">
        <v>1</v>
      </c>
    </row>
    <row r="99">
      <c r="A99" t="inlineStr">
        <is>
          <t>7506499570836</t>
        </is>
      </c>
      <c r="B99" t="inlineStr">
        <is>
          <t>108362</t>
        </is>
      </c>
      <c r="C99" t="inlineStr">
        <is>
          <t>01-TDAG012-0011-S</t>
        </is>
      </c>
      <c r="D99" t="inlineStr">
        <is>
          <t>01-TDAG012-0011</t>
        </is>
      </c>
      <c r="E99" t="inlineStr">
        <is>
          <t>Denver</t>
        </is>
      </c>
      <c r="F99" t="inlineStr">
        <is>
          <t>Playera Denver caballero negro calavera con guitarra</t>
        </is>
      </c>
      <c r="G99" t="inlineStr">
        <is>
          <t>S</t>
        </is>
      </c>
      <c r="H99" t="inlineStr">
        <is>
          <t>Negro</t>
        </is>
      </c>
      <c r="I99" t="inlineStr">
        <is>
          <t>Ropa</t>
        </is>
      </c>
      <c r="J99" t="inlineStr">
        <is>
          <t>Playeras</t>
        </is>
      </c>
      <c r="K99" t="inlineStr">
        <is>
          <t>Hombre</t>
        </is>
      </c>
      <c r="L99" t="inlineStr">
        <is>
          <t>PZS</t>
        </is>
      </c>
      <c r="M99" s="186" t="n">
        <v>329</v>
      </c>
      <c r="N99" s="186" t="n">
        <v>559.4827586</v>
      </c>
      <c r="O99" t="n">
        <v>2</v>
      </c>
      <c r="P99" t="n">
        <v>2</v>
      </c>
      <c r="W99" t="n">
        <v>2</v>
      </c>
      <c r="X99">
        <f>O99-W99</f>
        <v/>
      </c>
      <c r="Y99" t="n">
        <v>2</v>
      </c>
      <c r="AB99" s="186">
        <f>IFERROR(O99*M99,0)</f>
        <v/>
      </c>
      <c r="AC99" s="186">
        <f>IFERROR(O99*N99,0)</f>
        <v/>
      </c>
      <c r="AD99" t="inlineStr">
        <is>
          <t>Con existencia</t>
        </is>
      </c>
      <c r="AE99" t="n">
        <v>2</v>
      </c>
    </row>
    <row r="100">
      <c r="A100" t="inlineStr">
        <is>
          <t>7506499570839</t>
        </is>
      </c>
      <c r="B100" t="inlineStr">
        <is>
          <t>108365</t>
        </is>
      </c>
      <c r="C100" t="inlineStr">
        <is>
          <t>01-TDAG012-0011-XL</t>
        </is>
      </c>
      <c r="D100" t="inlineStr">
        <is>
          <t>01-TDAG012-0011</t>
        </is>
      </c>
      <c r="E100" t="inlineStr">
        <is>
          <t>Denver</t>
        </is>
      </c>
      <c r="F100" t="inlineStr">
        <is>
          <t>Playera Denver caballero negro calavera con guitarra</t>
        </is>
      </c>
      <c r="G100" t="inlineStr">
        <is>
          <t>XL</t>
        </is>
      </c>
      <c r="H100" t="inlineStr">
        <is>
          <t>Negro</t>
        </is>
      </c>
      <c r="I100" t="inlineStr">
        <is>
          <t>Ropa</t>
        </is>
      </c>
      <c r="J100" t="inlineStr">
        <is>
          <t>Playeras</t>
        </is>
      </c>
      <c r="K100" t="inlineStr">
        <is>
          <t>Hombre</t>
        </is>
      </c>
      <c r="L100" t="inlineStr">
        <is>
          <t>PZS</t>
        </is>
      </c>
      <c r="M100" s="186" t="n">
        <v>329</v>
      </c>
      <c r="N100" s="186" t="n">
        <v>559.4827586</v>
      </c>
      <c r="O100" t="n">
        <v>3</v>
      </c>
      <c r="P100" t="n">
        <v>3</v>
      </c>
      <c r="W100" t="n">
        <v>3</v>
      </c>
      <c r="X100">
        <f>O100-W100</f>
        <v/>
      </c>
      <c r="Y100" t="n">
        <v>3</v>
      </c>
      <c r="AB100" s="186">
        <f>IFERROR(O100*M100,0)</f>
        <v/>
      </c>
      <c r="AC100" s="186">
        <f>IFERROR(O100*N100,0)</f>
        <v/>
      </c>
      <c r="AD100" t="inlineStr">
        <is>
          <t>Con existencia</t>
        </is>
      </c>
      <c r="AE100" t="n">
        <v>3</v>
      </c>
    </row>
    <row r="101">
      <c r="A101" t="inlineStr">
        <is>
          <t>7506499570841</t>
        </is>
      </c>
      <c r="B101" t="inlineStr">
        <is>
          <t>108367</t>
        </is>
      </c>
      <c r="C101" t="inlineStr">
        <is>
          <t>01-TDAG012-0015-M</t>
        </is>
      </c>
      <c r="D101" t="inlineStr">
        <is>
          <t>01-TDAG012-0015</t>
        </is>
      </c>
      <c r="E101" t="inlineStr">
        <is>
          <t>Denver</t>
        </is>
      </c>
      <c r="F101" t="inlineStr">
        <is>
          <t>Playera Denver caballero blanco cocodrilo</t>
        </is>
      </c>
      <c r="G101" t="inlineStr">
        <is>
          <t>M</t>
        </is>
      </c>
      <c r="H101" t="inlineStr">
        <is>
          <t>Blanco</t>
        </is>
      </c>
      <c r="I101" t="inlineStr">
        <is>
          <t>Ropa</t>
        </is>
      </c>
      <c r="J101" t="inlineStr">
        <is>
          <t>Playeras</t>
        </is>
      </c>
      <c r="K101" t="inlineStr">
        <is>
          <t>Hombre</t>
        </is>
      </c>
      <c r="L101" t="inlineStr">
        <is>
          <t>PZS</t>
        </is>
      </c>
      <c r="M101" s="186" t="n">
        <v>329</v>
      </c>
      <c r="N101" s="186" t="n">
        <v>559.4827586</v>
      </c>
      <c r="O101" t="n">
        <v>2</v>
      </c>
      <c r="P101" t="n">
        <v>2</v>
      </c>
      <c r="W101" t="n">
        <v>2</v>
      </c>
      <c r="X101">
        <f>O101-W101</f>
        <v/>
      </c>
      <c r="Y101" t="n">
        <v>2</v>
      </c>
      <c r="AB101" s="186">
        <f>IFERROR(O101*M101,0)</f>
        <v/>
      </c>
      <c r="AC101" s="186">
        <f>IFERROR(O101*N101,0)</f>
        <v/>
      </c>
      <c r="AD101" t="inlineStr">
        <is>
          <t>Con existencia</t>
        </is>
      </c>
      <c r="AE101" t="n">
        <v>2</v>
      </c>
    </row>
    <row r="102">
      <c r="A102" t="inlineStr">
        <is>
          <t>7506499570840</t>
        </is>
      </c>
      <c r="B102" t="inlineStr">
        <is>
          <t>108366</t>
        </is>
      </c>
      <c r="C102" t="inlineStr">
        <is>
          <t>01-TDAG012-0015-S</t>
        </is>
      </c>
      <c r="D102" t="inlineStr">
        <is>
          <t>01-TDAG012-0015</t>
        </is>
      </c>
      <c r="E102" t="inlineStr">
        <is>
          <t>Denver</t>
        </is>
      </c>
      <c r="F102" t="inlineStr">
        <is>
          <t>Playera Denver caballero blanco cocodrilo</t>
        </is>
      </c>
      <c r="G102" t="inlineStr">
        <is>
          <t>S</t>
        </is>
      </c>
      <c r="H102" t="inlineStr">
        <is>
          <t>Blanco</t>
        </is>
      </c>
      <c r="I102" t="inlineStr">
        <is>
          <t>Ropa</t>
        </is>
      </c>
      <c r="J102" t="inlineStr">
        <is>
          <t>Playeras</t>
        </is>
      </c>
      <c r="K102" t="inlineStr">
        <is>
          <t>Hombre</t>
        </is>
      </c>
      <c r="L102" t="inlineStr">
        <is>
          <t>PZS</t>
        </is>
      </c>
      <c r="M102" s="186" t="n">
        <v>329</v>
      </c>
      <c r="N102" s="186" t="n">
        <v>559.4827586</v>
      </c>
      <c r="O102" t="n">
        <v>1</v>
      </c>
      <c r="P102" t="n">
        <v>1</v>
      </c>
      <c r="W102" t="n">
        <v>2</v>
      </c>
      <c r="X102">
        <f>O102-W102</f>
        <v/>
      </c>
      <c r="Y102" t="n">
        <v>2</v>
      </c>
      <c r="AB102" s="186">
        <f>IFERROR(O102*M102,0)</f>
        <v/>
      </c>
      <c r="AC102" s="186">
        <f>IFERROR(O102*N102,0)</f>
        <v/>
      </c>
      <c r="AD102" t="inlineStr">
        <is>
          <t>Con existencia</t>
        </is>
      </c>
      <c r="AE102" t="n">
        <v>1</v>
      </c>
    </row>
    <row r="103">
      <c r="A103" t="inlineStr">
        <is>
          <t>7506499570843</t>
        </is>
      </c>
      <c r="B103" t="inlineStr">
        <is>
          <t>108369</t>
        </is>
      </c>
      <c r="C103" t="inlineStr">
        <is>
          <t>01-TDAG012-0015-XL</t>
        </is>
      </c>
      <c r="D103" t="inlineStr">
        <is>
          <t>01-TDAG012-0015</t>
        </is>
      </c>
      <c r="E103" t="inlineStr">
        <is>
          <t>Denver</t>
        </is>
      </c>
      <c r="F103" t="inlineStr">
        <is>
          <t>Playera Denver caballero blanco cocodrilo</t>
        </is>
      </c>
      <c r="G103" t="inlineStr">
        <is>
          <t>XL</t>
        </is>
      </c>
      <c r="H103" t="inlineStr">
        <is>
          <t>Blanco</t>
        </is>
      </c>
      <c r="I103" t="inlineStr">
        <is>
          <t>Ropa</t>
        </is>
      </c>
      <c r="J103" t="inlineStr">
        <is>
          <t>Playeras</t>
        </is>
      </c>
      <c r="K103" t="inlineStr">
        <is>
          <t>Hombre</t>
        </is>
      </c>
      <c r="L103" t="inlineStr">
        <is>
          <t>PZS</t>
        </is>
      </c>
      <c r="M103" s="186" t="n">
        <v>329</v>
      </c>
      <c r="N103" s="186" t="n">
        <v>559.4827586</v>
      </c>
      <c r="O103" t="n">
        <v>0</v>
      </c>
      <c r="W103" t="n">
        <v>1</v>
      </c>
      <c r="X103">
        <f>O103-W103</f>
        <v/>
      </c>
      <c r="Y103" t="n">
        <v>1</v>
      </c>
      <c r="AB103" s="186">
        <f>IFERROR(O103*M103,0)</f>
        <v/>
      </c>
      <c r="AC103" s="186">
        <f>IFERROR(O103*N103,0)</f>
        <v/>
      </c>
      <c r="AD103" t="inlineStr">
        <is>
          <t>Solo en plataformas</t>
        </is>
      </c>
    </row>
    <row r="104">
      <c r="A104" t="inlineStr">
        <is>
          <t>7506499570846</t>
        </is>
      </c>
      <c r="B104" t="inlineStr">
        <is>
          <t>108372</t>
        </is>
      </c>
      <c r="C104" t="inlineStr">
        <is>
          <t>01-TDAG012-0017-L</t>
        </is>
      </c>
      <c r="D104" t="inlineStr">
        <is>
          <t>01-TDAG012-0017</t>
        </is>
      </c>
      <c r="E104" t="inlineStr">
        <is>
          <t>Denver</t>
        </is>
      </c>
      <c r="F104" t="inlineStr">
        <is>
          <t>Playera Denver caballero azul toro enojado</t>
        </is>
      </c>
      <c r="G104" t="inlineStr">
        <is>
          <t>L</t>
        </is>
      </c>
      <c r="H104" t="inlineStr">
        <is>
          <t>Azul</t>
        </is>
      </c>
      <c r="I104" t="inlineStr">
        <is>
          <t>Ropa</t>
        </is>
      </c>
      <c r="J104" t="inlineStr">
        <is>
          <t>Playeras</t>
        </is>
      </c>
      <c r="K104" t="inlineStr">
        <is>
          <t>Hombre</t>
        </is>
      </c>
      <c r="L104" t="inlineStr">
        <is>
          <t>PZS</t>
        </is>
      </c>
      <c r="M104" s="186" t="n">
        <v>329</v>
      </c>
      <c r="N104" s="186" t="n">
        <v>559.4827586</v>
      </c>
      <c r="O104" t="n">
        <v>4</v>
      </c>
      <c r="P104" t="n">
        <v>4</v>
      </c>
      <c r="W104" t="n">
        <v>4</v>
      </c>
      <c r="X104">
        <f>O104-W104</f>
        <v/>
      </c>
      <c r="Y104" t="n">
        <v>4</v>
      </c>
      <c r="AB104" s="186">
        <f>IFERROR(O104*M104,0)</f>
        <v/>
      </c>
      <c r="AC104" s="186">
        <f>IFERROR(O104*N104,0)</f>
        <v/>
      </c>
      <c r="AD104" t="inlineStr">
        <is>
          <t>Con existencia</t>
        </is>
      </c>
      <c r="AE104" t="n">
        <v>4</v>
      </c>
    </row>
    <row r="105">
      <c r="A105" t="inlineStr">
        <is>
          <t>7506499570845</t>
        </is>
      </c>
      <c r="B105" t="inlineStr">
        <is>
          <t>108371</t>
        </is>
      </c>
      <c r="C105" t="inlineStr">
        <is>
          <t>01-TDAG012-0017-M</t>
        </is>
      </c>
      <c r="D105" t="inlineStr">
        <is>
          <t>01-TDAG012-0017</t>
        </is>
      </c>
      <c r="E105" t="inlineStr">
        <is>
          <t>Denver</t>
        </is>
      </c>
      <c r="F105" t="inlineStr">
        <is>
          <t>Playera Denver caballero azul toro enojado</t>
        </is>
      </c>
      <c r="G105" t="inlineStr">
        <is>
          <t>M</t>
        </is>
      </c>
      <c r="H105" t="inlineStr">
        <is>
          <t>Azul</t>
        </is>
      </c>
      <c r="I105" t="inlineStr">
        <is>
          <t>Ropa</t>
        </is>
      </c>
      <c r="J105" t="inlineStr">
        <is>
          <t>Playeras</t>
        </is>
      </c>
      <c r="K105" t="inlineStr">
        <is>
          <t>Hombre</t>
        </is>
      </c>
      <c r="L105" t="inlineStr">
        <is>
          <t>PZS</t>
        </is>
      </c>
      <c r="M105" s="186" t="n">
        <v>329</v>
      </c>
      <c r="N105" s="186" t="n">
        <v>559.4827586</v>
      </c>
      <c r="O105" t="n">
        <v>3</v>
      </c>
      <c r="P105" t="n">
        <v>3</v>
      </c>
      <c r="W105" t="n">
        <v>3</v>
      </c>
      <c r="X105">
        <f>O105-W105</f>
        <v/>
      </c>
      <c r="Y105" t="n">
        <v>3</v>
      </c>
      <c r="AB105" s="186">
        <f>IFERROR(O105*M105,0)</f>
        <v/>
      </c>
      <c r="AC105" s="186">
        <f>IFERROR(O105*N105,0)</f>
        <v/>
      </c>
      <c r="AD105" t="inlineStr">
        <is>
          <t>Con existencia</t>
        </is>
      </c>
      <c r="AE105" t="n">
        <v>3</v>
      </c>
    </row>
    <row r="106">
      <c r="A106" t="inlineStr">
        <is>
          <t>7506499570844</t>
        </is>
      </c>
      <c r="B106" t="inlineStr">
        <is>
          <t>108370</t>
        </is>
      </c>
      <c r="C106" t="inlineStr">
        <is>
          <t>01-TDAG012-0017-S</t>
        </is>
      </c>
      <c r="D106" t="inlineStr">
        <is>
          <t>01-TDAG012-0017</t>
        </is>
      </c>
      <c r="E106" t="inlineStr">
        <is>
          <t>Denver</t>
        </is>
      </c>
      <c r="F106" t="inlineStr">
        <is>
          <t>Playera Denver caballero azul toro enojado</t>
        </is>
      </c>
      <c r="G106" t="inlineStr">
        <is>
          <t>S</t>
        </is>
      </c>
      <c r="H106" t="inlineStr">
        <is>
          <t>Azul</t>
        </is>
      </c>
      <c r="I106" t="inlineStr">
        <is>
          <t>Ropa</t>
        </is>
      </c>
      <c r="J106" t="inlineStr">
        <is>
          <t>Playeras</t>
        </is>
      </c>
      <c r="K106" t="inlineStr">
        <is>
          <t>Hombre</t>
        </is>
      </c>
      <c r="L106" t="inlineStr">
        <is>
          <t>PZS</t>
        </is>
      </c>
      <c r="M106" s="186" t="n">
        <v>329</v>
      </c>
      <c r="N106" s="186" t="n">
        <v>559.4827586</v>
      </c>
      <c r="O106" t="n">
        <v>4</v>
      </c>
      <c r="P106" t="n">
        <v>4</v>
      </c>
      <c r="W106" t="n">
        <v>4</v>
      </c>
      <c r="X106">
        <f>O106-W106</f>
        <v/>
      </c>
      <c r="Y106" t="n">
        <v>4</v>
      </c>
      <c r="AB106" s="186">
        <f>IFERROR(O106*M106,0)</f>
        <v/>
      </c>
      <c r="AC106" s="186">
        <f>IFERROR(O106*N106,0)</f>
        <v/>
      </c>
      <c r="AD106" t="inlineStr">
        <is>
          <t>Con existencia</t>
        </is>
      </c>
      <c r="AE106" t="n">
        <v>4</v>
      </c>
    </row>
    <row r="107">
      <c r="A107" t="inlineStr">
        <is>
          <t>7506499570847</t>
        </is>
      </c>
      <c r="B107" t="inlineStr">
        <is>
          <t>108373</t>
        </is>
      </c>
      <c r="C107" t="inlineStr">
        <is>
          <t>01-TDAG012-0017-XL</t>
        </is>
      </c>
      <c r="D107" t="inlineStr">
        <is>
          <t>01-TDAG012-0017</t>
        </is>
      </c>
      <c r="E107" t="inlineStr">
        <is>
          <t>Denver</t>
        </is>
      </c>
      <c r="F107" t="inlineStr">
        <is>
          <t>Playera Denver caballero azul toro enojado</t>
        </is>
      </c>
      <c r="G107" t="inlineStr">
        <is>
          <t>XL</t>
        </is>
      </c>
      <c r="H107" t="inlineStr">
        <is>
          <t>Azul</t>
        </is>
      </c>
      <c r="I107" t="inlineStr">
        <is>
          <t>Ropa</t>
        </is>
      </c>
      <c r="J107" t="inlineStr">
        <is>
          <t>Playeras</t>
        </is>
      </c>
      <c r="K107" t="inlineStr">
        <is>
          <t>Hombre</t>
        </is>
      </c>
      <c r="L107" t="inlineStr">
        <is>
          <t>PZS</t>
        </is>
      </c>
      <c r="M107" s="186" t="n">
        <v>329</v>
      </c>
      <c r="N107" s="186" t="n">
        <v>559.4827586</v>
      </c>
      <c r="O107" t="n">
        <v>3</v>
      </c>
      <c r="P107" t="n">
        <v>3</v>
      </c>
      <c r="W107" t="n">
        <v>3</v>
      </c>
      <c r="X107">
        <f>O107-W107</f>
        <v/>
      </c>
      <c r="Y107" t="n">
        <v>3</v>
      </c>
      <c r="AB107" s="186">
        <f>IFERROR(O107*M107,0)</f>
        <v/>
      </c>
      <c r="AC107" s="186">
        <f>IFERROR(O107*N107,0)</f>
        <v/>
      </c>
      <c r="AD107" t="inlineStr">
        <is>
          <t>Con existencia</t>
        </is>
      </c>
      <c r="AE107" t="n">
        <v>3</v>
      </c>
    </row>
    <row r="108">
      <c r="A108" t="inlineStr">
        <is>
          <t>7506499570850</t>
        </is>
      </c>
      <c r="B108" t="inlineStr">
        <is>
          <t>108376</t>
        </is>
      </c>
      <c r="C108" t="inlineStr">
        <is>
          <t>02-TDAG012-0007-L</t>
        </is>
      </c>
      <c r="D108" t="inlineStr">
        <is>
          <t>02-TDAG012-0007</t>
        </is>
      </c>
      <c r="E108" t="inlineStr">
        <is>
          <t>Denver</t>
        </is>
      </c>
      <c r="F108" t="inlineStr">
        <is>
          <t>Playera Denver dama negro corazon toros</t>
        </is>
      </c>
      <c r="G108" t="inlineStr">
        <is>
          <t>L</t>
        </is>
      </c>
      <c r="H108" t="inlineStr">
        <is>
          <t>Negro</t>
        </is>
      </c>
      <c r="I108" t="inlineStr">
        <is>
          <t>Ropa</t>
        </is>
      </c>
      <c r="J108" t="inlineStr">
        <is>
          <t>Playeras</t>
        </is>
      </c>
      <c r="K108" t="inlineStr">
        <is>
          <t>Mujer</t>
        </is>
      </c>
      <c r="L108" t="inlineStr">
        <is>
          <t>PZS</t>
        </is>
      </c>
      <c r="M108" s="186" t="n">
        <v>319</v>
      </c>
      <c r="N108" s="186" t="n">
        <v>559.4827586</v>
      </c>
      <c r="O108" t="n">
        <v>4</v>
      </c>
      <c r="P108" t="n">
        <v>4</v>
      </c>
      <c r="W108" t="n">
        <v>4</v>
      </c>
      <c r="X108">
        <f>O108-W108</f>
        <v/>
      </c>
      <c r="Y108" t="n">
        <v>4</v>
      </c>
      <c r="AB108" s="186">
        <f>IFERROR(O108*M108,0)</f>
        <v/>
      </c>
      <c r="AC108" s="186">
        <f>IFERROR(O108*N108,0)</f>
        <v/>
      </c>
      <c r="AD108" t="inlineStr">
        <is>
          <t>Con existencia</t>
        </is>
      </c>
      <c r="AE108" t="n">
        <v>4</v>
      </c>
    </row>
    <row r="109">
      <c r="A109" t="inlineStr">
        <is>
          <t>7506499570849</t>
        </is>
      </c>
      <c r="B109" t="inlineStr">
        <is>
          <t>108375</t>
        </is>
      </c>
      <c r="C109" t="inlineStr">
        <is>
          <t>02-TDAG012-0007-M</t>
        </is>
      </c>
      <c r="D109" t="inlineStr">
        <is>
          <t>02-TDAG012-0007</t>
        </is>
      </c>
      <c r="E109" t="inlineStr">
        <is>
          <t>Denver</t>
        </is>
      </c>
      <c r="F109" t="inlineStr">
        <is>
          <t>Playera Denver dama negro corazon toros</t>
        </is>
      </c>
      <c r="G109" t="inlineStr">
        <is>
          <t>M</t>
        </is>
      </c>
      <c r="H109" t="inlineStr">
        <is>
          <t>Negro</t>
        </is>
      </c>
      <c r="I109" t="inlineStr">
        <is>
          <t>Ropa</t>
        </is>
      </c>
      <c r="J109" t="inlineStr">
        <is>
          <t>Playeras</t>
        </is>
      </c>
      <c r="K109" t="inlineStr">
        <is>
          <t>Mujer</t>
        </is>
      </c>
      <c r="L109" t="inlineStr">
        <is>
          <t>PZS</t>
        </is>
      </c>
      <c r="M109" s="186" t="n">
        <v>319</v>
      </c>
      <c r="N109" s="186" t="n">
        <v>559.4827586</v>
      </c>
      <c r="O109" t="n">
        <v>4</v>
      </c>
      <c r="P109" t="n">
        <v>4</v>
      </c>
      <c r="W109" t="n">
        <v>4</v>
      </c>
      <c r="X109">
        <f>O109-W109</f>
        <v/>
      </c>
      <c r="Y109" t="n">
        <v>4</v>
      </c>
      <c r="AB109" s="186">
        <f>IFERROR(O109*M109,0)</f>
        <v/>
      </c>
      <c r="AC109" s="186">
        <f>IFERROR(O109*N109,0)</f>
        <v/>
      </c>
      <c r="AD109" t="inlineStr">
        <is>
          <t>Con existencia</t>
        </is>
      </c>
      <c r="AE109" t="n">
        <v>4</v>
      </c>
    </row>
    <row r="110">
      <c r="A110" t="inlineStr">
        <is>
          <t>7506499570848</t>
        </is>
      </c>
      <c r="B110" t="inlineStr">
        <is>
          <t>108374</t>
        </is>
      </c>
      <c r="D110" t="inlineStr">
        <is>
          <t>02-TDAG012-0007</t>
        </is>
      </c>
      <c r="E110" t="inlineStr">
        <is>
          <t>Denver</t>
        </is>
      </c>
      <c r="F110" t="inlineStr">
        <is>
          <t>Playera Denver dama negro corazon toros</t>
        </is>
      </c>
      <c r="G110" t="inlineStr">
        <is>
          <t>S</t>
        </is>
      </c>
      <c r="H110" t="inlineStr">
        <is>
          <t>Negro</t>
        </is>
      </c>
      <c r="I110" t="inlineStr">
        <is>
          <t>Ropa</t>
        </is>
      </c>
      <c r="J110" t="inlineStr">
        <is>
          <t>Playeras</t>
        </is>
      </c>
      <c r="K110" t="inlineStr">
        <is>
          <t>Mujer</t>
        </is>
      </c>
      <c r="L110" t="inlineStr">
        <is>
          <t>PZS</t>
        </is>
      </c>
      <c r="M110" s="186" t="n">
        <v>319</v>
      </c>
      <c r="N110" s="186" t="n">
        <v>559.4827586</v>
      </c>
      <c r="O110" t="n">
        <v>3</v>
      </c>
      <c r="P110" t="n">
        <v>3</v>
      </c>
      <c r="X110">
        <f>O110-W110</f>
        <v/>
      </c>
      <c r="Z110" t="n">
        <v>2</v>
      </c>
      <c r="AA110" t="inlineStr">
        <is>
          <t>2026-09-09 10:45:00</t>
        </is>
      </c>
      <c r="AB110" s="186">
        <f>IFERROR(O110*M110,0)</f>
        <v/>
      </c>
      <c r="AC110" s="186">
        <f>IFERROR(O110*N110,0)</f>
        <v/>
      </c>
      <c r="AD110" t="inlineStr">
        <is>
          <t>Con existencia</t>
        </is>
      </c>
      <c r="AE110" t="n">
        <v>3</v>
      </c>
    </row>
    <row r="111">
      <c r="A111" t="inlineStr">
        <is>
          <t>7506499570851</t>
        </is>
      </c>
      <c r="B111" t="inlineStr">
        <is>
          <t>108377</t>
        </is>
      </c>
      <c r="C111" t="inlineStr">
        <is>
          <t>02-TDAG012-0007-XL</t>
        </is>
      </c>
      <c r="D111" t="inlineStr">
        <is>
          <t>02-TDAG012-0007</t>
        </is>
      </c>
      <c r="E111" t="inlineStr">
        <is>
          <t>Denver</t>
        </is>
      </c>
      <c r="F111" t="inlineStr">
        <is>
          <t>Playera Denver dama negro corazon toros</t>
        </is>
      </c>
      <c r="G111" t="inlineStr">
        <is>
          <t>XL</t>
        </is>
      </c>
      <c r="H111" t="inlineStr">
        <is>
          <t>Negro</t>
        </is>
      </c>
      <c r="I111" t="inlineStr">
        <is>
          <t>Ropa</t>
        </is>
      </c>
      <c r="J111" t="inlineStr">
        <is>
          <t>Playeras</t>
        </is>
      </c>
      <c r="K111" t="inlineStr">
        <is>
          <t>Mujer</t>
        </is>
      </c>
      <c r="L111" t="inlineStr">
        <is>
          <t>PZS</t>
        </is>
      </c>
      <c r="M111" s="186" t="n">
        <v>319</v>
      </c>
      <c r="N111" s="186" t="n">
        <v>559.4827586</v>
      </c>
      <c r="O111" t="n">
        <v>4</v>
      </c>
      <c r="P111" t="n">
        <v>4</v>
      </c>
      <c r="W111" t="n">
        <v>4</v>
      </c>
      <c r="X111">
        <f>O111-W111</f>
        <v/>
      </c>
      <c r="Y111" t="n">
        <v>4</v>
      </c>
      <c r="AB111" s="186">
        <f>IFERROR(O111*M111,0)</f>
        <v/>
      </c>
      <c r="AC111" s="186">
        <f>IFERROR(O111*N111,0)</f>
        <v/>
      </c>
      <c r="AD111" t="inlineStr">
        <is>
          <t>Con existencia</t>
        </is>
      </c>
      <c r="AE111" t="n">
        <v>4</v>
      </c>
    </row>
    <row r="112">
      <c r="A112" t="inlineStr">
        <is>
          <t>7506499570854</t>
        </is>
      </c>
      <c r="B112" t="inlineStr">
        <is>
          <t>108380</t>
        </is>
      </c>
      <c r="C112" t="inlineStr">
        <is>
          <t>02-TDAG012-0010-L</t>
        </is>
      </c>
      <c r="D112" t="inlineStr">
        <is>
          <t>02-TDAG012-0010</t>
        </is>
      </c>
      <c r="E112" t="inlineStr">
        <is>
          <t>Denver</t>
        </is>
      </c>
      <c r="F112" t="inlineStr">
        <is>
          <t>Playera Denver dama beige botas</t>
        </is>
      </c>
      <c r="G112" t="inlineStr">
        <is>
          <t>L</t>
        </is>
      </c>
      <c r="H112" t="inlineStr">
        <is>
          <t>Beige</t>
        </is>
      </c>
      <c r="I112" t="inlineStr">
        <is>
          <t>Ropa</t>
        </is>
      </c>
      <c r="J112" t="inlineStr">
        <is>
          <t>Playeras</t>
        </is>
      </c>
      <c r="K112" t="inlineStr">
        <is>
          <t>Mujer</t>
        </is>
      </c>
      <c r="L112" t="inlineStr">
        <is>
          <t>PZS</t>
        </is>
      </c>
      <c r="M112" s="186" t="n">
        <v>319</v>
      </c>
      <c r="N112" s="186" t="n">
        <v>559.4827586</v>
      </c>
      <c r="O112" t="n">
        <v>2</v>
      </c>
      <c r="P112" t="n">
        <v>2</v>
      </c>
      <c r="W112" t="n">
        <v>3</v>
      </c>
      <c r="X112">
        <f>O112-W112</f>
        <v/>
      </c>
      <c r="Y112" t="n">
        <v>3</v>
      </c>
      <c r="AB112" s="186">
        <f>IFERROR(O112*M112,0)</f>
        <v/>
      </c>
      <c r="AC112" s="186">
        <f>IFERROR(O112*N112,0)</f>
        <v/>
      </c>
      <c r="AD112" t="inlineStr">
        <is>
          <t>Con existencia</t>
        </is>
      </c>
      <c r="AE112" t="n">
        <v>2</v>
      </c>
    </row>
    <row r="113">
      <c r="A113" t="inlineStr">
        <is>
          <t>7506499570853</t>
        </is>
      </c>
      <c r="B113" t="inlineStr">
        <is>
          <t>108379</t>
        </is>
      </c>
      <c r="C113" t="inlineStr">
        <is>
          <t>02-TDAG012-0010-M</t>
        </is>
      </c>
      <c r="D113" t="inlineStr">
        <is>
          <t>02-TDAG012-0010</t>
        </is>
      </c>
      <c r="E113" t="inlineStr">
        <is>
          <t>Denver</t>
        </is>
      </c>
      <c r="F113" t="inlineStr">
        <is>
          <t>Playera Denver dama beige botas</t>
        </is>
      </c>
      <c r="G113" t="inlineStr">
        <is>
          <t>M</t>
        </is>
      </c>
      <c r="H113" t="inlineStr">
        <is>
          <t>Beige</t>
        </is>
      </c>
      <c r="I113" t="inlineStr">
        <is>
          <t>Ropa</t>
        </is>
      </c>
      <c r="J113" t="inlineStr">
        <is>
          <t>Playeras</t>
        </is>
      </c>
      <c r="K113" t="inlineStr">
        <is>
          <t>Mujer</t>
        </is>
      </c>
      <c r="L113" t="inlineStr">
        <is>
          <t>PZS</t>
        </is>
      </c>
      <c r="M113" s="186" t="n">
        <v>319</v>
      </c>
      <c r="N113" s="186" t="n">
        <v>559.4827586</v>
      </c>
      <c r="O113" t="n">
        <v>3</v>
      </c>
      <c r="P113" t="n">
        <v>3</v>
      </c>
      <c r="W113" t="n">
        <v>3</v>
      </c>
      <c r="X113">
        <f>O113-W113</f>
        <v/>
      </c>
      <c r="Y113" t="n">
        <v>3</v>
      </c>
      <c r="AB113" s="186">
        <f>IFERROR(O113*M113,0)</f>
        <v/>
      </c>
      <c r="AC113" s="186">
        <f>IFERROR(O113*N113,0)</f>
        <v/>
      </c>
      <c r="AD113" t="inlineStr">
        <is>
          <t>Con existencia</t>
        </is>
      </c>
      <c r="AE113" t="n">
        <v>3</v>
      </c>
    </row>
    <row r="114">
      <c r="A114" t="inlineStr">
        <is>
          <t>7506499570852</t>
        </is>
      </c>
      <c r="B114" t="inlineStr">
        <is>
          <t>108378</t>
        </is>
      </c>
      <c r="C114" t="inlineStr">
        <is>
          <t>02-TDAG012-0010-S</t>
        </is>
      </c>
      <c r="D114" t="inlineStr">
        <is>
          <t>02-TDAG012-0010</t>
        </is>
      </c>
      <c r="E114" t="inlineStr">
        <is>
          <t>Denver</t>
        </is>
      </c>
      <c r="F114" t="inlineStr">
        <is>
          <t>Playera Denver dama beige botas</t>
        </is>
      </c>
      <c r="G114" t="inlineStr">
        <is>
          <t>S</t>
        </is>
      </c>
      <c r="H114" t="inlineStr">
        <is>
          <t>Beige</t>
        </is>
      </c>
      <c r="I114" t="inlineStr">
        <is>
          <t>Ropa</t>
        </is>
      </c>
      <c r="J114" t="inlineStr">
        <is>
          <t>Playeras</t>
        </is>
      </c>
      <c r="K114" t="inlineStr">
        <is>
          <t>Mujer</t>
        </is>
      </c>
      <c r="L114" t="inlineStr">
        <is>
          <t>PZS</t>
        </is>
      </c>
      <c r="M114" s="186" t="n">
        <v>319</v>
      </c>
      <c r="N114" s="186" t="n">
        <v>559.4827586</v>
      </c>
      <c r="O114" t="n">
        <v>2</v>
      </c>
      <c r="P114" t="n">
        <v>2</v>
      </c>
      <c r="W114" t="n">
        <v>3</v>
      </c>
      <c r="X114">
        <f>O114-W114</f>
        <v/>
      </c>
      <c r="Y114" t="n">
        <v>3</v>
      </c>
      <c r="AB114" s="186">
        <f>IFERROR(O114*M114,0)</f>
        <v/>
      </c>
      <c r="AC114" s="186">
        <f>IFERROR(O114*N114,0)</f>
        <v/>
      </c>
      <c r="AD114" t="inlineStr">
        <is>
          <t>Con existencia</t>
        </is>
      </c>
      <c r="AE114" t="n">
        <v>2</v>
      </c>
    </row>
    <row r="115">
      <c r="A115" t="inlineStr">
        <is>
          <t>7506499570855</t>
        </is>
      </c>
      <c r="B115" t="inlineStr">
        <is>
          <t>108381</t>
        </is>
      </c>
      <c r="C115" t="inlineStr">
        <is>
          <t>02-TDAG012-0010-XL</t>
        </is>
      </c>
      <c r="D115" t="inlineStr">
        <is>
          <t>02-TDAG012-0010</t>
        </is>
      </c>
      <c r="E115" t="inlineStr">
        <is>
          <t>Denver</t>
        </is>
      </c>
      <c r="F115" t="inlineStr">
        <is>
          <t>Playera Denver dama beige botas</t>
        </is>
      </c>
      <c r="G115" t="inlineStr">
        <is>
          <t>XL</t>
        </is>
      </c>
      <c r="H115" t="inlineStr">
        <is>
          <t>Beige</t>
        </is>
      </c>
      <c r="I115" t="inlineStr">
        <is>
          <t>Ropa</t>
        </is>
      </c>
      <c r="J115" t="inlineStr">
        <is>
          <t>Playeras</t>
        </is>
      </c>
      <c r="K115" t="inlineStr">
        <is>
          <t>Mujer</t>
        </is>
      </c>
      <c r="L115" t="inlineStr">
        <is>
          <t>PZS</t>
        </is>
      </c>
      <c r="M115" s="186" t="n">
        <v>319</v>
      </c>
      <c r="N115" s="186" t="n">
        <v>559.4827586</v>
      </c>
      <c r="O115" t="n">
        <v>3</v>
      </c>
      <c r="P115" t="n">
        <v>3</v>
      </c>
      <c r="W115" t="n">
        <v>3</v>
      </c>
      <c r="X115">
        <f>O115-W115</f>
        <v/>
      </c>
      <c r="Y115" t="n">
        <v>3</v>
      </c>
      <c r="AB115" s="186">
        <f>IFERROR(O115*M115,0)</f>
        <v/>
      </c>
      <c r="AC115" s="186">
        <f>IFERROR(O115*N115,0)</f>
        <v/>
      </c>
      <c r="AD115" t="inlineStr">
        <is>
          <t>Con existencia</t>
        </is>
      </c>
      <c r="AE115" t="n">
        <v>3</v>
      </c>
    </row>
    <row r="116">
      <c r="A116" t="inlineStr">
        <is>
          <t>7506499570858</t>
        </is>
      </c>
      <c r="B116" t="inlineStr">
        <is>
          <t>108384</t>
        </is>
      </c>
      <c r="C116" t="inlineStr">
        <is>
          <t>02-TDAG012-0012-L</t>
        </is>
      </c>
      <c r="D116" t="inlineStr">
        <is>
          <t>02-TDAG012-0012</t>
        </is>
      </c>
      <c r="E116" t="inlineStr">
        <is>
          <t>Denver</t>
        </is>
      </c>
      <c r="F116" t="inlineStr">
        <is>
          <t>Playera Denver dama beige placa denversito</t>
        </is>
      </c>
      <c r="G116" t="inlineStr">
        <is>
          <t>L</t>
        </is>
      </c>
      <c r="H116" t="inlineStr">
        <is>
          <t>Beige</t>
        </is>
      </c>
      <c r="I116" t="inlineStr">
        <is>
          <t>Ropa</t>
        </is>
      </c>
      <c r="J116" t="inlineStr">
        <is>
          <t>Playeras</t>
        </is>
      </c>
      <c r="K116" t="inlineStr">
        <is>
          <t>Mujer</t>
        </is>
      </c>
      <c r="L116" t="inlineStr">
        <is>
          <t>PZS</t>
        </is>
      </c>
      <c r="M116" s="186" t="n">
        <v>319</v>
      </c>
      <c r="N116" s="186" t="n">
        <v>559.4827586</v>
      </c>
      <c r="O116" t="n">
        <v>-1</v>
      </c>
      <c r="V116" t="inlineStr">
        <is>
          <t>WB OUTLET LERMA (-1)</t>
        </is>
      </c>
      <c r="W116" t="n">
        <v>-1</v>
      </c>
      <c r="X116">
        <f>O116-W116</f>
        <v/>
      </c>
      <c r="AB116" s="186">
        <f>IFERROR(O116*M116,0)</f>
        <v/>
      </c>
      <c r="AC116" s="186">
        <f>IFERROR(O116*N116,0)</f>
        <v/>
      </c>
      <c r="AD116" t="inlineStr">
        <is>
          <t>Existencia negativa</t>
        </is>
      </c>
      <c r="AE116" t="n">
        <v>-1</v>
      </c>
    </row>
    <row r="117">
      <c r="A117" t="inlineStr">
        <is>
          <t>7506499570859</t>
        </is>
      </c>
      <c r="B117" t="inlineStr">
        <is>
          <t>108385</t>
        </is>
      </c>
      <c r="C117" t="inlineStr">
        <is>
          <t>02-TDAG012-0012-XL</t>
        </is>
      </c>
      <c r="D117" t="inlineStr">
        <is>
          <t>02-TDAG012-0012</t>
        </is>
      </c>
      <c r="E117" t="inlineStr">
        <is>
          <t>Denver</t>
        </is>
      </c>
      <c r="F117" t="inlineStr">
        <is>
          <t>Playera Denver dama beige placa denversito</t>
        </is>
      </c>
      <c r="G117" t="inlineStr">
        <is>
          <t>XL</t>
        </is>
      </c>
      <c r="H117" t="inlineStr">
        <is>
          <t>Beige</t>
        </is>
      </c>
      <c r="I117" t="inlineStr">
        <is>
          <t>Ropa</t>
        </is>
      </c>
      <c r="J117" t="inlineStr">
        <is>
          <t>Playeras</t>
        </is>
      </c>
      <c r="K117" t="inlineStr">
        <is>
          <t>Mujer</t>
        </is>
      </c>
      <c r="L117" t="inlineStr">
        <is>
          <t>PZS</t>
        </is>
      </c>
      <c r="M117" s="186" t="n">
        <v>319</v>
      </c>
      <c r="N117" s="186" t="n">
        <v>559.4827586</v>
      </c>
      <c r="O117" t="n">
        <v>1</v>
      </c>
      <c r="P117" t="n">
        <v>1</v>
      </c>
      <c r="W117" t="n">
        <v>1</v>
      </c>
      <c r="X117">
        <f>O117-W117</f>
        <v/>
      </c>
      <c r="Y117" t="n">
        <v>1</v>
      </c>
      <c r="AB117" s="186">
        <f>IFERROR(O117*M117,0)</f>
        <v/>
      </c>
      <c r="AC117" s="186">
        <f>IFERROR(O117*N117,0)</f>
        <v/>
      </c>
      <c r="AD117" t="inlineStr">
        <is>
          <t>Con existencia</t>
        </is>
      </c>
      <c r="AE117" t="n">
        <v>1</v>
      </c>
    </row>
    <row r="118">
      <c r="A118" t="inlineStr">
        <is>
          <t>7506499551816</t>
        </is>
      </c>
      <c r="B118" t="inlineStr">
        <is>
          <t>108469</t>
        </is>
      </c>
      <c r="C118" t="inlineStr">
        <is>
          <t>TSCP-002-M</t>
        </is>
      </c>
      <c r="D118" t="inlineStr">
        <is>
          <t>TSCP-002</t>
        </is>
      </c>
      <c r="E118" t="inlineStr">
        <is>
          <t>Denver</t>
        </is>
      </c>
      <c r="F118" t="inlineStr">
        <is>
          <t>Playera Denver Hombre Gris</t>
        </is>
      </c>
      <c r="G118" t="inlineStr">
        <is>
          <t>M</t>
        </is>
      </c>
      <c r="H118" t="inlineStr">
        <is>
          <t>Gris</t>
        </is>
      </c>
      <c r="I118" t="inlineStr">
        <is>
          <t>Ropa</t>
        </is>
      </c>
      <c r="J118" t="inlineStr">
        <is>
          <t>Playeras</t>
        </is>
      </c>
      <c r="K118" t="inlineStr">
        <is>
          <t>Hombre</t>
        </is>
      </c>
      <c r="L118" t="inlineStr">
        <is>
          <t>PZS</t>
        </is>
      </c>
      <c r="M118" s="186" t="n">
        <v>359</v>
      </c>
      <c r="N118" s="186" t="n">
        <v>775</v>
      </c>
      <c r="O118" t="n">
        <v>3</v>
      </c>
      <c r="P118" t="n">
        <v>3</v>
      </c>
      <c r="W118" t="n">
        <v>3</v>
      </c>
      <c r="X118">
        <f>O118-W118</f>
        <v/>
      </c>
      <c r="Y118" t="n">
        <v>3</v>
      </c>
      <c r="AB118" s="186">
        <f>IFERROR(O118*M118,0)</f>
        <v/>
      </c>
      <c r="AC118" s="186">
        <f>IFERROR(O118*N118,0)</f>
        <v/>
      </c>
      <c r="AD118" t="inlineStr">
        <is>
          <t>Con existencia</t>
        </is>
      </c>
      <c r="AE118" t="n">
        <v>3</v>
      </c>
    </row>
    <row r="119">
      <c r="A119" t="inlineStr">
        <is>
          <t>7506499551809</t>
        </is>
      </c>
      <c r="B119" t="inlineStr">
        <is>
          <t>108468</t>
        </is>
      </c>
      <c r="C119" t="inlineStr">
        <is>
          <t>TSCP-002-S</t>
        </is>
      </c>
      <c r="D119" t="inlineStr">
        <is>
          <t>TSCP-002</t>
        </is>
      </c>
      <c r="E119" t="inlineStr">
        <is>
          <t>Denver</t>
        </is>
      </c>
      <c r="F119" t="inlineStr">
        <is>
          <t>Playera Denver Hombre Gris</t>
        </is>
      </c>
      <c r="G119" t="inlineStr">
        <is>
          <t>S</t>
        </is>
      </c>
      <c r="H119" t="inlineStr">
        <is>
          <t>Gris</t>
        </is>
      </c>
      <c r="I119" t="inlineStr">
        <is>
          <t>Ropa</t>
        </is>
      </c>
      <c r="J119" t="inlineStr">
        <is>
          <t>Playeras</t>
        </is>
      </c>
      <c r="K119" t="inlineStr">
        <is>
          <t>Hombre</t>
        </is>
      </c>
      <c r="L119" t="inlineStr">
        <is>
          <t>PZS</t>
        </is>
      </c>
      <c r="M119" s="186" t="n">
        <v>359</v>
      </c>
      <c r="N119" s="186" t="n">
        <v>775</v>
      </c>
      <c r="O119" t="n">
        <v>3</v>
      </c>
      <c r="P119" t="n">
        <v>3</v>
      </c>
      <c r="W119" t="n">
        <v>3</v>
      </c>
      <c r="X119">
        <f>O119-W119</f>
        <v/>
      </c>
      <c r="Y119" t="n">
        <v>3</v>
      </c>
      <c r="AB119" s="186">
        <f>IFERROR(O119*M119,0)</f>
        <v/>
      </c>
      <c r="AC119" s="186">
        <f>IFERROR(O119*N119,0)</f>
        <v/>
      </c>
      <c r="AD119" t="inlineStr">
        <is>
          <t>Con existencia</t>
        </is>
      </c>
      <c r="AE119" t="n">
        <v>3</v>
      </c>
    </row>
    <row r="120">
      <c r="A120" t="inlineStr">
        <is>
          <t>7506499551830</t>
        </is>
      </c>
      <c r="B120" t="inlineStr">
        <is>
          <t>108471</t>
        </is>
      </c>
      <c r="C120" t="inlineStr">
        <is>
          <t>TSCP-002-XL</t>
        </is>
      </c>
      <c r="D120" t="inlineStr">
        <is>
          <t>TSCP-002</t>
        </is>
      </c>
      <c r="E120" t="inlineStr">
        <is>
          <t>Denver</t>
        </is>
      </c>
      <c r="F120" t="inlineStr">
        <is>
          <t>Playera Denver Hombre Gris</t>
        </is>
      </c>
      <c r="G120" t="inlineStr">
        <is>
          <t>XL</t>
        </is>
      </c>
      <c r="H120" t="inlineStr">
        <is>
          <t>Gris</t>
        </is>
      </c>
      <c r="I120" t="inlineStr">
        <is>
          <t>Ropa</t>
        </is>
      </c>
      <c r="J120" t="inlineStr">
        <is>
          <t>Playeras</t>
        </is>
      </c>
      <c r="K120" t="inlineStr">
        <is>
          <t>Hombre</t>
        </is>
      </c>
      <c r="L120" t="inlineStr">
        <is>
          <t>PZS</t>
        </is>
      </c>
      <c r="M120" s="186" t="n">
        <v>359</v>
      </c>
      <c r="N120" s="186" t="n">
        <v>775</v>
      </c>
      <c r="O120" t="n">
        <v>1</v>
      </c>
      <c r="P120" t="n">
        <v>1</v>
      </c>
      <c r="W120" t="n">
        <v>1</v>
      </c>
      <c r="X120">
        <f>O120-W120</f>
        <v/>
      </c>
      <c r="Y120" t="n">
        <v>1</v>
      </c>
      <c r="AB120" s="186">
        <f>IFERROR(O120*M120,0)</f>
        <v/>
      </c>
      <c r="AC120" s="186">
        <f>IFERROR(O120*N120,0)</f>
        <v/>
      </c>
      <c r="AD120" t="inlineStr">
        <is>
          <t>Con existencia</t>
        </is>
      </c>
      <c r="AE120" t="n">
        <v>1</v>
      </c>
    </row>
    <row r="121">
      <c r="A121" t="inlineStr">
        <is>
          <t>7506499552011</t>
        </is>
      </c>
      <c r="B121" t="inlineStr">
        <is>
          <t>108473</t>
        </is>
      </c>
      <c r="C121" t="inlineStr">
        <is>
          <t>TSCP-006-M</t>
        </is>
      </c>
      <c r="D121" t="inlineStr">
        <is>
          <t>TSCP-006</t>
        </is>
      </c>
      <c r="E121" t="inlineStr">
        <is>
          <t>Denver</t>
        </is>
      </c>
      <c r="F121" t="inlineStr">
        <is>
          <t>Playera Denver Hombre Beige</t>
        </is>
      </c>
      <c r="G121" t="inlineStr">
        <is>
          <t>M</t>
        </is>
      </c>
      <c r="H121" t="inlineStr">
        <is>
          <t>Beige</t>
        </is>
      </c>
      <c r="I121" t="inlineStr">
        <is>
          <t>Ropa</t>
        </is>
      </c>
      <c r="J121" t="inlineStr">
        <is>
          <t>Playeras</t>
        </is>
      </c>
      <c r="K121" t="inlineStr">
        <is>
          <t>Hombre</t>
        </is>
      </c>
      <c r="L121" t="inlineStr">
        <is>
          <t>PZS</t>
        </is>
      </c>
      <c r="M121" s="186" t="n">
        <v>359</v>
      </c>
      <c r="N121" s="186" t="n">
        <v>775</v>
      </c>
      <c r="O121" t="n">
        <v>2</v>
      </c>
      <c r="P121" t="n">
        <v>2</v>
      </c>
      <c r="W121" t="n">
        <v>2</v>
      </c>
      <c r="X121">
        <f>O121-W121</f>
        <v/>
      </c>
      <c r="Y121" t="n">
        <v>2</v>
      </c>
      <c r="AB121" s="186">
        <f>IFERROR(O121*M121,0)</f>
        <v/>
      </c>
      <c r="AC121" s="186">
        <f>IFERROR(O121*N121,0)</f>
        <v/>
      </c>
      <c r="AD121" t="inlineStr">
        <is>
          <t>Con existencia</t>
        </is>
      </c>
      <c r="AE121" t="n">
        <v>2</v>
      </c>
    </row>
    <row r="122">
      <c r="A122" t="inlineStr">
        <is>
          <t>7506499552004</t>
        </is>
      </c>
      <c r="B122" t="inlineStr">
        <is>
          <t>108472</t>
        </is>
      </c>
      <c r="C122" t="inlineStr">
        <is>
          <t>TSCP-006-S</t>
        </is>
      </c>
      <c r="D122" t="inlineStr">
        <is>
          <t>TSCP-006</t>
        </is>
      </c>
      <c r="E122" t="inlineStr">
        <is>
          <t>Denver</t>
        </is>
      </c>
      <c r="F122" t="inlineStr">
        <is>
          <t>Playera Denver Hombre Beige</t>
        </is>
      </c>
      <c r="G122" t="inlineStr">
        <is>
          <t>S</t>
        </is>
      </c>
      <c r="H122" t="inlineStr">
        <is>
          <t>Beige</t>
        </is>
      </c>
      <c r="I122" t="inlineStr">
        <is>
          <t>Ropa</t>
        </is>
      </c>
      <c r="J122" t="inlineStr">
        <is>
          <t>Playeras</t>
        </is>
      </c>
      <c r="K122" t="inlineStr">
        <is>
          <t>Hombre</t>
        </is>
      </c>
      <c r="L122" t="inlineStr">
        <is>
          <t>PZS</t>
        </is>
      </c>
      <c r="M122" s="186" t="n">
        <v>359</v>
      </c>
      <c r="N122" s="186" t="n">
        <v>775</v>
      </c>
      <c r="O122" t="n">
        <v>4</v>
      </c>
      <c r="P122" t="n">
        <v>4</v>
      </c>
      <c r="W122" t="n">
        <v>4</v>
      </c>
      <c r="X122">
        <f>O122-W122</f>
        <v/>
      </c>
      <c r="Y122" t="n">
        <v>4</v>
      </c>
      <c r="AB122" s="186">
        <f>IFERROR(O122*M122,0)</f>
        <v/>
      </c>
      <c r="AC122" s="186">
        <f>IFERROR(O122*N122,0)</f>
        <v/>
      </c>
      <c r="AD122" t="inlineStr">
        <is>
          <t>Con existencia</t>
        </is>
      </c>
      <c r="AE122" t="n">
        <v>4</v>
      </c>
    </row>
    <row r="123">
      <c r="A123" t="inlineStr">
        <is>
          <t>7506499535496</t>
        </is>
      </c>
      <c r="B123" t="inlineStr">
        <is>
          <t>108449</t>
        </is>
      </c>
      <c r="C123" t="inlineStr">
        <is>
          <t>HDC001-TB1-XL</t>
        </is>
      </c>
      <c r="D123" t="inlineStr">
        <is>
          <t>HDC001-TB1</t>
        </is>
      </c>
      <c r="E123" t="inlineStr">
        <is>
          <t>Denver</t>
        </is>
      </c>
      <c r="F123" t="inlineStr">
        <is>
          <t>Sudadera Denver felpa negra</t>
        </is>
      </c>
      <c r="G123" t="inlineStr">
        <is>
          <t>XL</t>
        </is>
      </c>
      <c r="H123" t="inlineStr">
        <is>
          <t>Negro</t>
        </is>
      </c>
      <c r="I123" t="inlineStr">
        <is>
          <t>Ropa</t>
        </is>
      </c>
      <c r="J123" t="inlineStr">
        <is>
          <t>Sudaderas</t>
        </is>
      </c>
      <c r="K123" t="inlineStr">
        <is>
          <t>Hombre</t>
        </is>
      </c>
      <c r="L123" t="inlineStr">
        <is>
          <t>PZS</t>
        </is>
      </c>
      <c r="M123" s="186" t="n">
        <v>595</v>
      </c>
      <c r="N123" s="186" t="n">
        <v>1206.034483</v>
      </c>
      <c r="O123" t="n">
        <v>1</v>
      </c>
      <c r="P123" t="n">
        <v>1</v>
      </c>
      <c r="W123" t="n">
        <v>1</v>
      </c>
      <c r="X123">
        <f>O123-W123</f>
        <v/>
      </c>
      <c r="Y123" t="n">
        <v>1</v>
      </c>
      <c r="AB123" s="186">
        <f>IFERROR(O123*M123,0)</f>
        <v/>
      </c>
      <c r="AC123" s="186">
        <f>IFERROR(O123*N123,0)</f>
        <v/>
      </c>
      <c r="AD123" t="inlineStr">
        <is>
          <t>Con existencia</t>
        </is>
      </c>
      <c r="AE123" t="n">
        <v>1</v>
      </c>
    </row>
    <row r="124">
      <c r="A124" t="inlineStr">
        <is>
          <t>7506499535533</t>
        </is>
      </c>
      <c r="B124" t="inlineStr">
        <is>
          <t>108452</t>
        </is>
      </c>
      <c r="C124" t="inlineStr">
        <is>
          <t>HDC002-SB22-L</t>
        </is>
      </c>
      <c r="D124" t="inlineStr">
        <is>
          <t>HDC002-SB22</t>
        </is>
      </c>
      <c r="E124" t="inlineStr">
        <is>
          <t>Denver</t>
        </is>
      </c>
      <c r="F124" t="inlineStr">
        <is>
          <t>Sudadera Denver felpa gris oscuro</t>
        </is>
      </c>
      <c r="G124" t="inlineStr">
        <is>
          <t>L</t>
        </is>
      </c>
      <c r="H124" t="inlineStr">
        <is>
          <t>Gris</t>
        </is>
      </c>
      <c r="I124" t="inlineStr">
        <is>
          <t>Ropa</t>
        </is>
      </c>
      <c r="J124" t="inlineStr">
        <is>
          <t>Sudaderas</t>
        </is>
      </c>
      <c r="K124" t="inlineStr">
        <is>
          <t>Hombre</t>
        </is>
      </c>
      <c r="L124" t="inlineStr">
        <is>
          <t>PZS</t>
        </is>
      </c>
      <c r="M124" s="186" t="n">
        <v>595</v>
      </c>
      <c r="N124" s="186" t="n">
        <v>1206.034483</v>
      </c>
      <c r="O124" t="n">
        <v>2</v>
      </c>
      <c r="P124" t="n">
        <v>2</v>
      </c>
      <c r="W124" t="n">
        <v>2</v>
      </c>
      <c r="X124">
        <f>O124-W124</f>
        <v/>
      </c>
      <c r="Y124" t="n">
        <v>2</v>
      </c>
      <c r="AB124" s="186">
        <f>IFERROR(O124*M124,0)</f>
        <v/>
      </c>
      <c r="AC124" s="186">
        <f>IFERROR(O124*N124,0)</f>
        <v/>
      </c>
      <c r="AD124" t="inlineStr">
        <is>
          <t>Con existencia</t>
        </is>
      </c>
      <c r="AE124" t="n">
        <v>2</v>
      </c>
    </row>
    <row r="125">
      <c r="A125" t="inlineStr">
        <is>
          <t>7506499535519</t>
        </is>
      </c>
      <c r="B125" t="inlineStr">
        <is>
          <t>108450</t>
        </is>
      </c>
      <c r="C125" t="inlineStr">
        <is>
          <t>HDC002-SB22-S</t>
        </is>
      </c>
      <c r="D125" t="inlineStr">
        <is>
          <t>HDC002-SB22</t>
        </is>
      </c>
      <c r="E125" t="inlineStr">
        <is>
          <t>Denver</t>
        </is>
      </c>
      <c r="F125" t="inlineStr">
        <is>
          <t>Sudadera Denver felpa gris oscuro</t>
        </is>
      </c>
      <c r="G125" t="inlineStr">
        <is>
          <t>S</t>
        </is>
      </c>
      <c r="H125" t="inlineStr">
        <is>
          <t>Gris</t>
        </is>
      </c>
      <c r="I125" t="inlineStr">
        <is>
          <t>Ropa</t>
        </is>
      </c>
      <c r="J125" t="inlineStr">
        <is>
          <t>Sudaderas</t>
        </is>
      </c>
      <c r="K125" t="inlineStr">
        <is>
          <t>Hombre</t>
        </is>
      </c>
      <c r="L125" t="inlineStr">
        <is>
          <t>PZS</t>
        </is>
      </c>
      <c r="M125" s="186" t="n">
        <v>595</v>
      </c>
      <c r="N125" s="186" t="n">
        <v>1206.034483</v>
      </c>
      <c r="O125" t="n">
        <v>1</v>
      </c>
      <c r="P125" t="n">
        <v>1</v>
      </c>
      <c r="W125" t="n">
        <v>1</v>
      </c>
      <c r="X125">
        <f>O125-W125</f>
        <v/>
      </c>
      <c r="Y125" t="n">
        <v>1</v>
      </c>
      <c r="AB125" s="186">
        <f>IFERROR(O125*M125,0)</f>
        <v/>
      </c>
      <c r="AC125" s="186">
        <f>IFERROR(O125*N125,0)</f>
        <v/>
      </c>
      <c r="AD125" t="inlineStr">
        <is>
          <t>Con existencia</t>
        </is>
      </c>
      <c r="AE125" t="n">
        <v>1</v>
      </c>
    </row>
  </sheetData>
  <autoFilter ref="A1:AE1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42" customWidth="1" style="176" min="1" max="1"/>
    <col width="18" customWidth="1" style="176" min="2" max="2"/>
    <col width="30" customWidth="1" style="176" min="3" max="3"/>
    <col width="18" customWidth="1" style="176" min="4" max="4"/>
    <col width="18" customWidth="1" style="176" min="5" max="5"/>
    <col width="18" customWidth="1" style="176" min="6" max="6"/>
    <col width="18" customWidth="1" style="176" min="7" max="7"/>
    <col width="18" customWidth="1" style="176" min="8" max="8"/>
    <col width="18" customWidth="1" style="176" min="9" max="9"/>
    <col width="18" customWidth="1" style="176" min="10" max="10"/>
    <col width="18" customWidth="1" style="176" min="11" max="11"/>
  </cols>
  <sheetData>
    <row r="1">
      <c r="A1" s="187" t="inlineStr">
        <is>
          <t>Indicadores de inventario · Denver</t>
        </is>
      </c>
    </row>
    <row r="2">
      <c r="A2" t="inlineStr">
        <is>
          <t>NetSuite al 06/10/2026 · corte anterior NetSuite 28/09/2026 · Shopify Ariat 05/10/2026 · Shopify Stetson, Western Brothers y Odoo 01/10/2026</t>
        </is>
      </c>
    </row>
    <row r="4">
      <c r="A4" s="188" t="inlineStr">
        <is>
          <t>Existencia actual (NetSuite)</t>
        </is>
      </c>
      <c r="B4" s="189" t="n"/>
      <c r="C4" s="189" t="n"/>
      <c r="D4" s="189" t="n"/>
    </row>
    <row r="5">
      <c r="A5" s="190" t="inlineStr">
        <is>
          <t>Indicador</t>
        </is>
      </c>
      <c r="B5" s="190" t="inlineStr">
        <is>
          <t>Valor</t>
        </is>
      </c>
      <c r="C5" s="190" t="inlineStr">
        <is>
          <t>Nota</t>
        </is>
      </c>
    </row>
    <row r="6">
      <c r="A6" t="inlineStr">
        <is>
          <t>Artículos con existencia</t>
        </is>
      </c>
      <c r="B6" s="191">
        <f>COUNTIF(Inventario!$O$2:$O$125,"&gt;0")</f>
        <v/>
      </c>
      <c r="C6" t="inlineStr"/>
    </row>
    <row r="7">
      <c r="A7" t="inlineStr">
        <is>
          <t>Unidades en mano</t>
        </is>
      </c>
      <c r="B7" s="191">
        <f>SUM(Inventario!$O$2:$O$125)</f>
        <v/>
      </c>
      <c r="C7" t="inlineStr">
        <is>
          <t>Existencia del sistema</t>
        </is>
      </c>
    </row>
    <row r="8">
      <c r="A8" t="inlineStr">
        <is>
          <t>Unidades disponibles</t>
        </is>
      </c>
      <c r="B8" s="191">
        <f>SUM(Inventario!$P$2:$P$125)</f>
        <v/>
      </c>
      <c r="C8" t="inlineStr"/>
    </row>
    <row r="9">
      <c r="A9" t="inlineStr">
        <is>
          <t>Unidades comprometidas</t>
        </is>
      </c>
      <c r="B9" s="191">
        <f>SUM(Inventario!$Q$2:$Q$125)</f>
        <v/>
      </c>
      <c r="C9" t="inlineStr">
        <is>
          <t>Pedidos por surtir</t>
        </is>
      </c>
    </row>
    <row r="10">
      <c r="A10" t="inlineStr">
        <is>
          <t>Unidades en tránsito</t>
        </is>
      </c>
      <c r="B10" s="191">
        <f>SUM(Inventario!$S$2:$S$125)</f>
        <v/>
      </c>
      <c r="C10" t="inlineStr"/>
    </row>
    <row r="11">
      <c r="A11" t="inlineStr">
        <is>
          <t>Unidades en pedido</t>
        </is>
      </c>
      <c r="B11" s="191" t="n">
        <v>0</v>
      </c>
      <c r="C11" t="inlineStr">
        <is>
          <t>Órdenes de compra abiertas de 0 artículos; 0 de ellos aún no tienen existencia y no aparecen en la hoja Inventario</t>
        </is>
      </c>
    </row>
    <row r="12">
      <c r="A12" t="inlineStr">
        <is>
          <t>Unidades pendientes por surtir</t>
        </is>
      </c>
      <c r="B12" s="191">
        <f>SUM(Inventario!$T$2:$T$125)</f>
        <v/>
      </c>
      <c r="C12" t="inlineStr"/>
    </row>
    <row r="13">
      <c r="A13" t="inlineStr">
        <is>
          <t>Unidades en ubicaciones inactivas</t>
        </is>
      </c>
      <c r="B13" s="191">
        <f>SUM(Inventario!$U$2:$U$125)</f>
        <v/>
      </c>
      <c r="C13" t="inlineStr">
        <is>
          <t>Ubicaciones dadas de baja en NetSuite que aún tienen existencia</t>
        </is>
      </c>
    </row>
    <row r="14">
      <c r="A14" t="inlineStr">
        <is>
          <t>Artículos con existencia negativa</t>
        </is>
      </c>
      <c r="B14" s="191">
        <f>COUNTIF(Inventario!$O$2:$O$125,"&lt;0")</f>
        <v/>
      </c>
      <c r="C14" t="inlineStr">
        <is>
          <t>Revisar en conteo</t>
        </is>
      </c>
    </row>
    <row r="15">
      <c r="A15" t="inlineStr">
        <is>
          <t>Unidades en negativo</t>
        </is>
      </c>
      <c r="B15" s="191">
        <f>SUMIF(Inventario!$O$2:$O$125,"&lt;0")</f>
        <v/>
      </c>
      <c r="C15" t="inlineStr"/>
    </row>
    <row r="16">
      <c r="A16" t="inlineStr">
        <is>
          <t>Valor en mano a costo</t>
        </is>
      </c>
      <c r="B16" s="186">
        <f>SUM(Inventario!$AB$2:$AB$125)</f>
        <v/>
      </c>
      <c r="C16" t="inlineStr">
        <is>
          <t>Precio de compra de NetSuite; hay costos que parecen estar en dólares (ver Notas)</t>
        </is>
      </c>
    </row>
    <row r="17">
      <c r="A17" t="inlineStr">
        <is>
          <t>Valor en mano a precio de venta</t>
        </is>
      </c>
      <c r="B17" s="186">
        <f>SUM(Inventario!$AC$2:$AC$125)</f>
        <v/>
      </c>
      <c r="C17" t="inlineStr">
        <is>
          <t>Precio de venta sin IVA</t>
        </is>
      </c>
    </row>
    <row r="19">
      <c r="A19" s="188" t="inlineStr">
        <is>
          <t>Movimiento neto 28/09/2026 → 06/10/2026</t>
        </is>
      </c>
      <c r="B19" s="189" t="n"/>
      <c r="C19" s="189" t="n"/>
      <c r="D19" s="189" t="n"/>
    </row>
    <row r="20">
      <c r="A20" s="190" t="inlineStr">
        <is>
          <t>Indicador</t>
        </is>
      </c>
      <c r="B20" s="190" t="inlineStr">
        <is>
          <t>Valor</t>
        </is>
      </c>
      <c r="C20" s="190" t="inlineStr">
        <is>
          <t>Nota</t>
        </is>
      </c>
    </row>
    <row r="21">
      <c r="A21" t="inlineStr">
        <is>
          <t>Unidades en mano al 28/09/2026</t>
        </is>
      </c>
      <c r="B21" s="191">
        <f>SUM(Inventario!$W$2:$W$125)</f>
        <v/>
      </c>
      <c r="C21" t="inlineStr"/>
    </row>
    <row r="22">
      <c r="A22" t="inlineStr">
        <is>
          <t>Variación neta de unidades</t>
        </is>
      </c>
      <c r="B22" s="191">
        <f>SUM(Inventario!$X$2:$X$125)</f>
        <v/>
      </c>
      <c r="C22" t="inlineStr">
        <is>
          <t>En mano actual − en mano anterior</t>
        </is>
      </c>
    </row>
    <row r="23">
      <c r="A23" t="inlineStr">
        <is>
          <t>Unidades que salieron (neto)</t>
        </is>
      </c>
      <c r="B23" s="191">
        <f>SUMIF(Inventario!$X$2:$X$125,"&lt;0")</f>
        <v/>
      </c>
      <c r="C23" t="inlineStr">
        <is>
          <t>Ventas, traspasos o ajustes</t>
        </is>
      </c>
    </row>
    <row r="24">
      <c r="A24" t="inlineStr">
        <is>
          <t>Unidades que entraron (neto)</t>
        </is>
      </c>
      <c r="B24" s="191">
        <f>SUMIF(Inventario!$X$2:$X$125,"&gt;0")</f>
        <v/>
      </c>
      <c r="C24" t="inlineStr">
        <is>
          <t>Recepciones, traspasos o ajustes</t>
        </is>
      </c>
    </row>
    <row r="25">
      <c r="A25" t="inlineStr">
        <is>
          <t>Artículos que bajaron</t>
        </is>
      </c>
      <c r="B25" s="191">
        <f>COUNTIF(Inventario!$X$2:$X$125,"&lt;0")</f>
        <v/>
      </c>
      <c r="C25" t="inlineStr"/>
    </row>
    <row r="26">
      <c r="A26" t="inlineStr">
        <is>
          <t>Artículos que subieron</t>
        </is>
      </c>
      <c r="B26" s="191">
        <f>COUNTIF(Inventario!$X$2:$X$125,"&gt;0")</f>
        <v/>
      </c>
      <c r="C26" t="inlineStr"/>
    </row>
    <row r="27">
      <c r="A27" t="inlineStr">
        <is>
          <t>Artículos que se agotaron</t>
        </is>
      </c>
      <c r="B27" s="191">
        <f>COUNTIFS(Inventario!$O$2:$O$125,0,Inventario!$W$2:$W$125,"&gt;0")</f>
        <v/>
      </c>
      <c r="C27" t="inlineStr"/>
    </row>
    <row r="29">
      <c r="A29" s="188" t="inlineStr">
        <is>
          <t>Existencia en plataformas</t>
        </is>
      </c>
      <c r="B29" s="189" t="n"/>
      <c r="C29" s="189" t="n"/>
      <c r="D29" s="189" t="n"/>
    </row>
    <row r="30">
      <c r="A30" s="190" t="inlineStr">
        <is>
          <t>Plataforma</t>
        </is>
      </c>
      <c r="B30" s="190" t="inlineStr">
        <is>
          <t>Unidades</t>
        </is>
      </c>
      <c r="C30" s="190" t="inlineStr">
        <is>
          <t>Artículos con existencia</t>
        </is>
      </c>
      <c r="D30" s="190" t="inlineStr">
        <is>
          <t>Corte</t>
        </is>
      </c>
    </row>
    <row r="31">
      <c r="A31" t="inlineStr">
        <is>
          <t>Shopify Western Brothers</t>
        </is>
      </c>
      <c r="B31" s="191">
        <f>SUM(Inventario!$Y$2:$Y$125)</f>
        <v/>
      </c>
      <c r="C31" s="191">
        <f>COUNTIF(Inventario!$Y$2:$Y$125,"&gt;0")</f>
        <v/>
      </c>
      <c r="D31" t="inlineStr">
        <is>
          <t>01/10/2026</t>
        </is>
      </c>
    </row>
    <row r="33">
      <c r="A33" s="188" t="inlineStr">
        <is>
          <t>Conteo cíclico</t>
        </is>
      </c>
      <c r="B33" s="189" t="n"/>
      <c r="C33" s="189" t="n"/>
      <c r="D33" s="189" t="n"/>
    </row>
    <row r="34">
      <c r="A34" s="190" t="inlineStr">
        <is>
          <t>Indicador</t>
        </is>
      </c>
      <c r="B34" s="190" t="inlineStr">
        <is>
          <t>Valor</t>
        </is>
      </c>
    </row>
    <row r="35">
      <c r="A35" t="inlineStr">
        <is>
          <t>Piezas contadas en rack (Escaneos)</t>
        </is>
      </c>
      <c r="B35" s="191">
        <f>SUM(Inventario!$Z$2:$Z$125)</f>
        <v/>
      </c>
    </row>
    <row r="36">
      <c r="A36" t="inlineStr">
        <is>
          <t>Artículos contados</t>
        </is>
      </c>
      <c r="B36" s="191">
        <f>COUNTIF(Inventario!$Z$2:$Z$125,"&gt;0")</f>
        <v/>
      </c>
    </row>
    <row r="38">
      <c r="A38" s="188" t="inlineStr">
        <is>
          <t>Por ubicación NetSuite</t>
        </is>
      </c>
      <c r="B38" s="189" t="n"/>
      <c r="C38" s="189" t="n"/>
      <c r="D38" s="189" t="n"/>
      <c r="E38" s="189" t="n"/>
      <c r="F38" s="189" t="n"/>
      <c r="G38" s="189" t="n"/>
      <c r="H38" s="189" t="n"/>
      <c r="I38" s="189" t="n"/>
      <c r="J38" s="189" t="n"/>
      <c r="K38" s="189" t="n"/>
    </row>
    <row r="39">
      <c r="A39" s="190" t="inlineStr">
        <is>
          <t>Ubicación</t>
        </is>
      </c>
      <c r="B39" s="190" t="inlineStr">
        <is>
          <t>Bodega / tipo</t>
        </is>
      </c>
      <c r="C39" s="190" t="inlineStr">
        <is>
          <t>Activa</t>
        </is>
      </c>
      <c r="D39" s="190" t="inlineStr">
        <is>
          <t>En mano</t>
        </is>
      </c>
      <c r="E39" s="190" t="inlineStr">
        <is>
          <t>% del total</t>
        </is>
      </c>
      <c r="F39" s="190" t="inlineStr">
        <is>
          <t>Artículos con existencia</t>
        </is>
      </c>
      <c r="G39" s="190" t="inlineStr">
        <is>
          <t>Artículos en negativo</t>
        </is>
      </c>
      <c r="H39" s="190" t="inlineStr">
        <is>
          <t>En mano 28/09/2026</t>
        </is>
      </c>
      <c r="I39" s="190" t="inlineStr">
        <is>
          <t>Entradas netas</t>
        </is>
      </c>
      <c r="J39" s="190" t="inlineStr">
        <is>
          <t>Salidas netas</t>
        </is>
      </c>
      <c r="K39" s="190" t="inlineStr">
        <is>
          <t>Variación</t>
        </is>
      </c>
    </row>
    <row r="40">
      <c r="A40" t="inlineStr">
        <is>
          <t>WB OUTLET LERMA</t>
        </is>
      </c>
      <c r="B40" t="inlineStr">
        <is>
          <t>Tienda</t>
        </is>
      </c>
      <c r="C40" t="inlineStr">
        <is>
          <t>Sí</t>
        </is>
      </c>
      <c r="D40" s="191">
        <f>SUM(Inventario!$AE$2:$AE$125)</f>
        <v/>
      </c>
      <c r="E40" s="193">
        <f>IFERROR(D40/SUM($D$40:$D$40),0)</f>
        <v/>
      </c>
      <c r="F40" s="191">
        <f>COUNTIF(Inventario!$AE$2:$AE$125,"&gt;0")</f>
        <v/>
      </c>
      <c r="G40" s="191">
        <f>COUNTIF(Inventario!$AE$2:$AE$125,"&lt;0")</f>
        <v/>
      </c>
      <c r="H40" s="191" t="n">
        <v>299</v>
      </c>
      <c r="I40" s="191" t="n">
        <v>3</v>
      </c>
      <c r="J40" s="191" t="n">
        <v>-11</v>
      </c>
      <c r="K40" s="191">
        <f>D40-H40</f>
        <v/>
      </c>
    </row>
    <row r="42">
      <c r="A42" s="188" t="inlineStr">
        <is>
          <t>Por división</t>
        </is>
      </c>
      <c r="B42" s="189" t="n"/>
      <c r="C42" s="189" t="n"/>
      <c r="D42" s="189" t="n"/>
      <c r="E42" s="189" t="n"/>
      <c r="F42" s="189" t="n"/>
    </row>
    <row r="43">
      <c r="A43" s="190" t="inlineStr">
        <is>
          <t>División</t>
        </is>
      </c>
      <c r="B43" s="190" t="inlineStr">
        <is>
          <t>En mano</t>
        </is>
      </c>
      <c r="C43" s="190" t="inlineStr">
        <is>
          <t>Artículos con existencia</t>
        </is>
      </c>
      <c r="D43" s="190" t="inlineStr">
        <is>
          <t>Valor a costo</t>
        </is>
      </c>
      <c r="E43" s="190" t="inlineStr">
        <is>
          <t>Valor a precio de venta</t>
        </is>
      </c>
      <c r="F43" s="190" t="inlineStr">
        <is>
          <t>Variación neta</t>
        </is>
      </c>
    </row>
    <row r="44">
      <c r="A44" t="inlineStr">
        <is>
          <t>Accesorios</t>
        </is>
      </c>
      <c r="B44" s="191">
        <f>SUMIFS(Inventario!$O$2:$O$125,Inventario!$I$2:$I$125,"Accesorios")</f>
        <v/>
      </c>
      <c r="C44" s="191">
        <f>COUNTIFS(Inventario!$I$2:$I$125,"Accesorios",Inventario!$O$2:$O$125,"&gt;0")</f>
        <v/>
      </c>
      <c r="D44" s="186">
        <f>SUMIFS(Inventario!$AB$2:$AB$125,Inventario!$I$2:$I$125,"Accesorios")</f>
        <v/>
      </c>
      <c r="E44" s="186">
        <f>SUMIFS(Inventario!$AC$2:$AC$125,Inventario!$I$2:$I$125,"Accesorios")</f>
        <v/>
      </c>
      <c r="F44" s="191">
        <f>SUMIFS(Inventario!$X$2:$X$125,Inventario!$I$2:$I$125,"Accesorios")</f>
        <v/>
      </c>
    </row>
    <row r="45">
      <c r="A45" t="inlineStr">
        <is>
          <t>Denim</t>
        </is>
      </c>
      <c r="B45" s="191">
        <f>SUMIFS(Inventario!$O$2:$O$125,Inventario!$I$2:$I$125,"Denim")</f>
        <v/>
      </c>
      <c r="C45" s="191">
        <f>COUNTIFS(Inventario!$I$2:$I$125,"Denim",Inventario!$O$2:$O$125,"&gt;0")</f>
        <v/>
      </c>
      <c r="D45" s="186">
        <f>SUMIFS(Inventario!$AB$2:$AB$125,Inventario!$I$2:$I$125,"Denim")</f>
        <v/>
      </c>
      <c r="E45" s="186">
        <f>SUMIFS(Inventario!$AC$2:$AC$125,Inventario!$I$2:$I$125,"Denim")</f>
        <v/>
      </c>
      <c r="F45" s="191">
        <f>SUMIFS(Inventario!$X$2:$X$125,Inventario!$I$2:$I$125,"Denim")</f>
        <v/>
      </c>
    </row>
    <row r="46">
      <c r="A46" t="inlineStr">
        <is>
          <t>Ropa</t>
        </is>
      </c>
      <c r="B46" s="191">
        <f>SUMIFS(Inventario!$O$2:$O$125,Inventario!$I$2:$I$125,"Ropa")</f>
        <v/>
      </c>
      <c r="C46" s="191">
        <f>COUNTIFS(Inventario!$I$2:$I$125,"Ropa",Inventario!$O$2:$O$125,"&gt;0")</f>
        <v/>
      </c>
      <c r="D46" s="186">
        <f>SUMIFS(Inventario!$AB$2:$AB$125,Inventario!$I$2:$I$125,"Ropa")</f>
        <v/>
      </c>
      <c r="E46" s="186">
        <f>SUMIFS(Inventario!$AC$2:$AC$125,Inventario!$I$2:$I$125,"Ropa")</f>
        <v/>
      </c>
      <c r="F46" s="191">
        <f>SUMIFS(Inventario!$X$2:$X$125,Inventario!$I$2:$I$125,"Ropa")</f>
        <v/>
      </c>
    </row>
    <row r="48">
      <c r="A48" s="188" t="inlineStr">
        <is>
          <t>Por categoría</t>
        </is>
      </c>
      <c r="B48" s="189" t="n"/>
      <c r="C48" s="189" t="n"/>
      <c r="D48" s="189" t="n"/>
      <c r="E48" s="189" t="n"/>
      <c r="F48" s="189" t="n"/>
    </row>
    <row r="49">
      <c r="A49" s="190" t="inlineStr">
        <is>
          <t>Categoría</t>
        </is>
      </c>
      <c r="B49" s="190" t="inlineStr">
        <is>
          <t>En mano</t>
        </is>
      </c>
      <c r="C49" s="190" t="inlineStr">
        <is>
          <t>Artículos con existencia</t>
        </is>
      </c>
      <c r="D49" s="190" t="inlineStr">
        <is>
          <t>Valor a costo</t>
        </is>
      </c>
      <c r="E49" s="190" t="inlineStr">
        <is>
          <t>Valor a precio de venta</t>
        </is>
      </c>
      <c r="F49" s="190" t="inlineStr">
        <is>
          <t>Variación neta</t>
        </is>
      </c>
    </row>
    <row r="50">
      <c r="A50" t="inlineStr">
        <is>
          <t>Camisas</t>
        </is>
      </c>
      <c r="B50" s="191">
        <f>SUMIFS(Inventario!$O$2:$O$125,Inventario!$J$2:$J$125,"Camisas")</f>
        <v/>
      </c>
      <c r="C50" s="191">
        <f>COUNTIFS(Inventario!$J$2:$J$125,"Camisas",Inventario!$O$2:$O$125,"&gt;0")</f>
        <v/>
      </c>
      <c r="D50" s="186">
        <f>SUMIFS(Inventario!$AB$2:$AB$125,Inventario!$J$2:$J$125,"Camisas")</f>
        <v/>
      </c>
      <c r="E50" s="186">
        <f>SUMIFS(Inventario!$AC$2:$AC$125,Inventario!$J$2:$J$125,"Camisas")</f>
        <v/>
      </c>
      <c r="F50" s="191">
        <f>SUMIFS(Inventario!$X$2:$X$125,Inventario!$J$2:$J$125,"Camisas")</f>
        <v/>
      </c>
    </row>
    <row r="51">
      <c r="A51" t="inlineStr">
        <is>
          <t>Chalecos</t>
        </is>
      </c>
      <c r="B51" s="191">
        <f>SUMIFS(Inventario!$O$2:$O$125,Inventario!$J$2:$J$125,"Chalecos")</f>
        <v/>
      </c>
      <c r="C51" s="191">
        <f>COUNTIFS(Inventario!$J$2:$J$125,"Chalecos",Inventario!$O$2:$O$125,"&gt;0")</f>
        <v/>
      </c>
      <c r="D51" s="186">
        <f>SUMIFS(Inventario!$AB$2:$AB$125,Inventario!$J$2:$J$125,"Chalecos")</f>
        <v/>
      </c>
      <c r="E51" s="186">
        <f>SUMIFS(Inventario!$AC$2:$AC$125,Inventario!$J$2:$J$125,"Chalecos")</f>
        <v/>
      </c>
      <c r="F51" s="191">
        <f>SUMIFS(Inventario!$X$2:$X$125,Inventario!$J$2:$J$125,"Chalecos")</f>
        <v/>
      </c>
    </row>
    <row r="52">
      <c r="A52" t="inlineStr">
        <is>
          <t>Chamarras</t>
        </is>
      </c>
      <c r="B52" s="191">
        <f>SUMIFS(Inventario!$O$2:$O$125,Inventario!$J$2:$J$125,"Chamarras")</f>
        <v/>
      </c>
      <c r="C52" s="191">
        <f>COUNTIFS(Inventario!$J$2:$J$125,"Chamarras",Inventario!$O$2:$O$125,"&gt;0")</f>
        <v/>
      </c>
      <c r="D52" s="186">
        <f>SUMIFS(Inventario!$AB$2:$AB$125,Inventario!$J$2:$J$125,"Chamarras")</f>
        <v/>
      </c>
      <c r="E52" s="186">
        <f>SUMIFS(Inventario!$AC$2:$AC$125,Inventario!$J$2:$J$125,"Chamarras")</f>
        <v/>
      </c>
      <c r="F52" s="191">
        <f>SUMIFS(Inventario!$X$2:$X$125,Inventario!$J$2:$J$125,"Chamarras")</f>
        <v/>
      </c>
    </row>
    <row r="53">
      <c r="A53" t="inlineStr">
        <is>
          <t>Jeans</t>
        </is>
      </c>
      <c r="B53" s="191">
        <f>SUMIFS(Inventario!$O$2:$O$125,Inventario!$J$2:$J$125,"Jeans")</f>
        <v/>
      </c>
      <c r="C53" s="191">
        <f>COUNTIFS(Inventario!$J$2:$J$125,"Jeans",Inventario!$O$2:$O$125,"&gt;0")</f>
        <v/>
      </c>
      <c r="D53" s="186">
        <f>SUMIFS(Inventario!$AB$2:$AB$125,Inventario!$J$2:$J$125,"Jeans")</f>
        <v/>
      </c>
      <c r="E53" s="186">
        <f>SUMIFS(Inventario!$AC$2:$AC$125,Inventario!$J$2:$J$125,"Jeans")</f>
        <v/>
      </c>
      <c r="F53" s="191">
        <f>SUMIFS(Inventario!$X$2:$X$125,Inventario!$J$2:$J$125,"Jeans")</f>
        <v/>
      </c>
    </row>
    <row r="54">
      <c r="A54" t="inlineStr">
        <is>
          <t>Playeras</t>
        </is>
      </c>
      <c r="B54" s="191">
        <f>SUMIFS(Inventario!$O$2:$O$125,Inventario!$J$2:$J$125,"Playeras")</f>
        <v/>
      </c>
      <c r="C54" s="191">
        <f>COUNTIFS(Inventario!$J$2:$J$125,"Playeras",Inventario!$O$2:$O$125,"&gt;0")</f>
        <v/>
      </c>
      <c r="D54" s="186">
        <f>SUMIFS(Inventario!$AB$2:$AB$125,Inventario!$J$2:$J$125,"Playeras")</f>
        <v/>
      </c>
      <c r="E54" s="186">
        <f>SUMIFS(Inventario!$AC$2:$AC$125,Inventario!$J$2:$J$125,"Playeras")</f>
        <v/>
      </c>
      <c r="F54" s="191">
        <f>SUMIFS(Inventario!$X$2:$X$125,Inventario!$J$2:$J$125,"Playeras")</f>
        <v/>
      </c>
    </row>
    <row r="55">
      <c r="A55" t="inlineStr">
        <is>
          <t>Sombreros</t>
        </is>
      </c>
      <c r="B55" s="191">
        <f>SUMIFS(Inventario!$O$2:$O$125,Inventario!$J$2:$J$125,"Sombreros")</f>
        <v/>
      </c>
      <c r="C55" s="191">
        <f>COUNTIFS(Inventario!$J$2:$J$125,"Sombreros",Inventario!$O$2:$O$125,"&gt;0")</f>
        <v/>
      </c>
      <c r="D55" s="186">
        <f>SUMIFS(Inventario!$AB$2:$AB$125,Inventario!$J$2:$J$125,"Sombreros")</f>
        <v/>
      </c>
      <c r="E55" s="186">
        <f>SUMIFS(Inventario!$AC$2:$AC$125,Inventario!$J$2:$J$125,"Sombreros")</f>
        <v/>
      </c>
      <c r="F55" s="191">
        <f>SUMIFS(Inventario!$X$2:$X$125,Inventario!$J$2:$J$125,"Sombreros")</f>
        <v/>
      </c>
    </row>
    <row r="56">
      <c r="A56" t="inlineStr">
        <is>
          <t>Sudaderas</t>
        </is>
      </c>
      <c r="B56" s="191">
        <f>SUMIFS(Inventario!$O$2:$O$125,Inventario!$J$2:$J$125,"Sudaderas")</f>
        <v/>
      </c>
      <c r="C56" s="191">
        <f>COUNTIFS(Inventario!$J$2:$J$125,"Sudaderas",Inventario!$O$2:$O$125,"&gt;0")</f>
        <v/>
      </c>
      <c r="D56" s="186">
        <f>SUMIFS(Inventario!$AB$2:$AB$125,Inventario!$J$2:$J$125,"Sudaderas")</f>
        <v/>
      </c>
      <c r="E56" s="186">
        <f>SUMIFS(Inventario!$AC$2:$AC$125,Inventario!$J$2:$J$125,"Sudaderas")</f>
        <v/>
      </c>
      <c r="F56" s="191">
        <f>SUMIFS(Inventario!$X$2:$X$125,Inventario!$J$2:$J$125,"Sudaderas")</f>
        <v/>
      </c>
    </row>
    <row r="58">
      <c r="A58" s="188" t="inlineStr">
        <is>
          <t>15 artículos con más unidades en mano</t>
        </is>
      </c>
      <c r="B58" s="189" t="n"/>
      <c r="C58" s="189" t="n"/>
      <c r="D58" s="189" t="n"/>
      <c r="E58" s="189" t="n"/>
      <c r="F58" s="189" t="n"/>
    </row>
    <row r="59">
      <c r="A59" s="190" t="inlineStr">
        <is>
          <t>Código de barras</t>
        </is>
      </c>
      <c r="B59" s="190" t="inlineStr">
        <is>
          <t>WB SKU</t>
        </is>
      </c>
      <c r="C59" s="190" t="inlineStr">
        <is>
          <t>WB Descripcion</t>
        </is>
      </c>
      <c r="D59" s="190" t="inlineStr">
        <is>
          <t>WB Talla</t>
        </is>
      </c>
      <c r="E59" s="190" t="inlineStr">
        <is>
          <t>En mano</t>
        </is>
      </c>
      <c r="F59" s="190" t="inlineStr">
        <is>
          <t>Variación</t>
        </is>
      </c>
    </row>
    <row r="60">
      <c r="A60" t="inlineStr">
        <is>
          <t>7506499514989</t>
        </is>
      </c>
      <c r="B60" t="inlineStr">
        <is>
          <t>CM085-XL</t>
        </is>
      </c>
      <c r="C60" t="inlineStr">
        <is>
          <t>Camisa Denver dama print blanco franjas verde</t>
        </is>
      </c>
      <c r="D60" t="inlineStr">
        <is>
          <t>XL</t>
        </is>
      </c>
      <c r="E60" t="n">
        <v>5</v>
      </c>
      <c r="F60" t="n">
        <v>0</v>
      </c>
    </row>
    <row r="61">
      <c r="A61" t="inlineStr">
        <is>
          <t>7506499570900</t>
        </is>
      </c>
      <c r="B61" t="inlineStr">
        <is>
          <t>SBMQCAD-9-63/4</t>
        </is>
      </c>
      <c r="C61" t="inlineStr">
        <is>
          <t>Sombrero Denver marfil mezquite cuadro ancho</t>
        </is>
      </c>
      <c r="D61" t="inlineStr">
        <is>
          <t>6 3/4</t>
        </is>
      </c>
      <c r="E61" t="n">
        <v>4</v>
      </c>
      <c r="F61" t="n">
        <v>0</v>
      </c>
    </row>
    <row r="62">
      <c r="A62" t="inlineStr">
        <is>
          <t>7506499570901</t>
        </is>
      </c>
      <c r="B62" t="inlineStr">
        <is>
          <t>SBMQCAD-9-67/8</t>
        </is>
      </c>
      <c r="C62" t="inlineStr">
        <is>
          <t>Sombrero Denver marfil mezquite cuadro ancho</t>
        </is>
      </c>
      <c r="D62" t="inlineStr">
        <is>
          <t>6 7/8</t>
        </is>
      </c>
      <c r="E62" t="n">
        <v>4</v>
      </c>
      <c r="F62" t="n">
        <v>0</v>
      </c>
    </row>
    <row r="63">
      <c r="A63" t="inlineStr">
        <is>
          <t>7506499570896</t>
        </is>
      </c>
      <c r="B63" t="inlineStr">
        <is>
          <t>TXMTYSLD-17-71/2</t>
        </is>
      </c>
      <c r="C63" t="inlineStr">
        <is>
          <t>Texana Denver sinaloa vino</t>
        </is>
      </c>
      <c r="D63" t="inlineStr">
        <is>
          <t>7 1/2</t>
        </is>
      </c>
      <c r="E63" t="n">
        <v>4</v>
      </c>
      <c r="F63" t="n">
        <v>0</v>
      </c>
    </row>
    <row r="64">
      <c r="A64" t="inlineStr">
        <is>
          <t>7506499570872</t>
        </is>
      </c>
      <c r="B64" t="inlineStr">
        <is>
          <t>DM030-7-32</t>
        </is>
      </c>
      <c r="C64" t="inlineStr">
        <is>
          <t>Pantalon Denver dama negro</t>
        </is>
      </c>
      <c r="D64" t="inlineStr">
        <is>
          <t>7</t>
        </is>
      </c>
      <c r="E64" t="n">
        <v>4</v>
      </c>
      <c r="F64" t="n">
        <v>0</v>
      </c>
    </row>
    <row r="65">
      <c r="A65" t="inlineStr">
        <is>
          <t>7506499570879</t>
        </is>
      </c>
      <c r="B65" t="inlineStr">
        <is>
          <t>JH001-40-30</t>
        </is>
      </c>
      <c r="C65" t="inlineStr">
        <is>
          <t>Pantalon Denver caballero negro lavado</t>
        </is>
      </c>
      <c r="D65" t="inlineStr">
        <is>
          <t>40 x 30</t>
        </is>
      </c>
      <c r="E65" t="n">
        <v>4</v>
      </c>
      <c r="F65" t="n">
        <v>0</v>
      </c>
    </row>
    <row r="66">
      <c r="A66" t="inlineStr">
        <is>
          <t>7506499570881</t>
        </is>
      </c>
      <c r="B66" t="inlineStr">
        <is>
          <t>JH003-30-34</t>
        </is>
      </c>
      <c r="C66" t="inlineStr">
        <is>
          <t>Pantalon Denver caballero azul cielo</t>
        </is>
      </c>
      <c r="D66" t="inlineStr">
        <is>
          <t>30 x 34</t>
        </is>
      </c>
      <c r="E66" t="n">
        <v>4</v>
      </c>
      <c r="F66" t="n">
        <v>0</v>
      </c>
    </row>
    <row r="67">
      <c r="A67" t="inlineStr">
        <is>
          <t>7506499570882</t>
        </is>
      </c>
      <c r="B67" t="inlineStr">
        <is>
          <t>JH003-32-34</t>
        </is>
      </c>
      <c r="C67" t="inlineStr">
        <is>
          <t>Pantalon Denver caballero azul cielo</t>
        </is>
      </c>
      <c r="D67" t="inlineStr">
        <is>
          <t>32 x 34</t>
        </is>
      </c>
      <c r="E67" t="n">
        <v>4</v>
      </c>
      <c r="F67" t="n">
        <v>0</v>
      </c>
    </row>
    <row r="68">
      <c r="A68" t="inlineStr">
        <is>
          <t>7506499550383</t>
        </is>
      </c>
      <c r="B68" t="inlineStr">
        <is>
          <t>A-CHH206-M</t>
        </is>
      </c>
      <c r="C68" t="inlineStr">
        <is>
          <t>Camisa Denver caballero mosaico estrella en azul</t>
        </is>
      </c>
      <c r="D68" t="inlineStr">
        <is>
          <t>M</t>
        </is>
      </c>
      <c r="E68" t="n">
        <v>4</v>
      </c>
      <c r="F68" t="n">
        <v>0</v>
      </c>
    </row>
    <row r="69">
      <c r="A69" t="inlineStr">
        <is>
          <t>7506499550376</t>
        </is>
      </c>
      <c r="B69" t="inlineStr">
        <is>
          <t>A-CHH206-S</t>
        </is>
      </c>
      <c r="C69" t="inlineStr">
        <is>
          <t>Camisa Denver caballero mosaico estrella en azul</t>
        </is>
      </c>
      <c r="D69" t="inlineStr">
        <is>
          <t>S</t>
        </is>
      </c>
      <c r="E69" t="n">
        <v>4</v>
      </c>
      <c r="F69" t="n">
        <v>0</v>
      </c>
    </row>
    <row r="70">
      <c r="A70" t="inlineStr">
        <is>
          <t>7506499526456</t>
        </is>
      </c>
      <c r="B70" t="inlineStr">
        <is>
          <t>A-CM126-XS</t>
        </is>
      </c>
      <c r="C70" t="inlineStr">
        <is>
          <t>Camisa Denver dama flores amarillo</t>
        </is>
      </c>
      <c r="D70" t="inlineStr">
        <is>
          <t>XS</t>
        </is>
      </c>
      <c r="E70" t="n">
        <v>4</v>
      </c>
      <c r="F70" t="n">
        <v>0</v>
      </c>
    </row>
    <row r="71">
      <c r="A71" t="inlineStr">
        <is>
          <t>7506499529617</t>
        </is>
      </c>
      <c r="B71" t="inlineStr">
        <is>
          <t>A-CM128-L</t>
        </is>
      </c>
      <c r="C71" t="inlineStr">
        <is>
          <t>Camisa Denver de dama verde</t>
        </is>
      </c>
      <c r="D71" t="inlineStr">
        <is>
          <t>L</t>
        </is>
      </c>
      <c r="E71" t="n">
        <v>4</v>
      </c>
      <c r="F71" t="n">
        <v>0</v>
      </c>
    </row>
    <row r="72">
      <c r="A72" t="inlineStr">
        <is>
          <t>7506499529891</t>
        </is>
      </c>
      <c r="B72" t="inlineStr">
        <is>
          <t>A-CM134-S</t>
        </is>
      </c>
      <c r="C72" t="inlineStr">
        <is>
          <t>Camisa Denver dama estampado dalia durazno</t>
        </is>
      </c>
      <c r="D72" t="inlineStr">
        <is>
          <t>S</t>
        </is>
      </c>
      <c r="E72" t="n">
        <v>4</v>
      </c>
      <c r="F72" t="n">
        <v>0</v>
      </c>
    </row>
    <row r="73">
      <c r="A73" t="inlineStr">
        <is>
          <t>7506499530118</t>
        </is>
      </c>
      <c r="B73" t="inlineStr">
        <is>
          <t>C-CM128-L</t>
        </is>
      </c>
      <c r="C73" t="inlineStr">
        <is>
          <t>Camisa Denver dama estampado flor de yuca verde</t>
        </is>
      </c>
      <c r="D73" t="inlineStr">
        <is>
          <t>L</t>
        </is>
      </c>
      <c r="E73" t="n">
        <v>4</v>
      </c>
      <c r="F73" t="n">
        <v>0</v>
      </c>
    </row>
    <row r="74">
      <c r="A74" t="inlineStr">
        <is>
          <t>7506499530095</t>
        </is>
      </c>
      <c r="B74" t="inlineStr">
        <is>
          <t>C-CM128-S</t>
        </is>
      </c>
      <c r="C74" t="inlineStr">
        <is>
          <t>Camisa Denver dama estampado flor de yuca verde</t>
        </is>
      </c>
      <c r="D74" t="inlineStr">
        <is>
          <t>S</t>
        </is>
      </c>
      <c r="E74" t="n">
        <v>4</v>
      </c>
      <c r="F74" t="n">
        <v>0</v>
      </c>
    </row>
    <row r="76">
      <c r="A76" s="188" t="inlineStr">
        <is>
          <t>15 artículos con más salida neta desde 28/09/2026</t>
        </is>
      </c>
      <c r="B76" s="189" t="n"/>
      <c r="C76" s="189" t="n"/>
      <c r="D76" s="189" t="n"/>
      <c r="E76" s="189" t="n"/>
      <c r="F76" s="189" t="n"/>
    </row>
    <row r="77">
      <c r="A77" s="190" t="inlineStr">
        <is>
          <t>Código de barras</t>
        </is>
      </c>
      <c r="B77" s="190" t="inlineStr">
        <is>
          <t>WB SKU</t>
        </is>
      </c>
      <c r="C77" s="190" t="inlineStr">
        <is>
          <t>WB Descripcion</t>
        </is>
      </c>
      <c r="D77" s="190" t="inlineStr">
        <is>
          <t>WB Talla</t>
        </is>
      </c>
      <c r="E77" s="190" t="inlineStr">
        <is>
          <t>En mano</t>
        </is>
      </c>
      <c r="F77" s="190" t="inlineStr">
        <is>
          <t>Variación</t>
        </is>
      </c>
    </row>
    <row r="78">
      <c r="A78" t="inlineStr">
        <is>
          <t>7506499570903</t>
        </is>
      </c>
      <c r="B78" t="inlineStr">
        <is>
          <t>SBMQCAD-9-71/8</t>
        </is>
      </c>
      <c r="C78" t="inlineStr">
        <is>
          <t>Sombrero Denver marfil mezquite cuadro ancho</t>
        </is>
      </c>
      <c r="D78" t="inlineStr">
        <is>
          <t>7 1/8</t>
        </is>
      </c>
      <c r="E78" t="n">
        <v>0</v>
      </c>
      <c r="F78" t="n">
        <v>-1</v>
      </c>
    </row>
    <row r="79">
      <c r="A79" t="inlineStr">
        <is>
          <t>7506499570906</t>
        </is>
      </c>
      <c r="B79" t="inlineStr">
        <is>
          <t>SBTEJTD-7-67/8</t>
        </is>
      </c>
      <c r="C79" t="inlineStr">
        <is>
          <t>Sombrero Denver marfil justin toro especial</t>
        </is>
      </c>
      <c r="D79" t="inlineStr">
        <is>
          <t>6 7/8</t>
        </is>
      </c>
      <c r="E79" t="n">
        <v>3</v>
      </c>
      <c r="F79" t="n">
        <v>-1</v>
      </c>
    </row>
    <row r="80">
      <c r="A80" t="inlineStr">
        <is>
          <t>7506499570895</t>
        </is>
      </c>
      <c r="B80" t="inlineStr">
        <is>
          <t>TXMTYSLD-17-73/8</t>
        </is>
      </c>
      <c r="C80" t="inlineStr">
        <is>
          <t>Texana Denver sinaloa vino</t>
        </is>
      </c>
      <c r="D80" t="inlineStr">
        <is>
          <t>7 3/8</t>
        </is>
      </c>
      <c r="E80" t="n">
        <v>3</v>
      </c>
      <c r="F80" t="n">
        <v>-1</v>
      </c>
    </row>
    <row r="81">
      <c r="A81" t="inlineStr">
        <is>
          <t>7506499531184</t>
        </is>
      </c>
      <c r="B81" t="inlineStr">
        <is>
          <t>A-CHH185-S</t>
        </is>
      </c>
      <c r="C81" t="inlineStr">
        <is>
          <t>Camisa Denver caballero estampado nopal en verde</t>
        </is>
      </c>
      <c r="D81" t="inlineStr">
        <is>
          <t>S</t>
        </is>
      </c>
      <c r="E81" t="n">
        <v>3</v>
      </c>
      <c r="F81" t="n">
        <v>-1</v>
      </c>
    </row>
    <row r="82">
      <c r="A82" t="inlineStr">
        <is>
          <t>7506499550390</t>
        </is>
      </c>
      <c r="B82" t="inlineStr">
        <is>
          <t>A-CHH206-L</t>
        </is>
      </c>
      <c r="C82" t="inlineStr">
        <is>
          <t>Camisa Denver caballero mosaico estrella en azul</t>
        </is>
      </c>
      <c r="D82" t="inlineStr">
        <is>
          <t>L</t>
        </is>
      </c>
      <c r="E82" t="n">
        <v>2</v>
      </c>
      <c r="F82" t="n">
        <v>-1</v>
      </c>
    </row>
    <row r="83">
      <c r="A83" t="inlineStr">
        <is>
          <t>7506499530149</t>
        </is>
      </c>
      <c r="B83" t="inlineStr">
        <is>
          <t>C-CM130-S</t>
        </is>
      </c>
      <c r="C83" t="inlineStr">
        <is>
          <t>Camisa Denver dama estampado establo</t>
        </is>
      </c>
      <c r="D83" t="inlineStr">
        <is>
          <t>S</t>
        </is>
      </c>
      <c r="E83" t="n">
        <v>0</v>
      </c>
      <c r="F83" t="n">
        <v>-1</v>
      </c>
    </row>
    <row r="84">
      <c r="A84" t="inlineStr">
        <is>
          <t>7506499552110</t>
        </is>
      </c>
      <c r="B84" t="inlineStr">
        <is>
          <t>F-CHH187-M</t>
        </is>
      </c>
      <c r="C84" t="inlineStr">
        <is>
          <t>Camisa Denver frisco estampado étnico tapete colorido</t>
        </is>
      </c>
      <c r="D84" t="inlineStr">
        <is>
          <t>M</t>
        </is>
      </c>
      <c r="E84" t="n">
        <v>0</v>
      </c>
      <c r="F84" t="n">
        <v>-1</v>
      </c>
    </row>
    <row r="85">
      <c r="A85" t="inlineStr">
        <is>
          <t>7506499570840</t>
        </is>
      </c>
      <c r="B85" t="inlineStr">
        <is>
          <t>01-TDAG012-0015-S</t>
        </is>
      </c>
      <c r="C85" t="inlineStr">
        <is>
          <t>Playera Denver caballero blanco cocodrilo</t>
        </is>
      </c>
      <c r="D85" t="inlineStr">
        <is>
          <t>S</t>
        </is>
      </c>
      <c r="E85" t="n">
        <v>1</v>
      </c>
      <c r="F85" t="n">
        <v>-1</v>
      </c>
    </row>
    <row r="86">
      <c r="A86" t="inlineStr">
        <is>
          <t>7506499570843</t>
        </is>
      </c>
      <c r="B86" t="inlineStr">
        <is>
          <t>01-TDAG012-0015-XL</t>
        </is>
      </c>
      <c r="C86" t="inlineStr">
        <is>
          <t>Playera Denver caballero blanco cocodrilo</t>
        </is>
      </c>
      <c r="D86" t="inlineStr">
        <is>
          <t>XL</t>
        </is>
      </c>
      <c r="E86" t="n">
        <v>0</v>
      </c>
      <c r="F86" t="n">
        <v>-1</v>
      </c>
    </row>
    <row r="87">
      <c r="A87" t="inlineStr">
        <is>
          <t>7506499570854</t>
        </is>
      </c>
      <c r="B87" t="inlineStr">
        <is>
          <t>02-TDAG012-0010-L</t>
        </is>
      </c>
      <c r="C87" t="inlineStr">
        <is>
          <t>Playera Denver dama beige botas</t>
        </is>
      </c>
      <c r="D87" t="inlineStr">
        <is>
          <t>L</t>
        </is>
      </c>
      <c r="E87" t="n">
        <v>2</v>
      </c>
      <c r="F87" t="n">
        <v>-1</v>
      </c>
    </row>
    <row r="88">
      <c r="A88" t="inlineStr">
        <is>
          <t>7506499570852</t>
        </is>
      </c>
      <c r="B88" t="inlineStr">
        <is>
          <t>02-TDAG012-0010-S</t>
        </is>
      </c>
      <c r="C88" t="inlineStr">
        <is>
          <t>Playera Denver dama beige botas</t>
        </is>
      </c>
      <c r="D88" t="inlineStr">
        <is>
          <t>S</t>
        </is>
      </c>
      <c r="E88" t="n">
        <v>2</v>
      </c>
      <c r="F8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2026-10-06T22:53:45Z</dcterms:modified>
</cp:coreProperties>
</file>