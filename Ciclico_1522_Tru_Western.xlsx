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  <sheet xmlns:r="http://schemas.openxmlformats.org/officeDocument/2006/relationships" name="Inventario" sheetId="13" state="visible" r:id="rId13"/>
    <sheet xmlns:r="http://schemas.openxmlformats.org/officeDocument/2006/relationships" name="KPIs Inventario" sheetId="14" state="visible" r:id="rId14"/>
  </sheets>
  <definedNames>
    <definedName name="_xlnm._FilterDatabase" localSheetId="4" hidden="1">'Productos'!$A$1:$AR$52</definedName>
    <definedName name="_xlnm._FilterDatabase" localSheetId="7" hidden="1">'Revisión Duplicados'!$A$1:$AU$51</definedName>
    <definedName name="_xlnm._FilterDatabase" localSheetId="8" hidden="1">'Stock por Ubicación'!$A$1:$J$97</definedName>
    <definedName name="_xlnm._FilterDatabase" localSheetId="12" hidden="1">'Inventario'!$A$1:$AF$48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  <numFmt numFmtId="172" formatCode="0.0%"/>
  </numFmts>
  <fonts count="43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b val="1"/>
      <color rgb="00FFFFFF"/>
    </font>
    <font>
      <b val="1"/>
      <sz val="14"/>
    </font>
    <font>
      <b val="1"/>
    </font>
  </fonts>
  <fills count="23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9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  <xf numFmtId="0" fontId="40" fillId="21" borderId="0" applyAlignment="1" pivotButton="0" quotePrefix="0" xfId="0">
      <alignment vertical="center" wrapText="1"/>
    </xf>
    <xf numFmtId="169" fontId="0" fillId="0" borderId="0" pivotButton="0" quotePrefix="0" xfId="0"/>
    <xf numFmtId="0" fontId="41" fillId="0" borderId="0" pivotButton="0" quotePrefix="0" xfId="0"/>
    <xf numFmtId="0" fontId="42" fillId="22" borderId="0" pivotButton="0" quotePrefix="0" xfId="0"/>
    <xf numFmtId="0" fontId="0" fillId="22" borderId="0" pivotButton="0" quotePrefix="0" xfId="0"/>
    <xf numFmtId="0" fontId="40" fillId="21" borderId="0" pivotButton="0" quotePrefix="0" xfId="0"/>
    <xf numFmtId="3" fontId="0" fillId="0" borderId="0" pivotButton="0" quotePrefix="0" xfId="0"/>
    <xf numFmtId="172" fontId="0" fillId="0" borderId="0" pivotButton="0" quotePrefix="0" xfId="0"/>
    <xf numFmtId="172" fontId="0" fillId="0" borderId="0" pivotButton="0" quotePrefix="0" xfId="0"/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5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087327002917</t>
        </is>
      </c>
      <c r="B2" s="51" t="inlineStr">
        <is>
          <t>111718</t>
        </is>
      </c>
      <c r="C2" s="156" t="inlineStr">
        <is>
          <t>Multimarca</t>
        </is>
      </c>
      <c r="D2" s="156" t="inlineStr">
        <is>
          <t>90092</t>
        </is>
      </c>
      <c r="E2" s="156" t="inlineStr">
        <is>
          <t>90092-3.4oz/100mL</t>
        </is>
      </c>
      <c r="F2" s="156" t="inlineStr">
        <is>
          <t>100 ml</t>
        </is>
      </c>
      <c r="G2" s="156" t="inlineStr">
        <is>
          <t>3.4 / 3.5 fl oz</t>
        </is>
      </c>
      <c r="H2" s="156" t="inlineStr">
        <is>
          <t>Tru Western</t>
        </is>
      </c>
      <c r="I2" s="156" t="inlineStr">
        <is>
          <t>Perfume Cowboy</t>
        </is>
      </c>
      <c r="J2" s="156" t="inlineStr">
        <is>
          <t>Accesorios</t>
        </is>
      </c>
      <c r="K2" s="156" t="inlineStr">
        <is>
          <t>Fragancias</t>
        </is>
      </c>
      <c r="L2" s="156" t="inlineStr">
        <is>
          <t>Unisex</t>
        </is>
      </c>
      <c r="M2" s="156" t="inlineStr">
        <is>
          <t>Tru Western</t>
        </is>
      </c>
      <c r="N2" s="156" t="inlineStr">
        <is>
          <t>SS26</t>
        </is>
      </c>
      <c r="O2" s="156" t="inlineStr">
        <is>
          <t>Seasonal</t>
        </is>
      </c>
      <c r="P2" s="156" t="n"/>
      <c r="Q2" s="156" t="n"/>
      <c r="R2" s="156" t="n"/>
      <c r="S2" s="156" t="n"/>
      <c r="T2" s="156" t="inlineStr">
        <is>
          <t>Perfume Cowboy. Fragancia de la marca Tru Western. Estilo 90092.</t>
        </is>
      </c>
      <c r="U2" s="156" t="inlineStr">
        <is>
          <t>Estados Unidos</t>
        </is>
      </c>
      <c r="V2" s="156" t="inlineStr">
        <is>
          <t>PZS</t>
        </is>
      </c>
      <c r="W2" s="51" t="inlineStr">
        <is>
          <t>53131620</t>
        </is>
      </c>
      <c r="X2" s="156" t="inlineStr">
        <is>
          <t>https://m-universal-unique-brands.odoo.com/web/image/product.product/27673/image_1920</t>
        </is>
      </c>
      <c r="Y2" s="54" t="n">
        <v>266.875</v>
      </c>
      <c r="Z2" s="54" t="n">
        <v>904.3103448000001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IFERROR(_xlfn.XMATCH(A2,$A$2:$A$52,0,1)&lt;&gt;_xlfn.XMATCH(A2,$A$2:$A$52,0,-1),FALSE)), "Código de barras duplicado", ""), IF(AND(E2&lt;&gt;"", COUNTIF($E$2:$E$52,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inlineStr">
        <is>
          <t>Homologación G1522: integra 1 registro(s) iguales por mismo código de barras</t>
        </is>
      </c>
      <c r="AD2" s="51" t="n">
        <v>4</v>
      </c>
      <c r="AE2" s="156" t="inlineStr">
        <is>
          <t>WB OUTLET LERMA: 4</t>
        </is>
      </c>
      <c r="AF2" s="51" t="n">
        <v>4</v>
      </c>
      <c r="AG2" s="156" t="inlineStr">
        <is>
          <t>Nuevo – NetSuite con existencia</t>
        </is>
      </c>
      <c r="AH2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«87327002917» → «087327002917» (Corrección aplicada) · Marca principal: «Tru Western» → «Multimarca» (Conflicto entre duplicados) · WB SKU: «90092» → «90092-3.4oz/100mL» (Conflicto entre duplicados) · WB Descripcion: «Tru Western - EDC - 100mL - Cowboy» → «Perfume Cowboy» (Conflicto entre duplicados) · Enlace de imagen: «» → «https://m-universal-unique-brands.odoo.com/web/image/product.product/27673/image_1920» (Integrado de duplicado) · Precio de compra: «45» → «266.875» (Conflicto entre duplicados) · Precio de venta: «499» → «904.3103448» (Conflicto entre duplicados)</t>
        </is>
      </c>
      <c r="AI2" s="156" t="inlineStr">
        <is>
          <t>No</t>
        </is>
      </c>
      <c r="AJ2" s="156" t="n"/>
      <c r="AK2" s="155" t="inlineStr">
        <is>
          <t>ProductosCatalogoEstandar907.xlsx: fila 50854 [N,O,U,Y] | Catálogo y Criterios: F [G]; G1522_Extraccion_Articulos_NetSuite_2026-09-30.xlsx: fila 59366 [H,V,Y] | Shopify WB: producto 8576547225785 / variante 47777663746233; Hoja2: fila 409 | Odoo: producto 27673 / plantilla 34409</t>
        </is>
      </c>
      <c r="AL2" s="58" t="n">
        <v>366.245</v>
      </c>
      <c r="AM2" s="58" t="n">
        <v>1048.99999997</v>
      </c>
      <c r="AN2" s="155" t="inlineStr">
        <is>
          <t>Shopify Western Brothers; Odoo Universal Unique Brands</t>
        </is>
      </c>
      <c r="AO2" s="59" t="n"/>
      <c r="AP2" s="59" t="n">
        <v>4</v>
      </c>
      <c r="AQ2" s="59" t="n">
        <v>8</v>
      </c>
      <c r="AR2" s="155" t="inlineStr">
        <is>
          <t>Shopify Western Brothers › Western Brothers Outlet Lerma: 4; Odoo Universal Unique Brands › Bodega 25 › Bodega 25/Output: 12</t>
        </is>
      </c>
    </row>
    <row r="3">
      <c r="A3" s="50" t="inlineStr">
        <is>
          <t>087327031269</t>
        </is>
      </c>
      <c r="B3" s="51" t="inlineStr">
        <is>
          <t>111726</t>
        </is>
      </c>
      <c r="C3" s="156" t="inlineStr">
        <is>
          <t>Multimarca</t>
        </is>
      </c>
      <c r="D3" s="156" t="inlineStr">
        <is>
          <t>90543</t>
        </is>
      </c>
      <c r="E3" s="156" t="inlineStr">
        <is>
          <t>90543-3.4oz/100mL</t>
        </is>
      </c>
      <c r="F3" s="156" t="inlineStr">
        <is>
          <t>100 ml</t>
        </is>
      </c>
      <c r="G3" s="156" t="inlineStr">
        <is>
          <t>3.4 / 3.5 fl oz</t>
        </is>
      </c>
      <c r="H3" s="156" t="inlineStr">
        <is>
          <t>Tru Western</t>
        </is>
      </c>
      <c r="I3" s="156" t="inlineStr">
        <is>
          <t>Perfume Vaquero</t>
        </is>
      </c>
      <c r="J3" s="156" t="inlineStr">
        <is>
          <t>Accesorios</t>
        </is>
      </c>
      <c r="K3" s="156" t="inlineStr">
        <is>
          <t>Fragancias</t>
        </is>
      </c>
      <c r="L3" s="156" t="inlineStr">
        <is>
          <t>Unisex</t>
        </is>
      </c>
      <c r="M3" s="156" t="inlineStr">
        <is>
          <t>Tru Western</t>
        </is>
      </c>
      <c r="N3" s="156" t="inlineStr">
        <is>
          <t>SS26</t>
        </is>
      </c>
      <c r="O3" s="156" t="inlineStr">
        <is>
          <t>Seasonal</t>
        </is>
      </c>
      <c r="P3" s="156" t="n"/>
      <c r="Q3" s="156" t="n"/>
      <c r="R3" s="156" t="n"/>
      <c r="S3" s="156" t="n"/>
      <c r="T3" s="156" t="inlineStr">
        <is>
          <t>Perfume Vaquero. Fragancia de la marca Tru Western. Estilo 90543.</t>
        </is>
      </c>
      <c r="U3" s="156" t="inlineStr">
        <is>
          <t>Estados Unidos</t>
        </is>
      </c>
      <c r="V3" s="156" t="inlineStr">
        <is>
          <t>PZS</t>
        </is>
      </c>
      <c r="W3" s="51" t="inlineStr">
        <is>
          <t>53131620</t>
        </is>
      </c>
      <c r="X3" s="156" t="inlineStr">
        <is>
          <t>https://m-universal-unique-brands.odoo.com/web/image/product.product/27687/image_1920</t>
        </is>
      </c>
      <c r="Y3" s="54" t="n">
        <v>266.875</v>
      </c>
      <c r="Z3" s="54" t="n">
        <v>904.3103448000001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IFERROR(_xlfn.XMATCH(A3,$A$2:$A$52,0,1)&lt;&gt;_xlfn.XMATCH(A3,$A$2:$A$52,0,-1),FALSE)), "Código de barras duplicado", ""), IF(AND(E3&lt;&gt;"", COUNTIF($E$2:$E$52,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inlineStr">
        <is>
          <t>Homologación G1522: integra 1 registro(s) iguales por mismo código de barras</t>
        </is>
      </c>
      <c r="AD3" s="51" t="n">
        <v>4</v>
      </c>
      <c r="AE3" s="156" t="inlineStr">
        <is>
          <t>WB OUTLET LERMA: 4</t>
        </is>
      </c>
      <c r="AF3" s="51" t="n">
        <v>4</v>
      </c>
      <c r="AG3" s="156" t="inlineStr">
        <is>
          <t>Nuevo – NetSuite con existencia</t>
        </is>
      </c>
      <c r="AH3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«87327031269» → «087327031269» (Corrección aplicada) · Marca principal: «Tru Western» → «Multimarca» (Conflicto entre duplicados) · WB SKU: «97358» → «90543-3.4oz/100mL» (Conflicto entre duplicados) · WB Descripcion: «Tru Western - EDC - 100mL - Vaquero» → «Perfume Vaquero» (Conflicto entre duplicados) · Enlace de imagen: «» → «https://m-universal-unique-brands.odoo.com/web/image/product.product/27687/image_1920» (Integrado de duplicado) · Precio de venta: «499» → «904.3103448» (Conflicto entre duplicados)</t>
        </is>
      </c>
      <c r="AI3" s="156" t="inlineStr">
        <is>
          <t>No</t>
        </is>
      </c>
      <c r="AJ3" s="156" t="n"/>
      <c r="AK3" s="155" t="inlineStr">
        <is>
          <t>ProductosCatalogoEstandar907.xlsx: fila 50855 [N,O,U,Y] | Catálogo y Criterios: F [G]; G1522_Extraccion_Articulos_NetSuite_2026-09-30.xlsx: fila 59374 [H,V,Y] | Shopify WB: producto 8576547848377 / variante 47777667088569; Hoja2: fila 444 | Odoo: producto 27687 / plantilla 34423</t>
        </is>
      </c>
      <c r="AL3" s="58" t="n">
        <v>366.245</v>
      </c>
      <c r="AM3" s="58" t="n">
        <v>1048.99999997</v>
      </c>
      <c r="AN3" s="155" t="inlineStr">
        <is>
          <t>Shopify Western Brothers; Odoo Universal Unique Brands</t>
        </is>
      </c>
      <c r="AO3" s="59" t="n"/>
      <c r="AP3" s="59" t="n">
        <v>4</v>
      </c>
      <c r="AQ3" s="59" t="n">
        <v>38</v>
      </c>
      <c r="AR3" s="155" t="inlineStr">
        <is>
          <t>Shopify Western Brothers › Western Brothers Outlet Lerma: 4; Odoo Universal Unique Brands › Bodega 25 › Bodega 25/General: 14 | Odoo Universal Unique Brands › Bodega 25 › Bodega 25/Output: 24</t>
        </is>
      </c>
    </row>
    <row r="4">
      <c r="A4" s="50" t="inlineStr">
        <is>
          <t>087327002627</t>
        </is>
      </c>
      <c r="B4" s="51" t="inlineStr">
        <is>
          <t>111728</t>
        </is>
      </c>
      <c r="C4" s="156" t="inlineStr">
        <is>
          <t>Multimarca</t>
        </is>
      </c>
      <c r="D4" s="156" t="inlineStr">
        <is>
          <t>91571</t>
        </is>
      </c>
      <c r="E4" s="156" t="inlineStr">
        <is>
          <t>91571-1.7oz/50mL</t>
        </is>
      </c>
      <c r="F4" s="156" t="inlineStr">
        <is>
          <t>50 ml</t>
        </is>
      </c>
      <c r="G4" s="156" t="inlineStr">
        <is>
          <t>1.7 fl oz</t>
        </is>
      </c>
      <c r="H4" s="156" t="inlineStr">
        <is>
          <t>Tru Western</t>
        </is>
      </c>
      <c r="I4" s="156" t="inlineStr">
        <is>
          <t>Perfume Lace</t>
        </is>
      </c>
      <c r="J4" s="156" t="inlineStr">
        <is>
          <t>Accesorios</t>
        </is>
      </c>
      <c r="K4" s="156" t="inlineStr">
        <is>
          <t>Fragancias</t>
        </is>
      </c>
      <c r="L4" s="156" t="inlineStr">
        <is>
          <t>Unisex</t>
        </is>
      </c>
      <c r="M4" s="156" t="inlineStr">
        <is>
          <t>Tru Western</t>
        </is>
      </c>
      <c r="N4" s="156" t="inlineStr">
        <is>
          <t>SS26</t>
        </is>
      </c>
      <c r="O4" s="156" t="inlineStr">
        <is>
          <t>Seasonal</t>
        </is>
      </c>
      <c r="P4" s="156" t="n"/>
      <c r="Q4" s="156" t="n"/>
      <c r="R4" s="156" t="n"/>
      <c r="S4" s="156" t="n"/>
      <c r="T4" s="156" t="inlineStr">
        <is>
          <t>Perfume Lace. Fragancia de la marca Tru Western. Estilo 91571.</t>
        </is>
      </c>
      <c r="U4" s="156" t="inlineStr">
        <is>
          <t>Estados Unidos</t>
        </is>
      </c>
      <c r="V4" s="156" t="inlineStr">
        <is>
          <t>PZS</t>
        </is>
      </c>
      <c r="W4" s="51" t="inlineStr">
        <is>
          <t>53131620</t>
        </is>
      </c>
      <c r="X4" s="156" t="inlineStr">
        <is>
          <t>https://m-universal-unique-brands.odoo.com/web/image/product.product/27700/image_1920</t>
        </is>
      </c>
      <c r="Y4" s="54" t="n">
        <v>271.6</v>
      </c>
      <c r="Z4" s="54" t="n">
        <v>947.4137931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IFERROR(_xlfn.XMATCH(A4,$A$2:$A$52,0,1)&lt;&gt;_xlfn.XMATCH(A4,$A$2:$A$52,0,-1),FALSE)), "Código de barras duplicado", ""), IF(AND(E4&lt;&gt;"", COUNTIF($E$2:$E$52,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inlineStr">
        <is>
          <t>Homologación G1522: integra 1 registro(s) iguales por mismo código de barras</t>
        </is>
      </c>
      <c r="AD4" s="51" t="n">
        <v>0</v>
      </c>
      <c r="AE4" s="156" t="n"/>
      <c r="AF4" s="51" t="n">
        <v>0</v>
      </c>
      <c r="AG4" s="156" t="inlineStr">
        <is>
          <t>Nuevo – NetSuite sin existencia</t>
        </is>
      </c>
      <c r="AH4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«87327002627» → «087327002627» (Corrección aplicada) · Marca principal: «Tru Western» → «Multimarca» (Conflicto entre duplicados) · WB SKU: «91571» → «91571-1.7oz/50mL» (Conflicto entre duplicados) · WB Descripcion: «Tru Western - EDP - 50mL - Lace» → «Perfume Lace» (Conflicto entre duplicados) · Enlace de imagen: «» → «https://m-universal-unique-brands.odoo.com/web/image/product.product/27700/image_1920» (Integrado de duplicado) · Precio de compra: «45» → «271.6» (Conflicto entre duplicados) · Precio de venta: «509» → «947.4137931» (Conflicto entre duplicados)</t>
        </is>
      </c>
      <c r="AI4" s="156" t="inlineStr">
        <is>
          <t>No</t>
        </is>
      </c>
      <c r="AJ4" s="156" t="n"/>
      <c r="AK4" s="155" t="inlineStr">
        <is>
          <t>ProductosCatalogoEstandar907.xlsx: fila 50856 [N,O,U,Y] | Catálogo y Criterios: F [G]; G1522_Extraccion_Articulos_NetSuite_2026-09-30.xlsx: fila 59376 [H,V,Y] | Shopify WB: producto 8576547913913 / variante 47777667154105; Hoja2: fila 411 | Odoo: producto 27700 / plantilla 34436</t>
        </is>
      </c>
      <c r="AL4" s="58" t="n"/>
      <c r="AM4" s="58" t="n">
        <v>1099</v>
      </c>
      <c r="AN4" s="155" t="inlineStr">
        <is>
          <t>Shopify Western Brothers; Odoo Universal Unique Brands</t>
        </is>
      </c>
      <c r="AO4" s="59" t="n"/>
      <c r="AP4" s="59" t="n">
        <v>0</v>
      </c>
      <c r="AQ4" s="59" t="n">
        <v>17</v>
      </c>
      <c r="AR4" s="155" t="inlineStr">
        <is>
          <t>Odoo Universal Unique Brands › Bodega 25 › Bodega 25/General: 5 | Odoo Universal Unique Brands › Bodega 25 › Bodega 25/Output: 12</t>
        </is>
      </c>
    </row>
    <row r="5">
      <c r="A5" s="50" t="inlineStr">
        <is>
          <t>087327003044</t>
        </is>
      </c>
      <c r="B5" s="51" t="inlineStr">
        <is>
          <t>111727</t>
        </is>
      </c>
      <c r="C5" s="156" t="inlineStr">
        <is>
          <t>Multimarca</t>
        </is>
      </c>
      <c r="D5" s="156" t="inlineStr">
        <is>
          <t>91717</t>
        </is>
      </c>
      <c r="E5" s="156" t="inlineStr">
        <is>
          <t>91717-3.4oz/100mL</t>
        </is>
      </c>
      <c r="F5" s="156" t="inlineStr">
        <is>
          <t>100 ml</t>
        </is>
      </c>
      <c r="G5" s="156" t="inlineStr">
        <is>
          <t>3.4 / 3.5 fl oz</t>
        </is>
      </c>
      <c r="H5" s="156" t="inlineStr">
        <is>
          <t>Tru Western</t>
        </is>
      </c>
      <c r="I5" s="156" t="inlineStr">
        <is>
          <t>Perfume Outlaw</t>
        </is>
      </c>
      <c r="J5" s="156" t="inlineStr">
        <is>
          <t>Accesorios</t>
        </is>
      </c>
      <c r="K5" s="156" t="inlineStr">
        <is>
          <t>Fragancias</t>
        </is>
      </c>
      <c r="L5" s="156" t="inlineStr">
        <is>
          <t>Unisex</t>
        </is>
      </c>
      <c r="M5" s="156" t="inlineStr">
        <is>
          <t>Tru Western</t>
        </is>
      </c>
      <c r="N5" s="156" t="inlineStr">
        <is>
          <t>SS26</t>
        </is>
      </c>
      <c r="O5" s="156" t="inlineStr">
        <is>
          <t>Seasonal</t>
        </is>
      </c>
      <c r="P5" s="156" t="n"/>
      <c r="Q5" s="156" t="n"/>
      <c r="R5" s="156" t="n"/>
      <c r="S5" s="156" t="n"/>
      <c r="T5" s="156" t="inlineStr">
        <is>
          <t>Perfume Outlaw. Fragancia de la marca Tru Western. Estilo 91717.</t>
        </is>
      </c>
      <c r="U5" s="156" t="inlineStr">
        <is>
          <t>Estados Unidos</t>
        </is>
      </c>
      <c r="V5" s="156" t="inlineStr">
        <is>
          <t>PZS</t>
        </is>
      </c>
      <c r="W5" s="51" t="inlineStr">
        <is>
          <t>53131620</t>
        </is>
      </c>
      <c r="X5" s="156" t="inlineStr">
        <is>
          <t>https://m-universal-unique-brands.odoo.com/web/image/product.product/27689/image_1920</t>
        </is>
      </c>
      <c r="Y5" s="54" t="n">
        <v>266.875</v>
      </c>
      <c r="Z5" s="54" t="n">
        <v>904.3103448000001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IFERROR(_xlfn.XMATCH(A5,$A$2:$A$52,0,1)&lt;&gt;_xlfn.XMATCH(A5,$A$2:$A$52,0,-1),FALSE)), "Código de barras duplicado", ""), IF(AND(E5&lt;&gt;"", COUNTIF($E$2:$E$52,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inlineStr">
        <is>
          <t>Homologación G1522: integra 1 registro(s) iguales por mismo código de barras</t>
        </is>
      </c>
      <c r="AD5" s="51" t="n">
        <v>0</v>
      </c>
      <c r="AE5" s="156" t="n"/>
      <c r="AF5" s="51" t="n">
        <v>0</v>
      </c>
      <c r="AG5" s="156" t="inlineStr">
        <is>
          <t>Nuevo – NetSuite sin existencia</t>
        </is>
      </c>
      <c r="AH5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«87327003044» → «087327003044» (Corrección aplicada) · Marca principal: «Tru Western» → «Multimarca» (Conflicto entre duplicados) · WB SKU: «91717» → «91717-3.4oz/100mL» (Conflicto entre duplicados) · WB Descripcion: «Tru Western - EDC - 100mL - Outlaw» → «Perfume Outlaw» (Conflicto entre duplicados) · Enlace de imagen: «» → «https://m-universal-unique-brands.odoo.com/web/image/product.product/27689/image_1920» (Integrado de duplicado) · Precio de compra: «45» → «266.875» (Conflicto entre duplicados) · Precio de venta: «499» → «904.3103448» (Conflicto entre duplicados)</t>
        </is>
      </c>
      <c r="AI5" s="156" t="inlineStr">
        <is>
          <t>No</t>
        </is>
      </c>
      <c r="AJ5" s="156" t="n"/>
      <c r="AK5" s="155" t="inlineStr">
        <is>
          <t>ProductosCatalogoEstandar907.xlsx: fila 50857 [N,O,U,Y] | Catálogo y Criterios: F [G]; G1522_Extraccion_Articulos_NetSuite_2026-09-30.xlsx: fila 59375 [H,V,Y] | Shopify WB: producto 8576547881145 / variante 47777667121337; Hoja2: fila 413 | Odoo: producto 27689 / plantilla 34425</t>
        </is>
      </c>
      <c r="AL5" s="58" t="n"/>
      <c r="AM5" s="58" t="n">
        <v>1048.99999997</v>
      </c>
      <c r="AN5" s="155" t="inlineStr">
        <is>
          <t>Shopify Western Brothers; Odoo Universal Unique Brands</t>
        </is>
      </c>
      <c r="AO5" s="59" t="n"/>
      <c r="AP5" s="59" t="n">
        <v>0</v>
      </c>
      <c r="AQ5" s="59" t="n">
        <v>9</v>
      </c>
      <c r="AR5" s="155" t="inlineStr">
        <is>
          <t>Odoo Universal Unique Brands › Bodega 25 › Bodega 25/Output: 12</t>
        </is>
      </c>
    </row>
    <row r="6">
      <c r="A6" s="50" t="inlineStr">
        <is>
          <t>087327003525</t>
        </is>
      </c>
      <c r="B6" s="51" t="inlineStr">
        <is>
          <t>111729</t>
        </is>
      </c>
      <c r="C6" s="156" t="inlineStr">
        <is>
          <t>Multimarca</t>
        </is>
      </c>
      <c r="D6" s="156" t="inlineStr">
        <is>
          <t>92080</t>
        </is>
      </c>
      <c r="E6" s="156" t="inlineStr">
        <is>
          <t>92080-1.7oz/50mL</t>
        </is>
      </c>
      <c r="F6" s="156" t="inlineStr">
        <is>
          <t>50 ml</t>
        </is>
      </c>
      <c r="G6" s="156" t="inlineStr">
        <is>
          <t>1.7 fl oz</t>
        </is>
      </c>
      <c r="H6" s="156" t="inlineStr">
        <is>
          <t>Tru Western</t>
        </is>
      </c>
      <c r="I6" s="156" t="inlineStr">
        <is>
          <t>Perfume Lace Noir</t>
        </is>
      </c>
      <c r="J6" s="156" t="inlineStr">
        <is>
          <t>Accesorios</t>
        </is>
      </c>
      <c r="K6" s="156" t="inlineStr">
        <is>
          <t>Fragancias</t>
        </is>
      </c>
      <c r="L6" s="156" t="inlineStr">
        <is>
          <t>Unisex</t>
        </is>
      </c>
      <c r="M6" s="156" t="inlineStr">
        <is>
          <t>Tru Western</t>
        </is>
      </c>
      <c r="N6" s="156" t="inlineStr">
        <is>
          <t>SS26</t>
        </is>
      </c>
      <c r="O6" s="156" t="inlineStr">
        <is>
          <t>Seasonal</t>
        </is>
      </c>
      <c r="P6" s="156" t="n"/>
      <c r="Q6" s="156" t="n"/>
      <c r="R6" s="156" t="n"/>
      <c r="S6" s="156" t="n"/>
      <c r="T6" s="156" t="inlineStr">
        <is>
          <t>Perfume Lace Noir. Fragancia de la marca Tru Western. Estilo 92080.</t>
        </is>
      </c>
      <c r="U6" s="156" t="inlineStr">
        <is>
          <t>Estados Unidos</t>
        </is>
      </c>
      <c r="V6" s="156" t="inlineStr">
        <is>
          <t>PZS</t>
        </is>
      </c>
      <c r="W6" s="51" t="inlineStr">
        <is>
          <t>53131620</t>
        </is>
      </c>
      <c r="X6" s="156" t="inlineStr">
        <is>
          <t>https://m-universal-unique-brands.odoo.com/web/image/product.product/27701/image_1920</t>
        </is>
      </c>
      <c r="Y6" s="54" t="n">
        <v>271.6</v>
      </c>
      <c r="Z6" s="54" t="n">
        <v>947.4137931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IFERROR(_xlfn.XMATCH(A6,$A$2:$A$52,0,1)&lt;&gt;_xlfn.XMATCH(A6,$A$2:$A$52,0,-1),FALSE)), "Código de barras duplicado", ""), IF(AND(E6&lt;&gt;"", COUNTIF($E$2:$E$52,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inlineStr">
        <is>
          <t>Homologación G1522: integra 1 registro(s) iguales por mismo código de barras</t>
        </is>
      </c>
      <c r="AD6" s="51" t="n">
        <v>0</v>
      </c>
      <c r="AE6" s="156" t="n"/>
      <c r="AF6" s="51" t="n">
        <v>0</v>
      </c>
      <c r="AG6" s="156" t="inlineStr">
        <is>
          <t>Nuevo – NetSuite sin existencia</t>
        </is>
      </c>
      <c r="AH6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«87327003525» → «087327003525» (Corrección aplicada) · Marca principal: «Tru Western» → «Multimarca» (Conflicto entre duplicados) · WB SKU: «92080» → «92080-1.7oz/50mL» (Conflicto entre duplicados) · WB Descripcion: «Tru Western - EDP - 50mL - Lace Noir» → «Perfume Lace Noir» (Conflicto entre duplicados) · Enlace de imagen: «» → «https://m-universal-unique-brands.odoo.com/web/image/product.product/27701/image_1920» (Integrado de duplicado) · Precio de compra: «45» → «271.6» (Conflicto entre duplicados) · Precio de venta: «509» → «947.4137931» (Conflicto entre duplicados)</t>
        </is>
      </c>
      <c r="AI6" s="156" t="inlineStr">
        <is>
          <t>No</t>
        </is>
      </c>
      <c r="AJ6" s="156" t="n"/>
      <c r="AK6" s="155" t="inlineStr">
        <is>
          <t>ProductosCatalogoEstandar907.xlsx: fila 50858 [N,O,U,Y] | Catálogo y Criterios: F [G]; G1522_Extraccion_Articulos_NetSuite_2026-09-30.xlsx: fila 59377 [H,V,Y] | Shopify WB: producto 8576547946681 / variante 47777667186873; Hoja2: fila 415 | Odoo: producto 27701 / plantilla 34437</t>
        </is>
      </c>
      <c r="AL6" s="58" t="n"/>
      <c r="AM6" s="58" t="n">
        <v>1099</v>
      </c>
      <c r="AN6" s="155" t="inlineStr">
        <is>
          <t>Shopify Western Brothers; Odoo Universal Unique Brands</t>
        </is>
      </c>
      <c r="AO6" s="59" t="n"/>
      <c r="AP6" s="59" t="n">
        <v>0</v>
      </c>
      <c r="AQ6" s="59" t="n">
        <v>18</v>
      </c>
      <c r="AR6" s="155" t="inlineStr">
        <is>
          <t>Odoo Universal Unique Brands › Bodega 25 › Bodega 25/General: 6 | Odoo Universal Unique Brands › Bodega 25 › Bodega 25/Output: 12</t>
        </is>
      </c>
    </row>
    <row r="7">
      <c r="A7" s="50" t="inlineStr">
        <is>
          <t>087327003624</t>
        </is>
      </c>
      <c r="B7" s="51" t="inlineStr">
        <is>
          <t>111723</t>
        </is>
      </c>
      <c r="C7" s="156" t="inlineStr">
        <is>
          <t>Multimarca</t>
        </is>
      </c>
      <c r="D7" s="156" t="inlineStr">
        <is>
          <t>92235</t>
        </is>
      </c>
      <c r="E7" s="156" t="inlineStr">
        <is>
          <t>92235-3.4oz/100mL</t>
        </is>
      </c>
      <c r="F7" s="156" t="inlineStr">
        <is>
          <t>100 ml</t>
        </is>
      </c>
      <c r="G7" s="156" t="inlineStr">
        <is>
          <t>3.4 / 3.5 fl oz</t>
        </is>
      </c>
      <c r="H7" s="156" t="inlineStr">
        <is>
          <t>Tru Western</t>
        </is>
      </c>
      <c r="I7" s="156" t="inlineStr">
        <is>
          <t>Perfume PBR Black &amp; Blue</t>
        </is>
      </c>
      <c r="J7" s="156" t="inlineStr">
        <is>
          <t>Accesorios</t>
        </is>
      </c>
      <c r="K7" s="156" t="inlineStr">
        <is>
          <t>Fragancias</t>
        </is>
      </c>
      <c r="L7" s="156" t="inlineStr">
        <is>
          <t>Unisex</t>
        </is>
      </c>
      <c r="M7" s="156" t="inlineStr">
        <is>
          <t>Tru Western</t>
        </is>
      </c>
      <c r="N7" s="156" t="inlineStr">
        <is>
          <t>SS26</t>
        </is>
      </c>
      <c r="O7" s="156" t="inlineStr">
        <is>
          <t>Seasonal</t>
        </is>
      </c>
      <c r="P7" s="156" t="inlineStr">
        <is>
          <t>Negro</t>
        </is>
      </c>
      <c r="Q7" s="156" t="n"/>
      <c r="R7" s="156" t="n"/>
      <c r="S7" s="156" t="n"/>
      <c r="T7" s="156" t="inlineStr">
        <is>
          <t>Perfume PBR Black &amp; Blue. Fragancia de la marca Tru Western. Estilo 92235.</t>
        </is>
      </c>
      <c r="U7" s="156" t="inlineStr">
        <is>
          <t>Estados Unidos</t>
        </is>
      </c>
      <c r="V7" s="156" t="inlineStr">
        <is>
          <t>PZS</t>
        </is>
      </c>
      <c r="W7" s="51" t="inlineStr">
        <is>
          <t>53131620</t>
        </is>
      </c>
      <c r="X7" s="156" t="inlineStr">
        <is>
          <t>https://m-universal-unique-brands.odoo.com/web/image/product.product/27681/image_1920</t>
        </is>
      </c>
      <c r="Y7" s="54" t="n">
        <v>301.7</v>
      </c>
      <c r="Z7" s="54" t="n">
        <v>1033.62069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IFERROR(_xlfn.XMATCH(A7,$A$2:$A$52,0,1)&lt;&gt;_xlfn.XMATCH(A7,$A$2:$A$52,0,-1),FALSE)), "Código de barras duplicado", ""), IF(AND(E7&lt;&gt;"", COUNTIF($E$2:$E$52,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inlineStr">
        <is>
          <t>Homologación G1522: integra 1 registro(s) iguales por mismo código de barras</t>
        </is>
      </c>
      <c r="AD7" s="51" t="n">
        <v>0</v>
      </c>
      <c r="AE7" s="156" t="n"/>
      <c r="AF7" s="51" t="n">
        <v>0</v>
      </c>
      <c r="AG7" s="156" t="inlineStr">
        <is>
          <t>Nuevo – NetSuite sin existencia</t>
        </is>
      </c>
      <c r="AH7" s="156" t="inlineStr">
        <is>
          <t>Revisión 29/09/2026: Campos sin respaldo: S, X; Auditoría NetSuite 30/09/2026: llenado desde NetSuite [H,V,Y] | 01/10/2026: complementado desde Shopify Western Brothers (match por código de barras): WB Color, WB Fit, WB Silueta | 01/10/2026: Shopify Western Brothers trae Género «Hombre» — se conservó el valor de Productos | Homologación G1522 06/10/2026: WB País de origen: «USA» → «Estados Unidos» (Corrección aplicada) · Código de barras: «87327003624» → «087327003624» (Corrección aplicada) · Marca principal: «Tru Western» → «Multimarca» (Conflicto entre duplicados) · WB SKU: «92235» → «92235-3.4oz/100mL» (Conflicto entre duplicados) · WB Descripcion: «Tru Western - PBR - EDC - 100mL - Black &amp; Blue» → «Perfume PBR Black &amp; Blue» (Conflicto entre duplicados) · Enlace de imagen: «» → «https://m-universal-unique-brands.odoo.com/web/image/product.product/27681/image_1920» (Integrado de duplicado) · Precio de compra: «50» → «301.7» (Conflicto entre duplicados) · Precio de venta: «569» → «1033.62069» (Conflicto entre duplicados)</t>
        </is>
      </c>
      <c r="AI7" s="156" t="inlineStr">
        <is>
          <t>No</t>
        </is>
      </c>
      <c r="AJ7" s="156" t="n"/>
      <c r="AK7" s="155" t="inlineStr">
        <is>
          <t>ProductosCatalogoEstandar907.xlsx: fila 50859 [N,O,U,Y] | Catálogo y Criterios: F [G]; G1522_Extraccion_Articulos_NetSuite_2026-09-30.xlsx: fila 59371 [H,V,Y] | Shopify WB: producto 8576547717305 / variante 47777666793657; Hoja2: fila 417 | Odoo: producto 27681 / plantilla 34417</t>
        </is>
      </c>
      <c r="AL7" s="58" t="n"/>
      <c r="AM7" s="58" t="n">
        <v>1199.0000004</v>
      </c>
      <c r="AN7" s="155" t="inlineStr">
        <is>
          <t>Shopify Western Brothers; Odoo Universal Unique Brands</t>
        </is>
      </c>
      <c r="AO7" s="59" t="n"/>
      <c r="AP7" s="59" t="n">
        <v>0</v>
      </c>
      <c r="AQ7" s="59" t="n">
        <v>-4</v>
      </c>
      <c r="AR7" s="155" t="inlineStr">
        <is>
          <t>Odoo Universal Unique Brands › Bodega 25 › Bodega 25/Output: 12</t>
        </is>
      </c>
    </row>
    <row r="8">
      <c r="A8" s="50" t="inlineStr">
        <is>
          <t>087327003716</t>
        </is>
      </c>
      <c r="B8" s="51" t="inlineStr">
        <is>
          <t>111732</t>
        </is>
      </c>
      <c r="C8" s="156" t="inlineStr">
        <is>
          <t>Multimarca</t>
        </is>
      </c>
      <c r="D8" s="156" t="inlineStr">
        <is>
          <t>92701</t>
        </is>
      </c>
      <c r="E8" s="156" t="inlineStr">
        <is>
          <t>92701-3.4oz/100mL</t>
        </is>
      </c>
      <c r="F8" s="156" t="inlineStr">
        <is>
          <t>100 ml</t>
        </is>
      </c>
      <c r="G8" s="156" t="inlineStr">
        <is>
          <t>3.4 / 3.5 fl oz</t>
        </is>
      </c>
      <c r="H8" s="156" t="inlineStr">
        <is>
          <t>Tru Western</t>
        </is>
      </c>
      <c r="I8" s="156" t="inlineStr">
        <is>
          <t>Perfume Wild &amp; Free Amber Sundance</t>
        </is>
      </c>
      <c r="J8" s="156" t="inlineStr">
        <is>
          <t>Accesorios</t>
        </is>
      </c>
      <c r="K8" s="156" t="inlineStr">
        <is>
          <t>Fragancias</t>
        </is>
      </c>
      <c r="L8" s="156" t="inlineStr">
        <is>
          <t>Unisex</t>
        </is>
      </c>
      <c r="M8" s="156" t="inlineStr">
        <is>
          <t>Tru Western</t>
        </is>
      </c>
      <c r="N8" s="156" t="inlineStr">
        <is>
          <t>SS26</t>
        </is>
      </c>
      <c r="O8" s="156" t="inlineStr">
        <is>
          <t>Seasonal</t>
        </is>
      </c>
      <c r="P8" s="156" t="n"/>
      <c r="Q8" s="156" t="n"/>
      <c r="R8" s="156" t="n"/>
      <c r="S8" s="156" t="n"/>
      <c r="T8" s="156" t="inlineStr">
        <is>
          <t>Perfume Wild &amp; Free Amber Sundance. Fragancia de la marca Tru Western. Estilo 92701.</t>
        </is>
      </c>
      <c r="U8" s="156" t="inlineStr">
        <is>
          <t>Estados Unidos</t>
        </is>
      </c>
      <c r="V8" s="156" t="inlineStr">
        <is>
          <t>PZS</t>
        </is>
      </c>
      <c r="W8" s="51" t="inlineStr">
        <is>
          <t>53131620</t>
        </is>
      </c>
      <c r="X8" s="156" t="inlineStr">
        <is>
          <t>https://m-universal-unique-brands.odoo.com/web/image/product.product/27706/image_1920</t>
        </is>
      </c>
      <c r="Y8" s="54" t="n">
        <v>211.225</v>
      </c>
      <c r="Z8" s="54" t="n">
        <v>731.8965517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IFERROR(_xlfn.XMATCH(A8,$A$2:$A$52,0,1)&lt;&gt;_xlfn.XMATCH(A8,$A$2:$A$52,0,-1),FALSE)), "Código de barras duplicado", ""), IF(AND(E8&lt;&gt;"", COUNTIF($E$2:$E$52,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inlineStr">
        <is>
          <t>Homologación G1522: integra 1 registro(s) iguales por mismo código de barras</t>
        </is>
      </c>
      <c r="AD8" s="51" t="n">
        <v>0</v>
      </c>
      <c r="AE8" s="156" t="n"/>
      <c r="AF8" s="51" t="n">
        <v>0</v>
      </c>
      <c r="AG8" s="156" t="inlineStr">
        <is>
          <t>Nuevo – NetSuite sin existencia</t>
        </is>
      </c>
      <c r="AH8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«87327003716» → «087327003716» (Corrección aplicada) · Marca principal: «Tru Western» → «Multimarca» (Conflicto entre duplicados) · WB SKU: «92701» → «92701-3.4oz/100mL» (Conflicto entre duplicados) · WB Descripcion: «Tru Western - Wild &amp; Free - EDP - 100mL - Amber Sundance» → «Perfume Wild &amp; Free Amber Sundance» (Conflicto entre duplicados) · Enlace de imagen: «» → «https://m-universal-unique-brands.odoo.com/web/image/product.product/27706/image_1920» (Integrado de duplicado) · Precio de compra: «35» → «211.225» (Conflicto entre duplicados) · Precio de venta: «399» → «731.8965517» (Conflicto entre duplicados)</t>
        </is>
      </c>
      <c r="AI8" s="156" t="inlineStr">
        <is>
          <t>No</t>
        </is>
      </c>
      <c r="AJ8" s="156" t="n"/>
      <c r="AK8" s="155" t="inlineStr">
        <is>
          <t>ProductosCatalogoEstandar907.xlsx: fila 50860 [N,O,U,Y] | Catálogo y Criterios: F [G]; G1522_Extraccion_Articulos_NetSuite_2026-09-30.xlsx: fila 59380 [H,V,Y] | Shopify WB: producto 8576548044985 / variante 47777667285177; Hoja2: fila 418 | Odoo: producto 27706 / plantilla 34442</t>
        </is>
      </c>
      <c r="AL8" s="58" t="n"/>
      <c r="AM8" s="58" t="n">
        <v>848.99999997</v>
      </c>
      <c r="AN8" s="155" t="inlineStr">
        <is>
          <t>Shopify Western Brothers; Odoo Universal Unique Brands</t>
        </is>
      </c>
      <c r="AO8" s="59" t="n"/>
      <c r="AP8" s="59" t="n">
        <v>0</v>
      </c>
      <c r="AQ8" s="59" t="n">
        <v>14</v>
      </c>
      <c r="AR8" s="155" t="inlineStr">
        <is>
          <t>Odoo Universal Unique Brands › Bodega 25 › Bodega 25/General: 1 | Odoo Universal Unique Brands › Bodega 25 › Bodega 25/Output: 13</t>
        </is>
      </c>
    </row>
    <row r="9">
      <c r="A9" s="50" t="inlineStr">
        <is>
          <t>087327004386</t>
        </is>
      </c>
      <c r="B9" s="51" t="inlineStr">
        <is>
          <t>111722</t>
        </is>
      </c>
      <c r="C9" s="156" t="inlineStr">
        <is>
          <t>Multimarca</t>
        </is>
      </c>
      <c r="D9" s="156" t="inlineStr">
        <is>
          <t>92997</t>
        </is>
      </c>
      <c r="E9" s="156" t="inlineStr">
        <is>
          <t>92997-3.4oz/100mL</t>
        </is>
      </c>
      <c r="F9" s="156" t="inlineStr">
        <is>
          <t>100 ml</t>
        </is>
      </c>
      <c r="G9" s="156" t="inlineStr">
        <is>
          <t>3.4 / 3.5 fl oz</t>
        </is>
      </c>
      <c r="H9" s="156" t="inlineStr">
        <is>
          <t>Tru Western</t>
        </is>
      </c>
      <c r="I9" s="156" t="inlineStr">
        <is>
          <t>Perfume PBR Black &amp; Blue Flame</t>
        </is>
      </c>
      <c r="J9" s="156" t="inlineStr">
        <is>
          <t>Accesorios</t>
        </is>
      </c>
      <c r="K9" s="156" t="inlineStr">
        <is>
          <t>Fragancias</t>
        </is>
      </c>
      <c r="L9" s="156" t="inlineStr">
        <is>
          <t>Unisex</t>
        </is>
      </c>
      <c r="M9" s="156" t="inlineStr">
        <is>
          <t>Tru Western</t>
        </is>
      </c>
      <c r="N9" s="156" t="inlineStr">
        <is>
          <t>SS26</t>
        </is>
      </c>
      <c r="O9" s="156" t="inlineStr">
        <is>
          <t>Seasonal</t>
        </is>
      </c>
      <c r="P9" s="156" t="inlineStr">
        <is>
          <t>Negro</t>
        </is>
      </c>
      <c r="Q9" s="156" t="n"/>
      <c r="R9" s="156" t="n"/>
      <c r="S9" s="156" t="n"/>
      <c r="T9" s="156" t="inlineStr">
        <is>
          <t>Perfume PBR Black &amp; Blue Flame. Fragancia de la marca Tru Western. Estilo 92997.</t>
        </is>
      </c>
      <c r="U9" s="156" t="inlineStr">
        <is>
          <t>Estados Unidos</t>
        </is>
      </c>
      <c r="V9" s="156" t="inlineStr">
        <is>
          <t>PZS</t>
        </is>
      </c>
      <c r="W9" s="51" t="inlineStr">
        <is>
          <t>53131620</t>
        </is>
      </c>
      <c r="X9" s="156" t="inlineStr">
        <is>
          <t>https://m-universal-unique-brands.odoo.com/web/image/product.product/27679/image_1920</t>
        </is>
      </c>
      <c r="Y9" s="54" t="n">
        <v>301.7</v>
      </c>
      <c r="Z9" s="54" t="n">
        <v>1033.62069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IFERROR(_xlfn.XMATCH(A9,$A$2:$A$52,0,1)&lt;&gt;_xlfn.XMATCH(A9,$A$2:$A$52,0,-1),FALSE)), "Código de barras duplicado", ""), IF(AND(E9&lt;&gt;"", COUNTIF($E$2:$E$52,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inlineStr">
        <is>
          <t>Homologación G1522: integra 1 registro(s) iguales por mismo código de barras</t>
        </is>
      </c>
      <c r="AD9" s="51" t="n">
        <v>0</v>
      </c>
      <c r="AE9" s="156" t="n"/>
      <c r="AF9" s="51" t="n">
        <v>0</v>
      </c>
      <c r="AG9" s="156" t="inlineStr">
        <is>
          <t>Nuevo – NetSuite sin existencia</t>
        </is>
      </c>
      <c r="AH9" s="156" t="inlineStr">
        <is>
          <t>Revisión 29/09/2026: Campos sin respaldo: S, X; Auditoría NetSuite 30/09/2026: llenado desde NetSuite [H,V,Y] | 01/10/2026: complementado desde Shopify Western Brothers (match por código de barras): WB Color, WB Fit, WB Silueta | 01/10/2026: Shopify Western Brothers trae Género «Hombre» — se conservó el valor de Productos | Homologación G1522 06/10/2026: WB País de origen: «USA» → «Estados Unidos» (Corrección aplicada) · Código de barras: «87327004386» → «087327004386» (Corrección aplicada) · Marca principal: «Tru Western» → «Multimarca» (Conflicto entre duplicados) · WB SKU: «92997» → «92997-3.4oz/100mL» (Conflicto entre duplicados) · WB Descripcion: «Tru Western - PBR - EDC - 100mL - Black &amp; Blue Flame» → «Perfume PBR Black &amp; Blue Flame» (Conflicto entre duplicados) · Enlace de imagen: «» → «https://m-universal-unique-brands.odoo.com/web/image/product.product/27679/image_1920» (Integrado de duplicado) · Precio de compra: «50» → «301.7» (Conflicto entre duplicados) · Precio de venta: «569» → «1033.62069» (Conflicto entre duplicados)</t>
        </is>
      </c>
      <c r="AI9" s="156" t="inlineStr">
        <is>
          <t>No</t>
        </is>
      </c>
      <c r="AJ9" s="156" t="n"/>
      <c r="AK9" s="155" t="inlineStr">
        <is>
          <t>ProductosCatalogoEstandar907.xlsx: fila 50861 [N,O,U,Y] | Catálogo y Criterios: F [G]; G1522_Extraccion_Articulos_NetSuite_2026-09-30.xlsx: fila 59370 [H,V,Y] | Shopify WB: producto 8576547586233 / variante 47777666433209; Hoja2: fila 420 | Odoo: producto 27679 / plantilla 34415</t>
        </is>
      </c>
      <c r="AL9" s="58" t="n"/>
      <c r="AM9" s="58" t="n">
        <v>1199.0000004</v>
      </c>
      <c r="AN9" s="155" t="inlineStr">
        <is>
          <t>Shopify Western Brothers; Odoo Universal Unique Brands</t>
        </is>
      </c>
      <c r="AO9" s="59" t="n"/>
      <c r="AP9" s="59" t="n">
        <v>0</v>
      </c>
      <c r="AQ9" s="59" t="n">
        <v>-6</v>
      </c>
      <c r="AR9" s="155" t="inlineStr">
        <is>
          <t>Odoo Universal Unique Brands › Bodega 25 › Bodega 25/Output: 12</t>
        </is>
      </c>
    </row>
    <row r="10">
      <c r="A10" s="50" t="inlineStr">
        <is>
          <t>087327006052</t>
        </is>
      </c>
      <c r="B10" s="51" t="inlineStr">
        <is>
          <t>111725</t>
        </is>
      </c>
      <c r="C10" s="156" t="inlineStr">
        <is>
          <t>Multimarca</t>
        </is>
      </c>
      <c r="D10" s="156" t="inlineStr">
        <is>
          <t>93956</t>
        </is>
      </c>
      <c r="E10" s="156" t="inlineStr">
        <is>
          <t>93956-3.4oz/100mL</t>
        </is>
      </c>
      <c r="F10" s="156" t="inlineStr">
        <is>
          <t>100 ml</t>
        </is>
      </c>
      <c r="G10" s="156" t="inlineStr">
        <is>
          <t>3.4 / 3.5 fl oz</t>
        </is>
      </c>
      <c r="H10" s="156" t="inlineStr">
        <is>
          <t>Tru Western</t>
        </is>
      </c>
      <c r="I10" s="156" t="inlineStr">
        <is>
          <t>Perfume PBR 8 Seconds Fury</t>
        </is>
      </c>
      <c r="J10" s="156" t="inlineStr">
        <is>
          <t>Accesorios</t>
        </is>
      </c>
      <c r="K10" s="156" t="inlineStr">
        <is>
          <t>Fragancias</t>
        </is>
      </c>
      <c r="L10" s="156" t="inlineStr">
        <is>
          <t>Unisex</t>
        </is>
      </c>
      <c r="M10" s="156" t="inlineStr">
        <is>
          <t>Tru Western</t>
        </is>
      </c>
      <c r="N10" s="156" t="inlineStr">
        <is>
          <t>SS26</t>
        </is>
      </c>
      <c r="O10" s="156" t="inlineStr">
        <is>
          <t>Seasonal</t>
        </is>
      </c>
      <c r="P10" s="156" t="n"/>
      <c r="Q10" s="156" t="n"/>
      <c r="R10" s="156" t="n"/>
      <c r="S10" s="156" t="n"/>
      <c r="T10" s="156" t="inlineStr">
        <is>
          <t>Perfume PBR 8 Seconds Fury. Fragancia de la marca Tru Western. Estilo 93956.</t>
        </is>
      </c>
      <c r="U10" s="156" t="inlineStr">
        <is>
          <t>Estados Unidos</t>
        </is>
      </c>
      <c r="V10" s="156" t="inlineStr">
        <is>
          <t>PZS</t>
        </is>
      </c>
      <c r="W10" s="51" t="inlineStr">
        <is>
          <t>53131620</t>
        </is>
      </c>
      <c r="X10" s="156" t="n"/>
      <c r="Y10" s="54" t="n">
        <v>301.7</v>
      </c>
      <c r="Z10" s="54" t="n">
        <v>1033.62069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IFERROR(_xlfn.XMATCH(A10,$A$2:$A$52,0,1)&lt;&gt;_xlfn.XMATCH(A10,$A$2:$A$52,0,-1),FALSE)), "Código de barras duplicado", ""), IF(AND(E10&lt;&gt;"", COUNTIF($E$2:$E$52,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0</v>
      </c>
      <c r="AE10" s="156" t="n"/>
      <c r="AF10" s="51" t="n">
        <v>0</v>
      </c>
      <c r="AG10" s="156" t="inlineStr">
        <is>
          <t>Nuevo – NetSuite sin existencia</t>
        </is>
      </c>
      <c r="AH10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</t>
        </is>
      </c>
      <c r="AI10" s="156" t="inlineStr">
        <is>
          <t>No</t>
        </is>
      </c>
      <c r="AJ10" s="156" t="n"/>
      <c r="AK10" s="155" t="inlineStr">
        <is>
          <t>ProductosCatalogoEstandar907.xlsx: fila 50862 [N,O,U,Y] | Catálogo y Criterios: F [G]; G1522_Extraccion_Articulos_NetSuite_2026-09-30.xlsx: fila 59373 [H,V,Y] | Shopify WB: producto 8576547815609 / variante 47777667055801</t>
        </is>
      </c>
      <c r="AL10" s="58" t="n"/>
      <c r="AM10" s="58" t="n">
        <v>1199.0000004</v>
      </c>
      <c r="AN10" s="155" t="inlineStr">
        <is>
          <t>Shopify Western Brothers</t>
        </is>
      </c>
      <c r="AO10" s="59" t="n"/>
      <c r="AP10" s="59" t="n">
        <v>0</v>
      </c>
      <c r="AQ10" s="59" t="n"/>
      <c r="AR10" s="155" t="n"/>
    </row>
    <row r="11">
      <c r="A11" s="50" t="inlineStr">
        <is>
          <t>087327010219</t>
        </is>
      </c>
      <c r="B11" s="51" t="inlineStr">
        <is>
          <t>111730</t>
        </is>
      </c>
      <c r="C11" s="156" t="inlineStr">
        <is>
          <t>Multimarca</t>
        </is>
      </c>
      <c r="D11" s="156" t="inlineStr">
        <is>
          <t>94434</t>
        </is>
      </c>
      <c r="E11" s="156" t="inlineStr">
        <is>
          <t>94434-1.7oz/50mL</t>
        </is>
      </c>
      <c r="F11" s="156" t="inlineStr">
        <is>
          <t>50 ml</t>
        </is>
      </c>
      <c r="G11" s="156" t="inlineStr">
        <is>
          <t>1.7 fl oz</t>
        </is>
      </c>
      <c r="H11" s="156" t="inlineStr">
        <is>
          <t>Tru Western</t>
        </is>
      </c>
      <c r="I11" s="156" t="inlineStr">
        <is>
          <t>Perfume Love &amp; Lyrics</t>
        </is>
      </c>
      <c r="J11" s="156" t="inlineStr">
        <is>
          <t>Accesorios</t>
        </is>
      </c>
      <c r="K11" s="156" t="inlineStr">
        <is>
          <t>Fragancias</t>
        </is>
      </c>
      <c r="L11" s="156" t="inlineStr">
        <is>
          <t>Unisex</t>
        </is>
      </c>
      <c r="M11" s="156" t="inlineStr">
        <is>
          <t>Tru Western</t>
        </is>
      </c>
      <c r="N11" s="156" t="inlineStr">
        <is>
          <t>SS26</t>
        </is>
      </c>
      <c r="O11" s="156" t="inlineStr">
        <is>
          <t>Seasonal</t>
        </is>
      </c>
      <c r="P11" s="156" t="n"/>
      <c r="Q11" s="156" t="n"/>
      <c r="R11" s="156" t="n"/>
      <c r="S11" s="156" t="n"/>
      <c r="T11" s="156" t="inlineStr">
        <is>
          <t>Perfume Love &amp; Lyrics. Fragancia de la marca Tru Western. Estilo 94434.</t>
        </is>
      </c>
      <c r="U11" s="156" t="inlineStr">
        <is>
          <t>Estados Unidos</t>
        </is>
      </c>
      <c r="V11" s="156" t="inlineStr">
        <is>
          <t>PZS</t>
        </is>
      </c>
      <c r="W11" s="51" t="inlineStr">
        <is>
          <t>53131620</t>
        </is>
      </c>
      <c r="X11" s="156" t="inlineStr">
        <is>
          <t>https://m-universal-unique-brands.odoo.com/web/image/product.product/27702/image_1920</t>
        </is>
      </c>
      <c r="Y11" s="54" t="n">
        <v>211.225</v>
      </c>
      <c r="Z11" s="54" t="n">
        <v>731.8965517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IFERROR(_xlfn.XMATCH(A11,$A$2:$A$52,0,1)&lt;&gt;_xlfn.XMATCH(A11,$A$2:$A$52,0,-1),FALSE)), "Código de barras duplicado", ""), IF(AND(E11&lt;&gt;"", COUNTIF($E$2:$E$52,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inlineStr">
        <is>
          <t>Homologación G1522: integra 1 registro(s) iguales por mismo código de barras</t>
        </is>
      </c>
      <c r="AD11" s="51" t="n">
        <v>0</v>
      </c>
      <c r="AE11" s="156" t="n"/>
      <c r="AF11" s="51" t="n">
        <v>0</v>
      </c>
      <c r="AG11" s="156" t="inlineStr">
        <is>
          <t>Nuevo – NetSuite sin existencia</t>
        </is>
      </c>
      <c r="AH11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«87327010219» → «087327010219» (Corrección aplicada) · Marca principal: «Tru Western» → «Multimarca» (Conflicto entre duplicados) · WB SKU: «94434» → «94434-1.7oz/50mL» (Conflicto entre duplicados) · WB Descripcion: «Tru Western - EDP - 50mL - Love &amp; Lyrics» → «Perfume Love &amp; Lyrics» (Conflicto entre duplicados) · Enlace de imagen: «» → «https://m-universal-unique-brands.odoo.com/web/image/product.product/27702/image_1920» (Integrado de duplicado) · Precio de compra: «35» → «211.225» (Conflicto entre duplicados) · Precio de venta: «399» → «731.8965517» (Conflicto entre duplicados)</t>
        </is>
      </c>
      <c r="AI11" s="156" t="inlineStr">
        <is>
          <t>No</t>
        </is>
      </c>
      <c r="AJ11" s="156" t="n"/>
      <c r="AK11" s="155" t="inlineStr">
        <is>
          <t>ProductosCatalogoEstandar907.xlsx: fila 50911 [N,O,U,Y] | Catálogo y Criterios: F [G]; G1522_Extraccion_Articulos_NetSuite_2026-09-30.xlsx: fila 59378 [H,V,Y] | Shopify WB: producto 8576547979449 / variante 47777667219641; Hoja2: fila 423 | Odoo: producto 27702 / plantilla 34438</t>
        </is>
      </c>
      <c r="AL11" s="58" t="n"/>
      <c r="AM11" s="58" t="n">
        <v>848.99999997</v>
      </c>
      <c r="AN11" s="155" t="inlineStr">
        <is>
          <t>Shopify Western Brothers; Odoo Universal Unique Brands</t>
        </is>
      </c>
      <c r="AO11" s="59" t="n"/>
      <c r="AP11" s="59" t="n">
        <v>0</v>
      </c>
      <c r="AQ11" s="59" t="n">
        <v>14</v>
      </c>
      <c r="AR11" s="155" t="inlineStr">
        <is>
          <t>Odoo Universal Unique Brands › Bodega 25 › Bodega 25/General: 2 | Odoo Universal Unique Brands › Bodega 25 › Bodega 25/Output: 12</t>
        </is>
      </c>
    </row>
    <row r="12">
      <c r="A12" s="50" t="inlineStr">
        <is>
          <t>087327011353</t>
        </is>
      </c>
      <c r="B12" s="51" t="inlineStr">
        <is>
          <t>111724</t>
        </is>
      </c>
      <c r="C12" s="156" t="inlineStr">
        <is>
          <t>Multimarca</t>
        </is>
      </c>
      <c r="D12" s="156" t="inlineStr">
        <is>
          <t>94971</t>
        </is>
      </c>
      <c r="E12" s="156" t="inlineStr">
        <is>
          <t>94971-3.4oz/100mL</t>
        </is>
      </c>
      <c r="F12" s="156" t="inlineStr">
        <is>
          <t>100 ml</t>
        </is>
      </c>
      <c r="G12" s="156" t="inlineStr">
        <is>
          <t>3.4 / 3.5 fl oz</t>
        </is>
      </c>
      <c r="H12" s="156" t="inlineStr">
        <is>
          <t>Tru Western</t>
        </is>
      </c>
      <c r="I12" s="156" t="inlineStr">
        <is>
          <t>Perfume PBR 8 Seconds</t>
        </is>
      </c>
      <c r="J12" s="156" t="inlineStr">
        <is>
          <t>Accesorios</t>
        </is>
      </c>
      <c r="K12" s="156" t="inlineStr">
        <is>
          <t>Fragancias</t>
        </is>
      </c>
      <c r="L12" s="156" t="inlineStr">
        <is>
          <t>Unisex</t>
        </is>
      </c>
      <c r="M12" s="156" t="inlineStr">
        <is>
          <t>Tru Western</t>
        </is>
      </c>
      <c r="N12" s="156" t="inlineStr">
        <is>
          <t>SS26</t>
        </is>
      </c>
      <c r="O12" s="156" t="inlineStr">
        <is>
          <t>Seasonal</t>
        </is>
      </c>
      <c r="P12" s="156" t="n"/>
      <c r="Q12" s="156" t="n"/>
      <c r="R12" s="156" t="n"/>
      <c r="S12" s="156" t="n"/>
      <c r="T12" s="156" t="inlineStr">
        <is>
          <t>Perfume PBR 8 Seconds. Fragancia de la marca Tru Western. Estilo 94971.</t>
        </is>
      </c>
      <c r="U12" s="156" t="inlineStr">
        <is>
          <t>Estados Unidos</t>
        </is>
      </c>
      <c r="V12" s="156" t="inlineStr">
        <is>
          <t>PZS</t>
        </is>
      </c>
      <c r="W12" s="51" t="inlineStr">
        <is>
          <t>53131620</t>
        </is>
      </c>
      <c r="X12" s="156" t="n"/>
      <c r="Y12" s="54" t="n">
        <v>301.7</v>
      </c>
      <c r="Z12" s="54" t="n">
        <v>1033.62069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IFERROR(_xlfn.XMATCH(A12,$A$2:$A$52,0,1)&lt;&gt;_xlfn.XMATCH(A12,$A$2:$A$52,0,-1),FALSE)), "Código de barras duplicado", ""), IF(AND(E12&lt;&gt;"", COUNTIF($E$2:$E$52,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0</v>
      </c>
      <c r="AE12" s="156" t="n"/>
      <c r="AF12" s="51" t="n">
        <v>0</v>
      </c>
      <c r="AG12" s="156" t="inlineStr">
        <is>
          <t>Nuevo – NetSuite sin existencia</t>
        </is>
      </c>
      <c r="AH12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</t>
        </is>
      </c>
      <c r="AI12" s="156" t="inlineStr">
        <is>
          <t>No</t>
        </is>
      </c>
      <c r="AJ12" s="156" t="n"/>
      <c r="AK12" s="155" t="inlineStr">
        <is>
          <t>ProductosCatalogoEstandar907.xlsx: fila 50912 [N,O,U,Y] | Catálogo y Criterios: F [G]; G1522_Extraccion_Articulos_NetSuite_2026-09-30.xlsx: fila 59372 [H,V,Y] | Shopify WB: producto 8576547782841 / variante 47777666990265</t>
        </is>
      </c>
      <c r="AL12" s="58" t="n"/>
      <c r="AM12" s="58" t="n">
        <v>1199.0000004</v>
      </c>
      <c r="AN12" s="155" t="inlineStr">
        <is>
          <t>Shopify Western Brothers</t>
        </is>
      </c>
      <c r="AO12" s="59" t="n"/>
      <c r="AP12" s="59" t="n">
        <v>0</v>
      </c>
      <c r="AQ12" s="59" t="n"/>
      <c r="AR12" s="155" t="n"/>
    </row>
    <row r="13">
      <c r="A13" s="50" t="inlineStr">
        <is>
          <t>087327012466</t>
        </is>
      </c>
      <c r="B13" s="51" t="inlineStr">
        <is>
          <t>111731</t>
        </is>
      </c>
      <c r="C13" s="156" t="inlineStr">
        <is>
          <t>Multimarca</t>
        </is>
      </c>
      <c r="D13" s="156" t="inlineStr">
        <is>
          <t>95176</t>
        </is>
      </c>
      <c r="E13" s="156" t="inlineStr">
        <is>
          <t>95176-1.7oz/50mL</t>
        </is>
      </c>
      <c r="F13" s="156" t="inlineStr">
        <is>
          <t>50 ml</t>
        </is>
      </c>
      <c r="G13" s="156" t="inlineStr">
        <is>
          <t>1.7 fl oz</t>
        </is>
      </c>
      <c r="H13" s="156" t="inlineStr">
        <is>
          <t>Tru Western</t>
        </is>
      </c>
      <c r="I13" s="156" t="inlineStr">
        <is>
          <t>Perfume Love &amp; Lyrics Crush</t>
        </is>
      </c>
      <c r="J13" s="156" t="inlineStr">
        <is>
          <t>Accesorios</t>
        </is>
      </c>
      <c r="K13" s="156" t="inlineStr">
        <is>
          <t>Fragancias</t>
        </is>
      </c>
      <c r="L13" s="156" t="inlineStr">
        <is>
          <t>Unisex</t>
        </is>
      </c>
      <c r="M13" s="156" t="inlineStr">
        <is>
          <t>Tru Western</t>
        </is>
      </c>
      <c r="N13" s="156" t="inlineStr">
        <is>
          <t>SS26</t>
        </is>
      </c>
      <c r="O13" s="156" t="inlineStr">
        <is>
          <t>Seasonal</t>
        </is>
      </c>
      <c r="P13" s="156" t="n"/>
      <c r="Q13" s="156" t="n"/>
      <c r="R13" s="156" t="n"/>
      <c r="S13" s="156" t="n"/>
      <c r="T13" s="156" t="inlineStr">
        <is>
          <t>Perfume Love &amp; Lyrics Crush. Fragancia de la marca Tru Western. Estilo 95176.</t>
        </is>
      </c>
      <c r="U13" s="156" t="inlineStr">
        <is>
          <t>Estados Unidos</t>
        </is>
      </c>
      <c r="V13" s="156" t="inlineStr">
        <is>
          <t>PZS</t>
        </is>
      </c>
      <c r="W13" s="51" t="inlineStr">
        <is>
          <t>53131620</t>
        </is>
      </c>
      <c r="X13" s="156" t="inlineStr">
        <is>
          <t>https://m-universal-unique-brands.odoo.com/web/image/product.product/27704/image_1920</t>
        </is>
      </c>
      <c r="Y13" s="54" t="n">
        <v>211.225</v>
      </c>
      <c r="Z13" s="54" t="n">
        <v>731.8965517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IFERROR(_xlfn.XMATCH(A13,$A$2:$A$52,0,1)&lt;&gt;_xlfn.XMATCH(A13,$A$2:$A$52,0,-1),FALSE)), "Código de barras duplicado", ""), IF(AND(E13&lt;&gt;"", COUNTIF($E$2:$E$52,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inlineStr">
        <is>
          <t>Homologación G1522: integra 1 registro(s) iguales por mismo código de barras</t>
        </is>
      </c>
      <c r="AD13" s="51" t="n">
        <v>0</v>
      </c>
      <c r="AE13" s="156" t="n"/>
      <c r="AF13" s="51" t="n">
        <v>0</v>
      </c>
      <c r="AG13" s="156" t="inlineStr">
        <is>
          <t>Nuevo – NetSuite sin existencia</t>
        </is>
      </c>
      <c r="AH13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«87327012466» → «087327012466» (Corrección aplicada) · Marca principal: «Tru Western» → «Multimarca» (Conflicto entre duplicados) · WB SKU: «95176» → «95176-1.7oz/50mL» (Conflicto entre duplicados) · WB Descripcion: «Tru Western - EDP - 50mL - Love &amp; Lyrics Crush» → «Perfume Love &amp; Lyrics Crush» (Conflicto entre duplicados) · Enlace de imagen: «» → «https://m-universal-unique-brands.odoo.com/web/image/product.product/27704/image_1920» (Integrado de duplicado) · Precio de compra: «35» → «211.225» (Conflicto entre duplicados) · Precio de venta: «399» → «731.8965517» (Conflicto entre duplicados)</t>
        </is>
      </c>
      <c r="AI13" s="156" t="inlineStr">
        <is>
          <t>No</t>
        </is>
      </c>
      <c r="AJ13" s="156" t="n"/>
      <c r="AK13" s="155" t="inlineStr">
        <is>
          <t>ProductosCatalogoEstandar907.xlsx: fila 50924 [N,O,U,Y] | Catálogo y Criterios: F [G]; G1522_Extraccion_Articulos_NetSuite_2026-09-30.xlsx: fila 59379 [H,V,Y] | Shopify WB: producto 8576548012217 / variante 47777667252409; Hoja2: fila 426 | Odoo: producto 27704 / plantilla 34440</t>
        </is>
      </c>
      <c r="AL13" s="58" t="n"/>
      <c r="AM13" s="58" t="n">
        <v>848.99999997</v>
      </c>
      <c r="AN13" s="155" t="inlineStr">
        <is>
          <t>Shopify Western Brothers; Odoo Universal Unique Brands</t>
        </is>
      </c>
      <c r="AO13" s="59" t="n"/>
      <c r="AP13" s="59" t="n">
        <v>0</v>
      </c>
      <c r="AQ13" s="59" t="n">
        <v>15</v>
      </c>
      <c r="AR13" s="155" t="inlineStr">
        <is>
          <t>Odoo Universal Unique Brands › Bodega 25 › Bodega 25/General: 2 | Odoo Universal Unique Brands › Bodega 25 › Bodega 25/Output: 13</t>
        </is>
      </c>
    </row>
    <row r="14">
      <c r="A14" s="50" t="inlineStr">
        <is>
          <t>087327012480</t>
        </is>
      </c>
      <c r="B14" s="51" t="inlineStr">
        <is>
          <t>111721</t>
        </is>
      </c>
      <c r="C14" s="156" t="inlineStr">
        <is>
          <t>Multimarca</t>
        </is>
      </c>
      <c r="D14" s="156" t="inlineStr">
        <is>
          <t>95194</t>
        </is>
      </c>
      <c r="E14" s="156" t="inlineStr">
        <is>
          <t>95194-3.4oz/100mL</t>
        </is>
      </c>
      <c r="F14" s="156" t="inlineStr">
        <is>
          <t>100 ml</t>
        </is>
      </c>
      <c r="G14" s="156" t="inlineStr">
        <is>
          <t>3.4 / 3.5 fl oz</t>
        </is>
      </c>
      <c r="H14" s="156" t="inlineStr">
        <is>
          <t>Tru Western</t>
        </is>
      </c>
      <c r="I14" s="156" t="inlineStr">
        <is>
          <t>Perfume Cowboy Gunslinger</t>
        </is>
      </c>
      <c r="J14" s="156" t="inlineStr">
        <is>
          <t>Accesorios</t>
        </is>
      </c>
      <c r="K14" s="156" t="inlineStr">
        <is>
          <t>Fragancias</t>
        </is>
      </c>
      <c r="L14" s="156" t="inlineStr">
        <is>
          <t>Unisex</t>
        </is>
      </c>
      <c r="M14" s="156" t="inlineStr">
        <is>
          <t>Tru Western</t>
        </is>
      </c>
      <c r="N14" s="156" t="inlineStr">
        <is>
          <t>SS26</t>
        </is>
      </c>
      <c r="O14" s="156" t="inlineStr">
        <is>
          <t>Seasonal</t>
        </is>
      </c>
      <c r="P14" s="156" t="n"/>
      <c r="Q14" s="156" t="n"/>
      <c r="R14" s="156" t="n"/>
      <c r="S14" s="156" t="n"/>
      <c r="T14" s="156" t="inlineStr">
        <is>
          <t>Perfume Cowboy Gunslinger. Fragancia de la marca Tru Western. Estilo 95194.</t>
        </is>
      </c>
      <c r="U14" s="156" t="inlineStr">
        <is>
          <t>Estados Unidos</t>
        </is>
      </c>
      <c r="V14" s="156" t="inlineStr">
        <is>
          <t>PZS</t>
        </is>
      </c>
      <c r="W14" s="51" t="inlineStr">
        <is>
          <t>53131620</t>
        </is>
      </c>
      <c r="X14" s="156" t="inlineStr">
        <is>
          <t>https://m-universal-unique-brands.odoo.com/web/image/product.product/27675/image_1920</t>
        </is>
      </c>
      <c r="Y14" s="54" t="n">
        <v>266.875</v>
      </c>
      <c r="Z14" s="54" t="n">
        <v>904.3103448000001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IFERROR(_xlfn.XMATCH(A14,$A$2:$A$52,0,1)&lt;&gt;_xlfn.XMATCH(A14,$A$2:$A$52,0,-1),FALSE)), "Código de barras duplicado", ""), IF(AND(E14&lt;&gt;"", COUNTIF($E$2:$E$52,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inlineStr">
        <is>
          <t>Homologación G1522: integra 1 registro(s) iguales por mismo código de barras</t>
        </is>
      </c>
      <c r="AD14" s="51" t="n">
        <v>4</v>
      </c>
      <c r="AE14" s="156" t="inlineStr">
        <is>
          <t>WB OUTLET LERMA: 4</t>
        </is>
      </c>
      <c r="AF14" s="51" t="n">
        <v>4</v>
      </c>
      <c r="AG14" s="156" t="inlineStr">
        <is>
          <t>Nuevo – NetSuite con existencia</t>
        </is>
      </c>
      <c r="AH14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«87327012480» → «087327012480» (Corrección aplicada) · Marca principal: «Tru Western» → «Multimarca» (Conflicto entre duplicados) · WB SKU: «95194» → «95194-3.4oz/100mL» (Conflicto entre duplicados) · WB Descripcion: «Tru Western - EDC - 100mL - Cowboy Gunslinger» → «Perfume Cowboy Gunslinger» (Conflicto entre duplicados) · Enlace de imagen: «» → «https://m-universal-unique-brands.odoo.com/web/image/product.product/27675/image_1920» (Integrado de duplicado) · Precio de compra: «45» → «266.875» (Conflicto entre duplicados) · Precio de venta: «499» → «904.3103448» (Conflicto entre duplicados)</t>
        </is>
      </c>
      <c r="AI14" s="156" t="inlineStr">
        <is>
          <t>No</t>
        </is>
      </c>
      <c r="AJ14" s="156" t="n"/>
      <c r="AK14" s="155" t="inlineStr">
        <is>
          <t>ProductosCatalogoEstandar907.xlsx: fila 50925 [N,O,U,Y] | Catálogo y Criterios: F [G]; G1522_Extraccion_Articulos_NetSuite_2026-09-30.xlsx: fila 59369 [H,V,Y] | Shopify WB: producto 8576547487929 / variante 47777664499897; Hoja2: fila 428 | Odoo: producto 27675 / plantilla 34411</t>
        </is>
      </c>
      <c r="AL14" s="58" t="n">
        <v>366.245</v>
      </c>
      <c r="AM14" s="58" t="n">
        <v>1048.99999997</v>
      </c>
      <c r="AN14" s="155" t="inlineStr">
        <is>
          <t>Shopify Western Brothers; Odoo Universal Unique Brands</t>
        </is>
      </c>
      <c r="AO14" s="59" t="n"/>
      <c r="AP14" s="59" t="n">
        <v>4</v>
      </c>
      <c r="AQ14" s="59" t="n">
        <v>2</v>
      </c>
      <c r="AR14" s="155" t="inlineStr">
        <is>
          <t>Shopify Western Brothers › Western Brothers Outlet Lerma: 4; Odoo Universal Unique Brands › Bodega 25 › Bodega 25/Output: 12</t>
        </is>
      </c>
    </row>
    <row r="15">
      <c r="A15" s="50" t="inlineStr">
        <is>
          <t>087327012954</t>
        </is>
      </c>
      <c r="B15" s="51" t="inlineStr">
        <is>
          <t>111707</t>
        </is>
      </c>
      <c r="C15" s="156" t="inlineStr">
        <is>
          <t>Multimarca</t>
        </is>
      </c>
      <c r="D15" s="156" t="inlineStr">
        <is>
          <t>95302</t>
        </is>
      </c>
      <c r="E15" s="156" t="inlineStr">
        <is>
          <t>95302-3.4oz/100mL</t>
        </is>
      </c>
      <c r="F15" s="156" t="inlineStr">
        <is>
          <t>100 ml</t>
        </is>
      </c>
      <c r="G15" s="156" t="inlineStr">
        <is>
          <t>3.4 / 3.5 fl oz</t>
        </is>
      </c>
      <c r="H15" s="156" t="inlineStr">
        <is>
          <t>Tru Western</t>
        </is>
      </c>
      <c r="I15" s="156" t="inlineStr">
        <is>
          <t>Perfume Yellowstone Eau de Cologne</t>
        </is>
      </c>
      <c r="J15" s="156" t="inlineStr">
        <is>
          <t>Accesorios</t>
        </is>
      </c>
      <c r="K15" s="156" t="inlineStr">
        <is>
          <t>Fragancias</t>
        </is>
      </c>
      <c r="L15" s="156" t="inlineStr">
        <is>
          <t>Unisex</t>
        </is>
      </c>
      <c r="M15" s="156" t="inlineStr">
        <is>
          <t>Tru Western</t>
        </is>
      </c>
      <c r="N15" s="156" t="inlineStr">
        <is>
          <t>SS26</t>
        </is>
      </c>
      <c r="O15" s="156" t="inlineStr">
        <is>
          <t>Seasonal</t>
        </is>
      </c>
      <c r="P15" s="156" t="n"/>
      <c r="Q15" s="156" t="n"/>
      <c r="R15" s="156" t="n"/>
      <c r="S15" s="156" t="n"/>
      <c r="T15" s="156" t="inlineStr">
        <is>
          <t>Perfume Yellowstone Eau de Cologne. Fragancia de la marca Tru Western. Estilo 95302.</t>
        </is>
      </c>
      <c r="U15" s="156" t="inlineStr">
        <is>
          <t>Estados Unidos</t>
        </is>
      </c>
      <c r="V15" s="156" t="inlineStr">
        <is>
          <t>PZS</t>
        </is>
      </c>
      <c r="W15" s="51" t="inlineStr">
        <is>
          <t>53131620</t>
        </is>
      </c>
      <c r="X15" s="156" t="inlineStr">
        <is>
          <t>https://m-universal-unique-brands.odoo.com/web/image/product.product/27663/image_1920</t>
        </is>
      </c>
      <c r="Y15" s="54" t="n">
        <v>362.075</v>
      </c>
      <c r="Z15" s="54" t="n">
        <v>1249.137931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IFERROR(_xlfn.XMATCH(A15,$A$2:$A$52,0,1)&lt;&gt;_xlfn.XMATCH(A15,$A$2:$A$52,0,-1),FALSE)), "Código de barras duplicado", ""), IF(AND(E15&lt;&gt;"", COUNTIF($E$2:$E$52,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inlineStr">
        <is>
          <t>Homologación G1522: integra 1 registro(s) iguales por mismo código de barras</t>
        </is>
      </c>
      <c r="AD15" s="51" t="n">
        <v>0</v>
      </c>
      <c r="AE15" s="156" t="n"/>
      <c r="AF15" s="51" t="n">
        <v>0</v>
      </c>
      <c r="AG15" s="156" t="inlineStr">
        <is>
          <t>Nuevo – NetSuite sin existencia</t>
        </is>
      </c>
      <c r="AH15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«87327012954» → «087327012954» (Corrección aplicada) · Marca principal: «Tru Western» → «Multimarca» (Conflicto entre duplicados) · WB SKU: «95302» → «95302-3.4oz/100mL» (Conflicto entre duplicados) · WB Descripcion: «Tru Western - Yellowstone Men's - EDC - 100mL - Original» → «Perfume Yellowstone Eau de Cologne» (Conflicto entre duplicados) · WB Género: «Hombre» → «Unisex» (Conflicto entre duplicados) · WB Licencia: «Yellowstone» → «Tru Western» (Conflicto entre duplicados) · Enlace de imagen: «» → «https://m-universal-unique-brands.odoo.com/web/image/product.product/27663/image_1920» (Integrado de duplicado) · Precio de compra: «60» → «362.075» (Conflicto entre duplicados) · Precio de venta: «679» → «1249.137931» (Conflicto entre duplicados)</t>
        </is>
      </c>
      <c r="AI15" s="156" t="inlineStr">
        <is>
          <t>No</t>
        </is>
      </c>
      <c r="AJ15" s="156" t="n"/>
      <c r="AK15" s="155" t="inlineStr">
        <is>
          <t>ProductosCatalogoEstandar907.xlsx: fila 50926 [N,O,U,Y] | Catálogo y Criterios: F [G]; G1522_Extraccion_Articulos_NetSuite_2026-09-30.xlsx: fila 59355 [H,V,Y] | Shopify WB: producto 8576546832569 / variante 47777662959801; Hoja2: fila 430 | Odoo: producto 27663 / plantilla 34399</t>
        </is>
      </c>
      <c r="AL15" s="58" t="n">
        <v>679</v>
      </c>
      <c r="AM15" s="58" t="n">
        <v>1448.99999996</v>
      </c>
      <c r="AN15" s="155" t="inlineStr">
        <is>
          <t>Shopify Western Brothers; Odoo Universal Unique Brands</t>
        </is>
      </c>
      <c r="AO15" s="59" t="n"/>
      <c r="AP15" s="59" t="n">
        <v>0</v>
      </c>
      <c r="AQ15" s="59" t="n">
        <v>-32</v>
      </c>
      <c r="AR15" s="155" t="inlineStr">
        <is>
          <t>Odoo Universal Unique Brands › Bodega 25 › Bodega 25/Output: 12</t>
        </is>
      </c>
    </row>
    <row r="16">
      <c r="A16" s="50" t="inlineStr">
        <is>
          <t>087327012961</t>
        </is>
      </c>
      <c r="B16" s="51" t="inlineStr">
        <is>
          <t>111713</t>
        </is>
      </c>
      <c r="C16" s="156" t="inlineStr">
        <is>
          <t>Multimarca</t>
        </is>
      </c>
      <c r="D16" s="156" t="inlineStr">
        <is>
          <t>95513</t>
        </is>
      </c>
      <c r="E16" s="156" t="inlineStr">
        <is>
          <t>95513-1.7oz/50mL</t>
        </is>
      </c>
      <c r="F16" s="156" t="inlineStr">
        <is>
          <t>50 ml</t>
        </is>
      </c>
      <c r="G16" s="156" t="inlineStr">
        <is>
          <t>1.7 fl oz</t>
        </is>
      </c>
      <c r="H16" s="156" t="inlineStr">
        <is>
          <t>Tru Western</t>
        </is>
      </c>
      <c r="I16" s="156" t="inlineStr">
        <is>
          <t>Perfume Yellowstone Original Eau de Parfum</t>
        </is>
      </c>
      <c r="J16" s="156" t="inlineStr">
        <is>
          <t>Accesorios</t>
        </is>
      </c>
      <c r="K16" s="156" t="inlineStr">
        <is>
          <t>Fragancias</t>
        </is>
      </c>
      <c r="L16" s="156" t="inlineStr">
        <is>
          <t>Unisex</t>
        </is>
      </c>
      <c r="M16" s="156" t="inlineStr">
        <is>
          <t>Tru Western</t>
        </is>
      </c>
      <c r="N16" s="156" t="inlineStr">
        <is>
          <t>SS26</t>
        </is>
      </c>
      <c r="O16" s="156" t="inlineStr">
        <is>
          <t>Seasonal</t>
        </is>
      </c>
      <c r="P16" s="156" t="n"/>
      <c r="Q16" s="156" t="n"/>
      <c r="R16" s="156" t="n"/>
      <c r="S16" s="156" t="n"/>
      <c r="T16" s="156" t="inlineStr">
        <is>
          <t>Perfume Yellowstone Original Eau de Parfum. Fragancia de la marca Tru Western. Estilo 95513.</t>
        </is>
      </c>
      <c r="U16" s="156" t="inlineStr">
        <is>
          <t>Estados Unidos</t>
        </is>
      </c>
      <c r="V16" s="156" t="inlineStr">
        <is>
          <t>PZS</t>
        </is>
      </c>
      <c r="W16" s="51" t="inlineStr">
        <is>
          <t>53131620</t>
        </is>
      </c>
      <c r="X16" s="156" t="inlineStr">
        <is>
          <t>https://m-universal-unique-brands.odoo.com/web/image/product.product/27693/image_1920</t>
        </is>
      </c>
      <c r="Y16" s="54" t="n">
        <v>331.8</v>
      </c>
      <c r="Z16" s="54" t="n">
        <v>1119.827586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IFERROR(_xlfn.XMATCH(A16,$A$2:$A$52,0,1)&lt;&gt;_xlfn.XMATCH(A16,$A$2:$A$52,0,-1),FALSE)), "Código de barras duplicado", ""), IF(AND(E16&lt;&gt;"", COUNTIF($E$2:$E$52,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inlineStr">
        <is>
          <t>Homologación G1522: integra 1 registro(s) iguales por mismo código de barras</t>
        </is>
      </c>
      <c r="AD16" s="51" t="n">
        <v>5</v>
      </c>
      <c r="AE16" s="156" t="inlineStr">
        <is>
          <t>WB OUTLET LERMA: 5</t>
        </is>
      </c>
      <c r="AF16" s="51" t="n">
        <v>5</v>
      </c>
      <c r="AG16" s="156" t="inlineStr">
        <is>
          <t>Nuevo – NetSuite con existencia</t>
        </is>
      </c>
      <c r="AH16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«87327012961» → «087327012961» (Corrección aplicada) · Marca principal: «Tru Western» → «Multimarca» (Conflicto entre duplicados) · WB SKU: «95513» → «95513-1.7oz/50mL» (Conflicto entre duplicados) · WB Descripcion: «Tru Western - Yellowstone Women's - EDP - 50mL - Original» → «Perfume Yellowstone Original Eau de Parfum» (Conflicto entre duplicados) · WB Género: «Mujer» → «Unisex» (Conflicto entre duplicados) · WB Licencia: «Yellowstone» → «Tru Western» (Conflicto entre duplicados) · Enlace de imagen: «» → «https://m-universal-unique-brands.odoo.com/web/image/product.product/27693/image_1920» (Integrado de duplicado) · Precio de compra: «55» → «331.8» (Conflicto entre duplicados) · Precio de venta: «619» → «1119.827586» (Conflicto entre duplicados)</t>
        </is>
      </c>
      <c r="AI16" s="156" t="inlineStr">
        <is>
          <t>No</t>
        </is>
      </c>
      <c r="AJ16" s="156" t="n"/>
      <c r="AK16" s="155" t="inlineStr">
        <is>
          <t>ProductosCatalogoEstandar907.xlsx: fila 50927 [N,O,U,Y] | Catálogo y Criterios: F [G]; G1522_Extraccion_Articulos_NetSuite_2026-09-30.xlsx: fila 59361 [H,V,Y] | Shopify WB: producto 8576547061945 / variante 47777663484089; Hoja2: fila 431 | Odoo: producto 27693 / plantilla 34429</t>
        </is>
      </c>
      <c r="AL16" s="58" t="n">
        <v>619</v>
      </c>
      <c r="AM16" s="58" t="n">
        <v>1298.99999976</v>
      </c>
      <c r="AN16" s="155" t="inlineStr">
        <is>
          <t>Shopify Western Brothers; Odoo Universal Unique Brands</t>
        </is>
      </c>
      <c r="AO16" s="59" t="n"/>
      <c r="AP16" s="59" t="n">
        <v>5</v>
      </c>
      <c r="AQ16" s="59" t="n">
        <v>26</v>
      </c>
      <c r="AR16" s="155" t="inlineStr">
        <is>
          <t>Shopify Western Brothers › Western Brothers Outlet Lerma: 5; Odoo Universal Unique Brands › Bodega 25 › Bodega 25/General: 11 | Odoo Universal Unique Brands › Bodega 25 › Bodega 25/Output: 15</t>
        </is>
      </c>
    </row>
    <row r="17">
      <c r="A17" s="50" t="inlineStr">
        <is>
          <t>087327014439</t>
        </is>
      </c>
      <c r="B17" s="51" t="inlineStr">
        <is>
          <t>111706</t>
        </is>
      </c>
      <c r="C17" s="156" t="inlineStr">
        <is>
          <t>Multimarca</t>
        </is>
      </c>
      <c r="D17" s="156" t="inlineStr">
        <is>
          <t>96202</t>
        </is>
      </c>
      <c r="E17" s="156" t="inlineStr">
        <is>
          <t>96202-3.4oz/100mL</t>
        </is>
      </c>
      <c r="F17" s="156" t="inlineStr">
        <is>
          <t>100 ml</t>
        </is>
      </c>
      <c r="G17" s="156" t="inlineStr">
        <is>
          <t>3.4 / 3.5 fl oz</t>
        </is>
      </c>
      <c r="H17" s="156" t="inlineStr">
        <is>
          <t>Tru Western</t>
        </is>
      </c>
      <c r="I17" s="156" t="inlineStr">
        <is>
          <t>Perfume Yellowstone Ride Eau de Cologne</t>
        </is>
      </c>
      <c r="J17" s="156" t="inlineStr">
        <is>
          <t>Accesorios</t>
        </is>
      </c>
      <c r="K17" s="156" t="inlineStr">
        <is>
          <t>Fragancias</t>
        </is>
      </c>
      <c r="L17" s="156" t="inlineStr">
        <is>
          <t>Unisex</t>
        </is>
      </c>
      <c r="M17" s="156" t="inlineStr">
        <is>
          <t>Tru Western</t>
        </is>
      </c>
      <c r="N17" s="156" t="inlineStr">
        <is>
          <t>SS26</t>
        </is>
      </c>
      <c r="O17" s="156" t="inlineStr">
        <is>
          <t>Seasonal</t>
        </is>
      </c>
      <c r="P17" s="156" t="n"/>
      <c r="Q17" s="156" t="n"/>
      <c r="R17" s="156" t="n"/>
      <c r="S17" s="156" t="n"/>
      <c r="T17" s="156" t="inlineStr">
        <is>
          <t>Perfume Yellowstone Ride Eau de Cologne. Fragancia de la marca Tru Western. Estilo 96202.</t>
        </is>
      </c>
      <c r="U17" s="156" t="inlineStr">
        <is>
          <t>Estados Unidos</t>
        </is>
      </c>
      <c r="V17" s="156" t="inlineStr">
        <is>
          <t>PZS</t>
        </is>
      </c>
      <c r="W17" s="51" t="inlineStr">
        <is>
          <t>53131620</t>
        </is>
      </c>
      <c r="X17" s="156" t="inlineStr">
        <is>
          <t>https://m-universal-unique-brands.odoo.com/web/image/product.product/27662/image_1920</t>
        </is>
      </c>
      <c r="Y17" s="54" t="n">
        <v>362.075</v>
      </c>
      <c r="Z17" s="54" t="n">
        <v>1249.137931</v>
      </c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IFERROR(_xlfn.XMATCH(A17,$A$2:$A$52,0,1)&lt;&gt;_xlfn.XMATCH(A17,$A$2:$A$52,0,-1),FALSE)), "Código de barras duplicado", ""), IF(AND(E17&lt;&gt;"", COUNTIF($E$2:$E$52,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inlineStr">
        <is>
          <t>Homologación G1522: integra 1 registro(s) iguales por mismo código de barras</t>
        </is>
      </c>
      <c r="AD17" s="51" t="n">
        <v>0</v>
      </c>
      <c r="AE17" s="156" t="n"/>
      <c r="AF17" s="51" t="n">
        <v>0</v>
      </c>
      <c r="AG17" s="156" t="inlineStr">
        <is>
          <t>Nuevo – NetSuite sin existencia</t>
        </is>
      </c>
      <c r="AH17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«87327014439» → «087327014439» (Corrección aplicada) · Marca principal: «Tru Western» → «Multimarca» (Conflicto entre duplicados) · WB SKU: «96202» → «96202-3.4oz/100mL» (Conflicto entre duplicados) · WB Descripcion: «Tru Western - Yellowstone - EDC - 100mL - Ride» → «Perfume Yellowstone Ride Eau de Cologne» (Conflicto entre duplicados) · WB Licencia: «Yellowstone» → «Tru Western» (Conflicto entre duplicados) · Enlace de imagen: «» → «https://m-universal-unique-brands.odoo.com/web/image/product.product/27662/image_1920» (Integrado de duplicado) · Precio de compra: «60» → «362.075» (Conflicto entre duplicados) · Precio de venta: «679» → «1249.137931» (Conflicto entre duplicados)</t>
        </is>
      </c>
      <c r="AI17" s="156" t="inlineStr">
        <is>
          <t>No</t>
        </is>
      </c>
      <c r="AJ17" s="156" t="n"/>
      <c r="AK17" s="155" t="inlineStr">
        <is>
          <t>ProductosCatalogoEstandar907.xlsx: fila 50928 [N,O,U,Y] | Catálogo y Criterios: F [G]; G1522_Extraccion_Articulos_NetSuite_2026-09-30.xlsx: fila 59354 [H,V,Y] | Shopify WB: producto 8576546799801 / variante 47777662927033; Hoja2: fila 433 | Odoo: producto 27662 / plantilla 34398</t>
        </is>
      </c>
      <c r="AL17" s="58" t="n">
        <v>679</v>
      </c>
      <c r="AM17" s="58" t="n">
        <v>1448.99999996</v>
      </c>
      <c r="AN17" s="155" t="inlineStr">
        <is>
          <t>Shopify Western Brothers; Odoo Universal Unique Brands</t>
        </is>
      </c>
      <c r="AO17" s="59" t="n"/>
      <c r="AP17" s="59" t="n">
        <v>0</v>
      </c>
      <c r="AQ17" s="59" t="n">
        <v>-10</v>
      </c>
      <c r="AR17" s="155" t="inlineStr">
        <is>
          <t>Odoo Universal Unique Brands › Bodega 25 › Bodega 25/Output: 12</t>
        </is>
      </c>
    </row>
    <row r="18">
      <c r="A18" s="50" t="inlineStr">
        <is>
          <t>087327014446</t>
        </is>
      </c>
      <c r="B18" s="51" t="inlineStr">
        <is>
          <t>111711</t>
        </is>
      </c>
      <c r="C18" s="156" t="inlineStr">
        <is>
          <t>Multimarca</t>
        </is>
      </c>
      <c r="D18" s="156" t="inlineStr">
        <is>
          <t>96203</t>
        </is>
      </c>
      <c r="E18" s="156" t="inlineStr">
        <is>
          <t>96203-1.7oz/50mL</t>
        </is>
      </c>
      <c r="F18" s="156" t="inlineStr">
        <is>
          <t>50 ml</t>
        </is>
      </c>
      <c r="G18" s="156" t="inlineStr">
        <is>
          <t>1.7 fl oz</t>
        </is>
      </c>
      <c r="H18" s="156" t="inlineStr">
        <is>
          <t>Tru Western</t>
        </is>
      </c>
      <c r="I18" s="156" t="inlineStr">
        <is>
          <t>Perfume Yellowstone Tornado Eau de Parfum</t>
        </is>
      </c>
      <c r="J18" s="156" t="inlineStr">
        <is>
          <t>Accesorios</t>
        </is>
      </c>
      <c r="K18" s="156" t="inlineStr">
        <is>
          <t>Fragancias</t>
        </is>
      </c>
      <c r="L18" s="156" t="inlineStr">
        <is>
          <t>Unisex</t>
        </is>
      </c>
      <c r="M18" s="156" t="inlineStr">
        <is>
          <t>Tru Western</t>
        </is>
      </c>
      <c r="N18" s="156" t="inlineStr">
        <is>
          <t>SS26</t>
        </is>
      </c>
      <c r="O18" s="156" t="inlineStr">
        <is>
          <t>Seasonal</t>
        </is>
      </c>
      <c r="P18" s="156" t="n"/>
      <c r="Q18" s="156" t="n"/>
      <c r="R18" s="156" t="n"/>
      <c r="S18" s="156" t="n"/>
      <c r="T18" s="156" t="inlineStr">
        <is>
          <t>Perfume Yellowstone Tornado Eau de Parfum. Fragancia de la marca Tru Western. Estilo 96203.</t>
        </is>
      </c>
      <c r="U18" s="156" t="inlineStr">
        <is>
          <t>Estados Unidos</t>
        </is>
      </c>
      <c r="V18" s="156" t="inlineStr">
        <is>
          <t>PZS</t>
        </is>
      </c>
      <c r="W18" s="51" t="inlineStr">
        <is>
          <t>53131620</t>
        </is>
      </c>
      <c r="X18" s="156" t="inlineStr">
        <is>
          <t>https://m-universal-unique-brands.odoo.com/web/image/product.product/27691/image_1920</t>
        </is>
      </c>
      <c r="Y18" s="54" t="n">
        <v>331.8</v>
      </c>
      <c r="Z18" s="54" t="n">
        <v>1119.827586</v>
      </c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IFERROR(_xlfn.XMATCH(A18,$A$2:$A$52,0,1)&lt;&gt;_xlfn.XMATCH(A18,$A$2:$A$52,0,-1),FALSE)), "Código de barras duplicado", ""), IF(AND(E18&lt;&gt;"", COUNTIF($E$2:$E$52,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inlineStr">
        <is>
          <t>Homologación G1522: integra 1 registro(s) iguales por mismo código de barras</t>
        </is>
      </c>
      <c r="AD18" s="51" t="n">
        <v>3</v>
      </c>
      <c r="AE18" s="156" t="inlineStr">
        <is>
          <t>WB OUTLET LERMA: 3</t>
        </is>
      </c>
      <c r="AF18" s="51" t="n">
        <v>3</v>
      </c>
      <c r="AG18" s="156" t="inlineStr">
        <is>
          <t>Nuevo – NetSuite con existencia</t>
        </is>
      </c>
      <c r="AH18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«87327014446» → «087327014446» (Corrección aplicada) · Marca principal: «Tru Western» → «Multimarca» (Conflicto entre duplicados) · WB SKU: «96203» → «96203-1.7oz/50mL» (Conflicto entre duplicados) · WB Descripcion: «Tru Western - Yellowstone - EDP - 50mL - Tornado» → «Perfume Yellowstone Tornado Eau de Parfum» (Conflicto entre duplicados) · WB Licencia: «Yellowstone» → «Tru Western» (Conflicto entre duplicados) · Enlace de imagen: «» → «https://m-universal-unique-brands.odoo.com/web/image/product.product/27691/image_1920» (Integrado de duplicado) · Precio de compra: «55» → «331.8» (Conflicto entre duplicados) · Precio de venta: «619» → «1119.827586» (Conflicto entre duplicados)</t>
        </is>
      </c>
      <c r="AI18" s="156" t="inlineStr">
        <is>
          <t>No</t>
        </is>
      </c>
      <c r="AJ18" s="156" t="n"/>
      <c r="AK18" s="155" t="inlineStr">
        <is>
          <t>ProductosCatalogoEstandar907.xlsx: fila 50929 [N,O,U,Y] | Catálogo y Criterios: F [G]; G1522_Extraccion_Articulos_NetSuite_2026-09-30.xlsx: fila 59359 [H,V,Y] | Shopify WB: producto 8576546996409 / variante 47777663418553; Hoja2: fila 434 | Odoo: producto 27691 / plantilla 34427</t>
        </is>
      </c>
      <c r="AL18" s="58" t="n">
        <v>619</v>
      </c>
      <c r="AM18" s="58" t="n">
        <v>1298.99999976</v>
      </c>
      <c r="AN18" s="155" t="inlineStr">
        <is>
          <t>Shopify Western Brothers; Odoo Universal Unique Brands</t>
        </is>
      </c>
      <c r="AO18" s="59" t="n"/>
      <c r="AP18" s="59" t="n">
        <v>3</v>
      </c>
      <c r="AQ18" s="59" t="n">
        <v>20</v>
      </c>
      <c r="AR18" s="155" t="inlineStr">
        <is>
          <t>Shopify Western Brothers › Western Brothers Outlet Lerma: 3; Odoo Universal Unique Brands › Bodega 25 › Bodega 25/General: 2 | Odoo Universal Unique Brands › Bodega 25 › Bodega 25/Output: 18</t>
        </is>
      </c>
    </row>
    <row r="19">
      <c r="A19" s="50" t="inlineStr">
        <is>
          <t>087327014866</t>
        </is>
      </c>
      <c r="B19" s="51" t="inlineStr">
        <is>
          <t>111710</t>
        </is>
      </c>
      <c r="C19" s="156" t="inlineStr">
        <is>
          <t>Multimarca</t>
        </is>
      </c>
      <c r="D19" s="156" t="inlineStr">
        <is>
          <t>96391</t>
        </is>
      </c>
      <c r="E19" s="156" t="inlineStr">
        <is>
          <t>96391-3.4oz/100mL</t>
        </is>
      </c>
      <c r="F19" s="156" t="inlineStr">
        <is>
          <t>100 ml</t>
        </is>
      </c>
      <c r="G19" s="156" t="inlineStr">
        <is>
          <t>3.4 / 3.5 fl oz</t>
        </is>
      </c>
      <c r="H19" s="156" t="inlineStr">
        <is>
          <t>Tru Western</t>
        </is>
      </c>
      <c r="I19" s="156" t="inlineStr">
        <is>
          <t>Perfume PBR Anejo</t>
        </is>
      </c>
      <c r="J19" s="156" t="inlineStr">
        <is>
          <t>Accesorios</t>
        </is>
      </c>
      <c r="K19" s="156" t="inlineStr">
        <is>
          <t>Fragancias</t>
        </is>
      </c>
      <c r="L19" s="156" t="inlineStr">
        <is>
          <t>Unisex</t>
        </is>
      </c>
      <c r="M19" s="156" t="inlineStr">
        <is>
          <t>Tru Western</t>
        </is>
      </c>
      <c r="N19" s="156" t="inlineStr">
        <is>
          <t>SS26</t>
        </is>
      </c>
      <c r="O19" s="156" t="inlineStr">
        <is>
          <t>Seasonal</t>
        </is>
      </c>
      <c r="P19" s="156" t="n"/>
      <c r="Q19" s="156" t="n"/>
      <c r="R19" s="156" t="n"/>
      <c r="S19" s="156" t="n"/>
      <c r="T19" s="156" t="inlineStr">
        <is>
          <t>Perfume PBR Anejo. Fragancia de la marca Tru Western. Estilo 96391.</t>
        </is>
      </c>
      <c r="U19" s="156" t="inlineStr">
        <is>
          <t>Estados Unidos</t>
        </is>
      </c>
      <c r="V19" s="156" t="inlineStr">
        <is>
          <t>PZS</t>
        </is>
      </c>
      <c r="W19" s="51" t="inlineStr">
        <is>
          <t>53131620</t>
        </is>
      </c>
      <c r="X19" s="156" t="inlineStr">
        <is>
          <t>https://m-universal-unique-brands.odoo.com/web/image/product.product/27677/image_1920</t>
        </is>
      </c>
      <c r="Y19" s="54" t="n">
        <v>301.7</v>
      </c>
      <c r="Z19" s="54" t="n">
        <v>1033.62069</v>
      </c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IFERROR(_xlfn.XMATCH(A19,$A$2:$A$52,0,1)&lt;&gt;_xlfn.XMATCH(A19,$A$2:$A$52,0,-1),FALSE)), "Código de barras duplicado", ""), IF(AND(E19&lt;&gt;"", COUNTIF($E$2:$E$52,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inlineStr">
        <is>
          <t>Homologación G1522: integra 1 registro(s) iguales por mismo código de barras</t>
        </is>
      </c>
      <c r="AD19" s="51" t="n">
        <v>3</v>
      </c>
      <c r="AE19" s="156" t="inlineStr">
        <is>
          <t>WB OUTLET LERMA: 3</t>
        </is>
      </c>
      <c r="AF19" s="51" t="n">
        <v>3</v>
      </c>
      <c r="AG19" s="156" t="inlineStr">
        <is>
          <t>Nuevo – NetSuite con existencia</t>
        </is>
      </c>
      <c r="AH19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«87327014866» → «087327014866» (Corrección aplicada) · Marca principal: «Tru Western» → «Multimarca» (Conflicto entre duplicados) · WB SKU: «96391» → «96391-3.4oz/100mL» (Conflicto entre duplicados) · WB Descripcion: «Tru Western - PBR - EDC - 100mL - Anejo» → «Perfume PBR Anejo» (Conflicto entre duplicados) · Enlace de imagen: «» → «https://m-universal-unique-brands.odoo.com/web/image/product.product/27677/image_1920» (Integrado de duplicado) · Precio de compra: «50» → «301.7» (Conflicto entre duplicados) · Precio de venta: «569» → «1033.62069» (Conflicto entre duplicados)</t>
        </is>
      </c>
      <c r="AI19" s="156" t="inlineStr">
        <is>
          <t>No</t>
        </is>
      </c>
      <c r="AJ19" s="156" t="n"/>
      <c r="AK19" s="155" t="inlineStr">
        <is>
          <t>ProductosCatalogoEstandar907.xlsx: fila 50930 [N,O,U,Y] | Catálogo y Criterios: F [G]; G1522_Extraccion_Articulos_NetSuite_2026-09-30.xlsx: fila 59358 [H,V,Y] | Shopify WB: producto 8576546930873 / variante 47777663058105; Hoja2: fila 435 | Odoo: producto 27677 / plantilla 34413</t>
        </is>
      </c>
      <c r="AL19" s="58" t="n">
        <v>418.6166666666667</v>
      </c>
      <c r="AM19" s="58" t="n">
        <v>1199.0000004</v>
      </c>
      <c r="AN19" s="155" t="inlineStr">
        <is>
          <t>Shopify Western Brothers; Odoo Universal Unique Brands</t>
        </is>
      </c>
      <c r="AO19" s="59" t="n"/>
      <c r="AP19" s="59" t="n">
        <v>3</v>
      </c>
      <c r="AQ19" s="59" t="n">
        <v>33</v>
      </c>
      <c r="AR19" s="155" t="inlineStr">
        <is>
          <t>Shopify Western Brothers › Western Brothers Outlet Lerma: 3; Odoo Universal Unique Brands › Bodega 25 › Bodega 25/General: 21 | Odoo Universal Unique Brands › Bodega 25 › Bodega 25/Output: 12</t>
        </is>
      </c>
    </row>
    <row r="20">
      <c r="A20" s="50" t="inlineStr">
        <is>
          <t>087327023363</t>
        </is>
      </c>
      <c r="B20" s="51" t="inlineStr">
        <is>
          <t>111715</t>
        </is>
      </c>
      <c r="C20" s="156" t="inlineStr">
        <is>
          <t>Multimarca</t>
        </is>
      </c>
      <c r="D20" s="156" t="inlineStr">
        <is>
          <t>96637</t>
        </is>
      </c>
      <c r="E20" s="156" t="inlineStr">
        <is>
          <t>96637-3.4oz/100mL</t>
        </is>
      </c>
      <c r="F20" s="156" t="inlineStr">
        <is>
          <t>100 ml</t>
        </is>
      </c>
      <c r="G20" s="156" t="inlineStr">
        <is>
          <t>3.4 / 3.5 fl oz</t>
        </is>
      </c>
      <c r="H20" s="156" t="inlineStr">
        <is>
          <t>Tru Western</t>
        </is>
      </c>
      <c r="I20" s="156" t="inlineStr">
        <is>
          <t>Perfume Rodeo Soul</t>
        </is>
      </c>
      <c r="J20" s="156" t="inlineStr">
        <is>
          <t>Accesorios</t>
        </is>
      </c>
      <c r="K20" s="156" t="inlineStr">
        <is>
          <t>Fragancias</t>
        </is>
      </c>
      <c r="L20" s="156" t="inlineStr">
        <is>
          <t>Unisex</t>
        </is>
      </c>
      <c r="M20" s="156" t="inlineStr">
        <is>
          <t>Tru Western</t>
        </is>
      </c>
      <c r="N20" s="156" t="inlineStr">
        <is>
          <t>SS26</t>
        </is>
      </c>
      <c r="O20" s="156" t="inlineStr">
        <is>
          <t>Seasonal</t>
        </is>
      </c>
      <c r="P20" s="156" t="n"/>
      <c r="Q20" s="156" t="n"/>
      <c r="R20" s="156" t="n"/>
      <c r="S20" s="156" t="n"/>
      <c r="T20" s="156" t="inlineStr">
        <is>
          <t>Perfume Rodeo Soul. Fragancia de la marca Tru Western. Estilo 96637.</t>
        </is>
      </c>
      <c r="U20" s="156" t="inlineStr">
        <is>
          <t>Estados Unidos</t>
        </is>
      </c>
      <c r="V20" s="156" t="inlineStr">
        <is>
          <t>PZS</t>
        </is>
      </c>
      <c r="W20" s="51" t="inlineStr">
        <is>
          <t>53131620</t>
        </is>
      </c>
      <c r="X20" s="156" t="inlineStr">
        <is>
          <t>https://m-universal-unique-brands.odoo.com/web/image/product.product/27696/image_1920</t>
        </is>
      </c>
      <c r="Y20" s="54" t="n">
        <v>271.6</v>
      </c>
      <c r="Z20" s="54" t="n">
        <v>947.4137931</v>
      </c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IFERROR(_xlfn.XMATCH(A20,$A$2:$A$52,0,1)&lt;&gt;_xlfn.XMATCH(A20,$A$2:$A$52,0,-1),FALSE)), "Código de barras duplicado", ""), IF(AND(E20&lt;&gt;"", COUNTIF($E$2:$E$52,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inlineStr">
        <is>
          <t>Homologación G1522: integra 1 registro(s) iguales por mismo código de barras</t>
        </is>
      </c>
      <c r="AD20" s="51" t="n">
        <v>7</v>
      </c>
      <c r="AE20" s="156" t="inlineStr">
        <is>
          <t>WB OUTLET LERMA: 7</t>
        </is>
      </c>
      <c r="AF20" s="51" t="n">
        <v>7</v>
      </c>
      <c r="AG20" s="156" t="inlineStr">
        <is>
          <t>Nuevo – NetSuite con existencia</t>
        </is>
      </c>
      <c r="AH20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«87327023363» → «087327023363» (Corrección aplicada) · Marca principal: «Tru Western» → «Multimarca» (Conflicto entre duplicados) · WB SKU: «96637» → «96637-3.4oz/100mL» (Conflicto entre duplicados) · WB Descripcion: «Tru Western - EDP - 100mL - Rodeo Soul» → «Perfume Rodeo Soul» (Conflicto entre duplicados) · Enlace de imagen: «» → «https://m-universal-unique-brands.odoo.com/web/image/product.product/27696/image_1920» (Integrado de duplicado) · Precio de compra: «45» → «271.6» (Conflicto entre duplicados) · Precio de venta: «509» → «947.4137931» (Conflicto entre duplicados)</t>
        </is>
      </c>
      <c r="AI20" s="156" t="inlineStr">
        <is>
          <t>No</t>
        </is>
      </c>
      <c r="AJ20" s="156" t="n"/>
      <c r="AK20" s="155" t="inlineStr">
        <is>
          <t>ProductosCatalogoEstandar907.xlsx: fila 50931 [N,O,U,Y] | Catálogo y Criterios: F [G]; G1522_Extraccion_Articulos_NetSuite_2026-09-30.xlsx: fila 59363 [H,V,Y] | Shopify WB: producto 8576547127481 / variante 47777663549625; Hoja2: fila 437 | Odoo: producto 27696 / plantilla 34432</t>
        </is>
      </c>
      <c r="AL20" s="58" t="n">
        <v>383.7025</v>
      </c>
      <c r="AM20" s="58" t="n">
        <v>1099</v>
      </c>
      <c r="AN20" s="155" t="inlineStr">
        <is>
          <t>Shopify Western Brothers; Odoo Universal Unique Brands</t>
        </is>
      </c>
      <c r="AO20" s="59" t="n"/>
      <c r="AP20" s="59" t="n">
        <v>7</v>
      </c>
      <c r="AQ20" s="59" t="n">
        <v>68</v>
      </c>
      <c r="AR20" s="155" t="inlineStr">
        <is>
          <t>Shopify Western Brothers › Western Brothers Outlet Lerma: 7; Odoo Universal Unique Brands › Bodega 25 › Bodega 25/General: 44 | Odoo Universal Unique Brands › Bodega 25 › Bodega 25/Output: 24</t>
        </is>
      </c>
    </row>
    <row r="21">
      <c r="A21" s="50" t="inlineStr">
        <is>
          <t>087327023370</t>
        </is>
      </c>
      <c r="B21" s="51" t="inlineStr">
        <is>
          <t>111717</t>
        </is>
      </c>
      <c r="C21" s="156" t="inlineStr">
        <is>
          <t>Multimarca</t>
        </is>
      </c>
      <c r="D21" s="156" t="inlineStr">
        <is>
          <t>96644</t>
        </is>
      </c>
      <c r="E21" s="156" t="inlineStr">
        <is>
          <t>96644-3.4oz/100mL</t>
        </is>
      </c>
      <c r="F21" s="156" t="inlineStr">
        <is>
          <t>100 ml</t>
        </is>
      </c>
      <c r="G21" s="156" t="inlineStr">
        <is>
          <t>3.4 / 3.5 fl oz</t>
        </is>
      </c>
      <c r="H21" s="156" t="inlineStr">
        <is>
          <t>Tru Western</t>
        </is>
      </c>
      <c r="I21" s="156" t="inlineStr">
        <is>
          <t>Perfume Yellowstone Ride Reserve Eau de Cologne</t>
        </is>
      </c>
      <c r="J21" s="156" t="inlineStr">
        <is>
          <t>Accesorios</t>
        </is>
      </c>
      <c r="K21" s="156" t="inlineStr">
        <is>
          <t>Fragancias</t>
        </is>
      </c>
      <c r="L21" s="156" t="inlineStr">
        <is>
          <t>Unisex</t>
        </is>
      </c>
      <c r="M21" s="156" t="inlineStr">
        <is>
          <t>Tru Western</t>
        </is>
      </c>
      <c r="N21" s="156" t="inlineStr">
        <is>
          <t>SS26</t>
        </is>
      </c>
      <c r="O21" s="156" t="inlineStr">
        <is>
          <t>Seasonal</t>
        </is>
      </c>
      <c r="P21" s="156" t="n"/>
      <c r="Q21" s="156" t="n"/>
      <c r="R21" s="156" t="n"/>
      <c r="S21" s="156" t="n"/>
      <c r="T21" s="156" t="inlineStr">
        <is>
          <t>Perfume Yellowstone Ride Reserve Eau de Cologne. Fragancia de la marca Tru Western. Estilo 96644.</t>
        </is>
      </c>
      <c r="U21" s="156" t="inlineStr">
        <is>
          <t>Estados Unidos</t>
        </is>
      </c>
      <c r="V21" s="156" t="inlineStr">
        <is>
          <t>PZS</t>
        </is>
      </c>
      <c r="W21" s="51" t="inlineStr">
        <is>
          <t>53131620</t>
        </is>
      </c>
      <c r="X21" s="156" t="inlineStr">
        <is>
          <t>https://m-universal-unique-brands.odoo.com/web/image/product.product/27664/image_1920</t>
        </is>
      </c>
      <c r="Y21" s="54" t="n">
        <v>392.175</v>
      </c>
      <c r="Z21" s="54" t="n">
        <v>1335.344828</v>
      </c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IFERROR(_xlfn.XMATCH(A21,$A$2:$A$52,0,1)&lt;&gt;_xlfn.XMATCH(A21,$A$2:$A$52,0,-1),FALSE)), "Código de barras duplicado", ""), IF(AND(E21&lt;&gt;"", COUNTIF($E$2:$E$52,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inlineStr">
        <is>
          <t>Homologación G1522: integra 1 registro(s) iguales por mismo código de barras</t>
        </is>
      </c>
      <c r="AD21" s="51" t="n">
        <v>0</v>
      </c>
      <c r="AE21" s="156" t="n"/>
      <c r="AF21" s="51" t="n">
        <v>0</v>
      </c>
      <c r="AG21" s="156" t="inlineStr">
        <is>
          <t>Nuevo – NetSuite sin existencia</t>
        </is>
      </c>
      <c r="AH21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«87327023370» → «087327023370» (Corrección aplicada) · Marca principal: «Tru Western» → «Multimarca» (Conflicto entre duplicados) · WB SKU: «96644» → «96644-3.4oz/100mL» (Conflicto entre duplicados) · WB Descripcion: «Tru Western - Yellowstone - EDC - 100mL - Ride Reserve» → «Perfume Yellowstone Ride Reserve Eau de Cologne» (Conflicto entre duplicados) · WB Licencia: «Yellowstone» → «Tru Western» (Conflicto entre duplicados) · Enlace de imagen: «» → «https://m-universal-unique-brands.odoo.com/web/image/product.product/27664/image_1920» (Integrado de duplicado) · Precio de compra: «65» → «392.175» (Conflicto entre duplicados) · Precio de venta: «729» → «1335.344828» (Conflicto entre duplicados)</t>
        </is>
      </c>
      <c r="AI21" s="156" t="inlineStr">
        <is>
          <t>No</t>
        </is>
      </c>
      <c r="AJ21" s="156" t="n"/>
      <c r="AK21" s="155" t="inlineStr">
        <is>
          <t>ProductosCatalogoEstandar907.xlsx: fila 50932 [N,O,U,Y] | Catálogo y Criterios: F [G]; G1522_Extraccion_Articulos_NetSuite_2026-09-30.xlsx: fila 59365 [H,V,Y] | Shopify WB: producto 8576547193017 / variante 47777663713465; Hoja2: fila 439 | Odoo: producto 27664 / plantilla 34400</t>
        </is>
      </c>
      <c r="AL21" s="58" t="n"/>
      <c r="AM21" s="58" t="n">
        <v>1549.00000048</v>
      </c>
      <c r="AN21" s="155" t="inlineStr">
        <is>
          <t>Shopify Western Brothers; Odoo Universal Unique Brands</t>
        </is>
      </c>
      <c r="AO21" s="59" t="n"/>
      <c r="AP21" s="59" t="n">
        <v>0</v>
      </c>
      <c r="AQ21" s="59" t="n">
        <v>-9</v>
      </c>
      <c r="AR21" s="155" t="n"/>
    </row>
    <row r="22">
      <c r="A22" s="50" t="inlineStr">
        <is>
          <t>087327030842</t>
        </is>
      </c>
      <c r="B22" s="51" t="inlineStr">
        <is>
          <t>111712</t>
        </is>
      </c>
      <c r="C22" s="156" t="inlineStr">
        <is>
          <t>Multimarca</t>
        </is>
      </c>
      <c r="D22" s="156" t="inlineStr">
        <is>
          <t>97085</t>
        </is>
      </c>
      <c r="E22" s="156" t="inlineStr">
        <is>
          <t>97085-1.7oz/50mL</t>
        </is>
      </c>
      <c r="F22" s="156" t="inlineStr">
        <is>
          <t>50 ml</t>
        </is>
      </c>
      <c r="G22" s="156" t="inlineStr">
        <is>
          <t>1.7 fl oz</t>
        </is>
      </c>
      <c r="H22" s="156" t="inlineStr">
        <is>
          <t>Tru Western</t>
        </is>
      </c>
      <c r="I22" s="156" t="inlineStr">
        <is>
          <t>Perfume Yellowstone Dusk Eau de Parfum</t>
        </is>
      </c>
      <c r="J22" s="156" t="inlineStr">
        <is>
          <t>Accesorios</t>
        </is>
      </c>
      <c r="K22" s="156" t="inlineStr">
        <is>
          <t>Fragancias</t>
        </is>
      </c>
      <c r="L22" s="156" t="inlineStr">
        <is>
          <t>Unisex</t>
        </is>
      </c>
      <c r="M22" s="156" t="inlineStr">
        <is>
          <t>Tru Western</t>
        </is>
      </c>
      <c r="N22" s="156" t="inlineStr">
        <is>
          <t>SS26</t>
        </is>
      </c>
      <c r="O22" s="156" t="inlineStr">
        <is>
          <t>Seasonal</t>
        </is>
      </c>
      <c r="P22" s="156" t="n"/>
      <c r="Q22" s="156" t="n"/>
      <c r="R22" s="156" t="n"/>
      <c r="S22" s="156" t="n"/>
      <c r="T22" s="156" t="inlineStr">
        <is>
          <t>Perfume Yellowstone Dusk Eau de Parfum. Fragancia de la marca Tru Western. Estilo 97085.</t>
        </is>
      </c>
      <c r="U22" s="156" t="inlineStr">
        <is>
          <t>Estados Unidos</t>
        </is>
      </c>
      <c r="V22" s="156" t="inlineStr">
        <is>
          <t>PZS</t>
        </is>
      </c>
      <c r="W22" s="51" t="inlineStr">
        <is>
          <t>53131620</t>
        </is>
      </c>
      <c r="X22" s="156" t="inlineStr">
        <is>
          <t>https://m-universal-unique-brands.odoo.com/web/image/product.product/27692/image_1920</t>
        </is>
      </c>
      <c r="Y22" s="54" t="n">
        <v>331.8</v>
      </c>
      <c r="Z22" s="54" t="n">
        <v>1119.827586</v>
      </c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IFERROR(_xlfn.XMATCH(A22,$A$2:$A$52,0,1)&lt;&gt;_xlfn.XMATCH(A22,$A$2:$A$52,0,-1),FALSE)), "Código de barras duplicado", ""), IF(AND(E22&lt;&gt;"", COUNTIF($E$2:$E$52,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inlineStr">
        <is>
          <t>Homologación G1522: integra 1 registro(s) iguales por mismo código de barras</t>
        </is>
      </c>
      <c r="AD22" s="51" t="n">
        <v>5</v>
      </c>
      <c r="AE22" s="156" t="inlineStr">
        <is>
          <t>WB OUTLET LERMA: 5</t>
        </is>
      </c>
      <c r="AF22" s="51" t="n">
        <v>5</v>
      </c>
      <c r="AG22" s="156" t="inlineStr">
        <is>
          <t>Nuevo – NetSuite con existencia</t>
        </is>
      </c>
      <c r="AH22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«87327030842» → «087327030842» (Corrección aplicada) · Marca principal: «Tru Western» → «Multimarca» (Conflicto entre duplicados) · WB SKU: «97085» → «97085-1.7oz/50mL» (Conflicto entre duplicados) · WB Descripcion: «Tru Western - Yellowstone - EDP - 50mL - Dusk» → «Perfume Yellowstone Dusk Eau de Parfum» (Conflicto entre duplicados) · WB Licencia: «Yellowstone» → «Tru Western» (Conflicto entre duplicados) · Enlace de imagen: «» → «https://m-universal-unique-brands.odoo.com/web/image/product.product/27692/image_1920» (Integrado de duplicado) · Precio de compra: «55» → «331.8» (Conflicto entre duplicados) · Precio de venta: «619» → «1119.827586» (Conflicto entre duplicados)</t>
        </is>
      </c>
      <c r="AI22" s="156" t="inlineStr">
        <is>
          <t>No</t>
        </is>
      </c>
      <c r="AJ22" s="156" t="n"/>
      <c r="AK22" s="155" t="inlineStr">
        <is>
          <t>ProductosCatalogoEstandar907.xlsx: fila 50933 [N,O,U,Y] | Catálogo y Criterios: F [G]; G1522_Extraccion_Articulos_NetSuite_2026-09-30.xlsx: fila 59360 [H,V,Y] | Shopify WB: producto 8576547029177 / variante 47777663451321; Hoja2: fila 440 | Odoo: producto 27692 / plantilla 34428</t>
        </is>
      </c>
      <c r="AL22" s="58" t="n">
        <v>619</v>
      </c>
      <c r="AM22" s="58" t="n">
        <v>1298.99999976</v>
      </c>
      <c r="AN22" s="155" t="inlineStr">
        <is>
          <t>Shopify Western Brothers; Odoo Universal Unique Brands</t>
        </is>
      </c>
      <c r="AO22" s="59" t="n"/>
      <c r="AP22" s="59" t="n">
        <v>5</v>
      </c>
      <c r="AQ22" s="59" t="n">
        <v>8</v>
      </c>
      <c r="AR22" s="155" t="inlineStr">
        <is>
          <t>Shopify Western Brothers › Western Brothers Outlet Lerma: 5; Odoo Universal Unique Brands › Bodega 25 › Bodega 25/Output: 18</t>
        </is>
      </c>
    </row>
    <row r="23">
      <c r="A23" s="50" t="inlineStr">
        <is>
          <t>087327031214</t>
        </is>
      </c>
      <c r="B23" s="51" t="inlineStr">
        <is>
          <t>111716</t>
        </is>
      </c>
      <c r="C23" s="156" t="inlineStr">
        <is>
          <t>Multimarca</t>
        </is>
      </c>
      <c r="D23" s="156" t="inlineStr">
        <is>
          <t>97265</t>
        </is>
      </c>
      <c r="E23" s="156" t="inlineStr">
        <is>
          <t>97265-2.7fl.oz./80mL</t>
        </is>
      </c>
      <c r="F23" s="156" t="inlineStr">
        <is>
          <t>80 ml</t>
        </is>
      </c>
      <c r="G23" s="156" t="inlineStr">
        <is>
          <t>2.7 fl oz</t>
        </is>
      </c>
      <c r="H23" s="156" t="inlineStr">
        <is>
          <t>Tru Western</t>
        </is>
      </c>
      <c r="I23" s="156" t="inlineStr">
        <is>
          <t>Perfume Amber Waves</t>
        </is>
      </c>
      <c r="J23" s="156" t="inlineStr">
        <is>
          <t>Accesorios</t>
        </is>
      </c>
      <c r="K23" s="156" t="inlineStr">
        <is>
          <t>Fragancias</t>
        </is>
      </c>
      <c r="L23" s="156" t="inlineStr">
        <is>
          <t>Unisex</t>
        </is>
      </c>
      <c r="M23" s="156" t="inlineStr">
        <is>
          <t>Tru Western</t>
        </is>
      </c>
      <c r="N23" s="156" t="inlineStr">
        <is>
          <t>SS26</t>
        </is>
      </c>
      <c r="O23" s="156" t="inlineStr">
        <is>
          <t>Seasonal</t>
        </is>
      </c>
      <c r="P23" s="156" t="n"/>
      <c r="Q23" s="156" t="n"/>
      <c r="R23" s="156" t="n"/>
      <c r="S23" s="156" t="n"/>
      <c r="T23" s="156" t="inlineStr">
        <is>
          <t>Perfume Amber Waves. Fragancia de la marca Tru Western. Estilo 97265.</t>
        </is>
      </c>
      <c r="U23" s="156" t="inlineStr">
        <is>
          <t>Estados Unidos</t>
        </is>
      </c>
      <c r="V23" s="156" t="inlineStr">
        <is>
          <t>PZS</t>
        </is>
      </c>
      <c r="W23" s="51" t="inlineStr">
        <is>
          <t>53131620</t>
        </is>
      </c>
      <c r="X23" s="156" t="inlineStr">
        <is>
          <t>https://m-universal-unique-brands.odoo.com/web/image/product.product/27698/image_1920</t>
        </is>
      </c>
      <c r="Y23" s="54" t="n">
        <v>331.8</v>
      </c>
      <c r="Z23" s="54" t="n">
        <v>1119.827586</v>
      </c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IFERROR(_xlfn.XMATCH(A23,$A$2:$A$52,0,1)&lt;&gt;_xlfn.XMATCH(A23,$A$2:$A$52,0,-1),FALSE)), "Código de barras duplicado", ""), IF(AND(E23&lt;&gt;"", COUNTIF($E$2:$E$52,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inlineStr">
        <is>
          <t>Homologación G1522: integra 1 registro(s) iguales por mismo código de barras</t>
        </is>
      </c>
      <c r="AD23" s="51" t="n">
        <v>6</v>
      </c>
      <c r="AE23" s="156" t="inlineStr">
        <is>
          <t>WB OUTLET LERMA: 6</t>
        </is>
      </c>
      <c r="AF23" s="51" t="n">
        <v>6</v>
      </c>
      <c r="AG23" s="156" t="inlineStr">
        <is>
          <t>Nuevo – NetSuite con existencia</t>
        </is>
      </c>
      <c r="AH23" s="156" t="inlineStr">
        <is>
          <t>Color por validar | Revisión 29/09/2026: Talla fuente 80 ml sin equivalencia exacta en Criterios para Contenido; Campos sin respaldo: P, S, X; Auditoría NetSuite 30/09/2026: llenado desde NetSuite [V,Y]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«87327031214» → «087327031214» (Corrección aplicada) · Marca principal: «Tru Western» → «Multimarca» (Conflicto entre duplicados) · WB SKU: «97265» → «97265-2.7fl.oz./80mL» (Conflicto entre duplicados) · WB Descripcion: «Tru Western - EDP - 80mL - Amber Waves» → «Perfume Amber Waves» (Conflicto entre duplicados) · Enlace de imagen: «» → «https://m-universal-unique-brands.odoo.com/web/image/product.product/27698/image_1920» (Integrado de duplicado) · Precio de compra: «55» → «331.8» (Conflicto entre duplicados) · Precio de venta: «619» → «1119.827586» (Conflicto entre duplicados)</t>
        </is>
      </c>
      <c r="AI23" s="156" t="inlineStr">
        <is>
          <t>No</t>
        </is>
      </c>
      <c r="AJ23" s="156" t="n"/>
      <c r="AK23" s="155" t="inlineStr">
        <is>
          <t>ProductosCatalogoEstandar907.xlsx: fila 50934 [N,O,U,Y]; G1522_Extraccion_Articulos_NetSuite_2026-09-30.xlsx: fila 59364 [V,Y] | Shopify WB: producto 8576547160249 / variante 47777663582393; Hoja2: fila 442 | Odoo: producto 27698 / plantilla 34434</t>
        </is>
      </c>
      <c r="AL23" s="58" t="n">
        <v>453.53</v>
      </c>
      <c r="AM23" s="58" t="n">
        <v>1298.99999976</v>
      </c>
      <c r="AN23" s="155" t="inlineStr">
        <is>
          <t>Shopify Western Brothers; Odoo Universal Unique Brands</t>
        </is>
      </c>
      <c r="AO23" s="59" t="n"/>
      <c r="AP23" s="59" t="n">
        <v>6</v>
      </c>
      <c r="AQ23" s="59" t="n">
        <v>59</v>
      </c>
      <c r="AR23" s="155" t="inlineStr">
        <is>
          <t>Shopify Western Brothers › Western Brothers Outlet Lerma: 6; Odoo Universal Unique Brands › Bodega 25 › Bodega 25/General: 47 | Odoo Universal Unique Brands › Bodega 25 › Bodega 25/Output: 12</t>
        </is>
      </c>
    </row>
    <row r="24">
      <c r="A24" s="50" t="inlineStr">
        <is>
          <t>087327032600</t>
        </is>
      </c>
      <c r="B24" s="51" t="inlineStr">
        <is>
          <t>111714</t>
        </is>
      </c>
      <c r="C24" s="156" t="inlineStr">
        <is>
          <t>Multimarca</t>
        </is>
      </c>
      <c r="D24" s="156" t="inlineStr">
        <is>
          <t>98052</t>
        </is>
      </c>
      <c r="E24" s="156" t="inlineStr">
        <is>
          <t>98052-3.4oz/100mL</t>
        </is>
      </c>
      <c r="F24" s="156" t="inlineStr">
        <is>
          <t>100 ml</t>
        </is>
      </c>
      <c r="G24" s="156" t="inlineStr">
        <is>
          <t>3.4 / 3.5 fl oz</t>
        </is>
      </c>
      <c r="H24" s="156" t="inlineStr">
        <is>
          <t>Tru Western</t>
        </is>
      </c>
      <c r="I24" s="156" t="inlineStr">
        <is>
          <t>Perfume Rodeo Soul Fearless</t>
        </is>
      </c>
      <c r="J24" s="156" t="inlineStr">
        <is>
          <t>Accesorios</t>
        </is>
      </c>
      <c r="K24" s="156" t="inlineStr">
        <is>
          <t>Fragancias</t>
        </is>
      </c>
      <c r="L24" s="156" t="inlineStr">
        <is>
          <t>Unisex</t>
        </is>
      </c>
      <c r="M24" s="156" t="inlineStr">
        <is>
          <t>Tru Western</t>
        </is>
      </c>
      <c r="N24" s="156" t="inlineStr">
        <is>
          <t>SS26</t>
        </is>
      </c>
      <c r="O24" s="156" t="inlineStr">
        <is>
          <t>Seasonal</t>
        </is>
      </c>
      <c r="P24" s="156" t="n"/>
      <c r="Q24" s="156" t="n"/>
      <c r="R24" s="156" t="n"/>
      <c r="S24" s="156" t="n"/>
      <c r="T24" s="156" t="inlineStr">
        <is>
          <t>Perfume Rodeo Soul Fearless. Fragancia de la marca Tru Western. Estilo 98052.</t>
        </is>
      </c>
      <c r="U24" s="156" t="inlineStr">
        <is>
          <t>Estados Unidos</t>
        </is>
      </c>
      <c r="V24" s="156" t="inlineStr">
        <is>
          <t>PZS</t>
        </is>
      </c>
      <c r="W24" s="51" t="inlineStr">
        <is>
          <t>53131620</t>
        </is>
      </c>
      <c r="X24" s="156" t="inlineStr">
        <is>
          <t>https://m-universal-unique-brands.odoo.com/web/image/product.product/27694/image_1920</t>
        </is>
      </c>
      <c r="Y24" s="54" t="n">
        <v>271.6</v>
      </c>
      <c r="Z24" s="54" t="n">
        <v>947.4137931</v>
      </c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IFERROR(_xlfn.XMATCH(A24,$A$2:$A$52,0,1)&lt;&gt;_xlfn.XMATCH(A24,$A$2:$A$52,0,-1),FALSE)), "Código de barras duplicado", ""), IF(AND(E24&lt;&gt;"", COUNTIF($E$2:$E$52,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inlineStr">
        <is>
          <t>Homologación G1522: integra 1 registro(s) iguales por mismo código de barras</t>
        </is>
      </c>
      <c r="AD24" s="51" t="n">
        <v>6</v>
      </c>
      <c r="AE24" s="156" t="inlineStr">
        <is>
          <t>WB OUTLET LERMA: 6</t>
        </is>
      </c>
      <c r="AF24" s="51" t="n">
        <v>6</v>
      </c>
      <c r="AG24" s="156" t="inlineStr">
        <is>
          <t>Nuevo – NetSuite con existencia</t>
        </is>
      </c>
      <c r="AH24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 | Homologación G1522 06/10/2026: WB País de origen: «USA» → «Estados Unidos» (Corrección aplicada) · Código de barras: «87327032600» → «087327032600» (Corrección aplicada) · Marca principal: «Tru Western» → «Multimarca» (Conflicto entre duplicados) · WB SKU: «98052» → «98052-3.4oz/100mL» (Conflicto entre duplicados) · WB Descripcion: «Tru Western - EDP - 100mL - Rodeo Soul Fearless» → «Perfume Rodeo Soul Fearless» (Conflicto entre duplicados) · Enlace de imagen: «» → «https://m-universal-unique-brands.odoo.com/web/image/product.product/27694/image_1920» (Integrado de duplicado) · Precio de compra: «45» → «271.6» (Conflicto entre duplicados) · Precio de venta: «509» → «947.4137931» (Conflicto entre duplicados)</t>
        </is>
      </c>
      <c r="AI24" s="156" t="inlineStr">
        <is>
          <t>No</t>
        </is>
      </c>
      <c r="AJ24" s="156" t="n"/>
      <c r="AK24" s="155" t="inlineStr">
        <is>
          <t>ProductosCatalogoEstandar907.xlsx: fila 50970 [N,O,U,Y] | Catálogo y Criterios: F [G]; G1522_Extraccion_Articulos_NetSuite_2026-09-30.xlsx: fila 59362 [H,V,Y] | Shopify WB: producto 8576547094713 / variante 47777663516857; Hoja2: fila 447 | Odoo: producto 27694 / plantilla 34430</t>
        </is>
      </c>
      <c r="AL24" s="58" t="n">
        <v>383.7025</v>
      </c>
      <c r="AM24" s="58" t="n">
        <v>1099</v>
      </c>
      <c r="AN24" s="155" t="inlineStr">
        <is>
          <t>Shopify Western Brothers; Odoo Universal Unique Brands</t>
        </is>
      </c>
      <c r="AO24" s="59" t="n"/>
      <c r="AP24" s="59" t="n">
        <v>6</v>
      </c>
      <c r="AQ24" s="59" t="n">
        <v>31</v>
      </c>
      <c r="AR24" s="155" t="inlineStr">
        <is>
          <t>Shopify Western Brothers › Western Brothers Outlet Lerma: 6; Odoo Universal Unique Brands › Bodega 25 › Bodega 25/General: 19 | Odoo Universal Unique Brands › Bodega 25 › Bodega 25/Output: 12</t>
        </is>
      </c>
    </row>
    <row r="25">
      <c r="A25" s="50" t="inlineStr">
        <is>
          <t>087327032624</t>
        </is>
      </c>
      <c r="B25" s="51" t="inlineStr">
        <is>
          <t>111719</t>
        </is>
      </c>
      <c r="C25" s="156" t="inlineStr">
        <is>
          <t>Multimarca</t>
        </is>
      </c>
      <c r="D25" s="156" t="inlineStr">
        <is>
          <t>98083</t>
        </is>
      </c>
      <c r="E25" s="156" t="inlineStr">
        <is>
          <t>98083-3.4oz/100mL</t>
        </is>
      </c>
      <c r="F25" s="156" t="inlineStr">
        <is>
          <t>100 ml</t>
        </is>
      </c>
      <c r="G25" s="156" t="inlineStr">
        <is>
          <t>3.4 / 3.5 fl oz</t>
        </is>
      </c>
      <c r="H25" s="156" t="inlineStr">
        <is>
          <t>Tru Western</t>
        </is>
      </c>
      <c r="I25" s="156" t="inlineStr">
        <is>
          <t>Perfume Leather Vintage Label No. 1 -Private Reserve</t>
        </is>
      </c>
      <c r="J25" s="156" t="inlineStr">
        <is>
          <t>Accesorios</t>
        </is>
      </c>
      <c r="K25" s="156" t="inlineStr">
        <is>
          <t>Fragancias</t>
        </is>
      </c>
      <c r="L25" s="156" t="inlineStr">
        <is>
          <t>Unisex</t>
        </is>
      </c>
      <c r="M25" s="156" t="inlineStr">
        <is>
          <t>Tru Western</t>
        </is>
      </c>
      <c r="N25" s="156" t="inlineStr">
        <is>
          <t>SS26</t>
        </is>
      </c>
      <c r="O25" s="156" t="inlineStr">
        <is>
          <t>Seasonal</t>
        </is>
      </c>
      <c r="P25" s="156" t="n"/>
      <c r="Q25" s="156" t="n"/>
      <c r="R25" s="156" t="n"/>
      <c r="S25" s="156" t="n"/>
      <c r="T25" s="156" t="inlineStr">
        <is>
          <t>Perfume Leather Vintage Label No. 1 -Private Reserve. Fragancia de la marca Tru Western. Estilo 98083.</t>
        </is>
      </c>
      <c r="U25" s="156" t="inlineStr">
        <is>
          <t>Estados Unidos</t>
        </is>
      </c>
      <c r="V25" s="156" t="inlineStr">
        <is>
          <t>PZS</t>
        </is>
      </c>
      <c r="W25" s="51" t="inlineStr">
        <is>
          <t>53131620</t>
        </is>
      </c>
      <c r="X25" s="156" t="inlineStr">
        <is>
          <t>https://m-universal-unique-brands.odoo.com/web/image/product.product/27665/image_1920</t>
        </is>
      </c>
      <c r="Y25" s="54" t="n">
        <v>301.7</v>
      </c>
      <c r="Z25" s="54" t="n">
        <v>1033.62069</v>
      </c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IFERROR(_xlfn.XMATCH(A25,$A$2:$A$52,0,1)&lt;&gt;_xlfn.XMATCH(A25,$A$2:$A$52,0,-1),FALSE)), "Código de barras duplicado", ""), IF(AND(E25&lt;&gt;"", COUNTIF($E$2:$E$52,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inlineStr">
        <is>
          <t>Homologación G1522: integra 1 registro(s) iguales por mismo código de barras</t>
        </is>
      </c>
      <c r="AD25" s="51" t="n">
        <v>0</v>
      </c>
      <c r="AE25" s="156" t="n"/>
      <c r="AF25" s="51" t="n">
        <v>0</v>
      </c>
      <c r="AG25" s="156" t="inlineStr">
        <is>
          <t>Nuevo – NetSuite sin existencia</t>
        </is>
      </c>
      <c r="AH25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«87327032624» → «087327032624» (Corrección aplicada) · Marca principal: «Tru Western» → «Multimarca» (Conflicto entre duplicados) · WB SKU: «98083» → «98083-3.4oz/100mL» (Conflicto entre duplicados) · WB Descripcion: «Tru Western - Leather - EDC - 100mL - No. 1 Private Reserve» → «Perfume Leather Vintage Label No. 1 -Private Reserve» (Conflicto entre duplicados) · Enlace de imagen: «» → «https://m-universal-unique-brands.odoo.com/web/image/product.product/27665/image_1920» (Integrado de duplicado) · Precio de compra: «50» → «301.7» (Conflicto entre duplicados) · Precio de venta: «569» → «1033.62069» (Conflicto entre duplicados)</t>
        </is>
      </c>
      <c r="AI25" s="156" t="inlineStr">
        <is>
          <t>No</t>
        </is>
      </c>
      <c r="AJ25" s="156" t="n"/>
      <c r="AK25" s="155" t="inlineStr">
        <is>
          <t>ProductosCatalogoEstandar907.xlsx: fila 50982 [N,O,U,Y] | Catálogo y Criterios: F [G]; G1522_Extraccion_Articulos_NetSuite_2026-09-30.xlsx: fila 59367 [H,V,Y] | Shopify WB: producto 8576547258553 / variante 47777663779001; Hoja2: fila 449 | Odoo: producto 27665 / plantilla 34401</t>
        </is>
      </c>
      <c r="AL25" s="58" t="n"/>
      <c r="AM25" s="58" t="n">
        <v>1199.0000004</v>
      </c>
      <c r="AN25" s="155" t="inlineStr">
        <is>
          <t>Shopify Western Brothers; Odoo Universal Unique Brands</t>
        </is>
      </c>
      <c r="AO25" s="59" t="n"/>
      <c r="AP25" s="59" t="n">
        <v>0</v>
      </c>
      <c r="AQ25" s="59" t="n">
        <v>-18</v>
      </c>
      <c r="AR25" s="155" t="inlineStr">
        <is>
          <t>Odoo Universal Unique Brands › Bodega 25 › Bodega 25/Output: 12</t>
        </is>
      </c>
    </row>
    <row r="26">
      <c r="A26" s="50" t="inlineStr">
        <is>
          <t>087327032648</t>
        </is>
      </c>
      <c r="B26" s="51" t="inlineStr">
        <is>
          <t>111708</t>
        </is>
      </c>
      <c r="C26" s="156" t="inlineStr">
        <is>
          <t>Multimarca</t>
        </is>
      </c>
      <c r="D26" s="156" t="inlineStr">
        <is>
          <t>98085</t>
        </is>
      </c>
      <c r="E26" s="156" t="inlineStr">
        <is>
          <t>98085-3.4oz/100mL</t>
        </is>
      </c>
      <c r="F26" s="156" t="inlineStr">
        <is>
          <t>100 ml</t>
        </is>
      </c>
      <c r="G26" s="156" t="inlineStr">
        <is>
          <t>3.4 / 3.5 fl oz</t>
        </is>
      </c>
      <c r="H26" s="156" t="inlineStr">
        <is>
          <t>Tru Western</t>
        </is>
      </c>
      <c r="I26" s="156" t="inlineStr">
        <is>
          <t>Perfume Leather Vintage Label No. 2 - Small Batch</t>
        </is>
      </c>
      <c r="J26" s="156" t="inlineStr">
        <is>
          <t>Accesorios</t>
        </is>
      </c>
      <c r="K26" s="156" t="inlineStr">
        <is>
          <t>Fragancias</t>
        </is>
      </c>
      <c r="L26" s="156" t="inlineStr">
        <is>
          <t>Unisex</t>
        </is>
      </c>
      <c r="M26" s="156" t="inlineStr">
        <is>
          <t>Tru Western</t>
        </is>
      </c>
      <c r="N26" s="156" t="inlineStr">
        <is>
          <t>SS26</t>
        </is>
      </c>
      <c r="O26" s="156" t="inlineStr">
        <is>
          <t>Seasonal</t>
        </is>
      </c>
      <c r="P26" s="156" t="n"/>
      <c r="Q26" s="156" t="n"/>
      <c r="R26" s="156" t="n"/>
      <c r="S26" s="156" t="n"/>
      <c r="T26" s="156" t="inlineStr">
        <is>
          <t>Perfume Leather Vintage Label No. 2 - Small Batch. Fragancia de la marca Tru Western. Estilo 98085.</t>
        </is>
      </c>
      <c r="U26" s="156" t="inlineStr">
        <is>
          <t>Estados Unidos</t>
        </is>
      </c>
      <c r="V26" s="156" t="inlineStr">
        <is>
          <t>PZS</t>
        </is>
      </c>
      <c r="W26" s="51" t="inlineStr">
        <is>
          <t>53131620</t>
        </is>
      </c>
      <c r="X26" s="156" t="inlineStr">
        <is>
          <t>https://m-universal-unique-brands.odoo.com/web/image/product.product/27667/image_1920</t>
        </is>
      </c>
      <c r="Y26" s="54" t="n">
        <v>301.7</v>
      </c>
      <c r="Z26" s="54" t="n">
        <v>1033.62069</v>
      </c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IFERROR(_xlfn.XMATCH(A26,$A$2:$A$52,0,1)&lt;&gt;_xlfn.XMATCH(A26,$A$2:$A$52,0,-1),FALSE)), "Código de barras duplicado", ""), IF(AND(E26&lt;&gt;"", COUNTIF($E$2:$E$52,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inlineStr">
        <is>
          <t>Homologación G1522: integra 1 registro(s) iguales por mismo código de barras</t>
        </is>
      </c>
      <c r="AD26" s="51" t="n">
        <v>5</v>
      </c>
      <c r="AE26" s="156" t="inlineStr">
        <is>
          <t>WB OUTLET LERMA: 5</t>
        </is>
      </c>
      <c r="AF26" s="51" t="n">
        <v>5</v>
      </c>
      <c r="AG26" s="156" t="inlineStr">
        <is>
          <t>Nuevo – NetSuite con existencia</t>
        </is>
      </c>
      <c r="AH26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«87327032648» → «087327032648» (Corrección aplicada) · Marca principal: «Tru Western» → «Multimarca» (Conflicto entre duplicados) · WB SKU: «98085» → «98085-3.4oz/100mL» (Conflicto entre duplicados) · WB Descripcion: «Tru Western - Leather - EDC - 100mL - No. 2 Small Batch» → «Perfume Leather Vintage Label No. 2 - Small Batch» (Conflicto entre duplicados) · Enlace de imagen: «» → «https://m-universal-unique-brands.odoo.com/web/image/product.product/27667/image_1920» (Integrado de duplicado) · Precio de compra: «50» → «301.7» (Conflicto entre duplicados) · Precio de venta: «569» → «1033.62069» (Conflicto entre duplicados)</t>
        </is>
      </c>
      <c r="AI26" s="156" t="inlineStr">
        <is>
          <t>No</t>
        </is>
      </c>
      <c r="AJ26" s="156" t="n"/>
      <c r="AK26" s="155" t="inlineStr">
        <is>
          <t>ProductosCatalogoEstandar907.xlsx: fila 50983 [N,O,U,Y] | Catálogo y Criterios: F [G]; G1522_Extraccion_Articulos_NetSuite_2026-09-30.xlsx: fila 59356 [H,V,Y] | Shopify WB: producto 8576546865337 / variante 47777662992569; Hoja2: fila 451 | Odoo: producto 27667 / plantilla 34403</t>
        </is>
      </c>
      <c r="AL26" s="58" t="n">
        <v>418.6166666666667</v>
      </c>
      <c r="AM26" s="58" t="n">
        <v>1199.0000004</v>
      </c>
      <c r="AN26" s="155" t="inlineStr">
        <is>
          <t>Shopify Western Brothers; Odoo Universal Unique Brands</t>
        </is>
      </c>
      <c r="AO26" s="59" t="n"/>
      <c r="AP26" s="59" t="n">
        <v>5</v>
      </c>
      <c r="AQ26" s="59" t="n">
        <v>26</v>
      </c>
      <c r="AR26" s="155" t="inlineStr">
        <is>
          <t>Shopify Western Brothers › Western Brothers Outlet Lerma: 5; Odoo Universal Unique Brands › Bodega 25 › Bodega 25/General: 14 | Odoo Universal Unique Brands › Bodega 25 › Bodega 25/Output: 12</t>
        </is>
      </c>
    </row>
    <row r="27">
      <c r="A27" s="50" t="inlineStr">
        <is>
          <t>087327032662</t>
        </is>
      </c>
      <c r="B27" s="51" t="inlineStr">
        <is>
          <t>111720</t>
        </is>
      </c>
      <c r="C27" s="156" t="inlineStr">
        <is>
          <t>Multimarca</t>
        </is>
      </c>
      <c r="D27" s="156" t="inlineStr">
        <is>
          <t>98087</t>
        </is>
      </c>
      <c r="E27" s="156" t="inlineStr">
        <is>
          <t>98087-3.4oz/100mL</t>
        </is>
      </c>
      <c r="F27" s="156" t="inlineStr">
        <is>
          <t>100 ml</t>
        </is>
      </c>
      <c r="G27" s="156" t="inlineStr">
        <is>
          <t>3.4 / 3.5 fl oz</t>
        </is>
      </c>
      <c r="H27" s="156" t="inlineStr">
        <is>
          <t>Tru Western</t>
        </is>
      </c>
      <c r="I27" s="156" t="inlineStr">
        <is>
          <t>Perfume Leather Vintage Label No. 3 -Indigo Blend</t>
        </is>
      </c>
      <c r="J27" s="156" t="inlineStr">
        <is>
          <t>Accesorios</t>
        </is>
      </c>
      <c r="K27" s="156" t="inlineStr">
        <is>
          <t>Fragancias</t>
        </is>
      </c>
      <c r="L27" s="156" t="inlineStr">
        <is>
          <t>Unisex</t>
        </is>
      </c>
      <c r="M27" s="156" t="inlineStr">
        <is>
          <t>Tru Western</t>
        </is>
      </c>
      <c r="N27" s="156" t="inlineStr">
        <is>
          <t>SS26</t>
        </is>
      </c>
      <c r="O27" s="156" t="inlineStr">
        <is>
          <t>Seasonal</t>
        </is>
      </c>
      <c r="P27" s="156" t="inlineStr">
        <is>
          <t>Azul</t>
        </is>
      </c>
      <c r="Q27" s="156" t="n"/>
      <c r="R27" s="156" t="n"/>
      <c r="S27" s="156" t="n"/>
      <c r="T27" s="156" t="inlineStr">
        <is>
          <t>Perfume Leather Vintage Label No. 3 -Indigo Blend. Fragancia de la marca Tru Western. Estilo 98087.</t>
        </is>
      </c>
      <c r="U27" s="156" t="inlineStr">
        <is>
          <t>Estados Unidos</t>
        </is>
      </c>
      <c r="V27" s="156" t="inlineStr">
        <is>
          <t>PZS</t>
        </is>
      </c>
      <c r="W27" s="51" t="inlineStr">
        <is>
          <t>53131620</t>
        </is>
      </c>
      <c r="X27" s="156" t="inlineStr">
        <is>
          <t>https://m-universal-unique-brands.odoo.com/web/image/product.product/27669/image_1920</t>
        </is>
      </c>
      <c r="Y27" s="54" t="n">
        <v>301.7</v>
      </c>
      <c r="Z27" s="54" t="n">
        <v>1033.62069</v>
      </c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IFERROR(_xlfn.XMATCH(A27,$A$2:$A$52,0,1)&lt;&gt;_xlfn.XMATCH(A27,$A$2:$A$52,0,-1),FALSE)), "Código de barras duplicado", ""), IF(AND(E27&lt;&gt;"", COUNTIF($E$2:$E$52,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inlineStr">
        <is>
          <t>Homologación G1522: integra 1 registro(s) iguales por mismo código de barras</t>
        </is>
      </c>
      <c r="AD27" s="51" t="n">
        <v>0</v>
      </c>
      <c r="AE27" s="156" t="n"/>
      <c r="AF27" s="51" t="n">
        <v>0</v>
      </c>
      <c r="AG27" s="156" t="inlineStr">
        <is>
          <t>Nuevo – NetSuite sin existencia</t>
        </is>
      </c>
      <c r="AH27" s="156" t="inlineStr">
        <is>
          <t>Revisión 29/09/2026: Campos sin respaldo: S, X; Auditoría NetSuite 30/09/2026: llenado desde NetSuite [H,V,Y] | 01/10/2026: complementado desde Shopify Western Brothers (match por código de barras): WB Color, WB Fit, WB Silueta | 01/10/2026: Shopify Western Brothers trae Género «Hombre» — se conservó el valor de Productos | Homologación G1522 06/10/2026: WB País de origen: «USA» → «Estados Unidos» (Corrección aplicada) · Código de barras: «87327032662» → «087327032662» (Corrección aplicada) · Marca principal: «Tru Western» → «Multimarca» (Conflicto entre duplicados) · WB SKU: «98087» → «98087-3.4oz/100mL» (Conflicto entre duplicados) · WB Descripcion: «Tru Western - Leather - EDC - 100mL - No. 3 Indigo Blend» → «Perfume Leather Vintage Label No. 3 -Indigo Blend» (Conflicto entre duplicados) · Enlace de imagen: «» → «https://m-universal-unique-brands.odoo.com/web/image/product.product/27669/image_1920» (Integrado de duplicado) · Precio de compra: «50» → «301.7» (Conflicto entre duplicados) · Precio de venta: «569» → «1033.62069» (Conflicto entre duplicados)</t>
        </is>
      </c>
      <c r="AI27" s="156" t="inlineStr">
        <is>
          <t>No</t>
        </is>
      </c>
      <c r="AJ27" s="156" t="n"/>
      <c r="AK27" s="155" t="inlineStr">
        <is>
          <t>ProductosCatalogoEstandar907.xlsx: fila 50984 [N,O,U,Y] | Catálogo y Criterios: F [G]; G1522_Extraccion_Articulos_NetSuite_2026-09-30.xlsx: fila 59368 [H,V,Y] | Shopify WB: producto 8576547389625 / variante 47777663910073; Hoja2: fila 453 | Odoo: producto 27669 / plantilla 34405</t>
        </is>
      </c>
      <c r="AL27" s="58" t="n"/>
      <c r="AM27" s="58" t="n">
        <v>1199.0000004</v>
      </c>
      <c r="AN27" s="155" t="inlineStr">
        <is>
          <t>Shopify Western Brothers; Odoo Universal Unique Brands</t>
        </is>
      </c>
      <c r="AO27" s="59" t="n"/>
      <c r="AP27" s="59" t="n">
        <v>0</v>
      </c>
      <c r="AQ27" s="59" t="n">
        <v>-12</v>
      </c>
      <c r="AR27" s="155" t="inlineStr">
        <is>
          <t>Odoo Universal Unique Brands › Bodega 25 › Bodega 25/Output: 12</t>
        </is>
      </c>
    </row>
    <row r="28">
      <c r="A28" s="50" t="inlineStr">
        <is>
          <t>087327032686</t>
        </is>
      </c>
      <c r="B28" s="51" t="inlineStr">
        <is>
          <t>111709</t>
        </is>
      </c>
      <c r="C28" s="156" t="inlineStr">
        <is>
          <t>Multimarca</t>
        </is>
      </c>
      <c r="D28" s="156" t="inlineStr">
        <is>
          <t>98089</t>
        </is>
      </c>
      <c r="E28" s="156" t="inlineStr">
        <is>
          <t>98089-3.4oz/100mL</t>
        </is>
      </c>
      <c r="F28" s="156" t="inlineStr">
        <is>
          <t>100 ml</t>
        </is>
      </c>
      <c r="G28" s="156" t="inlineStr">
        <is>
          <t>3.4 / 3.5 fl oz</t>
        </is>
      </c>
      <c r="H28" s="156" t="inlineStr">
        <is>
          <t>Tru Western</t>
        </is>
      </c>
      <c r="I28" s="156" t="inlineStr">
        <is>
          <t>Perfume Leather Vintage Label No. 4 -Deep Leather</t>
        </is>
      </c>
      <c r="J28" s="156" t="inlineStr">
        <is>
          <t>Accesorios</t>
        </is>
      </c>
      <c r="K28" s="156" t="inlineStr">
        <is>
          <t>Fragancias</t>
        </is>
      </c>
      <c r="L28" s="156" t="inlineStr">
        <is>
          <t>Unisex</t>
        </is>
      </c>
      <c r="M28" s="156" t="inlineStr">
        <is>
          <t>Tru Western</t>
        </is>
      </c>
      <c r="N28" s="156" t="inlineStr">
        <is>
          <t>SS26</t>
        </is>
      </c>
      <c r="O28" s="156" t="inlineStr">
        <is>
          <t>Seasonal</t>
        </is>
      </c>
      <c r="P28" s="156" t="n"/>
      <c r="Q28" s="156" t="n"/>
      <c r="R28" s="156" t="n"/>
      <c r="S28" s="156" t="n"/>
      <c r="T28" s="156" t="inlineStr">
        <is>
          <t>Perfume Leather Vintage Label No. 4 -Deep Leather. Fragancia de la marca Tru Western. Estilo 98089.</t>
        </is>
      </c>
      <c r="U28" s="156" t="inlineStr">
        <is>
          <t>Estados Unidos</t>
        </is>
      </c>
      <c r="V28" s="156" t="inlineStr">
        <is>
          <t>PZS</t>
        </is>
      </c>
      <c r="W28" s="51" t="inlineStr">
        <is>
          <t>53131620</t>
        </is>
      </c>
      <c r="X28" s="156" t="inlineStr">
        <is>
          <t>https://m-universal-unique-brands.odoo.com/web/image/product.product/27671/image_1920</t>
        </is>
      </c>
      <c r="Y28" s="54" t="n">
        <v>301.7</v>
      </c>
      <c r="Z28" s="54" t="n">
        <v>1033.62069</v>
      </c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IFERROR(_xlfn.XMATCH(A28,$A$2:$A$52,0,1)&lt;&gt;_xlfn.XMATCH(A28,$A$2:$A$52,0,-1),FALSE)), "Código de barras duplicado", ""), IF(AND(E28&lt;&gt;"", COUNTIF($E$2:$E$52,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inlineStr">
        <is>
          <t>Homologación G1522: integra 1 registro(s) iguales por mismo código de barras</t>
        </is>
      </c>
      <c r="AD28" s="51" t="n">
        <v>7</v>
      </c>
      <c r="AE28" s="156" t="inlineStr">
        <is>
          <t>WB OUTLET LERMA: 7</t>
        </is>
      </c>
      <c r="AF28" s="51" t="n">
        <v>7</v>
      </c>
      <c r="AG28" s="156" t="inlineStr">
        <is>
          <t>Nuevo – NetSuite con existencia</t>
        </is>
      </c>
      <c r="AH28" s="156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 | Homologación G1522 06/10/2026: WB País de origen: «USA» → «Estados Unidos» (Corrección aplicada) · Código de barras: «87327032686» → «087327032686» (Corrección aplicada) · Marca principal: «Tru Western» → «Multimarca» (Conflicto entre duplicados) · WB SKU: «98089» → «98089-3.4oz/100mL» (Conflicto entre duplicados) · WB Descripcion: «Tru Western - Leather - EDC - 100mL - No. 4 Deep Leather» → «Perfume Leather Vintage Label No. 4 -Deep Leather» (Conflicto entre duplicados) · Enlace de imagen: «» → «https://m-universal-unique-brands.odoo.com/web/image/product.product/27671/image_1920» (Integrado de duplicado) · Precio de compra: «50» → «301.7» (Conflicto entre duplicados) · Precio de venta: «569» → «1033.62069» (Conflicto entre duplicados)</t>
        </is>
      </c>
      <c r="AI28" s="156" t="inlineStr">
        <is>
          <t>No</t>
        </is>
      </c>
      <c r="AJ28" s="156" t="n"/>
      <c r="AK28" s="155" t="inlineStr">
        <is>
          <t>ProductosCatalogoEstandar907.xlsx: fila 50985 [N,O,U,Y] | Catálogo y Criterios: F [G]; G1522_Extraccion_Articulos_NetSuite_2026-09-30.xlsx: fila 59357 [H,V,Y] | Shopify WB: producto 8576546898105 / variante 47777663025337; Hoja2: fila 455 | Odoo: producto 27671 / plantilla 34407</t>
        </is>
      </c>
      <c r="AL28" s="58" t="n">
        <v>418.6166666666667</v>
      </c>
      <c r="AM28" s="58" t="n">
        <v>1199.0000004</v>
      </c>
      <c r="AN28" s="155" t="inlineStr">
        <is>
          <t>Shopify Western Brothers; Odoo Universal Unique Brands</t>
        </is>
      </c>
      <c r="AO28" s="59" t="n"/>
      <c r="AP28" s="59" t="n">
        <v>7</v>
      </c>
      <c r="AQ28" s="59" t="n">
        <v>20</v>
      </c>
      <c r="AR28" s="155" t="inlineStr">
        <is>
          <t>Shopify Western Brothers › Western Brothers Outlet Lerma: 7; Odoo Universal Unique Brands › Bodega 25 › Bodega 25/General: 8 | Odoo Universal Unique Brands › Bodega 25 › Bodega 25/Output: 12</t>
        </is>
      </c>
    </row>
    <row r="29">
      <c r="A29" s="50" t="inlineStr">
        <is>
          <t>087327025725</t>
        </is>
      </c>
      <c r="B29" s="51" t="inlineStr">
        <is>
          <t>27674</t>
        </is>
      </c>
      <c r="C29" s="156" t="inlineStr">
        <is>
          <t>Tru Western</t>
        </is>
      </c>
      <c r="D29" s="156" t="n"/>
      <c r="E29" s="156" t="inlineStr">
        <is>
          <t>90093</t>
        </is>
      </c>
      <c r="F29" s="156" t="inlineStr">
        <is>
          <t>100 ml</t>
        </is>
      </c>
      <c r="G29" s="156" t="inlineStr">
        <is>
          <t>3.4 fl oz</t>
        </is>
      </c>
      <c r="H29" s="156" t="inlineStr">
        <is>
          <t>Tru Western</t>
        </is>
      </c>
      <c r="I29" s="156" t="inlineStr">
        <is>
          <t>TESTER Tru Western: Men's - Cologne Spray 3.4oz - Cowboy</t>
        </is>
      </c>
      <c r="J29" s="156" t="inlineStr">
        <is>
          <t>Accesorios</t>
        </is>
      </c>
      <c r="K29" s="156" t="inlineStr">
        <is>
          <t>Fragancias</t>
        </is>
      </c>
      <c r="L29" s="156" t="inlineStr">
        <is>
          <t>Hombre</t>
        </is>
      </c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  <c r="V29" s="156" t="inlineStr">
        <is>
          <t>PZS</t>
        </is>
      </c>
      <c r="W29" s="51" t="inlineStr">
        <is>
          <t>53131620</t>
        </is>
      </c>
      <c r="X29" s="156" t="inlineStr">
        <is>
          <t>https://m-universal-unique-brands.odoo.com/web/image/product.product/27674/image_1920</t>
        </is>
      </c>
      <c r="Y29" s="54" t="n">
        <v>45</v>
      </c>
      <c r="Z29" s="54" t="n">
        <v>499</v>
      </c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IFERROR(_xlfn.XMATCH(A29,$A$2:$A$52,0,1)&lt;&gt;_xlfn.XMATCH(A29,$A$2:$A$52,0,-1),FALSE)), "Código de barras duplicado", ""), IF(AND(E29&lt;&gt;"", COUNTIF($E$2:$E$52,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/>
      <c r="AE29" s="156" t="n"/>
      <c r="AF29" s="51" t="n"/>
      <c r="AG29" s="156" t="inlineStr">
        <is>
          <t>Nuevo – Carga Hoja2 01/10/2026</t>
        </is>
      </c>
      <c r="AH29" s="156" t="inlineStr">
        <is>
          <t>Alta 01/10/2026 desde Hoja2 (fila 410) | 01/10/2026: complementado desde Odoo Universal Unique Brands (match por código de barras): WB Talla, WB Talla de EE. UU., WB Género, Enlace de imagen | Homologación G1522 06/10/2026: Código de barras: «87327025725» → «087327025725» (Corrección aplicada) · Validación G1522: Falta estilo · Validador NetSuite / Odoo: V6: falta estilo · Validador Shopify: V6: falta estilo; WB: precio con IVA no termina en 9</t>
        </is>
      </c>
      <c r="AI29" s="156" t="n"/>
      <c r="AJ29" s="156" t="n"/>
      <c r="AK29" s="155" t="inlineStr">
        <is>
          <t>Hoja2: fila 410 | Odoo: producto 27674 / plantilla 34410</t>
        </is>
      </c>
      <c r="AL29" s="58" t="n"/>
      <c r="AM29" s="58" t="n"/>
      <c r="AN29" s="155" t="inlineStr">
        <is>
          <t>Odoo Universal Unique Brands</t>
        </is>
      </c>
      <c r="AO29" s="59" t="n"/>
      <c r="AP29" s="59" t="n"/>
      <c r="AQ29" s="59" t="n">
        <v>2</v>
      </c>
      <c r="AR29" s="155" t="inlineStr">
        <is>
          <t>Odoo Universal Unique Brands › Bodega 25 › Bodega 25/General: 1 | Odoo Universal Unique Brands › Bodega 25 › Bodega 25/Output: 1</t>
        </is>
      </c>
    </row>
    <row r="30">
      <c r="A30" s="50" t="inlineStr">
        <is>
          <t>087327026159</t>
        </is>
      </c>
      <c r="B30" s="51" t="inlineStr">
        <is>
          <t>27714</t>
        </is>
      </c>
      <c r="C30" s="156" t="inlineStr">
        <is>
          <t>Tru Western</t>
        </is>
      </c>
      <c r="D30" s="156" t="n"/>
      <c r="E30" s="156" t="inlineStr">
        <is>
          <t>91574</t>
        </is>
      </c>
      <c r="F30" s="156" t="inlineStr">
        <is>
          <t>50 ml</t>
        </is>
      </c>
      <c r="G30" s="156" t="inlineStr">
        <is>
          <t>1.7 fl oz</t>
        </is>
      </c>
      <c r="H30" s="156" t="inlineStr">
        <is>
          <t>Tru Western</t>
        </is>
      </c>
      <c r="I30" s="156" t="inlineStr">
        <is>
          <t>TESTER Tru Western: Women's - EDP 1.7oz - Lace</t>
        </is>
      </c>
      <c r="J30" s="156" t="inlineStr">
        <is>
          <t>Accesorios</t>
        </is>
      </c>
      <c r="K30" s="156" t="inlineStr">
        <is>
          <t>Fragancias</t>
        </is>
      </c>
      <c r="L30" s="156" t="inlineStr">
        <is>
          <t>Mujer</t>
        </is>
      </c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  <c r="V30" s="156" t="inlineStr">
        <is>
          <t>PZS</t>
        </is>
      </c>
      <c r="W30" s="51" t="inlineStr">
        <is>
          <t>53131620</t>
        </is>
      </c>
      <c r="X30" s="156" t="inlineStr">
        <is>
          <t>https://m-universal-unique-brands.odoo.com/web/image/product.product/27714/image_1920</t>
        </is>
      </c>
      <c r="Y30" s="54" t="n"/>
      <c r="Z30" s="54" t="n">
        <v>519</v>
      </c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IFERROR(_xlfn.XMATCH(A30,$A$2:$A$52,0,1)&lt;&gt;_xlfn.XMATCH(A30,$A$2:$A$52,0,-1),FALSE)), "Código de barras duplicado", ""), IF(AND(E30&lt;&gt;"", COUNTIF($E$2:$E$52,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/>
      <c r="AE30" s="156" t="n"/>
      <c r="AF30" s="51" t="n"/>
      <c r="AG30" s="156" t="inlineStr">
        <is>
          <t>Nuevo – Carga Hoja2 01/10/2026</t>
        </is>
      </c>
      <c r="AH30" s="156" t="inlineStr">
        <is>
          <t>Alta 01/10/2026 desde Hoja2 (fila 412); Precio de compra en 0/vacío en origen | 01/10/2026: complementado desde Odoo Universal Unique Brands (match por código de barras): WB Talla, WB Talla de EE. UU., WB Género, Enlace de imagen | Homologación G1522 06/10/2026: Validación G1522: Falta estilo · Validador NetSuite / Odoo: V6: falta estilo · Validador Shopify: V6: falta estilo; WB: precio con IVA no termina en 9</t>
        </is>
      </c>
      <c r="AI30" s="156" t="n"/>
      <c r="AJ30" s="156" t="n"/>
      <c r="AK30" s="155" t="inlineStr">
        <is>
          <t>Hoja2: fila 412 | Odoo: producto 27714 / plantilla 34450</t>
        </is>
      </c>
      <c r="AL30" s="58" t="n"/>
      <c r="AM30" s="58" t="n"/>
      <c r="AN30" s="155" t="inlineStr">
        <is>
          <t>Odoo Universal Unique Brands</t>
        </is>
      </c>
      <c r="AO30" s="59" t="n"/>
      <c r="AP30" s="59" t="n"/>
      <c r="AQ30" s="59" t="n">
        <v>2</v>
      </c>
      <c r="AR30" s="155" t="inlineStr">
        <is>
          <t>Odoo Universal Unique Brands › Bodega 25 › Bodega 25/General: 1 | Odoo Universal Unique Brands › Bodega 25 › Bodega 25/Output: 1</t>
        </is>
      </c>
    </row>
    <row r="31">
      <c r="A31" s="50" t="inlineStr">
        <is>
          <t>087327026326</t>
        </is>
      </c>
      <c r="B31" s="51" t="inlineStr">
        <is>
          <t>27690</t>
        </is>
      </c>
      <c r="C31" s="156" t="inlineStr">
        <is>
          <t>Tru Western</t>
        </is>
      </c>
      <c r="D31" s="156" t="n"/>
      <c r="E31" s="156" t="inlineStr">
        <is>
          <t>91718</t>
        </is>
      </c>
      <c r="F31" s="156" t="inlineStr">
        <is>
          <t>100 ml</t>
        </is>
      </c>
      <c r="G31" s="156" t="inlineStr">
        <is>
          <t>3.4 / 3.5 fl oz</t>
        </is>
      </c>
      <c r="H31" s="156" t="inlineStr">
        <is>
          <t>Tru Western</t>
        </is>
      </c>
      <c r="I31" s="156" t="inlineStr">
        <is>
          <t>Tester Tru Western - 100mL EDC - Outlaw</t>
        </is>
      </c>
      <c r="J31" s="156" t="inlineStr">
        <is>
          <t>Accesorios</t>
        </is>
      </c>
      <c r="K31" s="156" t="inlineStr">
        <is>
          <t>Fragancias</t>
        </is>
      </c>
      <c r="L31" s="156" t="inlineStr">
        <is>
          <t>Unisex</t>
        </is>
      </c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  <c r="V31" s="156" t="inlineStr">
        <is>
          <t>PZS</t>
        </is>
      </c>
      <c r="W31" s="51" t="inlineStr">
        <is>
          <t>53131620</t>
        </is>
      </c>
      <c r="X31" s="156" t="inlineStr">
        <is>
          <t>https://m-universal-unique-brands.odoo.com/web/image/product.product/27690/image_1920</t>
        </is>
      </c>
      <c r="Y31" s="54" t="n">
        <v>45</v>
      </c>
      <c r="Z31" s="54" t="n">
        <v>499</v>
      </c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IFERROR(_xlfn.XMATCH(A31,$A$2:$A$52,0,1)&lt;&gt;_xlfn.XMATCH(A31,$A$2:$A$52,0,-1),FALSE)), "Código de barras duplicado", ""), IF(AND(E31&lt;&gt;"", COUNTIF($E$2:$E$52,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/>
      <c r="AE31" s="156" t="n"/>
      <c r="AF31" s="51" t="n"/>
      <c r="AG31" s="156" t="inlineStr">
        <is>
          <t>Nuevo – Carga Hoja2 01/10/2026</t>
        </is>
      </c>
      <c r="AH31" s="156" t="inlineStr">
        <is>
          <t>Alta 01/10/2026 desde Hoja2 (fila 414) | 01/10/2026: complementado desde Odoo Universal Unique Brands (match por código de barras): WB Talla, WB Talla de EE. UU., WB Género, Enlace de imagen | Homologación G1522 06/10/2026: Código de barras: «87327026326» → «087327026326» (Corrección aplicada) · Validación G1522: Falta estilo · Validador NetSuite / Odoo: V6: falta estilo · Validador Shopify: V6: falta estilo; WB: precio con IVA no termina en 9</t>
        </is>
      </c>
      <c r="AI31" s="156" t="n"/>
      <c r="AJ31" s="156" t="n"/>
      <c r="AK31" s="155" t="inlineStr">
        <is>
          <t>Hoja2: fila 414 | Odoo: producto 27690 / plantilla 34426</t>
        </is>
      </c>
      <c r="AL31" s="58" t="n"/>
      <c r="AM31" s="58" t="n"/>
      <c r="AN31" s="155" t="inlineStr">
        <is>
          <t>Odoo Universal Unique Brands</t>
        </is>
      </c>
      <c r="AO31" s="59" t="n"/>
      <c r="AP31" s="59" t="n"/>
      <c r="AQ31" s="59" t="n">
        <v>1</v>
      </c>
      <c r="AR31" s="155" t="inlineStr">
        <is>
          <t>Odoo Universal Unique Brands › Bodega 25 › Bodega 25/Output: 1</t>
        </is>
      </c>
    </row>
    <row r="32">
      <c r="A32" s="50" t="inlineStr">
        <is>
          <t>087327027156</t>
        </is>
      </c>
      <c r="B32" s="51" t="inlineStr">
        <is>
          <t>27715</t>
        </is>
      </c>
      <c r="C32" s="156" t="inlineStr">
        <is>
          <t>Tru Western</t>
        </is>
      </c>
      <c r="D32" s="156" t="n"/>
      <c r="E32" s="156" t="inlineStr">
        <is>
          <t>92176</t>
        </is>
      </c>
      <c r="F32" s="156" t="inlineStr">
        <is>
          <t>50 ml</t>
        </is>
      </c>
      <c r="G32" s="156" t="inlineStr">
        <is>
          <t>1.7 fl oz</t>
        </is>
      </c>
      <c r="H32" s="156" t="inlineStr">
        <is>
          <t>Tru Western</t>
        </is>
      </c>
      <c r="I32" s="156" t="inlineStr">
        <is>
          <t>TESTER Tru Western: Women's - EDP 1.7oz - Lace Noir</t>
        </is>
      </c>
      <c r="J32" s="156" t="inlineStr">
        <is>
          <t>Accesorios</t>
        </is>
      </c>
      <c r="K32" s="156" t="inlineStr">
        <is>
          <t>Fragancias</t>
        </is>
      </c>
      <c r="L32" s="156" t="inlineStr">
        <is>
          <t>Mujer</t>
        </is>
      </c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  <c r="V32" s="156" t="inlineStr">
        <is>
          <t>PZS</t>
        </is>
      </c>
      <c r="W32" s="51" t="inlineStr">
        <is>
          <t>53131620</t>
        </is>
      </c>
      <c r="X32" s="156" t="inlineStr">
        <is>
          <t>https://m-universal-unique-brands.odoo.com/web/image/product.product/27715/image_1920</t>
        </is>
      </c>
      <c r="Y32" s="54" t="n"/>
      <c r="Z32" s="54" t="n">
        <v>519</v>
      </c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IFERROR(_xlfn.XMATCH(A32,$A$2:$A$52,0,1)&lt;&gt;_xlfn.XMATCH(A32,$A$2:$A$52,0,-1),FALSE)), "Código de barras duplicado", ""), IF(AND(E32&lt;&gt;"", COUNTIF($E$2:$E$52,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/>
      <c r="AE32" s="156" t="n"/>
      <c r="AF32" s="51" t="n"/>
      <c r="AG32" s="156" t="inlineStr">
        <is>
          <t>Nuevo – Carga Hoja2 01/10/2026</t>
        </is>
      </c>
      <c r="AH32" s="156" t="inlineStr">
        <is>
          <t>Alta 01/10/2026 desde Hoja2 (fila 416); Precio de compra en 0/vacío en origen | 01/10/2026: complementado desde Odoo Universal Unique Brands (match por código de barras): WB Talla, WB Talla de EE. UU., WB Género, Enlace de imagen | Homologación G1522 06/10/2026: Validación G1522: Falta estilo · Validador NetSuite / Odoo: V6: falta estilo · Validador Shopify: V6: falta estilo; WB: precio con IVA no termina en 9</t>
        </is>
      </c>
      <c r="AI32" s="156" t="n"/>
      <c r="AJ32" s="156" t="n"/>
      <c r="AK32" s="155" t="inlineStr">
        <is>
          <t>Hoja2: fila 416 | Odoo: producto 27715 / plantilla 34451</t>
        </is>
      </c>
      <c r="AL32" s="58" t="n"/>
      <c r="AM32" s="58" t="n"/>
      <c r="AN32" s="155" t="inlineStr">
        <is>
          <t>Odoo Universal Unique Brands</t>
        </is>
      </c>
      <c r="AO32" s="59" t="n"/>
      <c r="AP32" s="59" t="n"/>
      <c r="AQ32" s="59" t="n">
        <v>2</v>
      </c>
      <c r="AR32" s="155" t="inlineStr">
        <is>
          <t>Odoo Universal Unique Brands › Bodega 25 › Bodega 25/General: 1 | Odoo Universal Unique Brands › Bodega 25 › Bodega 25/Output: 1</t>
        </is>
      </c>
    </row>
    <row r="33">
      <c r="A33" s="50" t="inlineStr">
        <is>
          <t>087327027972</t>
        </is>
      </c>
      <c r="B33" s="51" t="inlineStr">
        <is>
          <t>27716</t>
        </is>
      </c>
      <c r="C33" s="156" t="inlineStr">
        <is>
          <t>Tru Western</t>
        </is>
      </c>
      <c r="D33" s="156" t="n"/>
      <c r="E33" s="156" t="inlineStr">
        <is>
          <t>92702</t>
        </is>
      </c>
      <c r="F33" s="156" t="inlineStr">
        <is>
          <t>100 ml</t>
        </is>
      </c>
      <c r="G33" s="156" t="inlineStr">
        <is>
          <t>3.4 fl oz</t>
        </is>
      </c>
      <c r="H33" s="156" t="inlineStr">
        <is>
          <t>Tru Western</t>
        </is>
      </c>
      <c r="I33" s="156" t="inlineStr">
        <is>
          <t>TESTER Tru Western: Women's - EDP 3.4oz - Amber Sundance</t>
        </is>
      </c>
      <c r="J33" s="156" t="inlineStr">
        <is>
          <t>Accesorios</t>
        </is>
      </c>
      <c r="K33" s="156" t="inlineStr">
        <is>
          <t>Fragancias</t>
        </is>
      </c>
      <c r="L33" s="156" t="inlineStr">
        <is>
          <t>Mujer</t>
        </is>
      </c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  <c r="V33" s="156" t="inlineStr">
        <is>
          <t>PZS</t>
        </is>
      </c>
      <c r="W33" s="51" t="inlineStr">
        <is>
          <t>53131620</t>
        </is>
      </c>
      <c r="X33" s="156" t="inlineStr">
        <is>
          <t>https://m-universal-unique-brands.odoo.com/web/image/product.product/27716/image_1920</t>
        </is>
      </c>
      <c r="Y33" s="54" t="n"/>
      <c r="Z33" s="54" t="n">
        <v>399</v>
      </c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IFERROR(_xlfn.XMATCH(A33,$A$2:$A$52,0,1)&lt;&gt;_xlfn.XMATCH(A33,$A$2:$A$52,0,-1),FALSE)), "Código de barras duplicado", ""), IF(AND(E33&lt;&gt;"", COUNTIF($E$2:$E$52,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/>
      <c r="AE33" s="156" t="n"/>
      <c r="AF33" s="51" t="n"/>
      <c r="AG33" s="156" t="inlineStr">
        <is>
          <t>Nuevo – Carga Hoja2 01/10/2026</t>
        </is>
      </c>
      <c r="AH33" s="156" t="inlineStr">
        <is>
          <t>Alta 01/10/2026 desde Hoja2 (fila 419); Precio de compra en 0/vacío en origen | 01/10/2026: complementado desde Odoo Universal Unique Brands (match por código de barras): WB Talla, WB Talla de EE. UU., WB Género, Enlace de imagen | Homologación G1522 06/10/2026: Validación G1522: Falta estilo · Validador NetSuite / Odoo: V6: falta estilo · Validador Shopify: V6: falta estilo; WB: precio con IVA no termina en 9</t>
        </is>
      </c>
      <c r="AI33" s="156" t="n"/>
      <c r="AJ33" s="156" t="n"/>
      <c r="AK33" s="155" t="inlineStr">
        <is>
          <t>Hoja2: fila 419 | Odoo: producto 27716 / plantilla 34452</t>
        </is>
      </c>
      <c r="AL33" s="58" t="n"/>
      <c r="AM33" s="58" t="n"/>
      <c r="AN33" s="155" t="inlineStr">
        <is>
          <t>Odoo Universal Unique Brands</t>
        </is>
      </c>
      <c r="AO33" s="59" t="n"/>
      <c r="AP33" s="59" t="n"/>
      <c r="AQ33" s="59" t="n">
        <v>2</v>
      </c>
      <c r="AR33" s="155" t="inlineStr">
        <is>
          <t>Odoo Universal Unique Brands › Bodega 25 › Bodega 25/General: 1 | Odoo Universal Unique Brands › Bodega 25 › Bodega 25/Output: 1</t>
        </is>
      </c>
    </row>
    <row r="34">
      <c r="A34" s="50" t="inlineStr">
        <is>
          <t>087327028337</t>
        </is>
      </c>
      <c r="B34" s="51" t="inlineStr">
        <is>
          <t>27680</t>
        </is>
      </c>
      <c r="C34" s="156" t="inlineStr">
        <is>
          <t>Tru Western</t>
        </is>
      </c>
      <c r="D34" s="156" t="n"/>
      <c r="E34" s="156" t="inlineStr">
        <is>
          <t>93058</t>
        </is>
      </c>
      <c r="F34" s="156" t="inlineStr">
        <is>
          <t>100 ml</t>
        </is>
      </c>
      <c r="G34" s="156" t="inlineStr">
        <is>
          <t>3.4 / 3.5 fl oz</t>
        </is>
      </c>
      <c r="H34" s="156" t="inlineStr">
        <is>
          <t>Tru Western</t>
        </is>
      </c>
      <c r="I34" s="156" t="inlineStr">
        <is>
          <t>Tester Tru Western - 100mL EDC - PBR - Black &amp; Blue Flame</t>
        </is>
      </c>
      <c r="J34" s="156" t="inlineStr">
        <is>
          <t>Accesorios</t>
        </is>
      </c>
      <c r="K34" s="156" t="inlineStr">
        <is>
          <t>Fragancias</t>
        </is>
      </c>
      <c r="L34" s="156" t="inlineStr">
        <is>
          <t>Unisex</t>
        </is>
      </c>
      <c r="M34" s="156" t="n"/>
      <c r="N34" s="156" t="n"/>
      <c r="O34" s="156" t="n"/>
      <c r="P34" s="156" t="inlineStr">
        <is>
          <t>Negro</t>
        </is>
      </c>
      <c r="Q34" s="156" t="n"/>
      <c r="R34" s="156" t="n"/>
      <c r="S34" s="156" t="n"/>
      <c r="T34" s="156" t="n"/>
      <c r="U34" s="156" t="n"/>
      <c r="V34" s="156" t="inlineStr">
        <is>
          <t>PZS</t>
        </is>
      </c>
      <c r="W34" s="51" t="inlineStr">
        <is>
          <t>53131620</t>
        </is>
      </c>
      <c r="X34" s="156" t="inlineStr">
        <is>
          <t>https://m-universal-unique-brands.odoo.com/web/image/product.product/27680/image_1920</t>
        </is>
      </c>
      <c r="Y34" s="54" t="n">
        <v>50</v>
      </c>
      <c r="Z34" s="54" t="n">
        <v>569</v>
      </c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IFERROR(_xlfn.XMATCH(A34,$A$2:$A$52,0,1)&lt;&gt;_xlfn.XMATCH(A34,$A$2:$A$52,0,-1),FALSE)), "Código de barras duplicado", ""), IF(AND(E34&lt;&gt;"", COUNTIF($E$2:$E$52,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/>
      <c r="AE34" s="156" t="n"/>
      <c r="AF34" s="51" t="n"/>
      <c r="AG34" s="156" t="inlineStr">
        <is>
          <t>Nuevo – Carga Hoja2 01/10/2026</t>
        </is>
      </c>
      <c r="AH34" s="156" t="inlineStr">
        <is>
          <t>Alta 01/10/2026 desde Hoja2 (fila 421) | 01/10/2026: complementado desde Odoo Universal Unique Brands (match por código de barras): WB Talla, WB Talla de EE. UU., WB Género, WB Color, Enlace de imagen | Homologación G1522 06/10/2026: Código de barras: «87327028337» → «087327028337» (Corrección aplicada) · Validación G1522: Falta estilo · Validador NetSuite / Odoo: V6: falta estilo · Validador Shopify: V6: falta estilo; WB: precio con IVA no termina en 9</t>
        </is>
      </c>
      <c r="AI34" s="156" t="n"/>
      <c r="AJ34" s="156" t="n"/>
      <c r="AK34" s="155" t="inlineStr">
        <is>
          <t>Hoja2: fila 421 | Odoo: producto 27680 / plantilla 34416</t>
        </is>
      </c>
      <c r="AL34" s="58" t="n"/>
      <c r="AM34" s="58" t="n"/>
      <c r="AN34" s="155" t="inlineStr">
        <is>
          <t>Odoo Universal Unique Brands</t>
        </is>
      </c>
      <c r="AO34" s="59" t="n"/>
      <c r="AP34" s="59" t="n"/>
      <c r="AQ34" s="59" t="n">
        <v>-1</v>
      </c>
      <c r="AR34" s="155" t="inlineStr">
        <is>
          <t>Odoo Universal Unique Brands › Bodega 25 › Bodega 25/Output: 1</t>
        </is>
      </c>
    </row>
    <row r="35">
      <c r="A35" s="50" t="inlineStr">
        <is>
          <t>087327030385</t>
        </is>
      </c>
      <c r="B35" s="51" t="inlineStr">
        <is>
          <t>27686</t>
        </is>
      </c>
      <c r="C35" s="156" t="inlineStr">
        <is>
          <t>Tru Western</t>
        </is>
      </c>
      <c r="D35" s="156" t="n"/>
      <c r="E35" s="156" t="inlineStr">
        <is>
          <t>93957</t>
        </is>
      </c>
      <c r="F35" s="156" t="inlineStr">
        <is>
          <t>100 ml</t>
        </is>
      </c>
      <c r="G35" s="156" t="inlineStr">
        <is>
          <t>3.4 / 3.5 fl oz</t>
        </is>
      </c>
      <c r="H35" s="156" t="inlineStr">
        <is>
          <t>Tru Western</t>
        </is>
      </c>
      <c r="I35" s="156" t="inlineStr">
        <is>
          <t>Tester Tru Western - 100mL EDC - PBR - 8 Seconds Fury</t>
        </is>
      </c>
      <c r="J35" s="156" t="inlineStr">
        <is>
          <t>Accesorios</t>
        </is>
      </c>
      <c r="K35" s="156" t="inlineStr">
        <is>
          <t>Fragancias</t>
        </is>
      </c>
      <c r="L35" s="156" t="inlineStr">
        <is>
          <t>Unisex</t>
        </is>
      </c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  <c r="V35" s="156" t="inlineStr">
        <is>
          <t>PZS</t>
        </is>
      </c>
      <c r="W35" s="51" t="inlineStr">
        <is>
          <t>53131620</t>
        </is>
      </c>
      <c r="X35" s="156" t="inlineStr">
        <is>
          <t>https://m-universal-unique-brands.odoo.com/web/image/product.product/27686/image_1920</t>
        </is>
      </c>
      <c r="Y35" s="54" t="n">
        <v>50</v>
      </c>
      <c r="Z35" s="54" t="n">
        <v>569</v>
      </c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IFERROR(_xlfn.XMATCH(A35,$A$2:$A$52,0,1)&lt;&gt;_xlfn.XMATCH(A35,$A$2:$A$52,0,-1),FALSE)), "Código de barras duplicado", ""), IF(AND(E35&lt;&gt;"", COUNTIF($E$2:$E$52,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n"/>
      <c r="AD35" s="51" t="n"/>
      <c r="AE35" s="156" t="n"/>
      <c r="AF35" s="51" t="n"/>
      <c r="AG35" s="156" t="inlineStr">
        <is>
          <t>Nuevo – Carga Hoja2 01/10/2026</t>
        </is>
      </c>
      <c r="AH35" s="156" t="inlineStr">
        <is>
          <t>Alta 01/10/2026 desde Hoja2 (fila 422) | 01/10/2026: complementado desde Odoo Universal Unique Brands (match por código de barras): WB Talla, WB Talla de EE. UU., WB Género, Enlace de imagen | Homologación G1522 06/10/2026: Código de barras: «87327030385» → «087327030385» (Corrección aplicada) · Validación G1522: Falta estilo · Validador NetSuite / Odoo: V6: falta estilo · Validador Shopify: V6: falta estilo; WB: precio con IVA no termina en 9</t>
        </is>
      </c>
      <c r="AI35" s="156" t="n"/>
      <c r="AJ35" s="156" t="n"/>
      <c r="AK35" s="155" t="inlineStr">
        <is>
          <t>Hoja2: fila 422 | Odoo: producto 27686 / plantilla 34422</t>
        </is>
      </c>
      <c r="AL35" s="58" t="n"/>
      <c r="AM35" s="58" t="n"/>
      <c r="AN35" s="155" t="inlineStr">
        <is>
          <t>Odoo Universal Unique Brands</t>
        </is>
      </c>
      <c r="AO35" s="59" t="n"/>
      <c r="AP35" s="59" t="n"/>
      <c r="AQ35" s="59" t="n">
        <v>-1</v>
      </c>
      <c r="AR35" s="155" t="inlineStr">
        <is>
          <t>Odoo Universal Unique Brands › Bodega 25 › Bodega 25/Output: 1</t>
        </is>
      </c>
    </row>
    <row r="36">
      <c r="A36" s="50" t="inlineStr">
        <is>
          <t>087327029532</t>
        </is>
      </c>
      <c r="B36" s="51" t="inlineStr">
        <is>
          <t>27703</t>
        </is>
      </c>
      <c r="C36" s="156" t="inlineStr">
        <is>
          <t>Tru Western</t>
        </is>
      </c>
      <c r="D36" s="156" t="n"/>
      <c r="E36" s="156" t="inlineStr">
        <is>
          <t>94752</t>
        </is>
      </c>
      <c r="F36" s="156" t="inlineStr">
        <is>
          <t>50 ml</t>
        </is>
      </c>
      <c r="G36" s="156" t="inlineStr">
        <is>
          <t>1.7 fl oz</t>
        </is>
      </c>
      <c r="H36" s="156" t="inlineStr">
        <is>
          <t>Tru Western</t>
        </is>
      </c>
      <c r="I36" s="156" t="inlineStr">
        <is>
          <t>Tester Tru Western - 50mL EDP - Love &amp; Lyrics</t>
        </is>
      </c>
      <c r="J36" s="156" t="inlineStr">
        <is>
          <t>Accesorios</t>
        </is>
      </c>
      <c r="K36" s="156" t="inlineStr">
        <is>
          <t>Fragancias</t>
        </is>
      </c>
      <c r="L36" s="156" t="inlineStr">
        <is>
          <t>Unisex</t>
        </is>
      </c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  <c r="V36" s="156" t="inlineStr">
        <is>
          <t>PZS</t>
        </is>
      </c>
      <c r="W36" s="51" t="inlineStr">
        <is>
          <t>53131620</t>
        </is>
      </c>
      <c r="X36" s="156" t="inlineStr">
        <is>
          <t>https://m-universal-unique-brands.odoo.com/web/image/product.product/27703/image_1920</t>
        </is>
      </c>
      <c r="Y36" s="54" t="n">
        <v>35</v>
      </c>
      <c r="Z36" s="54" t="n">
        <v>399</v>
      </c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IFERROR(_xlfn.XMATCH(A36,$A$2:$A$52,0,1)&lt;&gt;_xlfn.XMATCH(A36,$A$2:$A$52,0,-1),FALSE)), "Código de barras duplicado", ""), IF(AND(E36&lt;&gt;"", COUNTIF($E$2:$E$52,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n"/>
      <c r="AD36" s="51" t="n"/>
      <c r="AE36" s="156" t="n"/>
      <c r="AF36" s="51" t="n"/>
      <c r="AG36" s="156" t="inlineStr">
        <is>
          <t>Nuevo – Carga Hoja2 01/10/2026</t>
        </is>
      </c>
      <c r="AH36" s="156" t="inlineStr">
        <is>
          <t>Alta 01/10/2026 desde Hoja2 (fila 424) | 01/10/2026: complementado desde Odoo Universal Unique Brands (match por código de barras): WB Talla, WB Talla de EE. UU., WB Género, Enlace de imagen | Homologación G1522 06/10/2026: Código de barras: «87327029532» → «087327029532» (Corrección aplicada) · Validación G1522: Falta estilo · Validador NetSuite / Odoo: V6: falta estilo · Validador Shopify: V6: falta estilo; WB: precio con IVA no termina en 9</t>
        </is>
      </c>
      <c r="AI36" s="156" t="n"/>
      <c r="AJ36" s="156" t="n"/>
      <c r="AK36" s="155" t="inlineStr">
        <is>
          <t>Hoja2: fila 424 | Odoo: producto 27703 / plantilla 34439</t>
        </is>
      </c>
      <c r="AL36" s="58" t="n"/>
      <c r="AM36" s="58" t="n"/>
      <c r="AN36" s="155" t="inlineStr">
        <is>
          <t>Odoo Universal Unique Brands</t>
        </is>
      </c>
      <c r="AO36" s="59" t="n"/>
      <c r="AP36" s="59" t="n"/>
      <c r="AQ36" s="59" t="n">
        <v>2</v>
      </c>
      <c r="AR36" s="155" t="inlineStr">
        <is>
          <t>Odoo Universal Unique Brands › Bodega 25 › Bodega 25/General: 1 | Odoo Universal Unique Brands › Bodega 25 › Bodega 25/Output: 1</t>
        </is>
      </c>
    </row>
    <row r="37">
      <c r="A37" s="50" t="inlineStr">
        <is>
          <t>087327030378</t>
        </is>
      </c>
      <c r="B37" s="51" t="inlineStr">
        <is>
          <t>27684</t>
        </is>
      </c>
      <c r="C37" s="156" t="inlineStr">
        <is>
          <t>Tru Western</t>
        </is>
      </c>
      <c r="D37" s="156" t="n"/>
      <c r="E37" s="156" t="inlineStr">
        <is>
          <t>94972</t>
        </is>
      </c>
      <c r="F37" s="156" t="inlineStr">
        <is>
          <t>100 ml</t>
        </is>
      </c>
      <c r="G37" s="156" t="inlineStr">
        <is>
          <t>3.4 fl oz</t>
        </is>
      </c>
      <c r="H37" s="156" t="inlineStr">
        <is>
          <t>Tru Western</t>
        </is>
      </c>
      <c r="I37" s="156" t="inlineStr">
        <is>
          <t>TESTER Tru Western: Men's - Cologne Spray 3.4oz - 8 Seconds</t>
        </is>
      </c>
      <c r="J37" s="156" t="inlineStr">
        <is>
          <t>Accesorios</t>
        </is>
      </c>
      <c r="K37" s="156" t="inlineStr">
        <is>
          <t>Fragancias</t>
        </is>
      </c>
      <c r="L37" s="156" t="inlineStr">
        <is>
          <t>Hombre</t>
        </is>
      </c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  <c r="V37" s="156" t="inlineStr">
        <is>
          <t>PZS</t>
        </is>
      </c>
      <c r="W37" s="51" t="inlineStr">
        <is>
          <t>53131620</t>
        </is>
      </c>
      <c r="X37" s="156" t="inlineStr">
        <is>
          <t>https://m-universal-unique-brands.odoo.com/web/image/product.product/27684/image_1920</t>
        </is>
      </c>
      <c r="Y37" s="54" t="n">
        <v>50</v>
      </c>
      <c r="Z37" s="54" t="n">
        <v>569</v>
      </c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IFERROR(_xlfn.XMATCH(A37,$A$2:$A$52,0,1)&lt;&gt;_xlfn.XMATCH(A37,$A$2:$A$52,0,-1),FALSE)), "Código de barras duplicado", ""), IF(AND(E37&lt;&gt;"", COUNTIF($E$2:$E$52,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n"/>
      <c r="AD37" s="51" t="n"/>
      <c r="AE37" s="156" t="n"/>
      <c r="AF37" s="51" t="n"/>
      <c r="AG37" s="156" t="inlineStr">
        <is>
          <t>Nuevo – Carga Hoja2 01/10/2026</t>
        </is>
      </c>
      <c r="AH37" s="156" t="inlineStr">
        <is>
          <t>Alta 01/10/2026 desde Hoja2 (fila 425) | 01/10/2026: complementado desde Odoo Universal Unique Brands (match por código de barras): WB Talla, WB Talla de EE. UU., WB Género, Enlace de imagen | Homologación G1522 06/10/2026: Código de barras: «87327030378» → «087327030378» (Corrección aplicada) · Validación G1522: Falta estilo · Validador NetSuite / Odoo: V6: falta estilo · Validador Shopify: V6: falta estilo; WB: precio con IVA no termina en 9</t>
        </is>
      </c>
      <c r="AI37" s="156" t="n"/>
      <c r="AJ37" s="156" t="n"/>
      <c r="AK37" s="155" t="inlineStr">
        <is>
          <t>Hoja2: fila 425 | Odoo: producto 27684 / plantilla 34420</t>
        </is>
      </c>
      <c r="AL37" s="58" t="n"/>
      <c r="AM37" s="58" t="n"/>
      <c r="AN37" s="155" t="inlineStr">
        <is>
          <t>Odoo Universal Unique Brands</t>
        </is>
      </c>
      <c r="AO37" s="59" t="n"/>
      <c r="AP37" s="59" t="n"/>
      <c r="AQ37" s="59" t="n">
        <v>-1</v>
      </c>
      <c r="AR37" s="155" t="inlineStr">
        <is>
          <t>Odoo Universal Unique Brands › Bodega 25 › Bodega 25/Output: 1</t>
        </is>
      </c>
    </row>
    <row r="38">
      <c r="A38" s="50" t="inlineStr">
        <is>
          <t>087327012473</t>
        </is>
      </c>
      <c r="B38" s="51" t="inlineStr">
        <is>
          <t>27705</t>
        </is>
      </c>
      <c r="C38" s="156" t="inlineStr">
        <is>
          <t>Tru Western</t>
        </is>
      </c>
      <c r="D38" s="156" t="n"/>
      <c r="E38" s="156" t="inlineStr">
        <is>
          <t>95177</t>
        </is>
      </c>
      <c r="F38" s="156" t="inlineStr">
        <is>
          <t>50 ml</t>
        </is>
      </c>
      <c r="G38" s="156" t="inlineStr">
        <is>
          <t>1.7 fl oz</t>
        </is>
      </c>
      <c r="H38" s="156" t="inlineStr">
        <is>
          <t>Tru Western</t>
        </is>
      </c>
      <c r="I38" s="156" t="inlineStr">
        <is>
          <t>Tru Western: Women's - EDP 1.7oz - Love &amp; Lyrics Crush - TESTER</t>
        </is>
      </c>
      <c r="J38" s="156" t="inlineStr">
        <is>
          <t>Accesorios</t>
        </is>
      </c>
      <c r="K38" s="156" t="inlineStr">
        <is>
          <t>Fragancias</t>
        </is>
      </c>
      <c r="L38" s="156" t="inlineStr">
        <is>
          <t>Mujer</t>
        </is>
      </c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  <c r="V38" s="156" t="inlineStr">
        <is>
          <t>PZS</t>
        </is>
      </c>
      <c r="W38" s="51" t="inlineStr">
        <is>
          <t>53131620</t>
        </is>
      </c>
      <c r="X38" s="156" t="inlineStr">
        <is>
          <t>https://m-universal-unique-brands.odoo.com/web/image/product.product/27705/image_1920</t>
        </is>
      </c>
      <c r="Y38" s="54" t="n">
        <v>35</v>
      </c>
      <c r="Z38" s="54" t="n">
        <v>399</v>
      </c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IFERROR(_xlfn.XMATCH(A38,$A$2:$A$52,0,1)&lt;&gt;_xlfn.XMATCH(A38,$A$2:$A$52,0,-1),FALSE)), "Código de barras duplicado", ""), IF(AND(E38&lt;&gt;"", COUNTIF($E$2:$E$52,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n"/>
      <c r="AD38" s="51" t="n"/>
      <c r="AE38" s="156" t="n"/>
      <c r="AF38" s="51" t="n"/>
      <c r="AG38" s="156" t="inlineStr">
        <is>
          <t>Nuevo – Carga Hoja2 01/10/2026</t>
        </is>
      </c>
      <c r="AH38" s="156" t="inlineStr">
        <is>
          <t>Alta 01/10/2026 desde Hoja2 (fila 427) | 01/10/2026: complementado desde Odoo Universal Unique Brands (match por código de barras): WB Talla, WB Talla de EE. UU., WB Género, Enlace de imagen | Homologación G1522 06/10/2026: Código de barras: «87327012473» → «087327012473» (Corrección aplicada) · Validación G1522: Falta estilo · Validador NetSuite / Odoo: V6: falta estilo · Validador Shopify: V6: falta estilo; WB: precio con IVA no termina en 9</t>
        </is>
      </c>
      <c r="AI38" s="156" t="n"/>
      <c r="AJ38" s="156" t="n"/>
      <c r="AK38" s="155" t="inlineStr">
        <is>
          <t>Hoja2: fila 427 | Odoo: producto 27705 / plantilla 34441</t>
        </is>
      </c>
      <c r="AL38" s="58" t="n"/>
      <c r="AM38" s="58" t="n"/>
      <c r="AN38" s="155" t="inlineStr">
        <is>
          <t>Odoo Universal Unique Brands</t>
        </is>
      </c>
      <c r="AO38" s="59" t="n"/>
      <c r="AP38" s="59" t="n"/>
      <c r="AQ38" s="59" t="n">
        <v>2</v>
      </c>
      <c r="AR38" s="155" t="inlineStr">
        <is>
          <t>Odoo Universal Unique Brands › Bodega 25 › Bodega 25/General: 1 | Odoo Universal Unique Brands › Bodega 25 › Bodega 25/Output: 1</t>
        </is>
      </c>
    </row>
    <row r="39">
      <c r="A39" s="50" t="inlineStr">
        <is>
          <t>087327030354</t>
        </is>
      </c>
      <c r="B39" s="51" t="inlineStr">
        <is>
          <t>27676</t>
        </is>
      </c>
      <c r="C39" s="156" t="inlineStr">
        <is>
          <t>Tru Western</t>
        </is>
      </c>
      <c r="D39" s="156" t="n"/>
      <c r="E39" s="156" t="inlineStr">
        <is>
          <t>95195</t>
        </is>
      </c>
      <c r="F39" s="156" t="inlineStr">
        <is>
          <t>100 ml</t>
        </is>
      </c>
      <c r="G39" s="156" t="inlineStr">
        <is>
          <t>3.4 / 3.5 fl oz</t>
        </is>
      </c>
      <c r="H39" s="156" t="inlineStr">
        <is>
          <t>Tru Western</t>
        </is>
      </c>
      <c r="I39" s="156" t="inlineStr">
        <is>
          <t>Tester Tru Western - 100mL EDC - Cowboy Gunslinger</t>
        </is>
      </c>
      <c r="J39" s="156" t="inlineStr">
        <is>
          <t>Accesorios</t>
        </is>
      </c>
      <c r="K39" s="156" t="inlineStr">
        <is>
          <t>Fragancias</t>
        </is>
      </c>
      <c r="L39" s="156" t="inlineStr">
        <is>
          <t>Unisex</t>
        </is>
      </c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  <c r="V39" s="156" t="inlineStr">
        <is>
          <t>PZS</t>
        </is>
      </c>
      <c r="W39" s="51" t="inlineStr">
        <is>
          <t>53131620</t>
        </is>
      </c>
      <c r="X39" s="156" t="inlineStr">
        <is>
          <t>https://m-universal-unique-brands.odoo.com/web/image/product.product/27676/image_1920</t>
        </is>
      </c>
      <c r="Y39" s="54" t="n">
        <v>45</v>
      </c>
      <c r="Z39" s="54" t="n">
        <v>499</v>
      </c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IFERROR(_xlfn.XMATCH(A39,$A$2:$A$52,0,1)&lt;&gt;_xlfn.XMATCH(A39,$A$2:$A$52,0,-1),FALSE)), "Código de barras duplicado", ""), IF(AND(E39&lt;&gt;"", COUNTIF($E$2:$E$52,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n"/>
      <c r="AD39" s="51" t="n"/>
      <c r="AE39" s="156" t="n"/>
      <c r="AF39" s="51" t="n"/>
      <c r="AG39" s="156" t="inlineStr">
        <is>
          <t>Nuevo – Carga Hoja2 01/10/2026</t>
        </is>
      </c>
      <c r="AH39" s="156" t="inlineStr">
        <is>
          <t>Alta 01/10/2026 desde Hoja2 (fila 429) | 01/10/2026: complementado desde Odoo Universal Unique Brands (match por código de barras): WB Talla, WB Talla de EE. UU., WB Género, Enlace de imagen | Homologación G1522 06/10/2026: Código de barras: «87327030354» → «087327030354» (Corrección aplicada) · Validación G1522: Falta estilo · Validador NetSuite / Odoo: V6: falta estilo · Validador Shopify: V6: falta estilo; WB: precio con IVA no termina en 9</t>
        </is>
      </c>
      <c r="AI39" s="156" t="n"/>
      <c r="AJ39" s="156" t="n"/>
      <c r="AK39" s="155" t="inlineStr">
        <is>
          <t>Hoja2: fila 429 | Odoo: producto 27676 / plantilla 34412</t>
        </is>
      </c>
      <c r="AL39" s="58" t="n"/>
      <c r="AM39" s="58" t="n"/>
      <c r="AN39" s="155" t="inlineStr">
        <is>
          <t>Odoo Universal Unique Brands</t>
        </is>
      </c>
      <c r="AO39" s="59" t="n"/>
      <c r="AP39" s="59" t="n"/>
      <c r="AQ39" s="59" t="n">
        <v>1</v>
      </c>
      <c r="AR39" s="155" t="inlineStr">
        <is>
          <t>Odoo Universal Unique Brands › Bodega 25 › Bodega 25/Output: 1</t>
        </is>
      </c>
    </row>
    <row r="40">
      <c r="A40" s="50" t="inlineStr">
        <is>
          <t>087327013593</t>
        </is>
      </c>
      <c r="B40" s="51" t="inlineStr">
        <is>
          <t>27713</t>
        </is>
      </c>
      <c r="C40" s="156" t="inlineStr">
        <is>
          <t>Tru Western</t>
        </is>
      </c>
      <c r="D40" s="156" t="n"/>
      <c r="E40" s="156" t="inlineStr">
        <is>
          <t>95598</t>
        </is>
      </c>
      <c r="F40" s="156" t="inlineStr">
        <is>
          <t>50 ml</t>
        </is>
      </c>
      <c r="G40" s="156" t="inlineStr">
        <is>
          <t>1.7 fl oz</t>
        </is>
      </c>
      <c r="H40" s="156" t="inlineStr">
        <is>
          <t>Tru Western</t>
        </is>
      </c>
      <c r="I40" s="156" t="inlineStr">
        <is>
          <t>TESTER Tru Western: Yellowstone Women's - EDP 1.7oz</t>
        </is>
      </c>
      <c r="J40" s="156" t="inlineStr">
        <is>
          <t>Accesorios</t>
        </is>
      </c>
      <c r="K40" s="156" t="inlineStr">
        <is>
          <t>Fragancias</t>
        </is>
      </c>
      <c r="L40" s="156" t="inlineStr">
        <is>
          <t>Mujer</t>
        </is>
      </c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  <c r="V40" s="156" t="inlineStr">
        <is>
          <t>PZS</t>
        </is>
      </c>
      <c r="W40" s="51" t="inlineStr">
        <is>
          <t>53131620</t>
        </is>
      </c>
      <c r="X40" s="156" t="inlineStr">
        <is>
          <t>https://m-universal-unique-brands.odoo.com/web/image/product.product/27713/image_1920</t>
        </is>
      </c>
      <c r="Y40" s="54" t="n"/>
      <c r="Z40" s="54" t="n">
        <v>639</v>
      </c>
      <c r="AA40" s="55">
        <f>IF(AND(A40="", B40="", E40=""), "", IF(AB40="", "Válido", IF((LEN(AB40)-LEN(SUBSTITUTE(AB40,"; ","")))/2+1&gt;(LEN(AB40)-LEN(SUBSTITUTE(AB40,"[Aviso]","")))/7, "Con Incidencias", "Válido")))</f>
        <v/>
      </c>
      <c r="AB40" s="56">
        <f>IF(AND(A40="", B40="", E40=""), "", TEXTJOIN("; ", TRUE, IF(OR(TRIM(A40&amp;"")="", ISNUMBER(SEARCH("FALTA", A40))), "UPC faltante/inválido", ""), IF(AND(A40&lt;&gt;"", IFERROR(_xlfn.XMATCH(A40,$A$2:$A$52,0,1)&lt;&gt;_xlfn.XMATCH(A40,$A$2:$A$52,0,-1),FALSE)), "Código de barras duplicado", ""), IF(AND(E40&lt;&gt;"", COUNTIF($E$2:$E$52, E40)&gt;1), "SKU duplicado", ""), IF(OR(J40="", J40=""), "[Aviso] División no capturada ()", IF(ISNA(MATCH(J40, Criterios!$A$123:$A$126, 0)), "División no válida", "")), IF(OR(K40="", K40=""), "[Aviso] Categoría no capturada ()", IF(ISNA(MATCH(K40, Criterios!$A$81:$A$120, 0)), "Categoría no válida", IF(AND(J40&lt;&gt;"", J40&lt;&gt;"", J40&lt;&gt;VLOOKUP(K40, Criterios!$A$81:$B$120, 2, FALSE)), "División no coincide con Categoría", ""))), IF(OR(L40="", L40=""), "[Aviso] Género no capturado ()", IF(ISNA(MATCH(L40, Criterios!$B$123:$B$127, 0)), "Género no válido", "")), IF(OR(N40="", N40=""), "[Aviso] Temporada no capturada ()", IF(ISNA(MATCH(N40, Criterios!$C$123:$C$128, 0)), "Temporada no válida", "")), IF(OR(O40="", O40=""), "[Aviso] Ciclo de vida no capturado ()", IF(ISNA(MATCH(O40, Criterios!$D$123:$D$124, 0)), "Ciclo de vida no válido", ""))))</f>
        <v/>
      </c>
      <c r="AC40" s="56" t="n"/>
      <c r="AD40" s="51" t="n"/>
      <c r="AE40" s="156" t="n"/>
      <c r="AF40" s="51" t="n"/>
      <c r="AG40" s="156" t="inlineStr">
        <is>
          <t>Nuevo – Carga Hoja2 01/10/2026</t>
        </is>
      </c>
      <c r="AH40" s="156" t="inlineStr">
        <is>
          <t>Alta 01/10/2026 desde Hoja2 (fila 432); Precio de compra en 0/vacío en origen | 01/10/2026: complementado desde Odoo Universal Unique Brands (match por código de barras): WB Talla, WB Talla de EE. UU., WB Género, Enlace de imagen | Homologación G1522 06/10/2026: Validación G1522: Falta estilo · Validador NetSuite / Odoo: V6: falta estilo · Validador Shopify: V6: falta estilo; WB: precio con IVA no termina en 9</t>
        </is>
      </c>
      <c r="AI40" s="156" t="n"/>
      <c r="AJ40" s="156" t="n"/>
      <c r="AK40" s="155" t="inlineStr">
        <is>
          <t>Hoja2: fila 432 | Odoo: producto 27713 / plantilla 34449</t>
        </is>
      </c>
      <c r="AL40" s="58" t="n"/>
      <c r="AM40" s="58" t="n"/>
      <c r="AN40" s="155" t="inlineStr">
        <is>
          <t>Odoo Universal Unique Brands</t>
        </is>
      </c>
      <c r="AO40" s="59" t="n"/>
      <c r="AP40" s="59" t="n"/>
      <c r="AQ40" s="59" t="n">
        <v>2</v>
      </c>
      <c r="AR40" s="155" t="inlineStr">
        <is>
          <t>Odoo Universal Unique Brands › Bodega 25 › Bodega 25/General: 1 | Odoo Universal Unique Brands › Bodega 25 › Bodega 25/Output: 1</t>
        </is>
      </c>
    </row>
    <row r="41">
      <c r="A41" s="50" t="inlineStr">
        <is>
          <t>087327029587</t>
        </is>
      </c>
      <c r="B41" s="51" t="inlineStr">
        <is>
          <t>27678</t>
        </is>
      </c>
      <c r="C41" s="156" t="inlineStr">
        <is>
          <t>Tru Western</t>
        </is>
      </c>
      <c r="D41" s="156" t="n"/>
      <c r="E41" s="156" t="inlineStr">
        <is>
          <t>96559</t>
        </is>
      </c>
      <c r="F41" s="156" t="inlineStr">
        <is>
          <t>100 ml</t>
        </is>
      </c>
      <c r="G41" s="156" t="inlineStr">
        <is>
          <t>3.4 / 3.5 fl oz</t>
        </is>
      </c>
      <c r="H41" s="156" t="inlineStr">
        <is>
          <t>Tru Western</t>
        </is>
      </c>
      <c r="I41" s="156" t="inlineStr">
        <is>
          <t>Tru Western - 100mL EDC - PBR - Anejo - Tester</t>
        </is>
      </c>
      <c r="J41" s="156" t="inlineStr">
        <is>
          <t>Accesorios</t>
        </is>
      </c>
      <c r="K41" s="156" t="inlineStr">
        <is>
          <t>Fragancias</t>
        </is>
      </c>
      <c r="L41" s="156" t="inlineStr">
        <is>
          <t>Unisex</t>
        </is>
      </c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  <c r="V41" s="156" t="inlineStr">
        <is>
          <t>PZS</t>
        </is>
      </c>
      <c r="W41" s="51" t="inlineStr">
        <is>
          <t>53131620</t>
        </is>
      </c>
      <c r="X41" s="156" t="inlineStr">
        <is>
          <t>https://m-universal-unique-brands.odoo.com/web/image/product.product/27678/image_1920</t>
        </is>
      </c>
      <c r="Y41" s="54" t="n">
        <v>50</v>
      </c>
      <c r="Z41" s="54" t="n">
        <v>569</v>
      </c>
      <c r="AA41" s="55">
        <f>IF(AND(A41="", B41="", E41=""), "", IF(AB41="", "Válido", IF((LEN(AB41)-LEN(SUBSTITUTE(AB41,"; ","")))/2+1&gt;(LEN(AB41)-LEN(SUBSTITUTE(AB41,"[Aviso]","")))/7, "Con Incidencias", "Válido")))</f>
        <v/>
      </c>
      <c r="AB41" s="56">
        <f>IF(AND(A41="", B41="", E41=""), "", TEXTJOIN("; ", TRUE, IF(OR(TRIM(A41&amp;"")="", ISNUMBER(SEARCH("FALTA", A41))), "UPC faltante/inválido", ""), IF(AND(A41&lt;&gt;"", IFERROR(_xlfn.XMATCH(A41,$A$2:$A$52,0,1)&lt;&gt;_xlfn.XMATCH(A41,$A$2:$A$52,0,-1),FALSE)), "Código de barras duplicado", ""), IF(AND(E41&lt;&gt;"", COUNTIF($E$2:$E$52, E41)&gt;1), "SKU duplicado", ""), IF(OR(J41="", J41=""), "[Aviso] División no capturada ()", IF(ISNA(MATCH(J41, Criterios!$A$123:$A$126, 0)), "División no válida", "")), IF(OR(K41="", K41=""), "[Aviso] Categoría no capturada ()", IF(ISNA(MATCH(K41, Criterios!$A$81:$A$120, 0)), "Categoría no válida", IF(AND(J41&lt;&gt;"", J41&lt;&gt;"", J41&lt;&gt;VLOOKUP(K41, Criterios!$A$81:$B$120, 2, FALSE)), "División no coincide con Categoría", ""))), IF(OR(L41="", L41=""), "[Aviso] Género no capturado ()", IF(ISNA(MATCH(L41, Criterios!$B$123:$B$127, 0)), "Género no válido", "")), IF(OR(N41="", N41=""), "[Aviso] Temporada no capturada ()", IF(ISNA(MATCH(N41, Criterios!$C$123:$C$128, 0)), "Temporada no válida", "")), IF(OR(O41="", O41=""), "[Aviso] Ciclo de vida no capturado ()", IF(ISNA(MATCH(O41, Criterios!$D$123:$D$124, 0)), "Ciclo de vida no válido", ""))))</f>
        <v/>
      </c>
      <c r="AC41" s="56" t="n"/>
      <c r="AD41" s="51" t="n"/>
      <c r="AE41" s="156" t="n"/>
      <c r="AF41" s="51" t="n"/>
      <c r="AG41" s="156" t="inlineStr">
        <is>
          <t>Nuevo – Carga Hoja2 01/10/2026</t>
        </is>
      </c>
      <c r="AH41" s="156" t="inlineStr">
        <is>
          <t>Alta 01/10/2026 desde Hoja2 (fila 436) | 01/10/2026: complementado desde Odoo Universal Unique Brands (match por código de barras): WB Talla, WB Talla de EE. UU., WB Género, Enlace de imagen | Homologación G1522 06/10/2026: Código de barras: «87327029587» → «087327029587» (Corrección aplicada) · Validación G1522: Falta estilo · Validador NetSuite / Odoo: V6: falta estilo · Validador Shopify: V6: falta estilo; WB: precio con IVA no termina en 9</t>
        </is>
      </c>
      <c r="AI41" s="156" t="n"/>
      <c r="AJ41" s="156" t="n"/>
      <c r="AK41" s="155" t="inlineStr">
        <is>
          <t>Hoja2: fila 436 | Odoo: producto 27678 / plantilla 34414</t>
        </is>
      </c>
      <c r="AL41" s="58" t="n"/>
      <c r="AM41" s="58" t="n"/>
      <c r="AN41" s="155" t="inlineStr">
        <is>
          <t>Odoo Universal Unique Brands</t>
        </is>
      </c>
      <c r="AO41" s="59" t="n"/>
      <c r="AP41" s="59" t="n"/>
      <c r="AQ41" s="59" t="n">
        <v>3</v>
      </c>
      <c r="AR41" s="155" t="inlineStr">
        <is>
          <t>Odoo Universal Unique Brands › Bodega 25 › Bodega 25/General: 2 | Odoo Universal Unique Brands › Bodega 25 › Bodega 25/Output: 1</t>
        </is>
      </c>
    </row>
    <row r="42">
      <c r="A42" s="50" t="inlineStr">
        <is>
          <t>087327029594</t>
        </is>
      </c>
      <c r="B42" s="51" t="inlineStr">
        <is>
          <t>27697</t>
        </is>
      </c>
      <c r="C42" s="156" t="inlineStr">
        <is>
          <t>Tru Western</t>
        </is>
      </c>
      <c r="D42" s="156" t="n"/>
      <c r="E42" s="156" t="inlineStr">
        <is>
          <t>96638</t>
        </is>
      </c>
      <c r="F42" s="156" t="inlineStr">
        <is>
          <t>100 ml</t>
        </is>
      </c>
      <c r="G42" s="156" t="inlineStr">
        <is>
          <t>3.4 / 3.5 fl oz</t>
        </is>
      </c>
      <c r="H42" s="156" t="inlineStr">
        <is>
          <t>Tru Western</t>
        </is>
      </c>
      <c r="I42" s="156" t="inlineStr">
        <is>
          <t>Tester Tru Western - 100mL EDP - Rodeo Soul</t>
        </is>
      </c>
      <c r="J42" s="156" t="inlineStr">
        <is>
          <t>Accesorios</t>
        </is>
      </c>
      <c r="K42" s="156" t="inlineStr">
        <is>
          <t>Fragancias</t>
        </is>
      </c>
      <c r="L42" s="156" t="inlineStr">
        <is>
          <t>Unisex</t>
        </is>
      </c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inlineStr">
        <is>
          <t>PZS</t>
        </is>
      </c>
      <c r="W42" s="51" t="inlineStr">
        <is>
          <t>53131620</t>
        </is>
      </c>
      <c r="X42" s="156" t="inlineStr">
        <is>
          <t>https://m-universal-unique-brands.odoo.com/web/image/product.product/27697/image_1920</t>
        </is>
      </c>
      <c r="Y42" s="54" t="n">
        <v>45</v>
      </c>
      <c r="Z42" s="54" t="n">
        <v>509</v>
      </c>
      <c r="AA42" s="55">
        <f>IF(AND(A42="", B42="", E42=""), "", IF(AB42="", "Válido", IF((LEN(AB42)-LEN(SUBSTITUTE(AB42,"; ","")))/2+1&gt;(LEN(AB42)-LEN(SUBSTITUTE(AB42,"[Aviso]","")))/7, "Con Incidencias", "Válido")))</f>
        <v/>
      </c>
      <c r="AB42" s="56">
        <f>IF(AND(A42="", B42="", E42=""), "", TEXTJOIN("; ", TRUE, IF(OR(TRIM(A42&amp;"")="", ISNUMBER(SEARCH("FALTA", A42))), "UPC faltante/inválido", ""), IF(AND(A42&lt;&gt;"", IFERROR(_xlfn.XMATCH(A42,$A$2:$A$52,0,1)&lt;&gt;_xlfn.XMATCH(A42,$A$2:$A$52,0,-1),FALSE)), "Código de barras duplicado", ""), IF(AND(E42&lt;&gt;"", COUNTIF($E$2:$E$52, E42)&gt;1), "SKU duplicado", ""), IF(OR(J42="", J42=""), "[Aviso] División no capturada ()", IF(ISNA(MATCH(J42, Criterios!$A$123:$A$126, 0)), "División no válida", "")), IF(OR(K42="", K42=""), "[Aviso] Categoría no capturada ()", IF(ISNA(MATCH(K42, Criterios!$A$81:$A$120, 0)), "Categoría no válida", IF(AND(J42&lt;&gt;"", J42&lt;&gt;"", J42&lt;&gt;VLOOKUP(K42, Criterios!$A$81:$B$120, 2, FALSE)), "División no coincide con Categoría", ""))), IF(OR(L42="", L42=""), "[Aviso] Género no capturado ()", IF(ISNA(MATCH(L42, Criterios!$B$123:$B$127, 0)), "Género no válido", "")), IF(OR(N42="", N42=""), "[Aviso] Temporada no capturada ()", IF(ISNA(MATCH(N42, Criterios!$C$123:$C$128, 0)), "Temporada no válida", "")), IF(OR(O42="", O42=""), "[Aviso] Ciclo de vida no capturado ()", IF(ISNA(MATCH(O42, Criterios!$D$123:$D$124, 0)), "Ciclo de vida no válido", ""))))</f>
        <v/>
      </c>
      <c r="AC42" s="56" t="n"/>
      <c r="AD42" s="51" t="n"/>
      <c r="AE42" s="156" t="n"/>
      <c r="AF42" s="51" t="n"/>
      <c r="AG42" s="156" t="inlineStr">
        <is>
          <t>Nuevo – Carga Hoja2 01/10/2026</t>
        </is>
      </c>
      <c r="AH42" s="156" t="inlineStr">
        <is>
          <t>Alta 01/10/2026 desde Hoja2 (fila 438) | 01/10/2026: complementado desde Odoo Universal Unique Brands (match por código de barras): WB Talla, WB Talla de EE. UU., WB Género, Enlace de imagen | Homologación G1522 06/10/2026: Código de barras: «87327029594» → «087327029594» (Corrección aplicada) · Validación G1522: Falta estilo · Validador NetSuite / Odoo: V6: falta estilo · Validador Shopify: V6: falta estilo; WB: precio con IVA no termina en 9</t>
        </is>
      </c>
      <c r="AI42" s="156" t="n"/>
      <c r="AJ42" s="156" t="n"/>
      <c r="AK42" s="155" t="inlineStr">
        <is>
          <t>Hoja2: fila 438 | Odoo: producto 27697 / plantilla 34433</t>
        </is>
      </c>
      <c r="AL42" s="58" t="n"/>
      <c r="AM42" s="58" t="n"/>
      <c r="AN42" s="155" t="inlineStr">
        <is>
          <t>Odoo Universal Unique Brands</t>
        </is>
      </c>
      <c r="AO42" s="59" t="n"/>
      <c r="AP42" s="59" t="n"/>
      <c r="AQ42" s="59" t="n">
        <v>4</v>
      </c>
      <c r="AR42" s="155" t="inlineStr">
        <is>
          <t>Odoo Universal Unique Brands › Bodega 25 › Bodega 25/General: 2 | Odoo Universal Unique Brands › Bodega 25 › Bodega 25/Output: 2</t>
        </is>
      </c>
    </row>
    <row r="43">
      <c r="A43" s="50" t="inlineStr">
        <is>
          <t>087327030859</t>
        </is>
      </c>
      <c r="B43" s="51" t="inlineStr">
        <is>
          <t>27712</t>
        </is>
      </c>
      <c r="C43" s="156" t="inlineStr">
        <is>
          <t>Tru Western</t>
        </is>
      </c>
      <c r="D43" s="156" t="n"/>
      <c r="E43" s="156" t="inlineStr">
        <is>
          <t>97086</t>
        </is>
      </c>
      <c r="F43" s="156" t="inlineStr">
        <is>
          <t>50 ml</t>
        </is>
      </c>
      <c r="G43" s="156" t="inlineStr">
        <is>
          <t>1.7 fl oz</t>
        </is>
      </c>
      <c r="H43" s="156" t="inlineStr">
        <is>
          <t>Tru Western</t>
        </is>
      </c>
      <c r="I43" s="156" t="inlineStr">
        <is>
          <t>Tester Tru Western - Yellowstone - EDP - 50mL - Dusk</t>
        </is>
      </c>
      <c r="J43" s="156" t="inlineStr">
        <is>
          <t>Accesorios</t>
        </is>
      </c>
      <c r="K43" s="156" t="inlineStr">
        <is>
          <t>Fragancias</t>
        </is>
      </c>
      <c r="L43" s="156" t="inlineStr">
        <is>
          <t>Unisex</t>
        </is>
      </c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  <c r="V43" s="156" t="inlineStr">
        <is>
          <t>PZS</t>
        </is>
      </c>
      <c r="W43" s="51" t="inlineStr">
        <is>
          <t>53131620</t>
        </is>
      </c>
      <c r="X43" s="156" t="inlineStr">
        <is>
          <t>https://m-universal-unique-brands.odoo.com/web/image/product.product/27712/image_1920</t>
        </is>
      </c>
      <c r="Y43" s="54" t="n"/>
      <c r="Z43" s="54" t="n">
        <v>639</v>
      </c>
      <c r="AA43" s="55">
        <f>IF(AND(A43="", B43="", E43=""), "", IF(AB43="", "Válido", IF((LEN(AB43)-LEN(SUBSTITUTE(AB43,"; ","")))/2+1&gt;(LEN(AB43)-LEN(SUBSTITUTE(AB43,"[Aviso]","")))/7, "Con Incidencias", "Válido")))</f>
        <v/>
      </c>
      <c r="AB43" s="56">
        <f>IF(AND(A43="", B43="", E43=""), "", TEXTJOIN("; ", TRUE, IF(OR(TRIM(A43&amp;"")="", ISNUMBER(SEARCH("FALTA", A43))), "UPC faltante/inválido", ""), IF(AND(A43&lt;&gt;"", IFERROR(_xlfn.XMATCH(A43,$A$2:$A$52,0,1)&lt;&gt;_xlfn.XMATCH(A43,$A$2:$A$52,0,-1),FALSE)), "Código de barras duplicado", ""), IF(AND(E43&lt;&gt;"", COUNTIF($E$2:$E$52, E43)&gt;1), "SKU duplicado", ""), IF(OR(J43="", J43=""), "[Aviso] División no capturada ()", IF(ISNA(MATCH(J43, Criterios!$A$123:$A$126, 0)), "División no válida", "")), IF(OR(K43="", K43=""), "[Aviso] Categoría no capturada ()", IF(ISNA(MATCH(K43, Criterios!$A$81:$A$120, 0)), "Categoría no válida", IF(AND(J43&lt;&gt;"", J43&lt;&gt;"", J43&lt;&gt;VLOOKUP(K43, Criterios!$A$81:$B$120, 2, FALSE)), "División no coincide con Categoría", ""))), IF(OR(L43="", L43=""), "[Aviso] Género no capturado ()", IF(ISNA(MATCH(L43, Criterios!$B$123:$B$127, 0)), "Género no válido", "")), IF(OR(N43="", N43=""), "[Aviso] Temporada no capturada ()", IF(ISNA(MATCH(N43, Criterios!$C$123:$C$128, 0)), "Temporada no válida", "")), IF(OR(O43="", O43=""), "[Aviso] Ciclo de vida no capturado ()", IF(ISNA(MATCH(O43, Criterios!$D$123:$D$124, 0)), "Ciclo de vida no válido", ""))))</f>
        <v/>
      </c>
      <c r="AC43" s="56" t="n"/>
      <c r="AD43" s="51" t="n"/>
      <c r="AE43" s="156" t="n"/>
      <c r="AF43" s="51" t="n"/>
      <c r="AG43" s="156" t="inlineStr">
        <is>
          <t>Nuevo – Carga Hoja2 01/10/2026</t>
        </is>
      </c>
      <c r="AH43" s="156" t="inlineStr">
        <is>
          <t>Alta 01/10/2026 desde Hoja2 (fila 441); Precio de compra en 0/vacío en origen | 01/10/2026: complementado desde Odoo Universal Unique Brands (match por código de barras): WB Talla, WB Talla de EE. UU., WB Género, Enlace de imagen | Homologación G1522 06/10/2026: Validación G1522: Falta estilo · Validador NetSuite / Odoo: V6: falta estilo · Validador Shopify: V6: falta estilo; WB: precio con IVA no termina en 9</t>
        </is>
      </c>
      <c r="AI43" s="156" t="n"/>
      <c r="AJ43" s="156" t="n"/>
      <c r="AK43" s="155" t="inlineStr">
        <is>
          <t>Hoja2: fila 441 | Odoo: producto 27712 / plantilla 34448</t>
        </is>
      </c>
      <c r="AL43" s="58" t="n"/>
      <c r="AM43" s="58" t="n"/>
      <c r="AN43" s="155" t="inlineStr">
        <is>
          <t>Odoo Universal Unique Brands</t>
        </is>
      </c>
      <c r="AO43" s="59" t="n"/>
      <c r="AP43" s="59" t="n"/>
      <c r="AQ43" s="59" t="n">
        <v>1</v>
      </c>
      <c r="AR43" s="155" t="inlineStr">
        <is>
          <t>Odoo Universal Unique Brands › Bodega 25 › Bodega 25/Output: 1</t>
        </is>
      </c>
    </row>
    <row r="44">
      <c r="A44" s="50" t="inlineStr">
        <is>
          <t>087327031221</t>
        </is>
      </c>
      <c r="B44" s="51" t="inlineStr">
        <is>
          <t>27699</t>
        </is>
      </c>
      <c r="C44" s="156" t="inlineStr">
        <is>
          <t>Tru Western</t>
        </is>
      </c>
      <c r="D44" s="156" t="n"/>
      <c r="E44" s="156" t="inlineStr">
        <is>
          <t>97266</t>
        </is>
      </c>
      <c r="F44" s="156" t="inlineStr">
        <is>
          <t>80 ml</t>
        </is>
      </c>
      <c r="G44" s="156" t="inlineStr">
        <is>
          <t>2.7 fl oz</t>
        </is>
      </c>
      <c r="H44" s="156" t="inlineStr">
        <is>
          <t>Tru Western</t>
        </is>
      </c>
      <c r="I44" s="156" t="inlineStr">
        <is>
          <t>Tester Tru Western - EDP - 80mL - Amber Waves</t>
        </is>
      </c>
      <c r="J44" s="156" t="inlineStr">
        <is>
          <t>Accesorios</t>
        </is>
      </c>
      <c r="K44" s="156" t="inlineStr">
        <is>
          <t>Fragancias</t>
        </is>
      </c>
      <c r="L44" s="156" t="inlineStr">
        <is>
          <t>Unisex</t>
        </is>
      </c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  <c r="V44" s="156" t="inlineStr">
        <is>
          <t>PZS</t>
        </is>
      </c>
      <c r="W44" s="51" t="inlineStr">
        <is>
          <t>53131620</t>
        </is>
      </c>
      <c r="X44" s="156" t="inlineStr">
        <is>
          <t>https://m-universal-unique-brands.odoo.com/web/image/product.product/27699/image_1920</t>
        </is>
      </c>
      <c r="Y44" s="54" t="n">
        <v>55</v>
      </c>
      <c r="Z44" s="54" t="n">
        <v>619</v>
      </c>
      <c r="AA44" s="55">
        <f>IF(AND(A44="", B44="", E44=""), "", IF(AB44="", "Válido", IF((LEN(AB44)-LEN(SUBSTITUTE(AB44,"; ","")))/2+1&gt;(LEN(AB44)-LEN(SUBSTITUTE(AB44,"[Aviso]","")))/7, "Con Incidencias", "Válido")))</f>
        <v/>
      </c>
      <c r="AB44" s="56">
        <f>IF(AND(A44="", B44="", E44=""), "", TEXTJOIN("; ", TRUE, IF(OR(TRIM(A44&amp;"")="", ISNUMBER(SEARCH("FALTA", A44))), "UPC faltante/inválido", ""), IF(AND(A44&lt;&gt;"", IFERROR(_xlfn.XMATCH(A44,$A$2:$A$52,0,1)&lt;&gt;_xlfn.XMATCH(A44,$A$2:$A$52,0,-1),FALSE)), "Código de barras duplicado", ""), IF(AND(E44&lt;&gt;"", COUNTIF($E$2:$E$52, E44)&gt;1), "SKU duplicado", ""), IF(OR(J44="", J44=""), "[Aviso] División no capturada ()", IF(ISNA(MATCH(J44, Criterios!$A$123:$A$126, 0)), "División no válida", "")), IF(OR(K44="", K44=""), "[Aviso] Categoría no capturada ()", IF(ISNA(MATCH(K44, Criterios!$A$81:$A$120, 0)), "Categoría no válida", IF(AND(J44&lt;&gt;"", J44&lt;&gt;"", J44&lt;&gt;VLOOKUP(K44, Criterios!$A$81:$B$120, 2, FALSE)), "División no coincide con Categoría", ""))), IF(OR(L44="", L44=""), "[Aviso] Género no capturado ()", IF(ISNA(MATCH(L44, Criterios!$B$123:$B$127, 0)), "Género no válido", "")), IF(OR(N44="", N44=""), "[Aviso] Temporada no capturada ()", IF(ISNA(MATCH(N44, Criterios!$C$123:$C$128, 0)), "Temporada no válida", "")), IF(OR(O44="", O44=""), "[Aviso] Ciclo de vida no capturado ()", IF(ISNA(MATCH(O44, Criterios!$D$123:$D$124, 0)), "Ciclo de vida no válido", ""))))</f>
        <v/>
      </c>
      <c r="AC44" s="56" t="n"/>
      <c r="AD44" s="51" t="n"/>
      <c r="AE44" s="156" t="n"/>
      <c r="AF44" s="51" t="n"/>
      <c r="AG44" s="156" t="inlineStr">
        <is>
          <t>Nuevo – Carga Hoja2 01/10/2026</t>
        </is>
      </c>
      <c r="AH44" s="156" t="inlineStr">
        <is>
          <t>Alta 01/10/2026 desde Hoja2 (fila 443) | 01/10/2026: complementado desde Odoo Universal Unique Brands (match por código de barras): WB Talla, WB Talla de EE. UU., WB Género, Enlace de imagen | Homologación G1522 06/10/2026: Código de barras: «87327031221» → «087327031221» (Corrección aplicada) · Validación G1522: Falta estilo · Validador NetSuite / Odoo: V6: falta estilo · Validador Shopify: V6: falta estilo; WB: precio con IVA no termina en 9</t>
        </is>
      </c>
      <c r="AI44" s="156" t="n"/>
      <c r="AJ44" s="156" t="n"/>
      <c r="AK44" s="155" t="inlineStr">
        <is>
          <t>Hoja2: fila 443 | Odoo: producto 27699 / plantilla 34435</t>
        </is>
      </c>
      <c r="AL44" s="58" t="n"/>
      <c r="AM44" s="58" t="n"/>
      <c r="AN44" s="155" t="inlineStr">
        <is>
          <t>Odoo Universal Unique Brands</t>
        </is>
      </c>
      <c r="AO44" s="59" t="n"/>
      <c r="AP44" s="59" t="n"/>
      <c r="AQ44" s="59" t="n">
        <v>5</v>
      </c>
      <c r="AR44" s="155" t="inlineStr">
        <is>
          <t>Odoo Universal Unique Brands › Bodega 25 › Bodega 25/General: 4 | Odoo Universal Unique Brands › Bodega 25 › Bodega 25/Output: 1</t>
        </is>
      </c>
    </row>
    <row r="45">
      <c r="A45" s="50" t="inlineStr">
        <is>
          <t>087327001156</t>
        </is>
      </c>
      <c r="B45" s="51" t="inlineStr">
        <is>
          <t>27688</t>
        </is>
      </c>
      <c r="C45" s="156" t="inlineStr">
        <is>
          <t>Tru Western</t>
        </is>
      </c>
      <c r="D45" s="156" t="n"/>
      <c r="E45" s="156" t="inlineStr">
        <is>
          <t>97359</t>
        </is>
      </c>
      <c r="F45" s="156" t="inlineStr">
        <is>
          <t>100 ml</t>
        </is>
      </c>
      <c r="G45" s="156" t="inlineStr">
        <is>
          <t>3.4 / 3.5 fl oz</t>
        </is>
      </c>
      <c r="H45" s="156" t="inlineStr">
        <is>
          <t>Tru Western</t>
        </is>
      </c>
      <c r="I45" s="156" t="inlineStr">
        <is>
          <t>Tester Tru Western - EDC - 100mL - Vaquero</t>
        </is>
      </c>
      <c r="J45" s="156" t="inlineStr">
        <is>
          <t>Accesorios</t>
        </is>
      </c>
      <c r="K45" s="156" t="inlineStr">
        <is>
          <t>Fragancias</t>
        </is>
      </c>
      <c r="L45" s="156" t="inlineStr">
        <is>
          <t>Unisex</t>
        </is>
      </c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  <c r="V45" s="156" t="inlineStr">
        <is>
          <t>PZS</t>
        </is>
      </c>
      <c r="W45" s="51" t="inlineStr">
        <is>
          <t>53131620</t>
        </is>
      </c>
      <c r="X45" s="156" t="inlineStr">
        <is>
          <t>https://m-universal-unique-brands.odoo.com/web/image/product.product/27688/image_1920</t>
        </is>
      </c>
      <c r="Y45" s="54" t="n"/>
      <c r="Z45" s="54" t="n">
        <v>499</v>
      </c>
      <c r="AA45" s="55">
        <f>IF(AND(A45="", B45="", E45=""), "", IF(AB45="", "Válido", IF((LEN(AB45)-LEN(SUBSTITUTE(AB45,"; ","")))/2+1&gt;(LEN(AB45)-LEN(SUBSTITUTE(AB45,"[Aviso]","")))/7, "Con Incidencias", "Válido")))</f>
        <v/>
      </c>
      <c r="AB45" s="56">
        <f>IF(AND(A45="", B45="", E45=""), "", TEXTJOIN("; ", TRUE, IF(OR(TRIM(A45&amp;"")="", ISNUMBER(SEARCH("FALTA", A45))), "UPC faltante/inválido", ""), IF(AND(A45&lt;&gt;"", IFERROR(_xlfn.XMATCH(A45,$A$2:$A$52,0,1)&lt;&gt;_xlfn.XMATCH(A45,$A$2:$A$52,0,-1),FALSE)), "Código de barras duplicado", ""), IF(AND(E45&lt;&gt;"", COUNTIF($E$2:$E$52, E45)&gt;1), "SKU duplicado", ""), IF(OR(J45="", J45=""), "[Aviso] División no capturada ()", IF(ISNA(MATCH(J45, Criterios!$A$123:$A$126, 0)), "División no válida", "")), IF(OR(K45="", K45=""), "[Aviso] Categoría no capturada ()", IF(ISNA(MATCH(K45, Criterios!$A$81:$A$120, 0)), "Categoría no válida", IF(AND(J45&lt;&gt;"", J45&lt;&gt;"", J45&lt;&gt;VLOOKUP(K45, Criterios!$A$81:$B$120, 2, FALSE)), "División no coincide con Categoría", ""))), IF(OR(L45="", L45=""), "[Aviso] Género no capturado ()", IF(ISNA(MATCH(L45, Criterios!$B$123:$B$127, 0)), "Género no válido", "")), IF(OR(N45="", N45=""), "[Aviso] Temporada no capturada ()", IF(ISNA(MATCH(N45, Criterios!$C$123:$C$128, 0)), "Temporada no válida", "")), IF(OR(O45="", O45=""), "[Aviso] Ciclo de vida no capturado ()", IF(ISNA(MATCH(O45, Criterios!$D$123:$D$124, 0)), "Ciclo de vida no válido", ""))))</f>
        <v/>
      </c>
      <c r="AC45" s="56" t="n"/>
      <c r="AD45" s="51" t="n"/>
      <c r="AE45" s="156" t="n"/>
      <c r="AF45" s="51" t="n"/>
      <c r="AG45" s="156" t="inlineStr">
        <is>
          <t>Nuevo – Carga Hoja2 01/10/2026</t>
        </is>
      </c>
      <c r="AH45" s="156" t="inlineStr">
        <is>
          <t>Alta 01/10/2026 desde Hoja2 (fila 445); Precio de compra en 0/vacío en origen | 01/10/2026: complementado desde Odoo Universal Unique Brands (match por código de barras): WB Talla, WB Talla de EE. UU., WB Género, Enlace de imagen | Homologación G1522 06/10/2026: Código de barras: «87327001156» → «087327001156» (Corrección aplicada) · Validación G1522: Falta estilo · Validador NetSuite / Odoo: V6: falta estilo · Validador Shopify: V6: falta estilo; WB: precio con IVA no termina en 9</t>
        </is>
      </c>
      <c r="AI45" s="156" t="n"/>
      <c r="AJ45" s="156" t="n"/>
      <c r="AK45" s="155" t="inlineStr">
        <is>
          <t>Hoja2: fila 445 | Odoo: producto 27688 / plantilla 34424</t>
        </is>
      </c>
      <c r="AL45" s="58" t="n"/>
      <c r="AM45" s="58" t="n"/>
      <c r="AN45" s="155" t="inlineStr">
        <is>
          <t>Odoo Universal Unique Brands</t>
        </is>
      </c>
      <c r="AO45" s="59" t="n"/>
      <c r="AP45" s="59" t="n"/>
      <c r="AQ45" s="59" t="n">
        <v>0</v>
      </c>
      <c r="AR45" s="155" t="inlineStr">
        <is>
          <t>Odoo Universal Unique Brands › Bodega 25 › Bodega 25/Output: 1</t>
        </is>
      </c>
    </row>
    <row r="46">
      <c r="A46" s="50" t="n"/>
      <c r="B46" s="51" t="inlineStr">
        <is>
          <t>29970</t>
        </is>
      </c>
      <c r="C46" s="156" t="inlineStr">
        <is>
          <t>Tru Western</t>
        </is>
      </c>
      <c r="D46" s="156" t="n"/>
      <c r="E46" s="156" t="inlineStr">
        <is>
          <t>97702</t>
        </is>
      </c>
      <c r="F46" s="156" t="inlineStr">
        <is>
          <t>80 ml</t>
        </is>
      </c>
      <c r="G46" s="156" t="inlineStr">
        <is>
          <t>2.7 fl oz</t>
        </is>
      </c>
      <c r="H46" s="156" t="inlineStr">
        <is>
          <t>Tru Western</t>
        </is>
      </c>
      <c r="I46" s="156" t="inlineStr">
        <is>
          <t>TESTER Tru Western: Women's - EDP 2.7 oz/79.84 - Amber Waves</t>
        </is>
      </c>
      <c r="J46" s="156" t="inlineStr">
        <is>
          <t>Accesorios</t>
        </is>
      </c>
      <c r="K46" s="156" t="inlineStr">
        <is>
          <t>Fragancias</t>
        </is>
      </c>
      <c r="L46" s="156" t="inlineStr">
        <is>
          <t>Mujer</t>
        </is>
      </c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  <c r="V46" s="156" t="inlineStr">
        <is>
          <t>PZS</t>
        </is>
      </c>
      <c r="W46" s="51" t="inlineStr">
        <is>
          <t>53131620</t>
        </is>
      </c>
      <c r="X46" s="156" t="inlineStr">
        <is>
          <t>https://m-universal-unique-brands.odoo.com/web/image/product.product/29970/image_1920</t>
        </is>
      </c>
      <c r="Y46" s="54" t="n"/>
      <c r="Z46" s="54" t="n">
        <v>1</v>
      </c>
      <c r="AA46" s="55">
        <f>IF(AND(A46="", B46="", E46=""), "", IF(AB46="", "Válido", IF((LEN(AB46)-LEN(SUBSTITUTE(AB46,"; ","")))/2+1&gt;(LEN(AB46)-LEN(SUBSTITUTE(AB46,"[Aviso]","")))/7, "Con Incidencias", "Válido")))</f>
        <v/>
      </c>
      <c r="AB46" s="56">
        <f>IF(AND(A46="", B46="", E46=""), "", TEXTJOIN("; ", TRUE, IF(OR(TRIM(A46&amp;"")="", ISNUMBER(SEARCH("FALTA", A46))), "UPC faltante/inválido", ""), IF(AND(A46&lt;&gt;"", IFERROR(_xlfn.XMATCH(A46,$A$2:$A$52,0,1)&lt;&gt;_xlfn.XMATCH(A46,$A$2:$A$52,0,-1),FALSE)), "Código de barras duplicado", ""), IF(AND(E46&lt;&gt;"", COUNTIF($E$2:$E$52, E46)&gt;1), "SKU duplicado", ""), IF(OR(J46="", J46=""), "[Aviso] División no capturada ()", IF(ISNA(MATCH(J46, Criterios!$A$123:$A$126, 0)), "División no válida", "")), IF(OR(K46="", K46=""), "[Aviso] Categoría no capturada ()", IF(ISNA(MATCH(K46, Criterios!$A$81:$A$120, 0)), "Categoría no válida", IF(AND(J46&lt;&gt;"", J46&lt;&gt;"", J46&lt;&gt;VLOOKUP(K46, Criterios!$A$81:$B$120, 2, FALSE)), "División no coincide con Categoría", ""))), IF(OR(L46="", L46=""), "[Aviso] Género no capturado ()", IF(ISNA(MATCH(L46, Criterios!$B$123:$B$127, 0)), "Género no válido", "")), IF(OR(N46="", N46=""), "[Aviso] Temporada no capturada ()", IF(ISNA(MATCH(N46, Criterios!$C$123:$C$128, 0)), "Temporada no válida", "")), IF(OR(O46="", O46=""), "[Aviso] Ciclo de vida no capturado ()", IF(ISNA(MATCH(O46, Criterios!$D$123:$D$124, 0)), "Ciclo de vida no válido", ""))))</f>
        <v/>
      </c>
      <c r="AC46" s="56" t="n"/>
      <c r="AD46" s="51" t="n"/>
      <c r="AE46" s="156" t="n"/>
      <c r="AF46" s="51" t="n"/>
      <c r="AG46" s="156" t="inlineStr">
        <is>
          <t>Nuevo – Carga Hoja2 01/10/2026</t>
        </is>
      </c>
      <c r="AH46" s="156" t="inlineStr">
        <is>
          <t>Alta 01/10/2026 desde Hoja2 (fila 446); Precio de compra en 0/vacío en origen; Precio de venta = 1 en origen (posible precio de prueba): validar | 01/10/2026: complementado desde Odoo Universal Unique Brands (match por SKU): WB Talla, WB Talla de EE. UU., WB Género, Enlace de imagen | Homologación G1522 06/10/2026: Validación G1522: Código de barras faltante · Validador NetSuite / Odoo: V1: falta código de barras · Validador Shopify: V1: falta código de barras; WB: precio con IVA no termina en 9</t>
        </is>
      </c>
      <c r="AI46" s="156" t="n"/>
      <c r="AJ46" s="156" t="n"/>
      <c r="AK46" s="155" t="inlineStr">
        <is>
          <t>Hoja2: fila 446 | Odoo: producto 29970 / plantilla 38674</t>
        </is>
      </c>
      <c r="AL46" s="58" t="n"/>
      <c r="AM46" s="58" t="n"/>
      <c r="AN46" s="155" t="inlineStr">
        <is>
          <t>Odoo Universal Unique Brands</t>
        </is>
      </c>
      <c r="AO46" s="59" t="n"/>
      <c r="AP46" s="59" t="n"/>
      <c r="AQ46" s="59" t="n">
        <v>6</v>
      </c>
      <c r="AR46" s="155" t="inlineStr">
        <is>
          <t>Odoo Universal Unique Brands › Bodega 25 › Bodega 25/General: 6</t>
        </is>
      </c>
    </row>
    <row r="47">
      <c r="A47" s="50" t="inlineStr">
        <is>
          <t>087327032617</t>
        </is>
      </c>
      <c r="B47" s="51" t="inlineStr">
        <is>
          <t>27695</t>
        </is>
      </c>
      <c r="C47" s="156" t="inlineStr">
        <is>
          <t>Tru Western</t>
        </is>
      </c>
      <c r="D47" s="156" t="n"/>
      <c r="E47" s="156" t="inlineStr">
        <is>
          <t>98082</t>
        </is>
      </c>
      <c r="F47" s="156" t="inlineStr">
        <is>
          <t>100 ml</t>
        </is>
      </c>
      <c r="G47" s="156" t="inlineStr">
        <is>
          <t>3.4 / 3.5 fl oz</t>
        </is>
      </c>
      <c r="H47" s="156" t="inlineStr">
        <is>
          <t>Tru Western</t>
        </is>
      </c>
      <c r="I47" s="156" t="inlineStr">
        <is>
          <t>Tester Tru Western - EDP - 100mL - Rodeo Soul Fearless</t>
        </is>
      </c>
      <c r="J47" s="156" t="inlineStr">
        <is>
          <t>Accesorios</t>
        </is>
      </c>
      <c r="K47" s="156" t="inlineStr">
        <is>
          <t>Fragancias</t>
        </is>
      </c>
      <c r="L47" s="156" t="inlineStr">
        <is>
          <t>Unisex</t>
        </is>
      </c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  <c r="V47" s="156" t="inlineStr">
        <is>
          <t>PZS</t>
        </is>
      </c>
      <c r="W47" s="51" t="inlineStr">
        <is>
          <t>53131620</t>
        </is>
      </c>
      <c r="X47" s="156" t="inlineStr">
        <is>
          <t>https://m-universal-unique-brands.odoo.com/web/image/product.product/27695/image_1920</t>
        </is>
      </c>
      <c r="Y47" s="54" t="n">
        <v>45</v>
      </c>
      <c r="Z47" s="54" t="n">
        <v>509</v>
      </c>
      <c r="AA47" s="55">
        <f>IF(AND(A47="", B47="", E47=""), "", IF(AB47="", "Válido", IF((LEN(AB47)-LEN(SUBSTITUTE(AB47,"; ","")))/2+1&gt;(LEN(AB47)-LEN(SUBSTITUTE(AB47,"[Aviso]","")))/7, "Con Incidencias", "Válido")))</f>
        <v/>
      </c>
      <c r="AB47" s="56">
        <f>IF(AND(A47="", B47="", E47=""), "", TEXTJOIN("; ", TRUE, IF(OR(TRIM(A47&amp;"")="", ISNUMBER(SEARCH("FALTA", A47))), "UPC faltante/inválido", ""), IF(AND(A47&lt;&gt;"", IFERROR(_xlfn.XMATCH(A47,$A$2:$A$52,0,1)&lt;&gt;_xlfn.XMATCH(A47,$A$2:$A$52,0,-1),FALSE)), "Código de barras duplicado", ""), IF(AND(E47&lt;&gt;"", COUNTIF($E$2:$E$52, E47)&gt;1), "SKU duplicado", ""), IF(OR(J47="", J47=""), "[Aviso] División no capturada ()", IF(ISNA(MATCH(J47, Criterios!$A$123:$A$126, 0)), "División no válida", "")), IF(OR(K47="", K47=""), "[Aviso] Categoría no capturada ()", IF(ISNA(MATCH(K47, Criterios!$A$81:$A$120, 0)), "Categoría no válida", IF(AND(J47&lt;&gt;"", J47&lt;&gt;"", J47&lt;&gt;VLOOKUP(K47, Criterios!$A$81:$B$120, 2, FALSE)), "División no coincide con Categoría", ""))), IF(OR(L47="", L47=""), "[Aviso] Género no capturado ()", IF(ISNA(MATCH(L47, Criterios!$B$123:$B$127, 0)), "Género no válido", "")), IF(OR(N47="", N47=""), "[Aviso] Temporada no capturada ()", IF(ISNA(MATCH(N47, Criterios!$C$123:$C$128, 0)), "Temporada no válida", "")), IF(OR(O47="", O47=""), "[Aviso] Ciclo de vida no capturado ()", IF(ISNA(MATCH(O47, Criterios!$D$123:$D$124, 0)), "Ciclo de vida no válido", ""))))</f>
        <v/>
      </c>
      <c r="AC47" s="56" t="n"/>
      <c r="AD47" s="51" t="n"/>
      <c r="AE47" s="156" t="n"/>
      <c r="AF47" s="51" t="n"/>
      <c r="AG47" s="156" t="inlineStr">
        <is>
          <t>Nuevo – Carga Hoja2 01/10/2026</t>
        </is>
      </c>
      <c r="AH47" s="156" t="inlineStr">
        <is>
          <t>Alta 01/10/2026 desde Hoja2 (fila 448) | 01/10/2026: complementado desde Odoo Universal Unique Brands (match por código de barras): WB Talla, WB Talla de EE. UU., WB Género, Enlace de imagen | Homologación G1522 06/10/2026: Código de barras: «87327032617» → «087327032617» (Corrección aplicada) · Validación G1522: Falta estilo · Validador NetSuite / Odoo: V6: falta estilo · Validador Shopify: V6: falta estilo; WB: precio con IVA no termina en 9</t>
        </is>
      </c>
      <c r="AI47" s="156" t="n"/>
      <c r="AJ47" s="156" t="n"/>
      <c r="AK47" s="155" t="inlineStr">
        <is>
          <t>Hoja2: fila 448 | Odoo: producto 27695 / plantilla 34431</t>
        </is>
      </c>
      <c r="AL47" s="58" t="n"/>
      <c r="AM47" s="58" t="n"/>
      <c r="AN47" s="155" t="inlineStr">
        <is>
          <t>Odoo Universal Unique Brands</t>
        </is>
      </c>
      <c r="AO47" s="59" t="n"/>
      <c r="AP47" s="59" t="n"/>
      <c r="AQ47" s="59" t="n">
        <v>2</v>
      </c>
      <c r="AR47" s="155" t="inlineStr">
        <is>
          <t>Odoo Universal Unique Brands › Bodega 25 › Bodega 25/Output: 2</t>
        </is>
      </c>
    </row>
    <row r="48">
      <c r="A48" s="50" t="inlineStr">
        <is>
          <t>087327032631</t>
        </is>
      </c>
      <c r="B48" s="51" t="inlineStr">
        <is>
          <t>27666</t>
        </is>
      </c>
      <c r="C48" s="156" t="inlineStr">
        <is>
          <t>Tru Western</t>
        </is>
      </c>
      <c r="D48" s="156" t="n"/>
      <c r="E48" s="156" t="inlineStr">
        <is>
          <t>98084</t>
        </is>
      </c>
      <c r="F48" s="156" t="inlineStr">
        <is>
          <t>100 ml</t>
        </is>
      </c>
      <c r="G48" s="156" t="inlineStr">
        <is>
          <t>3.4 / 3.5 fl oz</t>
        </is>
      </c>
      <c r="H48" s="156" t="inlineStr">
        <is>
          <t>Tru Western</t>
        </is>
      </c>
      <c r="I48" s="156" t="inlineStr">
        <is>
          <t>TESTER Tru Western - Leather - EDC - 100mL - No. 1 Private Reserve - Tester</t>
        </is>
      </c>
      <c r="J48" s="156" t="inlineStr">
        <is>
          <t>Accesorios</t>
        </is>
      </c>
      <c r="K48" s="156" t="inlineStr">
        <is>
          <t>Fragancias</t>
        </is>
      </c>
      <c r="L48" s="156" t="inlineStr">
        <is>
          <t>Unisex</t>
        </is>
      </c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  <c r="V48" s="156" t="inlineStr">
        <is>
          <t>PZS</t>
        </is>
      </c>
      <c r="W48" s="51" t="inlineStr">
        <is>
          <t>53131620</t>
        </is>
      </c>
      <c r="X48" s="156" t="inlineStr">
        <is>
          <t>https://m-universal-unique-brands.odoo.com/web/image/product.product/27666/image_1920</t>
        </is>
      </c>
      <c r="Y48" s="54" t="n">
        <v>50</v>
      </c>
      <c r="Z48" s="54" t="n">
        <v>569</v>
      </c>
      <c r="AA48" s="55">
        <f>IF(AND(A48="", B48="", E48=""), "", IF(AB48="", "Válido", IF((LEN(AB48)-LEN(SUBSTITUTE(AB48,"; ","")))/2+1&gt;(LEN(AB48)-LEN(SUBSTITUTE(AB48,"[Aviso]","")))/7, "Con Incidencias", "Válido")))</f>
        <v/>
      </c>
      <c r="AB48" s="56">
        <f>IF(AND(A48="", B48="", E48=""), "", TEXTJOIN("; ", TRUE, IF(OR(TRIM(A48&amp;"")="", ISNUMBER(SEARCH("FALTA", A48))), "UPC faltante/inválido", ""), IF(AND(A48&lt;&gt;"", IFERROR(_xlfn.XMATCH(A48,$A$2:$A$52,0,1)&lt;&gt;_xlfn.XMATCH(A48,$A$2:$A$52,0,-1),FALSE)), "Código de barras duplicado", ""), IF(AND(E48&lt;&gt;"", COUNTIF($E$2:$E$52, E48)&gt;1), "SKU duplicado", ""), IF(OR(J48="", J48=""), "[Aviso] División no capturada ()", IF(ISNA(MATCH(J48, Criterios!$A$123:$A$126, 0)), "División no válida", "")), IF(OR(K48="", K48=""), "[Aviso] Categoría no capturada ()", IF(ISNA(MATCH(K48, Criterios!$A$81:$A$120, 0)), "Categoría no válida", IF(AND(J48&lt;&gt;"", J48&lt;&gt;"", J48&lt;&gt;VLOOKUP(K48, Criterios!$A$81:$B$120, 2, FALSE)), "División no coincide con Categoría", ""))), IF(OR(L48="", L48=""), "[Aviso] Género no capturado ()", IF(ISNA(MATCH(L48, Criterios!$B$123:$B$127, 0)), "Género no válido", "")), IF(OR(N48="", N48=""), "[Aviso] Temporada no capturada ()", IF(ISNA(MATCH(N48, Criterios!$C$123:$C$128, 0)), "Temporada no válida", "")), IF(OR(O48="", O48=""), "[Aviso] Ciclo de vida no capturado ()", IF(ISNA(MATCH(O48, Criterios!$D$123:$D$124, 0)), "Ciclo de vida no válido", ""))))</f>
        <v/>
      </c>
      <c r="AC48" s="56" t="n"/>
      <c r="AD48" s="51" t="n"/>
      <c r="AE48" s="156" t="n"/>
      <c r="AF48" s="51" t="n"/>
      <c r="AG48" s="156" t="inlineStr">
        <is>
          <t>Nuevo – Carga Hoja2 01/10/2026</t>
        </is>
      </c>
      <c r="AH48" s="156" t="inlineStr">
        <is>
          <t>Alta 01/10/2026 desde Hoja2 (fila 450) | 01/10/2026: complementado desde Odoo Universal Unique Brands (match por código de barras): WB Talla, WB Talla de EE. UU., WB Género, Enlace de imagen | Homologación G1522 06/10/2026: Código de barras: «87327032631» → «087327032631» (Corrección aplicada) · Validación G1522: Falta estilo · Validador NetSuite / Odoo: V6: falta estilo · Validador Shopify: V6: falta estilo; WB: precio con IVA no termina en 9</t>
        </is>
      </c>
      <c r="AI48" s="156" t="n"/>
      <c r="AJ48" s="156" t="n"/>
      <c r="AK48" s="155" t="inlineStr">
        <is>
          <t>Hoja2: fila 450 | Odoo: producto 27666 / plantilla 34402</t>
        </is>
      </c>
      <c r="AL48" s="58" t="n"/>
      <c r="AM48" s="58" t="n"/>
      <c r="AN48" s="155" t="inlineStr">
        <is>
          <t>Odoo Universal Unique Brands</t>
        </is>
      </c>
      <c r="AO48" s="59" t="n"/>
      <c r="AP48" s="59" t="n"/>
      <c r="AQ48" s="59" t="n">
        <v>-3</v>
      </c>
      <c r="AR48" s="155" t="inlineStr">
        <is>
          <t>Odoo Universal Unique Brands › Bodega 25 › Bodega 25/Output: 1</t>
        </is>
      </c>
    </row>
    <row r="49">
      <c r="A49" s="50" t="inlineStr">
        <is>
          <t>087327032655</t>
        </is>
      </c>
      <c r="B49" s="51" t="inlineStr">
        <is>
          <t>27668</t>
        </is>
      </c>
      <c r="C49" s="156" t="inlineStr">
        <is>
          <t>Tru Western</t>
        </is>
      </c>
      <c r="D49" s="156" t="n"/>
      <c r="E49" s="156" t="inlineStr">
        <is>
          <t>98086</t>
        </is>
      </c>
      <c r="F49" s="156" t="inlineStr">
        <is>
          <t>100 ml</t>
        </is>
      </c>
      <c r="G49" s="156" t="inlineStr">
        <is>
          <t>3.4 / 3.5 fl oz</t>
        </is>
      </c>
      <c r="H49" s="156" t="inlineStr">
        <is>
          <t>Tru Western</t>
        </is>
      </c>
      <c r="I49" s="156" t="inlineStr">
        <is>
          <t>Tester Tru Western - Leather - EDC - 100mL - No. 2 Small Batch</t>
        </is>
      </c>
      <c r="J49" s="156" t="inlineStr">
        <is>
          <t>Accesorios</t>
        </is>
      </c>
      <c r="K49" s="156" t="inlineStr">
        <is>
          <t>Fragancias</t>
        </is>
      </c>
      <c r="L49" s="156" t="inlineStr">
        <is>
          <t>Unisex</t>
        </is>
      </c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  <c r="V49" s="156" t="inlineStr">
        <is>
          <t>PZS</t>
        </is>
      </c>
      <c r="W49" s="51" t="inlineStr">
        <is>
          <t>53131620</t>
        </is>
      </c>
      <c r="X49" s="156" t="inlineStr">
        <is>
          <t>https://m-universal-unique-brands.odoo.com/web/image/product.product/27668/image_1920</t>
        </is>
      </c>
      <c r="Y49" s="54" t="n">
        <v>50</v>
      </c>
      <c r="Z49" s="54" t="n">
        <v>569</v>
      </c>
      <c r="AA49" s="55">
        <f>IF(AND(A49="", B49="", E49=""), "", IF(AB49="", "Válido", IF((LEN(AB49)-LEN(SUBSTITUTE(AB49,"; ","")))/2+1&gt;(LEN(AB49)-LEN(SUBSTITUTE(AB49,"[Aviso]","")))/7, "Con Incidencias", "Válido")))</f>
        <v/>
      </c>
      <c r="AB49" s="56">
        <f>IF(AND(A49="", B49="", E49=""), "", TEXTJOIN("; ", TRUE, IF(OR(TRIM(A49&amp;"")="", ISNUMBER(SEARCH("FALTA", A49))), "UPC faltante/inválido", ""), IF(AND(A49&lt;&gt;"", IFERROR(_xlfn.XMATCH(A49,$A$2:$A$52,0,1)&lt;&gt;_xlfn.XMATCH(A49,$A$2:$A$52,0,-1),FALSE)), "Código de barras duplicado", ""), IF(AND(E49&lt;&gt;"", COUNTIF($E$2:$E$52, E49)&gt;1), "SKU duplicado", ""), IF(OR(J49="", J49=""), "[Aviso] División no capturada ()", IF(ISNA(MATCH(J49, Criterios!$A$123:$A$126, 0)), "División no válida", "")), IF(OR(K49="", K49=""), "[Aviso] Categoría no capturada ()", IF(ISNA(MATCH(K49, Criterios!$A$81:$A$120, 0)), "Categoría no válida", IF(AND(J49&lt;&gt;"", J49&lt;&gt;"", J49&lt;&gt;VLOOKUP(K49, Criterios!$A$81:$B$120, 2, FALSE)), "División no coincide con Categoría", ""))), IF(OR(L49="", L49=""), "[Aviso] Género no capturado ()", IF(ISNA(MATCH(L49, Criterios!$B$123:$B$127, 0)), "Género no válido", "")), IF(OR(N49="", N49=""), "[Aviso] Temporada no capturada ()", IF(ISNA(MATCH(N49, Criterios!$C$123:$C$128, 0)), "Temporada no válida", "")), IF(OR(O49="", O49=""), "[Aviso] Ciclo de vida no capturado ()", IF(ISNA(MATCH(O49, Criterios!$D$123:$D$124, 0)), "Ciclo de vida no válido", ""))))</f>
        <v/>
      </c>
      <c r="AC49" s="56" t="n"/>
      <c r="AD49" s="51" t="n"/>
      <c r="AE49" s="156" t="n"/>
      <c r="AF49" s="51" t="n"/>
      <c r="AG49" s="156" t="inlineStr">
        <is>
          <t>Nuevo – Carga Hoja2 01/10/2026</t>
        </is>
      </c>
      <c r="AH49" s="156" t="inlineStr">
        <is>
          <t>Alta 01/10/2026 desde Hoja2 (fila 452) | 01/10/2026: complementado desde Odoo Universal Unique Brands (match por código de barras): WB Talla, WB Talla de EE. UU., WB Género, Enlace de imagen | Homologación G1522 06/10/2026: Código de barras: «87327032655» → «087327032655» (Corrección aplicada) · Validación G1522: Falta estilo · Validador NetSuite / Odoo: V6: falta estilo · Validador Shopify: V6: falta estilo; WB: precio con IVA no termina en 9</t>
        </is>
      </c>
      <c r="AI49" s="156" t="n"/>
      <c r="AJ49" s="156" t="n"/>
      <c r="AK49" s="155" t="inlineStr">
        <is>
          <t>Hoja2: fila 452 | Odoo: producto 27668 / plantilla 34404</t>
        </is>
      </c>
      <c r="AL49" s="58" t="n"/>
      <c r="AM49" s="58" t="n"/>
      <c r="AN49" s="155" t="inlineStr">
        <is>
          <t>Odoo Universal Unique Brands</t>
        </is>
      </c>
      <c r="AO49" s="59" t="n"/>
      <c r="AP49" s="59" t="n"/>
      <c r="AQ49" s="59" t="n">
        <v>2</v>
      </c>
      <c r="AR49" s="155" t="inlineStr">
        <is>
          <t>Odoo Universal Unique Brands › Bodega 25 › Bodega 25/Output: 2</t>
        </is>
      </c>
    </row>
    <row r="50">
      <c r="A50" s="50" t="inlineStr">
        <is>
          <t>087327032679</t>
        </is>
      </c>
      <c r="B50" s="51" t="inlineStr">
        <is>
          <t>27670</t>
        </is>
      </c>
      <c r="C50" s="156" t="inlineStr">
        <is>
          <t>Tru Western</t>
        </is>
      </c>
      <c r="D50" s="156" t="n"/>
      <c r="E50" s="156" t="inlineStr">
        <is>
          <t>98088</t>
        </is>
      </c>
      <c r="F50" s="156" t="inlineStr">
        <is>
          <t>100 ml</t>
        </is>
      </c>
      <c r="G50" s="156" t="inlineStr">
        <is>
          <t>3.4 / 3.5 fl oz</t>
        </is>
      </c>
      <c r="H50" s="156" t="inlineStr">
        <is>
          <t>Tru Western</t>
        </is>
      </c>
      <c r="I50" s="156" t="inlineStr">
        <is>
          <t>Tru Western - Leather - EDC - 100mL - No. 3 Indigo Blend - Tester</t>
        </is>
      </c>
      <c r="J50" s="156" t="inlineStr">
        <is>
          <t>Accesorios</t>
        </is>
      </c>
      <c r="K50" s="156" t="inlineStr">
        <is>
          <t>Fragancias</t>
        </is>
      </c>
      <c r="L50" s="156" t="inlineStr">
        <is>
          <t>Unisex</t>
        </is>
      </c>
      <c r="M50" s="156" t="n"/>
      <c r="N50" s="156" t="n"/>
      <c r="O50" s="156" t="n"/>
      <c r="P50" s="156" t="inlineStr">
        <is>
          <t>Azul</t>
        </is>
      </c>
      <c r="Q50" s="156" t="n"/>
      <c r="R50" s="156" t="n"/>
      <c r="S50" s="156" t="n"/>
      <c r="T50" s="156" t="n"/>
      <c r="U50" s="156" t="n"/>
      <c r="V50" s="156" t="inlineStr">
        <is>
          <t>PZS</t>
        </is>
      </c>
      <c r="W50" s="51" t="inlineStr">
        <is>
          <t>53131620</t>
        </is>
      </c>
      <c r="X50" s="156" t="inlineStr">
        <is>
          <t>https://m-universal-unique-brands.odoo.com/web/image/product.product/27670/image_1920</t>
        </is>
      </c>
      <c r="Y50" s="54" t="n">
        <v>50</v>
      </c>
      <c r="Z50" s="54" t="n">
        <v>569</v>
      </c>
      <c r="AA50" s="55">
        <f>IF(AND(A50="", B50="", E50=""), "", IF(AB50="", "Válido", IF((LEN(AB50)-LEN(SUBSTITUTE(AB50,"; ","")))/2+1&gt;(LEN(AB50)-LEN(SUBSTITUTE(AB50,"[Aviso]","")))/7, "Con Incidencias", "Válido")))</f>
        <v/>
      </c>
      <c r="AB50" s="56">
        <f>IF(AND(A50="", B50="", E50=""), "", TEXTJOIN("; ", TRUE, IF(OR(TRIM(A50&amp;"")="", ISNUMBER(SEARCH("FALTA", A50))), "UPC faltante/inválido", ""), IF(AND(A50&lt;&gt;"", IFERROR(_xlfn.XMATCH(A50,$A$2:$A$52,0,1)&lt;&gt;_xlfn.XMATCH(A50,$A$2:$A$52,0,-1),FALSE)), "Código de barras duplicado", ""), IF(AND(E50&lt;&gt;"", COUNTIF($E$2:$E$52, E50)&gt;1), "SKU duplicado", ""), IF(OR(J50="", J50=""), "[Aviso] División no capturada ()", IF(ISNA(MATCH(J50, Criterios!$A$123:$A$126, 0)), "División no válida", "")), IF(OR(K50="", K50=""), "[Aviso] Categoría no capturada ()", IF(ISNA(MATCH(K50, Criterios!$A$81:$A$120, 0)), "Categoría no válida", IF(AND(J50&lt;&gt;"", J50&lt;&gt;"", J50&lt;&gt;VLOOKUP(K50, Criterios!$A$81:$B$120, 2, FALSE)), "División no coincide con Categoría", ""))), IF(OR(L50="", L50=""), "[Aviso] Género no capturado ()", IF(ISNA(MATCH(L50, Criterios!$B$123:$B$127, 0)), "Género no válido", "")), IF(OR(N50="", N50=""), "[Aviso] Temporada no capturada ()", IF(ISNA(MATCH(N50, Criterios!$C$123:$C$128, 0)), "Temporada no válida", "")), IF(OR(O50="", O50=""), "[Aviso] Ciclo de vida no capturado ()", IF(ISNA(MATCH(O50, Criterios!$D$123:$D$124, 0)), "Ciclo de vida no válido", ""))))</f>
        <v/>
      </c>
      <c r="AC50" s="56" t="n"/>
      <c r="AD50" s="51" t="n"/>
      <c r="AE50" s="156" t="n"/>
      <c r="AF50" s="51" t="n"/>
      <c r="AG50" s="156" t="inlineStr">
        <is>
          <t>Nuevo – Carga Hoja2 01/10/2026</t>
        </is>
      </c>
      <c r="AH50" s="156" t="inlineStr">
        <is>
          <t>Alta 01/10/2026 desde Hoja2 (fila 454) | 01/10/2026: complementado desde Odoo Universal Unique Brands (match por código de barras): WB Talla, WB Talla de EE. UU., WB Género, WB Color, Enlace de imagen | Homologación G1522 06/10/2026: Código de barras: «87327032679» → «087327032679» (Corrección aplicada) · Validación G1522: Falta estilo · Validador NetSuite / Odoo: V6: falta estilo · Validador Shopify: V6: falta estilo; WB: precio con IVA no termina en 9</t>
        </is>
      </c>
      <c r="AI50" s="156" t="n"/>
      <c r="AJ50" s="156" t="n"/>
      <c r="AK50" s="155" t="inlineStr">
        <is>
          <t>Hoja2: fila 454 | Odoo: producto 27670 / plantilla 34406</t>
        </is>
      </c>
      <c r="AL50" s="58" t="n"/>
      <c r="AM50" s="58" t="n"/>
      <c r="AN50" s="155" t="inlineStr">
        <is>
          <t>Odoo Universal Unique Brands</t>
        </is>
      </c>
      <c r="AO50" s="59" t="n"/>
      <c r="AP50" s="59" t="n"/>
      <c r="AQ50" s="59" t="n">
        <v>-1</v>
      </c>
      <c r="AR50" s="155" t="inlineStr">
        <is>
          <t>Odoo Universal Unique Brands › Bodega 25 › Bodega 25/Output: 1</t>
        </is>
      </c>
    </row>
    <row r="51">
      <c r="A51" s="50" t="inlineStr">
        <is>
          <t>087327032693</t>
        </is>
      </c>
      <c r="B51" s="51" t="inlineStr">
        <is>
          <t>27672</t>
        </is>
      </c>
      <c r="C51" s="156" t="inlineStr">
        <is>
          <t>Tru Western</t>
        </is>
      </c>
      <c r="D51" s="156" t="n"/>
      <c r="E51" s="156" t="inlineStr">
        <is>
          <t>98090</t>
        </is>
      </c>
      <c r="F51" s="156" t="inlineStr">
        <is>
          <t>100 ml</t>
        </is>
      </c>
      <c r="G51" s="156" t="inlineStr">
        <is>
          <t>3.4 / 3.5 fl oz</t>
        </is>
      </c>
      <c r="H51" s="156" t="inlineStr">
        <is>
          <t>Tru Western</t>
        </is>
      </c>
      <c r="I51" s="156" t="inlineStr">
        <is>
          <t>Tester Leather - EDC - 100mL - No. 4 Deep Leather</t>
        </is>
      </c>
      <c r="J51" s="156" t="inlineStr">
        <is>
          <t>Accesorios</t>
        </is>
      </c>
      <c r="K51" s="156" t="inlineStr">
        <is>
          <t>Fragancias</t>
        </is>
      </c>
      <c r="L51" s="156" t="inlineStr">
        <is>
          <t>Unisex</t>
        </is>
      </c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  <c r="V51" s="156" t="inlineStr">
        <is>
          <t>PZS</t>
        </is>
      </c>
      <c r="W51" s="51" t="inlineStr">
        <is>
          <t>53131620</t>
        </is>
      </c>
      <c r="X51" s="156" t="inlineStr">
        <is>
          <t>https://m-universal-unique-brands.odoo.com/web/image/product.product/27672/image_1920</t>
        </is>
      </c>
      <c r="Y51" s="54" t="n">
        <v>50</v>
      </c>
      <c r="Z51" s="54" t="n">
        <v>569</v>
      </c>
      <c r="AA51" s="55">
        <f>IF(AND(A51="", B51="", E51=""), "", IF(AB51="", "Válido", IF((LEN(AB51)-LEN(SUBSTITUTE(AB51,"; ","")))/2+1&gt;(LEN(AB51)-LEN(SUBSTITUTE(AB51,"[Aviso]","")))/7, "Con Incidencias", "Válido")))</f>
        <v/>
      </c>
      <c r="AB51" s="56">
        <f>IF(AND(A51="", B51="", E51=""), "", TEXTJOIN("; ", TRUE, IF(OR(TRIM(A51&amp;"")="", ISNUMBER(SEARCH("FALTA", A51))), "UPC faltante/inválido", ""), IF(AND(A51&lt;&gt;"", IFERROR(_xlfn.XMATCH(A51,$A$2:$A$52,0,1)&lt;&gt;_xlfn.XMATCH(A51,$A$2:$A$52,0,-1),FALSE)), "Código de barras duplicado", ""), IF(AND(E51&lt;&gt;"", COUNTIF($E$2:$E$52, E51)&gt;1), "SKU duplicado", ""), IF(OR(J51="", J51=""), "[Aviso] División no capturada ()", IF(ISNA(MATCH(J51, Criterios!$A$123:$A$126, 0)), "División no válida", "")), IF(OR(K51="", K51=""), "[Aviso] Categoría no capturada ()", IF(ISNA(MATCH(K51, Criterios!$A$81:$A$120, 0)), "Categoría no válida", IF(AND(J51&lt;&gt;"", J51&lt;&gt;"", J51&lt;&gt;VLOOKUP(K51, Criterios!$A$81:$B$120, 2, FALSE)), "División no coincide con Categoría", ""))), IF(OR(L51="", L51=""), "[Aviso] Género no capturado ()", IF(ISNA(MATCH(L51, Criterios!$B$123:$B$127, 0)), "Género no válido", "")), IF(OR(N51="", N51=""), "[Aviso] Temporada no capturada ()", IF(ISNA(MATCH(N51, Criterios!$C$123:$C$128, 0)), "Temporada no válida", "")), IF(OR(O51="", O51=""), "[Aviso] Ciclo de vida no capturado ()", IF(ISNA(MATCH(O51, Criterios!$D$123:$D$124, 0)), "Ciclo de vida no válido", ""))))</f>
        <v/>
      </c>
      <c r="AC51" s="56" t="n"/>
      <c r="AD51" s="51" t="n"/>
      <c r="AE51" s="156" t="n"/>
      <c r="AF51" s="51" t="n"/>
      <c r="AG51" s="156" t="inlineStr">
        <is>
          <t>Nuevo – Carga Hoja2 01/10/2026</t>
        </is>
      </c>
      <c r="AH51" s="156" t="inlineStr">
        <is>
          <t>Alta 01/10/2026 desde Hoja2 (fila 456) | 01/10/2026: complementado desde Odoo Universal Unique Brands (match por código de barras): WB Talla, WB Talla de EE. UU., WB Género, Enlace de imagen | Homologación G1522 06/10/2026: Código de barras: «87327032693» → «087327032693» (Corrección aplicada) · Validación G1522: Falta estilo · Validador NetSuite / Odoo: V6: falta estilo · Validador Shopify: V6: falta estilo; WB: precio con IVA no termina en 9</t>
        </is>
      </c>
      <c r="AI51" s="156" t="n"/>
      <c r="AJ51" s="156" t="n"/>
      <c r="AK51" s="155" t="inlineStr">
        <is>
          <t>Hoja2: fila 456 | Odoo: producto 27672 / plantilla 34408</t>
        </is>
      </c>
      <c r="AL51" s="58" t="n"/>
      <c r="AM51" s="58" t="n"/>
      <c r="AN51" s="155" t="inlineStr">
        <is>
          <t>Odoo Universal Unique Brands</t>
        </is>
      </c>
      <c r="AO51" s="59" t="n"/>
      <c r="AP51" s="59" t="n"/>
      <c r="AQ51" s="59" t="n">
        <v>3</v>
      </c>
      <c r="AR51" s="155" t="inlineStr">
        <is>
          <t>Odoo Universal Unique Brands › Bodega 25 › Bodega 25/General: 2 | Odoo Universal Unique Brands › Bodega 25 › Bodega 25/Output: 1</t>
        </is>
      </c>
    </row>
    <row r="52">
      <c r="A52" s="50" t="inlineStr">
        <is>
          <t>087327036127</t>
        </is>
      </c>
      <c r="B52" s="51" t="inlineStr">
        <is>
          <t>27707</t>
        </is>
      </c>
      <c r="C52" s="156" t="inlineStr">
        <is>
          <t>Tru Western</t>
        </is>
      </c>
      <c r="D52" s="156" t="n"/>
      <c r="E52" s="156" t="inlineStr">
        <is>
          <t>98846</t>
        </is>
      </c>
      <c r="F52" s="156" t="inlineStr">
        <is>
          <t>Talla única</t>
        </is>
      </c>
      <c r="G52" s="156" t="inlineStr">
        <is>
          <t>One Size</t>
        </is>
      </c>
      <c r="H52" s="156" t="inlineStr">
        <is>
          <t>Tru Western</t>
        </is>
      </c>
      <c r="I52" s="156" t="inlineStr">
        <is>
          <t>Tru Western - Purse Spray - 24pc Set PDQ</t>
        </is>
      </c>
      <c r="J52" s="156" t="inlineStr">
        <is>
          <t>Accesorios</t>
        </is>
      </c>
      <c r="K52" s="156" t="inlineStr">
        <is>
          <t>Fragancias</t>
        </is>
      </c>
      <c r="L52" s="156" t="inlineStr">
        <is>
          <t>Unisex</t>
        </is>
      </c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  <c r="V52" s="156" t="inlineStr">
        <is>
          <t>PZS</t>
        </is>
      </c>
      <c r="W52" s="51" t="inlineStr">
        <is>
          <t>53131620</t>
        </is>
      </c>
      <c r="X52" s="156" t="inlineStr">
        <is>
          <t>https://m-universal-unique-brands.odoo.com/web/image/product.product/27707/image_1920</t>
        </is>
      </c>
      <c r="Y52" s="54" t="n"/>
      <c r="Z52" s="54" t="n">
        <v>6669</v>
      </c>
      <c r="AA52" s="55">
        <f>IF(AND(A52="", B52="", E52=""), "", IF(AB52="", "Válido", IF((LEN(AB52)-LEN(SUBSTITUTE(AB52,"; ","")))/2+1&gt;(LEN(AB52)-LEN(SUBSTITUTE(AB52,"[Aviso]","")))/7, "Con Incidencias", "Válido")))</f>
        <v/>
      </c>
      <c r="AB52" s="56">
        <f>IF(AND(A52="", B52="", E52=""), "", TEXTJOIN("; ", TRUE, IF(OR(TRIM(A52&amp;"")="", ISNUMBER(SEARCH("FALTA", A52))), "UPC faltante/inválido", ""), IF(AND(A52&lt;&gt;"", IFERROR(_xlfn.XMATCH(A52,$A$2:$A$52,0,1)&lt;&gt;_xlfn.XMATCH(A52,$A$2:$A$52,0,-1),FALSE)), "Código de barras duplicado", ""), IF(AND(E52&lt;&gt;"", COUNTIF($E$2:$E$52, E52)&gt;1), "SKU duplicado", ""), IF(OR(J52="", J52=""), "[Aviso] División no capturada ()", IF(ISNA(MATCH(J52, Criterios!$A$123:$A$126, 0)), "División no válida", "")), IF(OR(K52="", K52=""), "[Aviso] Categoría no capturada ()", IF(ISNA(MATCH(K52, Criterios!$A$81:$A$120, 0)), "Categoría no válida", IF(AND(J52&lt;&gt;"", J52&lt;&gt;"", J52&lt;&gt;VLOOKUP(K52, Criterios!$A$81:$B$120, 2, FALSE)), "División no coincide con Categoría", ""))), IF(OR(L52="", L52=""), "[Aviso] Género no capturado ()", IF(ISNA(MATCH(L52, Criterios!$B$123:$B$127, 0)), "Género no válido", "")), IF(OR(N52="", N52=""), "[Aviso] Temporada no capturada ()", IF(ISNA(MATCH(N52, Criterios!$C$123:$C$128, 0)), "Temporada no válida", "")), IF(OR(O52="", O52=""), "[Aviso] Ciclo de vida no capturado ()", IF(ISNA(MATCH(O52, Criterios!$D$123:$D$124, 0)), "Ciclo de vida no válido", ""))))</f>
        <v/>
      </c>
      <c r="AC52" s="56" t="n"/>
      <c r="AD52" s="51" t="n"/>
      <c r="AE52" s="156" t="n"/>
      <c r="AF52" s="51" t="n"/>
      <c r="AG52" s="156" t="inlineStr">
        <is>
          <t>Nuevo – Carga Hoja2 01/10/2026</t>
        </is>
      </c>
      <c r="AH52" s="156" t="inlineStr">
        <is>
          <t>Alta 01/10/2026 desde Hoja2 (fila 457); Precio de compra en 0/vacío en origen | 01/10/2026: complementado desde Odoo Universal Unique Brands (match por código de barras): WB Talla, WB Talla de EE. UU., WB Género, Enlace de imagen | 01/10/2026: Odoo Universal Unique Brands trae Categoría «Bolsos» — se conservó el valor de Productos | Homologación G1522 06/10/2026: Código de barras: «87327036127» → «087327036127» (Corrección aplicada) · Validación G1522: Falta estilo · Validador NetSuite / Odoo: V6: falta estilo · Validador Shopify: V6: falta estilo; WB: precio con IVA no termina en 9</t>
        </is>
      </c>
      <c r="AI52" s="156" t="n"/>
      <c r="AJ52" s="156" t="n"/>
      <c r="AK52" s="155" t="inlineStr">
        <is>
          <t>Hoja2: fila 457 | Odoo: producto 27707 / plantilla 34443</t>
        </is>
      </c>
      <c r="AL52" s="58" t="n"/>
      <c r="AM52" s="58" t="n"/>
      <c r="AN52" s="155" t="inlineStr">
        <is>
          <t>Odoo Universal Unique Brands</t>
        </is>
      </c>
      <c r="AO52" s="59" t="n"/>
      <c r="AP52" s="59" t="n"/>
      <c r="AQ52" s="59" t="n">
        <v>-1</v>
      </c>
      <c r="AR52" s="155" t="n"/>
    </row>
  </sheetData>
  <autoFilter ref="A1:AR52"/>
  <conditionalFormatting sqref="AA2:AA52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52">
    <cfRule type="expression" priority="3" dxfId="18" stopIfTrue="1">
      <formula>AND(AB2&lt;&gt;"", AA2="Con Incidencias")</formula>
    </cfRule>
  </conditionalFormatting>
  <dataValidations count="11">
    <dataValidation sqref="O2:O52" showDropDown="0" showInputMessage="0" showErrorMessage="0" allowBlank="1" type="list">
      <formula1>"Seasonal,Core,No Aplica"</formula1>
    </dataValidation>
    <dataValidation sqref="C2:C52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52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52" showDropDown="0" showInputMessage="0" showErrorMessage="0" allowBlank="1" type="list">
      <formula1>"Rojo,Azul,Amarillo,Verde,Naranja,Morado,Rosa,Negro,Blanco,Gris,Beige,Cafe,Varios,No Aplica"</formula1>
    </dataValidation>
    <dataValidation sqref="R2:R52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52" showDropDown="0" showInputMessage="0" showErrorMessage="1" allowBlank="1" type="list">
      <formula1>Criterios!$A$81:$A$120</formula1>
    </dataValidation>
    <dataValidation sqref="N2:N52" showDropDown="0" showInputMessage="0" showErrorMessage="0" allowBlank="1" type="list">
      <formula1>"SS26,FW26,SS27,FW27,SS28,FW28,No Aplica"</formula1>
    </dataValidation>
    <dataValidation sqref="Q2:Q52" showDropDown="0" showInputMessage="0" showErrorMessage="0" allowBlank="1" type="list">
      <formula1>"Regular,Relajado,Slim,Clásico,Moderno,Recto,Bootcut"</formula1>
    </dataValidation>
    <dataValidation sqref="J2:J52" showDropDown="0" showInputMessage="0" showErrorMessage="0" allowBlank="1" type="list">
      <formula1>"Accesorios,Ropa,Denim,Calzado,No Aplica"</formula1>
    </dataValidation>
    <dataValidation sqref="L2:L52" showDropDown="0" showInputMessage="0" showErrorMessage="0" allowBlank="1" type="list">
      <formula1>"Hombre,Mujer,Niño,Niña,Unisex,No Aplica"</formula1>
    </dataValidation>
    <dataValidation sqref="V2:V52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52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51, 16)"),"052356088867")</f>
        <v/>
      </c>
      <c r="Q2">
        <f>IFERROR(__xludf.DUMMYFUNCTION("MAP(FILTER(A2:A52, (B2:B52&lt;&gt;"""")+(D2:D52&lt;&gt;"""")), FILTER(B2:B52, (B2:B52&lt;&gt;"""")+(D2:D52&lt;&gt;"""")),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IFERROR(__xludf.DUMMYFUNCTION("MAP(FILTER(A2:A52, (B2:B52&lt;&gt;"""")+(D2:D52&lt;&gt;"""")), FILTER(B2:B52, (B2:B52&lt;&gt;"""")+(D2:D52&lt;&gt;"""")), FILTER(Q2:Q52, (B2:B52&lt;&gt;"""")+(D2:D52&lt;&gt;"""")),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5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  <row r="2">
      <c r="A2" s="51" t="n">
        <v>1</v>
      </c>
      <c r="B2" s="156" t="inlineStr">
        <is>
          <t>Productos — registro conservado</t>
        </is>
      </c>
      <c r="C2" s="125" t="inlineStr">
        <is>
          <t>Homologación G1522: mismo producto (mismo código de barras)</t>
        </is>
      </c>
      <c r="D2" s="60" t="inlineStr">
        <is>
          <t>087327002917</t>
        </is>
      </c>
      <c r="E2" s="59" t="inlineStr">
        <is>
          <t>111718</t>
        </is>
      </c>
      <c r="F2" s="155" t="inlineStr">
        <is>
          <t>Multimarca</t>
        </is>
      </c>
      <c r="G2" s="155" t="inlineStr">
        <is>
          <t>90092</t>
        </is>
      </c>
      <c r="H2" s="155" t="inlineStr">
        <is>
          <t>90092-3.4oz/100mL</t>
        </is>
      </c>
      <c r="I2" s="155" t="inlineStr">
        <is>
          <t>100 ml</t>
        </is>
      </c>
      <c r="J2" s="155" t="inlineStr">
        <is>
          <t>3.4 / 3.5 fl oz</t>
        </is>
      </c>
      <c r="K2" s="155" t="inlineStr">
        <is>
          <t>Tru Western</t>
        </is>
      </c>
      <c r="L2" s="155" t="inlineStr">
        <is>
          <t>Perfume Cowboy</t>
        </is>
      </c>
      <c r="M2" s="155" t="inlineStr">
        <is>
          <t>Accesorios</t>
        </is>
      </c>
      <c r="N2" s="155" t="inlineStr">
        <is>
          <t>Fragancias</t>
        </is>
      </c>
      <c r="O2" s="155" t="inlineStr">
        <is>
          <t>Unisex</t>
        </is>
      </c>
      <c r="P2" s="155" t="inlineStr">
        <is>
          <t>Tru Western</t>
        </is>
      </c>
      <c r="Q2" s="155" t="inlineStr">
        <is>
          <t>SS26</t>
        </is>
      </c>
      <c r="R2" s="155" t="inlineStr">
        <is>
          <t>Seasonal</t>
        </is>
      </c>
      <c r="S2" s="155" t="n"/>
      <c r="T2" s="155" t="n"/>
      <c r="U2" s="155" t="n"/>
      <c r="V2" s="155" t="n"/>
      <c r="W2" s="155" t="inlineStr">
        <is>
          <t>Perfume Cowboy. Fragancia de la marca Tru Western. Estilo 90092.</t>
        </is>
      </c>
      <c r="X2" s="155" t="inlineStr">
        <is>
          <t>Estados Unidos</t>
        </is>
      </c>
      <c r="Y2" s="155" t="inlineStr">
        <is>
          <t>PZS</t>
        </is>
      </c>
      <c r="Z2" s="59" t="inlineStr">
        <is>
          <t>53131620</t>
        </is>
      </c>
      <c r="AA2" s="126" t="inlineStr">
        <is>
          <t>https://m-universal-unique-brands.odoo.com/web/image/product.product/27673/image_1920</t>
        </is>
      </c>
      <c r="AB2" s="61" t="n">
        <v>266.875</v>
      </c>
      <c r="AC2" s="61" t="n">
        <v>904.3103448000001</v>
      </c>
      <c r="AD2" s="62" t="inlineStr">
        <is>
          <t>Válido</t>
        </is>
      </c>
      <c r="AE2" s="64" t="n"/>
      <c r="AF2" s="64" t="n"/>
      <c r="AG2" s="59" t="n">
        <v>4</v>
      </c>
      <c r="AH2" s="155" t="inlineStr">
        <is>
          <t>WB OUTLET LERMA: 4</t>
        </is>
      </c>
      <c r="AI2" s="59" t="n">
        <v>4</v>
      </c>
      <c r="AJ2" s="155" t="inlineStr">
        <is>
          <t>Nuevo – NetSuite con existencia</t>
        </is>
      </c>
      <c r="AK2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2" s="155" t="inlineStr">
        <is>
          <t>No</t>
        </is>
      </c>
      <c r="AM2" s="155" t="n"/>
      <c r="AN2" s="155" t="inlineStr">
        <is>
          <t>ProductosCatalogoEstandar907.xlsx: fila 50854 [N,O,U,Y] | Catálogo y Criterios: F [G]; G1522_Extraccion_Articulos_NetSuite_2026-09-30.xlsx: fila 59366 [H,V,Y] | Shopify WB: producto 8576547225785 / variante 47777663746233</t>
        </is>
      </c>
      <c r="AO2" s="58" t="n">
        <v>366.245</v>
      </c>
      <c r="AP2" s="58" t="n">
        <v>1048.99999997</v>
      </c>
      <c r="AQ2" s="155" t="inlineStr">
        <is>
          <t>Shopify Western Brothers</t>
        </is>
      </c>
      <c r="AR2" s="59" t="n"/>
      <c r="AS2" s="59" t="n">
        <v>4</v>
      </c>
      <c r="AT2" s="59" t="n"/>
      <c r="AU2" s="155" t="inlineStr">
        <is>
          <t>Shopify Western Brothers › Western Brothers Outlet Lerma: 4</t>
        </is>
      </c>
    </row>
    <row r="3">
      <c r="A3" s="51" t="n">
        <v>1</v>
      </c>
      <c r="B3" s="156" t="inlineStr">
        <is>
          <t>Productos — registro integrado en el anterior</t>
        </is>
      </c>
      <c r="C3" s="125" t="inlineStr">
        <is>
          <t>Homologación G1522: mismo producto (mismo código de barras)</t>
        </is>
      </c>
      <c r="D3" s="60" t="inlineStr">
        <is>
          <t>087327002917</t>
        </is>
      </c>
      <c r="E3" s="59" t="inlineStr">
        <is>
          <t>27673</t>
        </is>
      </c>
      <c r="F3" s="155" t="inlineStr">
        <is>
          <t>Tru Western</t>
        </is>
      </c>
      <c r="G3" s="155" t="inlineStr">
        <is>
          <t>90092</t>
        </is>
      </c>
      <c r="H3" s="155" t="inlineStr">
        <is>
          <t>90092</t>
        </is>
      </c>
      <c r="I3" s="155" t="inlineStr">
        <is>
          <t>100 ml</t>
        </is>
      </c>
      <c r="J3" s="155" t="inlineStr">
        <is>
          <t>3.4 / 3.5 fl oz</t>
        </is>
      </c>
      <c r="K3" s="155" t="inlineStr">
        <is>
          <t>Tru Western</t>
        </is>
      </c>
      <c r="L3" s="155" t="inlineStr">
        <is>
          <t>Tru Western - EDC - 100mL - Cowboy</t>
        </is>
      </c>
      <c r="M3" s="155" t="inlineStr">
        <is>
          <t>Accesorios</t>
        </is>
      </c>
      <c r="N3" s="155" t="inlineStr">
        <is>
          <t>Fragancias</t>
        </is>
      </c>
      <c r="O3" s="155" t="inlineStr">
        <is>
          <t>Unisex</t>
        </is>
      </c>
      <c r="P3" s="155" t="inlineStr">
        <is>
          <t>Tru Western</t>
        </is>
      </c>
      <c r="Q3" s="155" t="inlineStr">
        <is>
          <t>SS26</t>
        </is>
      </c>
      <c r="R3" s="155" t="inlineStr">
        <is>
          <t>Seasonal</t>
        </is>
      </c>
      <c r="S3" s="155" t="n"/>
      <c r="T3" s="155" t="n"/>
      <c r="U3" s="155" t="n"/>
      <c r="V3" s="155" t="n"/>
      <c r="W3" s="155" t="n"/>
      <c r="X3" s="155" t="n"/>
      <c r="Y3" s="155" t="inlineStr">
        <is>
          <t>PZS</t>
        </is>
      </c>
      <c r="Z3" s="59" t="inlineStr">
        <is>
          <t>53131620</t>
        </is>
      </c>
      <c r="AA3" s="126" t="inlineStr">
        <is>
          <t>https://m-universal-unique-brands.odoo.com/web/image/product.product/27673/image_1920</t>
        </is>
      </c>
      <c r="AB3" s="61" t="n">
        <v>45</v>
      </c>
      <c r="AC3" s="61" t="n">
        <v>499</v>
      </c>
      <c r="AD3" s="62" t="inlineStr">
        <is>
          <t>Válido</t>
        </is>
      </c>
      <c r="AE3" s="64" t="n"/>
      <c r="AF3" s="64" t="n"/>
      <c r="AG3" s="59" t="n"/>
      <c r="AH3" s="155" t="n"/>
      <c r="AI3" s="59" t="n"/>
      <c r="AJ3" s="155" t="inlineStr">
        <is>
          <t>Nuevo – Carga Hoja2 01/10/2026</t>
        </is>
      </c>
      <c r="AK3" s="155" t="inlineStr">
        <is>
          <t>Alta 01/10/2026 desde Hoja2 (fila 409) | 01/10/2026: complementado desde Odoo Universal Unique Brands (match por código de barras): WB N.º de estilo, WB Talla, WB Talla de EE. UU., WB Género, WB Licencia, WB Temporada, WB Ciclo de vida, Enlace de imagen</t>
        </is>
      </c>
      <c r="AL3" s="155" t="n"/>
      <c r="AM3" s="155" t="n"/>
      <c r="AN3" s="155" t="inlineStr">
        <is>
          <t>Hoja2: fila 409 | Odoo: producto 27673 / plantilla 34409</t>
        </is>
      </c>
      <c r="AO3" s="58" t="n"/>
      <c r="AP3" s="58" t="n"/>
      <c r="AQ3" s="155" t="inlineStr">
        <is>
          <t>Odoo Universal Unique Brands</t>
        </is>
      </c>
      <c r="AR3" s="59" t="n"/>
      <c r="AS3" s="59" t="n"/>
      <c r="AT3" s="59" t="n">
        <v>8</v>
      </c>
      <c r="AU3" s="155" t="inlineStr">
        <is>
          <t>Odoo Universal Unique Brands › Bodega 25 › Bodega 25/Output: 12</t>
        </is>
      </c>
    </row>
    <row r="4">
      <c r="A4" s="51" t="n">
        <v>2</v>
      </c>
      <c r="B4" s="156" t="inlineStr">
        <is>
          <t>Productos — registro conservado</t>
        </is>
      </c>
      <c r="C4" s="125" t="inlineStr">
        <is>
          <t>Homologación G1522: mismo producto (mismo código de barras)</t>
        </is>
      </c>
      <c r="D4" s="60" t="inlineStr">
        <is>
          <t>087327031269</t>
        </is>
      </c>
      <c r="E4" s="59" t="inlineStr">
        <is>
          <t>111726</t>
        </is>
      </c>
      <c r="F4" s="155" t="inlineStr">
        <is>
          <t>Multimarca</t>
        </is>
      </c>
      <c r="G4" s="155" t="inlineStr">
        <is>
          <t>90543</t>
        </is>
      </c>
      <c r="H4" s="155" t="inlineStr">
        <is>
          <t>90543-3.4oz/100mL</t>
        </is>
      </c>
      <c r="I4" s="155" t="inlineStr">
        <is>
          <t>100 ml</t>
        </is>
      </c>
      <c r="J4" s="155" t="inlineStr">
        <is>
          <t>3.4 / 3.5 fl oz</t>
        </is>
      </c>
      <c r="K4" s="155" t="inlineStr">
        <is>
          <t>Tru Western</t>
        </is>
      </c>
      <c r="L4" s="155" t="inlineStr">
        <is>
          <t>Perfume Vaquero</t>
        </is>
      </c>
      <c r="M4" s="155" t="inlineStr">
        <is>
          <t>Accesorios</t>
        </is>
      </c>
      <c r="N4" s="155" t="inlineStr">
        <is>
          <t>Fragancias</t>
        </is>
      </c>
      <c r="O4" s="155" t="inlineStr">
        <is>
          <t>Unisex</t>
        </is>
      </c>
      <c r="P4" s="155" t="inlineStr">
        <is>
          <t>Tru Western</t>
        </is>
      </c>
      <c r="Q4" s="155" t="inlineStr">
        <is>
          <t>SS26</t>
        </is>
      </c>
      <c r="R4" s="155" t="inlineStr">
        <is>
          <t>Seasonal</t>
        </is>
      </c>
      <c r="S4" s="155" t="n"/>
      <c r="T4" s="155" t="n"/>
      <c r="U4" s="155" t="n"/>
      <c r="V4" s="155" t="n"/>
      <c r="W4" s="155" t="inlineStr">
        <is>
          <t>Perfume Vaquero. Fragancia de la marca Tru Western. Estilo 90543.</t>
        </is>
      </c>
      <c r="X4" s="155" t="inlineStr">
        <is>
          <t>Estados Unidos</t>
        </is>
      </c>
      <c r="Y4" s="155" t="inlineStr">
        <is>
          <t>PZS</t>
        </is>
      </c>
      <c r="Z4" s="59" t="inlineStr">
        <is>
          <t>53131620</t>
        </is>
      </c>
      <c r="AA4" s="126" t="inlineStr">
        <is>
          <t>https://m-universal-unique-brands.odoo.com/web/image/product.product/27687/image_1920</t>
        </is>
      </c>
      <c r="AB4" s="61" t="n">
        <v>266.875</v>
      </c>
      <c r="AC4" s="61" t="n">
        <v>904.3103448000001</v>
      </c>
      <c r="AD4" s="62" t="inlineStr">
        <is>
          <t>Válido</t>
        </is>
      </c>
      <c r="AE4" s="64" t="n"/>
      <c r="AF4" s="64" t="n"/>
      <c r="AG4" s="59" t="n">
        <v>4</v>
      </c>
      <c r="AH4" s="155" t="inlineStr">
        <is>
          <t>WB OUTLET LERMA: 4</t>
        </is>
      </c>
      <c r="AI4" s="59" t="n">
        <v>4</v>
      </c>
      <c r="AJ4" s="155" t="inlineStr">
        <is>
          <t>Nuevo – NetSuite con existencia</t>
        </is>
      </c>
      <c r="AK4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4" s="155" t="inlineStr">
        <is>
          <t>No</t>
        </is>
      </c>
      <c r="AM4" s="155" t="n"/>
      <c r="AN4" s="155" t="inlineStr">
        <is>
          <t>ProductosCatalogoEstandar907.xlsx: fila 50855 [N,O,U,Y] | Catálogo y Criterios: F [G]; G1522_Extraccion_Articulos_NetSuite_2026-09-30.xlsx: fila 59374 [H,V,Y] | Shopify WB: producto 8576547848377 / variante 47777667088569</t>
        </is>
      </c>
      <c r="AO4" s="58" t="n">
        <v>366.245</v>
      </c>
      <c r="AP4" s="58" t="n">
        <v>1048.99999997</v>
      </c>
      <c r="AQ4" s="155" t="inlineStr">
        <is>
          <t>Shopify Western Brothers</t>
        </is>
      </c>
      <c r="AR4" s="59" t="n"/>
      <c r="AS4" s="59" t="n">
        <v>4</v>
      </c>
      <c r="AT4" s="59" t="n"/>
      <c r="AU4" s="155" t="inlineStr">
        <is>
          <t>Shopify Western Brothers › Western Brothers Outlet Lerma: 4</t>
        </is>
      </c>
    </row>
    <row r="5">
      <c r="A5" s="51" t="n">
        <v>2</v>
      </c>
      <c r="B5" s="156" t="inlineStr">
        <is>
          <t>Productos — registro integrado en el anterior</t>
        </is>
      </c>
      <c r="C5" s="125" t="inlineStr">
        <is>
          <t>Homologación G1522: mismo producto (mismo código de barras)</t>
        </is>
      </c>
      <c r="D5" s="60" t="inlineStr">
        <is>
          <t>087327031269</t>
        </is>
      </c>
      <c r="E5" s="59" t="inlineStr">
        <is>
          <t>27687</t>
        </is>
      </c>
      <c r="F5" s="155" t="inlineStr">
        <is>
          <t>Tru Western</t>
        </is>
      </c>
      <c r="G5" s="155" t="inlineStr">
        <is>
          <t>90543</t>
        </is>
      </c>
      <c r="H5" s="155" t="inlineStr">
        <is>
          <t>97358</t>
        </is>
      </c>
      <c r="I5" s="155" t="inlineStr">
        <is>
          <t>100 ml</t>
        </is>
      </c>
      <c r="J5" s="155" t="inlineStr">
        <is>
          <t>3.4 / 3.5 fl oz</t>
        </is>
      </c>
      <c r="K5" s="155" t="inlineStr">
        <is>
          <t>Tru Western</t>
        </is>
      </c>
      <c r="L5" s="155" t="inlineStr">
        <is>
          <t>Tru Western - EDC - 100mL - Vaquero</t>
        </is>
      </c>
      <c r="M5" s="155" t="inlineStr">
        <is>
          <t>Accesorios</t>
        </is>
      </c>
      <c r="N5" s="155" t="inlineStr">
        <is>
          <t>Fragancias</t>
        </is>
      </c>
      <c r="O5" s="155" t="inlineStr">
        <is>
          <t>Unisex</t>
        </is>
      </c>
      <c r="P5" s="155" t="inlineStr">
        <is>
          <t>Tru Western</t>
        </is>
      </c>
      <c r="Q5" s="155" t="inlineStr">
        <is>
          <t>SS26</t>
        </is>
      </c>
      <c r="R5" s="155" t="inlineStr">
        <is>
          <t>Seasonal</t>
        </is>
      </c>
      <c r="S5" s="155" t="n"/>
      <c r="T5" s="155" t="n"/>
      <c r="U5" s="155" t="n"/>
      <c r="V5" s="155" t="n"/>
      <c r="W5" s="155" t="n"/>
      <c r="X5" s="155" t="n"/>
      <c r="Y5" s="155" t="inlineStr">
        <is>
          <t>PZS</t>
        </is>
      </c>
      <c r="Z5" s="59" t="inlineStr">
        <is>
          <t>53131620</t>
        </is>
      </c>
      <c r="AA5" s="126" t="inlineStr">
        <is>
          <t>https://m-universal-unique-brands.odoo.com/web/image/product.product/27687/image_1920</t>
        </is>
      </c>
      <c r="AB5" s="61" t="n"/>
      <c r="AC5" s="61" t="n">
        <v>499</v>
      </c>
      <c r="AD5" s="62" t="inlineStr">
        <is>
          <t>Válido</t>
        </is>
      </c>
      <c r="AE5" s="64" t="n"/>
      <c r="AF5" s="64" t="n"/>
      <c r="AG5" s="59" t="n"/>
      <c r="AH5" s="155" t="n"/>
      <c r="AI5" s="59" t="n"/>
      <c r="AJ5" s="155" t="inlineStr">
        <is>
          <t>Nuevo – Carga Hoja2 01/10/2026</t>
        </is>
      </c>
      <c r="AK5" s="155" t="inlineStr">
        <is>
          <t>Alta 01/10/2026 desde Hoja2 (fila 444); Precio de compra en 0/vacío en origen | 01/10/2026: complementado desde Odoo Universal Unique Brands (match por código de barras): WB N.º de estilo, WB Talla, WB Talla de EE. UU., WB Género, WB Licencia, WB Temporada, WB Ciclo de vida, Enlace de imagen</t>
        </is>
      </c>
      <c r="AL5" s="155" t="n"/>
      <c r="AM5" s="155" t="n"/>
      <c r="AN5" s="155" t="inlineStr">
        <is>
          <t>Hoja2: fila 444 | Odoo: producto 27687 / plantilla 34423</t>
        </is>
      </c>
      <c r="AO5" s="58" t="n"/>
      <c r="AP5" s="58" t="n"/>
      <c r="AQ5" s="155" t="inlineStr">
        <is>
          <t>Odoo Universal Unique Brands</t>
        </is>
      </c>
      <c r="AR5" s="59" t="n"/>
      <c r="AS5" s="59" t="n"/>
      <c r="AT5" s="59" t="n">
        <v>38</v>
      </c>
      <c r="AU5" s="155" t="inlineStr">
        <is>
          <t>Odoo Universal Unique Brands › Bodega 25 › Bodega 25/General: 14 | Odoo Universal Unique Brands › Bodega 25 › Bodega 25/Output: 24</t>
        </is>
      </c>
    </row>
    <row r="6">
      <c r="A6" s="51" t="n">
        <v>3</v>
      </c>
      <c r="B6" s="156" t="inlineStr">
        <is>
          <t>Productos — registro conservado</t>
        </is>
      </c>
      <c r="C6" s="125" t="inlineStr">
        <is>
          <t>Homologación G1522: mismo producto (mismo código de barras)</t>
        </is>
      </c>
      <c r="D6" s="60" t="inlineStr">
        <is>
          <t>087327002627</t>
        </is>
      </c>
      <c r="E6" s="59" t="inlineStr">
        <is>
          <t>111728</t>
        </is>
      </c>
      <c r="F6" s="155" t="inlineStr">
        <is>
          <t>Multimarca</t>
        </is>
      </c>
      <c r="G6" s="155" t="inlineStr">
        <is>
          <t>91571</t>
        </is>
      </c>
      <c r="H6" s="155" t="inlineStr">
        <is>
          <t>91571-1.7oz/50mL</t>
        </is>
      </c>
      <c r="I6" s="155" t="inlineStr">
        <is>
          <t>50 ml</t>
        </is>
      </c>
      <c r="J6" s="155" t="inlineStr">
        <is>
          <t>1.7 fl oz</t>
        </is>
      </c>
      <c r="K6" s="155" t="inlineStr">
        <is>
          <t>Tru Western</t>
        </is>
      </c>
      <c r="L6" s="155" t="inlineStr">
        <is>
          <t>Perfume Lace</t>
        </is>
      </c>
      <c r="M6" s="155" t="inlineStr">
        <is>
          <t>Accesorios</t>
        </is>
      </c>
      <c r="N6" s="155" t="inlineStr">
        <is>
          <t>Fragancias</t>
        </is>
      </c>
      <c r="O6" s="155" t="inlineStr">
        <is>
          <t>Unisex</t>
        </is>
      </c>
      <c r="P6" s="155" t="inlineStr">
        <is>
          <t>Tru Western</t>
        </is>
      </c>
      <c r="Q6" s="155" t="inlineStr">
        <is>
          <t>SS26</t>
        </is>
      </c>
      <c r="R6" s="155" t="inlineStr">
        <is>
          <t>Seasonal</t>
        </is>
      </c>
      <c r="S6" s="155" t="n"/>
      <c r="T6" s="155" t="n"/>
      <c r="U6" s="155" t="n"/>
      <c r="V6" s="155" t="n"/>
      <c r="W6" s="155" t="inlineStr">
        <is>
          <t>Perfume Lace. Fragancia de la marca Tru Western. Estilo 91571.</t>
        </is>
      </c>
      <c r="X6" s="155" t="inlineStr">
        <is>
          <t>Estados Unidos</t>
        </is>
      </c>
      <c r="Y6" s="155" t="inlineStr">
        <is>
          <t>PZS</t>
        </is>
      </c>
      <c r="Z6" s="59" t="inlineStr">
        <is>
          <t>53131620</t>
        </is>
      </c>
      <c r="AA6" s="126" t="inlineStr">
        <is>
          <t>https://m-universal-unique-brands.odoo.com/web/image/product.product/27700/image_1920</t>
        </is>
      </c>
      <c r="AB6" s="61" t="n">
        <v>271.6</v>
      </c>
      <c r="AC6" s="61" t="n">
        <v>947.4137931</v>
      </c>
      <c r="AD6" s="62" t="inlineStr">
        <is>
          <t>Válido</t>
        </is>
      </c>
      <c r="AE6" s="64" t="n"/>
      <c r="AF6" s="64" t="n"/>
      <c r="AG6" s="59" t="n">
        <v>0</v>
      </c>
      <c r="AH6" s="155" t="n"/>
      <c r="AI6" s="59" t="n">
        <v>0</v>
      </c>
      <c r="AJ6" s="155" t="inlineStr">
        <is>
          <t>Nuevo – NetSuite sin existencia</t>
        </is>
      </c>
      <c r="AK6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6" s="155" t="inlineStr">
        <is>
          <t>No</t>
        </is>
      </c>
      <c r="AM6" s="155" t="n"/>
      <c r="AN6" s="155" t="inlineStr">
        <is>
          <t>ProductosCatalogoEstandar907.xlsx: fila 50856 [N,O,U,Y] | Catálogo y Criterios: F [G]; G1522_Extraccion_Articulos_NetSuite_2026-09-30.xlsx: fila 59376 [H,V,Y] | Shopify WB: producto 8576547913913 / variante 47777667154105</t>
        </is>
      </c>
      <c r="AO6" s="58" t="n"/>
      <c r="AP6" s="58" t="n">
        <v>1099</v>
      </c>
      <c r="AQ6" s="155" t="inlineStr">
        <is>
          <t>Shopify Western Brothers</t>
        </is>
      </c>
      <c r="AR6" s="59" t="n"/>
      <c r="AS6" s="59" t="n">
        <v>0</v>
      </c>
      <c r="AT6" s="59" t="n"/>
      <c r="AU6" s="155" t="n"/>
    </row>
    <row r="7">
      <c r="A7" s="51" t="n">
        <v>3</v>
      </c>
      <c r="B7" s="156" t="inlineStr">
        <is>
          <t>Productos — registro integrado en el anterior</t>
        </is>
      </c>
      <c r="C7" s="125" t="inlineStr">
        <is>
          <t>Homologación G1522: mismo producto (mismo código de barras)</t>
        </is>
      </c>
      <c r="D7" s="60" t="inlineStr">
        <is>
          <t>087327002627</t>
        </is>
      </c>
      <c r="E7" s="59" t="inlineStr">
        <is>
          <t>27700</t>
        </is>
      </c>
      <c r="F7" s="155" t="inlineStr">
        <is>
          <t>Tru Western</t>
        </is>
      </c>
      <c r="G7" s="155" t="inlineStr">
        <is>
          <t>91571</t>
        </is>
      </c>
      <c r="H7" s="155" t="inlineStr">
        <is>
          <t>91571</t>
        </is>
      </c>
      <c r="I7" s="155" t="inlineStr">
        <is>
          <t>50 ml</t>
        </is>
      </c>
      <c r="J7" s="155" t="inlineStr">
        <is>
          <t>1.7 fl oz</t>
        </is>
      </c>
      <c r="K7" s="155" t="inlineStr">
        <is>
          <t>Tru Western</t>
        </is>
      </c>
      <c r="L7" s="155" t="inlineStr">
        <is>
          <t>Tru Western - EDP - 50mL - Lace</t>
        </is>
      </c>
      <c r="M7" s="155" t="inlineStr">
        <is>
          <t>Accesorios</t>
        </is>
      </c>
      <c r="N7" s="155" t="inlineStr">
        <is>
          <t>Fragancias</t>
        </is>
      </c>
      <c r="O7" s="155" t="inlineStr">
        <is>
          <t>Unisex</t>
        </is>
      </c>
      <c r="P7" s="155" t="inlineStr">
        <is>
          <t>Tru Western</t>
        </is>
      </c>
      <c r="Q7" s="155" t="inlineStr">
        <is>
          <t>SS26</t>
        </is>
      </c>
      <c r="R7" s="155" t="inlineStr">
        <is>
          <t>Seasonal</t>
        </is>
      </c>
      <c r="S7" s="155" t="n"/>
      <c r="T7" s="155" t="n"/>
      <c r="U7" s="155" t="n"/>
      <c r="V7" s="155" t="n"/>
      <c r="W7" s="155" t="n"/>
      <c r="X7" s="155" t="n"/>
      <c r="Y7" s="155" t="inlineStr">
        <is>
          <t>PZS</t>
        </is>
      </c>
      <c r="Z7" s="59" t="inlineStr">
        <is>
          <t>53131620</t>
        </is>
      </c>
      <c r="AA7" s="126" t="inlineStr">
        <is>
          <t>https://m-universal-unique-brands.odoo.com/web/image/product.product/27700/image_1920</t>
        </is>
      </c>
      <c r="AB7" s="61" t="n">
        <v>45</v>
      </c>
      <c r="AC7" s="61" t="n">
        <v>509</v>
      </c>
      <c r="AD7" s="62" t="inlineStr">
        <is>
          <t>Válido</t>
        </is>
      </c>
      <c r="AE7" s="64" t="n"/>
      <c r="AF7" s="64" t="n"/>
      <c r="AG7" s="59" t="n"/>
      <c r="AH7" s="155" t="n"/>
      <c r="AI7" s="59" t="n"/>
      <c r="AJ7" s="155" t="inlineStr">
        <is>
          <t>Nuevo – Carga Hoja2 01/10/2026</t>
        </is>
      </c>
      <c r="AK7" s="155" t="inlineStr">
        <is>
          <t>Alta 01/10/2026 desde Hoja2 (fila 411) | 01/10/2026: complementado desde Odoo Universal Unique Brands (match por código de barras): WB N.º de estilo, WB Talla, WB Talla de EE. UU., WB Género, WB Licencia, WB Temporada, WB Ciclo de vida, Enlace de imagen</t>
        </is>
      </c>
      <c r="AL7" s="155" t="n"/>
      <c r="AM7" s="155" t="n"/>
      <c r="AN7" s="155" t="inlineStr">
        <is>
          <t>Hoja2: fila 411 | Odoo: producto 27700 / plantilla 34436</t>
        </is>
      </c>
      <c r="AO7" s="58" t="n"/>
      <c r="AP7" s="58" t="n"/>
      <c r="AQ7" s="155" t="inlineStr">
        <is>
          <t>Odoo Universal Unique Brands</t>
        </is>
      </c>
      <c r="AR7" s="59" t="n"/>
      <c r="AS7" s="59" t="n"/>
      <c r="AT7" s="59" t="n">
        <v>17</v>
      </c>
      <c r="AU7" s="155" t="inlineStr">
        <is>
          <t>Odoo Universal Unique Brands › Bodega 25 › Bodega 25/General: 5 | Odoo Universal Unique Brands › Bodega 25 › Bodega 25/Output: 12</t>
        </is>
      </c>
    </row>
    <row r="8">
      <c r="A8" s="51" t="n">
        <v>4</v>
      </c>
      <c r="B8" s="156" t="inlineStr">
        <is>
          <t>Productos — registro conservado</t>
        </is>
      </c>
      <c r="C8" s="125" t="inlineStr">
        <is>
          <t>Homologación G1522: mismo producto (mismo código de barras)</t>
        </is>
      </c>
      <c r="D8" s="60" t="inlineStr">
        <is>
          <t>087327003044</t>
        </is>
      </c>
      <c r="E8" s="59" t="inlineStr">
        <is>
          <t>111727</t>
        </is>
      </c>
      <c r="F8" s="155" t="inlineStr">
        <is>
          <t>Multimarca</t>
        </is>
      </c>
      <c r="G8" s="155" t="inlineStr">
        <is>
          <t>91717</t>
        </is>
      </c>
      <c r="H8" s="155" t="inlineStr">
        <is>
          <t>91717-3.4oz/100mL</t>
        </is>
      </c>
      <c r="I8" s="155" t="inlineStr">
        <is>
          <t>100 ml</t>
        </is>
      </c>
      <c r="J8" s="155" t="inlineStr">
        <is>
          <t>3.4 / 3.5 fl oz</t>
        </is>
      </c>
      <c r="K8" s="155" t="inlineStr">
        <is>
          <t>Tru Western</t>
        </is>
      </c>
      <c r="L8" s="155" t="inlineStr">
        <is>
          <t>Perfume Outlaw</t>
        </is>
      </c>
      <c r="M8" s="155" t="inlineStr">
        <is>
          <t>Accesorios</t>
        </is>
      </c>
      <c r="N8" s="155" t="inlineStr">
        <is>
          <t>Fragancias</t>
        </is>
      </c>
      <c r="O8" s="155" t="inlineStr">
        <is>
          <t>Unisex</t>
        </is>
      </c>
      <c r="P8" s="155" t="inlineStr">
        <is>
          <t>Tru Western</t>
        </is>
      </c>
      <c r="Q8" s="155" t="inlineStr">
        <is>
          <t>SS26</t>
        </is>
      </c>
      <c r="R8" s="155" t="inlineStr">
        <is>
          <t>Seasonal</t>
        </is>
      </c>
      <c r="S8" s="155" t="n"/>
      <c r="T8" s="155" t="n"/>
      <c r="U8" s="155" t="n"/>
      <c r="V8" s="155" t="n"/>
      <c r="W8" s="155" t="inlineStr">
        <is>
          <t>Perfume Outlaw. Fragancia de la marca Tru Western. Estilo 91717.</t>
        </is>
      </c>
      <c r="X8" s="155" t="inlineStr">
        <is>
          <t>Estados Unidos</t>
        </is>
      </c>
      <c r="Y8" s="155" t="inlineStr">
        <is>
          <t>PZS</t>
        </is>
      </c>
      <c r="Z8" s="59" t="inlineStr">
        <is>
          <t>53131620</t>
        </is>
      </c>
      <c r="AA8" s="126" t="inlineStr">
        <is>
          <t>https://m-universal-unique-brands.odoo.com/web/image/product.product/27689/image_1920</t>
        </is>
      </c>
      <c r="AB8" s="61" t="n">
        <v>266.875</v>
      </c>
      <c r="AC8" s="61" t="n">
        <v>904.3103448000001</v>
      </c>
      <c r="AD8" s="62" t="inlineStr">
        <is>
          <t>Válido</t>
        </is>
      </c>
      <c r="AE8" s="64" t="n"/>
      <c r="AF8" s="64" t="n"/>
      <c r="AG8" s="59" t="n">
        <v>0</v>
      </c>
      <c r="AH8" s="155" t="n"/>
      <c r="AI8" s="59" t="n">
        <v>0</v>
      </c>
      <c r="AJ8" s="155" t="inlineStr">
        <is>
          <t>Nuevo – NetSuite sin existencia</t>
        </is>
      </c>
      <c r="AK8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8" s="155" t="inlineStr">
        <is>
          <t>No</t>
        </is>
      </c>
      <c r="AM8" s="155" t="n"/>
      <c r="AN8" s="155" t="inlineStr">
        <is>
          <t>ProductosCatalogoEstandar907.xlsx: fila 50857 [N,O,U,Y] | Catálogo y Criterios: F [G]; G1522_Extraccion_Articulos_NetSuite_2026-09-30.xlsx: fila 59375 [H,V,Y] | Shopify WB: producto 8576547881145 / variante 47777667121337</t>
        </is>
      </c>
      <c r="AO8" s="58" t="n"/>
      <c r="AP8" s="58" t="n">
        <v>1048.99999997</v>
      </c>
      <c r="AQ8" s="155" t="inlineStr">
        <is>
          <t>Shopify Western Brothers</t>
        </is>
      </c>
      <c r="AR8" s="59" t="n"/>
      <c r="AS8" s="59" t="n">
        <v>0</v>
      </c>
      <c r="AT8" s="59" t="n"/>
      <c r="AU8" s="155" t="n"/>
    </row>
    <row r="9">
      <c r="A9" s="51" t="n">
        <v>4</v>
      </c>
      <c r="B9" s="156" t="inlineStr">
        <is>
          <t>Productos — registro integrado en el anterior</t>
        </is>
      </c>
      <c r="C9" s="125" t="inlineStr">
        <is>
          <t>Homologación G1522: mismo producto (mismo código de barras)</t>
        </is>
      </c>
      <c r="D9" s="60" t="inlineStr">
        <is>
          <t>087327003044</t>
        </is>
      </c>
      <c r="E9" s="59" t="inlineStr">
        <is>
          <t>27689</t>
        </is>
      </c>
      <c r="F9" s="155" t="inlineStr">
        <is>
          <t>Tru Western</t>
        </is>
      </c>
      <c r="G9" s="155" t="inlineStr">
        <is>
          <t>91717</t>
        </is>
      </c>
      <c r="H9" s="155" t="inlineStr">
        <is>
          <t>91717</t>
        </is>
      </c>
      <c r="I9" s="155" t="inlineStr">
        <is>
          <t>100 ml</t>
        </is>
      </c>
      <c r="J9" s="155" t="inlineStr">
        <is>
          <t>3.4 / 3.5 fl oz</t>
        </is>
      </c>
      <c r="K9" s="155" t="inlineStr">
        <is>
          <t>Tru Western</t>
        </is>
      </c>
      <c r="L9" s="155" t="inlineStr">
        <is>
          <t>Tru Western - EDC - 100mL - Outlaw</t>
        </is>
      </c>
      <c r="M9" s="155" t="inlineStr">
        <is>
          <t>Accesorios</t>
        </is>
      </c>
      <c r="N9" s="155" t="inlineStr">
        <is>
          <t>Fragancias</t>
        </is>
      </c>
      <c r="O9" s="155" t="inlineStr">
        <is>
          <t>Unisex</t>
        </is>
      </c>
      <c r="P9" s="155" t="inlineStr">
        <is>
          <t>Tru Western</t>
        </is>
      </c>
      <c r="Q9" s="155" t="inlineStr">
        <is>
          <t>SS26</t>
        </is>
      </c>
      <c r="R9" s="155" t="inlineStr">
        <is>
          <t>Seasonal</t>
        </is>
      </c>
      <c r="S9" s="155" t="n"/>
      <c r="T9" s="155" t="n"/>
      <c r="U9" s="155" t="n"/>
      <c r="V9" s="155" t="n"/>
      <c r="W9" s="155" t="n"/>
      <c r="X9" s="155" t="n"/>
      <c r="Y9" s="155" t="inlineStr">
        <is>
          <t>PZS</t>
        </is>
      </c>
      <c r="Z9" s="59" t="inlineStr">
        <is>
          <t>53131620</t>
        </is>
      </c>
      <c r="AA9" s="126" t="inlineStr">
        <is>
          <t>https://m-universal-unique-brands.odoo.com/web/image/product.product/27689/image_1920</t>
        </is>
      </c>
      <c r="AB9" s="61" t="n">
        <v>45</v>
      </c>
      <c r="AC9" s="61" t="n">
        <v>499</v>
      </c>
      <c r="AD9" s="62" t="inlineStr">
        <is>
          <t>Válido</t>
        </is>
      </c>
      <c r="AE9" s="64" t="n"/>
      <c r="AF9" s="64" t="n"/>
      <c r="AG9" s="59" t="n"/>
      <c r="AH9" s="155" t="n"/>
      <c r="AI9" s="59" t="n"/>
      <c r="AJ9" s="155" t="inlineStr">
        <is>
          <t>Nuevo – Carga Hoja2 01/10/2026</t>
        </is>
      </c>
      <c r="AK9" s="155" t="inlineStr">
        <is>
          <t>Alta 01/10/2026 desde Hoja2 (fila 413) | 01/10/2026: complementado desde Odoo Universal Unique Brands (match por código de barras): WB N.º de estilo, WB Talla, WB Talla de EE. UU., WB Género, WB Licencia, WB Temporada, WB Ciclo de vida, Enlace de imagen</t>
        </is>
      </c>
      <c r="AL9" s="155" t="n"/>
      <c r="AM9" s="155" t="n"/>
      <c r="AN9" s="155" t="inlineStr">
        <is>
          <t>Hoja2: fila 413 | Odoo: producto 27689 / plantilla 34425</t>
        </is>
      </c>
      <c r="AO9" s="58" t="n"/>
      <c r="AP9" s="58" t="n"/>
      <c r="AQ9" s="155" t="inlineStr">
        <is>
          <t>Odoo Universal Unique Brands</t>
        </is>
      </c>
      <c r="AR9" s="59" t="n"/>
      <c r="AS9" s="59" t="n"/>
      <c r="AT9" s="59" t="n">
        <v>9</v>
      </c>
      <c r="AU9" s="155" t="inlineStr">
        <is>
          <t>Odoo Universal Unique Brands › Bodega 25 › Bodega 25/Output: 12</t>
        </is>
      </c>
    </row>
    <row r="10">
      <c r="A10" s="51" t="n">
        <v>5</v>
      </c>
      <c r="B10" s="156" t="inlineStr">
        <is>
          <t>Productos — registro conservado</t>
        </is>
      </c>
      <c r="C10" s="125" t="inlineStr">
        <is>
          <t>Homologación G1522: mismo producto (mismo código de barras)</t>
        </is>
      </c>
      <c r="D10" s="60" t="inlineStr">
        <is>
          <t>087327003525</t>
        </is>
      </c>
      <c r="E10" s="59" t="inlineStr">
        <is>
          <t>111729</t>
        </is>
      </c>
      <c r="F10" s="155" t="inlineStr">
        <is>
          <t>Multimarca</t>
        </is>
      </c>
      <c r="G10" s="155" t="inlineStr">
        <is>
          <t>92080</t>
        </is>
      </c>
      <c r="H10" s="155" t="inlineStr">
        <is>
          <t>92080-1.7oz/50mL</t>
        </is>
      </c>
      <c r="I10" s="155" t="inlineStr">
        <is>
          <t>50 ml</t>
        </is>
      </c>
      <c r="J10" s="155" t="inlineStr">
        <is>
          <t>1.7 fl oz</t>
        </is>
      </c>
      <c r="K10" s="155" t="inlineStr">
        <is>
          <t>Tru Western</t>
        </is>
      </c>
      <c r="L10" s="155" t="inlineStr">
        <is>
          <t>Perfume Lace Noir</t>
        </is>
      </c>
      <c r="M10" s="155" t="inlineStr">
        <is>
          <t>Accesorios</t>
        </is>
      </c>
      <c r="N10" s="155" t="inlineStr">
        <is>
          <t>Fragancias</t>
        </is>
      </c>
      <c r="O10" s="155" t="inlineStr">
        <is>
          <t>Unisex</t>
        </is>
      </c>
      <c r="P10" s="155" t="inlineStr">
        <is>
          <t>Tru Western</t>
        </is>
      </c>
      <c r="Q10" s="155" t="inlineStr">
        <is>
          <t>SS26</t>
        </is>
      </c>
      <c r="R10" s="155" t="inlineStr">
        <is>
          <t>Seasonal</t>
        </is>
      </c>
      <c r="S10" s="155" t="n"/>
      <c r="T10" s="155" t="n"/>
      <c r="U10" s="155" t="n"/>
      <c r="V10" s="155" t="n"/>
      <c r="W10" s="155" t="inlineStr">
        <is>
          <t>Perfume Lace Noir. Fragancia de la marca Tru Western. Estilo 92080.</t>
        </is>
      </c>
      <c r="X10" s="155" t="inlineStr">
        <is>
          <t>Estados Unidos</t>
        </is>
      </c>
      <c r="Y10" s="155" t="inlineStr">
        <is>
          <t>PZS</t>
        </is>
      </c>
      <c r="Z10" s="59" t="inlineStr">
        <is>
          <t>53131620</t>
        </is>
      </c>
      <c r="AA10" s="126" t="inlineStr">
        <is>
          <t>https://m-universal-unique-brands.odoo.com/web/image/product.product/27701/image_1920</t>
        </is>
      </c>
      <c r="AB10" s="61" t="n">
        <v>271.6</v>
      </c>
      <c r="AC10" s="61" t="n">
        <v>947.4137931</v>
      </c>
      <c r="AD10" s="62" t="inlineStr">
        <is>
          <t>Válido</t>
        </is>
      </c>
      <c r="AE10" s="64" t="n"/>
      <c r="AF10" s="64" t="n"/>
      <c r="AG10" s="59" t="n">
        <v>0</v>
      </c>
      <c r="AH10" s="155" t="n"/>
      <c r="AI10" s="59" t="n">
        <v>0</v>
      </c>
      <c r="AJ10" s="155" t="inlineStr">
        <is>
          <t>Nuevo – NetSuite sin existencia</t>
        </is>
      </c>
      <c r="AK10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10" s="155" t="inlineStr">
        <is>
          <t>No</t>
        </is>
      </c>
      <c r="AM10" s="155" t="n"/>
      <c r="AN10" s="155" t="inlineStr">
        <is>
          <t>ProductosCatalogoEstandar907.xlsx: fila 50858 [N,O,U,Y] | Catálogo y Criterios: F [G]; G1522_Extraccion_Articulos_NetSuite_2026-09-30.xlsx: fila 59377 [H,V,Y] | Shopify WB: producto 8576547946681 / variante 47777667186873</t>
        </is>
      </c>
      <c r="AO10" s="58" t="n"/>
      <c r="AP10" s="58" t="n">
        <v>1099</v>
      </c>
      <c r="AQ10" s="155" t="inlineStr">
        <is>
          <t>Shopify Western Brothers</t>
        </is>
      </c>
      <c r="AR10" s="59" t="n"/>
      <c r="AS10" s="59" t="n">
        <v>0</v>
      </c>
      <c r="AT10" s="59" t="n"/>
      <c r="AU10" s="155" t="n"/>
    </row>
    <row r="11">
      <c r="A11" s="51" t="n">
        <v>5</v>
      </c>
      <c r="B11" s="156" t="inlineStr">
        <is>
          <t>Productos — registro integrado en el anterior</t>
        </is>
      </c>
      <c r="C11" s="125" t="inlineStr">
        <is>
          <t>Homologación G1522: mismo producto (mismo código de barras)</t>
        </is>
      </c>
      <c r="D11" s="60" t="inlineStr">
        <is>
          <t>087327003525</t>
        </is>
      </c>
      <c r="E11" s="59" t="inlineStr">
        <is>
          <t>27701</t>
        </is>
      </c>
      <c r="F11" s="155" t="inlineStr">
        <is>
          <t>Tru Western</t>
        </is>
      </c>
      <c r="G11" s="155" t="inlineStr">
        <is>
          <t>92080</t>
        </is>
      </c>
      <c r="H11" s="155" t="inlineStr">
        <is>
          <t>92080</t>
        </is>
      </c>
      <c r="I11" s="155" t="inlineStr">
        <is>
          <t>50 ml</t>
        </is>
      </c>
      <c r="J11" s="155" t="inlineStr">
        <is>
          <t>1.7 fl oz</t>
        </is>
      </c>
      <c r="K11" s="155" t="inlineStr">
        <is>
          <t>Tru Western</t>
        </is>
      </c>
      <c r="L11" s="155" t="inlineStr">
        <is>
          <t>Tru Western - EDP - 50mL - Lace Noir</t>
        </is>
      </c>
      <c r="M11" s="155" t="inlineStr">
        <is>
          <t>Accesorios</t>
        </is>
      </c>
      <c r="N11" s="155" t="inlineStr">
        <is>
          <t>Fragancias</t>
        </is>
      </c>
      <c r="O11" s="155" t="inlineStr">
        <is>
          <t>Unisex</t>
        </is>
      </c>
      <c r="P11" s="155" t="inlineStr">
        <is>
          <t>Tru Western</t>
        </is>
      </c>
      <c r="Q11" s="155" t="inlineStr">
        <is>
          <t>SS26</t>
        </is>
      </c>
      <c r="R11" s="155" t="inlineStr">
        <is>
          <t>Seasonal</t>
        </is>
      </c>
      <c r="S11" s="155" t="n"/>
      <c r="T11" s="155" t="n"/>
      <c r="U11" s="155" t="n"/>
      <c r="V11" s="155" t="n"/>
      <c r="W11" s="155" t="n"/>
      <c r="X11" s="155" t="n"/>
      <c r="Y11" s="155" t="inlineStr">
        <is>
          <t>PZS</t>
        </is>
      </c>
      <c r="Z11" s="59" t="inlineStr">
        <is>
          <t>53131620</t>
        </is>
      </c>
      <c r="AA11" s="126" t="inlineStr">
        <is>
          <t>https://m-universal-unique-brands.odoo.com/web/image/product.product/27701/image_1920</t>
        </is>
      </c>
      <c r="AB11" s="61" t="n">
        <v>45</v>
      </c>
      <c r="AC11" s="61" t="n">
        <v>509</v>
      </c>
      <c r="AD11" s="62" t="inlineStr">
        <is>
          <t>Válido</t>
        </is>
      </c>
      <c r="AE11" s="64" t="n"/>
      <c r="AF11" s="64" t="n"/>
      <c r="AG11" s="59" t="n"/>
      <c r="AH11" s="155" t="n"/>
      <c r="AI11" s="59" t="n"/>
      <c r="AJ11" s="155" t="inlineStr">
        <is>
          <t>Nuevo – Carga Hoja2 01/10/2026</t>
        </is>
      </c>
      <c r="AK11" s="155" t="inlineStr">
        <is>
          <t>Alta 01/10/2026 desde Hoja2 (fila 415) | 01/10/2026: complementado desde Odoo Universal Unique Brands (match por código de barras): WB N.º de estilo, WB Talla, WB Talla de EE. UU., WB Género, WB Licencia, WB Temporada, WB Ciclo de vida, Enlace de imagen</t>
        </is>
      </c>
      <c r="AL11" s="155" t="n"/>
      <c r="AM11" s="155" t="n"/>
      <c r="AN11" s="155" t="inlineStr">
        <is>
          <t>Hoja2: fila 415 | Odoo: producto 27701 / plantilla 34437</t>
        </is>
      </c>
      <c r="AO11" s="58" t="n"/>
      <c r="AP11" s="58" t="n"/>
      <c r="AQ11" s="155" t="inlineStr">
        <is>
          <t>Odoo Universal Unique Brands</t>
        </is>
      </c>
      <c r="AR11" s="59" t="n"/>
      <c r="AS11" s="59" t="n"/>
      <c r="AT11" s="59" t="n">
        <v>18</v>
      </c>
      <c r="AU11" s="155" t="inlineStr">
        <is>
          <t>Odoo Universal Unique Brands › Bodega 25 › Bodega 25/General: 6 | Odoo Universal Unique Brands › Bodega 25 › Bodega 25/Output: 12</t>
        </is>
      </c>
    </row>
    <row r="12">
      <c r="A12" s="51" t="n">
        <v>6</v>
      </c>
      <c r="B12" s="156" t="inlineStr">
        <is>
          <t>Productos — registro conservado</t>
        </is>
      </c>
      <c r="C12" s="125" t="inlineStr">
        <is>
          <t>Homologación G1522: mismo producto (mismo código de barras)</t>
        </is>
      </c>
      <c r="D12" s="60" t="inlineStr">
        <is>
          <t>087327003624</t>
        </is>
      </c>
      <c r="E12" s="59" t="inlineStr">
        <is>
          <t>111723</t>
        </is>
      </c>
      <c r="F12" s="155" t="inlineStr">
        <is>
          <t>Multimarca</t>
        </is>
      </c>
      <c r="G12" s="155" t="inlineStr">
        <is>
          <t>92235</t>
        </is>
      </c>
      <c r="H12" s="155" t="inlineStr">
        <is>
          <t>92235-3.4oz/100mL</t>
        </is>
      </c>
      <c r="I12" s="155" t="inlineStr">
        <is>
          <t>100 ml</t>
        </is>
      </c>
      <c r="J12" s="155" t="inlineStr">
        <is>
          <t>3.4 / 3.5 fl oz</t>
        </is>
      </c>
      <c r="K12" s="155" t="inlineStr">
        <is>
          <t>Tru Western</t>
        </is>
      </c>
      <c r="L12" s="155" t="inlineStr">
        <is>
          <t>Perfume PBR Black &amp; Blue</t>
        </is>
      </c>
      <c r="M12" s="155" t="inlineStr">
        <is>
          <t>Accesorios</t>
        </is>
      </c>
      <c r="N12" s="155" t="inlineStr">
        <is>
          <t>Fragancias</t>
        </is>
      </c>
      <c r="O12" s="155" t="inlineStr">
        <is>
          <t>Unisex</t>
        </is>
      </c>
      <c r="P12" s="155" t="inlineStr">
        <is>
          <t>Tru Western</t>
        </is>
      </c>
      <c r="Q12" s="155" t="inlineStr">
        <is>
          <t>SS26</t>
        </is>
      </c>
      <c r="R12" s="155" t="inlineStr">
        <is>
          <t>Seasonal</t>
        </is>
      </c>
      <c r="S12" s="155" t="inlineStr">
        <is>
          <t>Negro</t>
        </is>
      </c>
      <c r="T12" s="155" t="n"/>
      <c r="U12" s="155" t="n"/>
      <c r="V12" s="155" t="n"/>
      <c r="W12" s="155" t="inlineStr">
        <is>
          <t>Perfume PBR Black &amp; Blue. Fragancia de la marca Tru Western. Estilo 92235.</t>
        </is>
      </c>
      <c r="X12" s="155" t="inlineStr">
        <is>
          <t>Estados Unidos</t>
        </is>
      </c>
      <c r="Y12" s="155" t="inlineStr">
        <is>
          <t>PZS</t>
        </is>
      </c>
      <c r="Z12" s="59" t="inlineStr">
        <is>
          <t>53131620</t>
        </is>
      </c>
      <c r="AA12" s="126" t="inlineStr">
        <is>
          <t>https://m-universal-unique-brands.odoo.com/web/image/product.product/27681/image_1920</t>
        </is>
      </c>
      <c r="AB12" s="61" t="n">
        <v>301.7</v>
      </c>
      <c r="AC12" s="61" t="n">
        <v>1033.62069</v>
      </c>
      <c r="AD12" s="62" t="inlineStr">
        <is>
          <t>Válido</t>
        </is>
      </c>
      <c r="AE12" s="64" t="n"/>
      <c r="AF12" s="64" t="n"/>
      <c r="AG12" s="59" t="n">
        <v>0</v>
      </c>
      <c r="AH12" s="155" t="n"/>
      <c r="AI12" s="59" t="n">
        <v>0</v>
      </c>
      <c r="AJ12" s="155" t="inlineStr">
        <is>
          <t>Nuevo – NetSuite sin existencia</t>
        </is>
      </c>
      <c r="AK12" s="155" t="inlineStr">
        <is>
          <t>Revisión 29/09/2026: Campos sin respaldo: S, X; Auditoría NetSuite 30/09/2026: llenado desde NetSuite [H,V,Y] | 01/10/2026: complementado desde Shopify Western Brothers (match por código de barras): WB Color, WB Fit, WB Silueta | 01/10/2026: Shopify Western Brothers trae Género «Hombre» — se conservó el valor de Productos</t>
        </is>
      </c>
      <c r="AL12" s="155" t="inlineStr">
        <is>
          <t>No</t>
        </is>
      </c>
      <c r="AM12" s="155" t="n"/>
      <c r="AN12" s="155" t="inlineStr">
        <is>
          <t>ProductosCatalogoEstandar907.xlsx: fila 50859 [N,O,U,Y] | Catálogo y Criterios: F [G]; G1522_Extraccion_Articulos_NetSuite_2026-09-30.xlsx: fila 59371 [H,V,Y] | Shopify WB: producto 8576547717305 / variante 47777666793657</t>
        </is>
      </c>
      <c r="AO12" s="58" t="n"/>
      <c r="AP12" s="58" t="n">
        <v>1199.0000004</v>
      </c>
      <c r="AQ12" s="155" t="inlineStr">
        <is>
          <t>Shopify Western Brothers</t>
        </is>
      </c>
      <c r="AR12" s="59" t="n"/>
      <c r="AS12" s="59" t="n">
        <v>0</v>
      </c>
      <c r="AT12" s="59" t="n"/>
      <c r="AU12" s="155" t="n"/>
    </row>
    <row r="13">
      <c r="A13" s="51" t="n">
        <v>6</v>
      </c>
      <c r="B13" s="156" t="inlineStr">
        <is>
          <t>Productos — registro integrado en el anterior</t>
        </is>
      </c>
      <c r="C13" s="125" t="inlineStr">
        <is>
          <t>Homologación G1522: mismo producto (mismo código de barras)</t>
        </is>
      </c>
      <c r="D13" s="60" t="inlineStr">
        <is>
          <t>087327003624</t>
        </is>
      </c>
      <c r="E13" s="59" t="inlineStr">
        <is>
          <t>27681</t>
        </is>
      </c>
      <c r="F13" s="155" t="inlineStr">
        <is>
          <t>Tru Western</t>
        </is>
      </c>
      <c r="G13" s="155" t="inlineStr">
        <is>
          <t>92235</t>
        </is>
      </c>
      <c r="H13" s="155" t="inlineStr">
        <is>
          <t>92235</t>
        </is>
      </c>
      <c r="I13" s="155" t="inlineStr">
        <is>
          <t>100 ml</t>
        </is>
      </c>
      <c r="J13" s="155" t="inlineStr">
        <is>
          <t>3.4 / 3.5 fl oz</t>
        </is>
      </c>
      <c r="K13" s="155" t="inlineStr">
        <is>
          <t>Tru Western</t>
        </is>
      </c>
      <c r="L13" s="155" t="inlineStr">
        <is>
          <t>Tru Western - PBR - EDC - 100mL - Black &amp; Blue</t>
        </is>
      </c>
      <c r="M13" s="155" t="inlineStr">
        <is>
          <t>Accesorios</t>
        </is>
      </c>
      <c r="N13" s="155" t="inlineStr">
        <is>
          <t>Fragancias</t>
        </is>
      </c>
      <c r="O13" s="155" t="inlineStr">
        <is>
          <t>Unisex</t>
        </is>
      </c>
      <c r="P13" s="155" t="inlineStr">
        <is>
          <t>Tru Western</t>
        </is>
      </c>
      <c r="Q13" s="155" t="inlineStr">
        <is>
          <t>SS26</t>
        </is>
      </c>
      <c r="R13" s="155" t="inlineStr">
        <is>
          <t>Seasonal</t>
        </is>
      </c>
      <c r="S13" s="155" t="inlineStr">
        <is>
          <t>Negro</t>
        </is>
      </c>
      <c r="T13" s="155" t="n"/>
      <c r="U13" s="155" t="n"/>
      <c r="V13" s="155" t="n"/>
      <c r="W13" s="155" t="n"/>
      <c r="X13" s="155" t="n"/>
      <c r="Y13" s="155" t="inlineStr">
        <is>
          <t>PZS</t>
        </is>
      </c>
      <c r="Z13" s="59" t="inlineStr">
        <is>
          <t>53131620</t>
        </is>
      </c>
      <c r="AA13" s="126" t="inlineStr">
        <is>
          <t>https://m-universal-unique-brands.odoo.com/web/image/product.product/27681/image_1920</t>
        </is>
      </c>
      <c r="AB13" s="61" t="n">
        <v>50</v>
      </c>
      <c r="AC13" s="61" t="n">
        <v>569</v>
      </c>
      <c r="AD13" s="62" t="inlineStr">
        <is>
          <t>Válido</t>
        </is>
      </c>
      <c r="AE13" s="64" t="n"/>
      <c r="AF13" s="64" t="n"/>
      <c r="AG13" s="59" t="n"/>
      <c r="AH13" s="155" t="n"/>
      <c r="AI13" s="59" t="n"/>
      <c r="AJ13" s="155" t="inlineStr">
        <is>
          <t>Nuevo – Carga Hoja2 01/10/2026</t>
        </is>
      </c>
      <c r="AK13" s="155" t="inlineStr">
        <is>
          <t>Alta 01/10/2026 desde Hoja2 (fila 417) | 01/10/2026: complementado desde Odoo Universal Unique Brands (match por código de barras): WB N.º de estilo, WB Talla, WB Talla de EE. UU., WB Género, WB Licencia, WB Temporada, WB Ciclo de vida, WB Color, Enlace de imagen</t>
        </is>
      </c>
      <c r="AL13" s="155" t="n"/>
      <c r="AM13" s="155" t="n"/>
      <c r="AN13" s="155" t="inlineStr">
        <is>
          <t>Hoja2: fila 417 | Odoo: producto 27681 / plantilla 34417</t>
        </is>
      </c>
      <c r="AO13" s="58" t="n"/>
      <c r="AP13" s="58" t="n"/>
      <c r="AQ13" s="155" t="inlineStr">
        <is>
          <t>Odoo Universal Unique Brands</t>
        </is>
      </c>
      <c r="AR13" s="59" t="n"/>
      <c r="AS13" s="59" t="n"/>
      <c r="AT13" s="59" t="n">
        <v>-4</v>
      </c>
      <c r="AU13" s="155" t="inlineStr">
        <is>
          <t>Odoo Universal Unique Brands › Bodega 25 › Bodega 25/Output: 12</t>
        </is>
      </c>
    </row>
    <row r="14">
      <c r="A14" s="51" t="n">
        <v>7</v>
      </c>
      <c r="B14" s="156" t="inlineStr">
        <is>
          <t>Productos — registro conservado</t>
        </is>
      </c>
      <c r="C14" s="125" t="inlineStr">
        <is>
          <t>Homologación G1522: mismo producto (mismo código de barras)</t>
        </is>
      </c>
      <c r="D14" s="60" t="inlineStr">
        <is>
          <t>087327003716</t>
        </is>
      </c>
      <c r="E14" s="59" t="inlineStr">
        <is>
          <t>111732</t>
        </is>
      </c>
      <c r="F14" s="155" t="inlineStr">
        <is>
          <t>Multimarca</t>
        </is>
      </c>
      <c r="G14" s="155" t="inlineStr">
        <is>
          <t>92701</t>
        </is>
      </c>
      <c r="H14" s="155" t="inlineStr">
        <is>
          <t>92701-3.4oz/100mL</t>
        </is>
      </c>
      <c r="I14" s="155" t="inlineStr">
        <is>
          <t>100 ml</t>
        </is>
      </c>
      <c r="J14" s="155" t="inlineStr">
        <is>
          <t>3.4 / 3.5 fl oz</t>
        </is>
      </c>
      <c r="K14" s="155" t="inlineStr">
        <is>
          <t>Tru Western</t>
        </is>
      </c>
      <c r="L14" s="155" t="inlineStr">
        <is>
          <t>Perfume Wild &amp; Free Amber Sundance</t>
        </is>
      </c>
      <c r="M14" s="155" t="inlineStr">
        <is>
          <t>Accesorios</t>
        </is>
      </c>
      <c r="N14" s="155" t="inlineStr">
        <is>
          <t>Fragancias</t>
        </is>
      </c>
      <c r="O14" s="155" t="inlineStr">
        <is>
          <t>Unisex</t>
        </is>
      </c>
      <c r="P14" s="155" t="inlineStr">
        <is>
          <t>Tru Western</t>
        </is>
      </c>
      <c r="Q14" s="155" t="inlineStr">
        <is>
          <t>SS26</t>
        </is>
      </c>
      <c r="R14" s="155" t="inlineStr">
        <is>
          <t>Seasonal</t>
        </is>
      </c>
      <c r="S14" s="155" t="n"/>
      <c r="T14" s="155" t="n"/>
      <c r="U14" s="155" t="n"/>
      <c r="V14" s="155" t="n"/>
      <c r="W14" s="155" t="inlineStr">
        <is>
          <t>Perfume Wild &amp; Free Amber Sundance. Fragancia de la marca Tru Western. Estilo 92701.</t>
        </is>
      </c>
      <c r="X14" s="155" t="inlineStr">
        <is>
          <t>Estados Unidos</t>
        </is>
      </c>
      <c r="Y14" s="155" t="inlineStr">
        <is>
          <t>PZS</t>
        </is>
      </c>
      <c r="Z14" s="59" t="inlineStr">
        <is>
          <t>53131620</t>
        </is>
      </c>
      <c r="AA14" s="126" t="inlineStr">
        <is>
          <t>https://m-universal-unique-brands.odoo.com/web/image/product.product/27706/image_1920</t>
        </is>
      </c>
      <c r="AB14" s="61" t="n">
        <v>211.225</v>
      </c>
      <c r="AC14" s="61" t="n">
        <v>731.8965517</v>
      </c>
      <c r="AD14" s="62" t="inlineStr">
        <is>
          <t>Válido</t>
        </is>
      </c>
      <c r="AE14" s="64" t="n"/>
      <c r="AF14" s="64" t="n"/>
      <c r="AG14" s="59" t="n">
        <v>0</v>
      </c>
      <c r="AH14" s="155" t="n"/>
      <c r="AI14" s="59" t="n">
        <v>0</v>
      </c>
      <c r="AJ14" s="155" t="inlineStr">
        <is>
          <t>Nuevo – NetSuite sin existencia</t>
        </is>
      </c>
      <c r="AK14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14" s="155" t="inlineStr">
        <is>
          <t>No</t>
        </is>
      </c>
      <c r="AM14" s="155" t="n"/>
      <c r="AN14" s="155" t="inlineStr">
        <is>
          <t>ProductosCatalogoEstandar907.xlsx: fila 50860 [N,O,U,Y] | Catálogo y Criterios: F [G]; G1522_Extraccion_Articulos_NetSuite_2026-09-30.xlsx: fila 59380 [H,V,Y] | Shopify WB: producto 8576548044985 / variante 47777667285177</t>
        </is>
      </c>
      <c r="AO14" s="58" t="n"/>
      <c r="AP14" s="58" t="n">
        <v>848.99999997</v>
      </c>
      <c r="AQ14" s="155" t="inlineStr">
        <is>
          <t>Shopify Western Brothers</t>
        </is>
      </c>
      <c r="AR14" s="59" t="n"/>
      <c r="AS14" s="59" t="n">
        <v>0</v>
      </c>
      <c r="AT14" s="59" t="n"/>
      <c r="AU14" s="155" t="n"/>
    </row>
    <row r="15">
      <c r="A15" s="51" t="n">
        <v>7</v>
      </c>
      <c r="B15" s="156" t="inlineStr">
        <is>
          <t>Productos — registro integrado en el anterior</t>
        </is>
      </c>
      <c r="C15" s="125" t="inlineStr">
        <is>
          <t>Homologación G1522: mismo producto (mismo código de barras)</t>
        </is>
      </c>
      <c r="D15" s="60" t="inlineStr">
        <is>
          <t>087327003716</t>
        </is>
      </c>
      <c r="E15" s="59" t="inlineStr">
        <is>
          <t>27706</t>
        </is>
      </c>
      <c r="F15" s="155" t="inlineStr">
        <is>
          <t>Tru Western</t>
        </is>
      </c>
      <c r="G15" s="155" t="inlineStr">
        <is>
          <t>92701</t>
        </is>
      </c>
      <c r="H15" s="155" t="inlineStr">
        <is>
          <t>92701</t>
        </is>
      </c>
      <c r="I15" s="155" t="inlineStr">
        <is>
          <t>100 ml</t>
        </is>
      </c>
      <c r="J15" s="155" t="inlineStr">
        <is>
          <t>3.4 / 3.5 fl oz</t>
        </is>
      </c>
      <c r="K15" s="155" t="inlineStr">
        <is>
          <t>Tru Western</t>
        </is>
      </c>
      <c r="L15" s="155" t="inlineStr">
        <is>
          <t>Tru Western - Wild &amp; Free - EDP - 100mL - Amber Sundance</t>
        </is>
      </c>
      <c r="M15" s="155" t="inlineStr">
        <is>
          <t>Accesorios</t>
        </is>
      </c>
      <c r="N15" s="155" t="inlineStr">
        <is>
          <t>Fragancias</t>
        </is>
      </c>
      <c r="O15" s="155" t="inlineStr">
        <is>
          <t>Unisex</t>
        </is>
      </c>
      <c r="P15" s="155" t="inlineStr">
        <is>
          <t>Tru Western</t>
        </is>
      </c>
      <c r="Q15" s="155" t="inlineStr">
        <is>
          <t>SS26</t>
        </is>
      </c>
      <c r="R15" s="155" t="inlineStr">
        <is>
          <t>Seasonal</t>
        </is>
      </c>
      <c r="S15" s="155" t="n"/>
      <c r="T15" s="155" t="n"/>
      <c r="U15" s="155" t="n"/>
      <c r="V15" s="155" t="n"/>
      <c r="W15" s="155" t="n"/>
      <c r="X15" s="155" t="n"/>
      <c r="Y15" s="155" t="inlineStr">
        <is>
          <t>PZS</t>
        </is>
      </c>
      <c r="Z15" s="59" t="inlineStr">
        <is>
          <t>53131620</t>
        </is>
      </c>
      <c r="AA15" s="126" t="inlineStr">
        <is>
          <t>https://m-universal-unique-brands.odoo.com/web/image/product.product/27706/image_1920</t>
        </is>
      </c>
      <c r="AB15" s="61" t="n">
        <v>35</v>
      </c>
      <c r="AC15" s="61" t="n">
        <v>399</v>
      </c>
      <c r="AD15" s="62" t="inlineStr">
        <is>
          <t>Válido</t>
        </is>
      </c>
      <c r="AE15" s="64" t="n"/>
      <c r="AF15" s="64" t="n"/>
      <c r="AG15" s="59" t="n"/>
      <c r="AH15" s="155" t="n"/>
      <c r="AI15" s="59" t="n"/>
      <c r="AJ15" s="155" t="inlineStr">
        <is>
          <t>Nuevo – Carga Hoja2 01/10/2026</t>
        </is>
      </c>
      <c r="AK15" s="155" t="inlineStr">
        <is>
          <t>Alta 01/10/2026 desde Hoja2 (fila 418) | 01/10/2026: complementado desde Odoo Universal Unique Brands (match por código de barras): WB N.º de estilo, WB Talla, WB Talla de EE. UU., WB Género, WB Licencia, WB Temporada, WB Ciclo de vida, Enlace de imagen</t>
        </is>
      </c>
      <c r="AL15" s="155" t="n"/>
      <c r="AM15" s="155" t="n"/>
      <c r="AN15" s="155" t="inlineStr">
        <is>
          <t>Hoja2: fila 418 | Odoo: producto 27706 / plantilla 34442</t>
        </is>
      </c>
      <c r="AO15" s="58" t="n"/>
      <c r="AP15" s="58" t="n"/>
      <c r="AQ15" s="155" t="inlineStr">
        <is>
          <t>Odoo Universal Unique Brands</t>
        </is>
      </c>
      <c r="AR15" s="59" t="n"/>
      <c r="AS15" s="59" t="n"/>
      <c r="AT15" s="59" t="n">
        <v>14</v>
      </c>
      <c r="AU15" s="155" t="inlineStr">
        <is>
          <t>Odoo Universal Unique Brands › Bodega 25 › Bodega 25/General: 1 | Odoo Universal Unique Brands › Bodega 25 › Bodega 25/Output: 13</t>
        </is>
      </c>
    </row>
    <row r="16">
      <c r="A16" s="51" t="n">
        <v>8</v>
      </c>
      <c r="B16" s="156" t="inlineStr">
        <is>
          <t>Productos — registro conservado</t>
        </is>
      </c>
      <c r="C16" s="125" t="inlineStr">
        <is>
          <t>Homologación G1522: mismo producto (mismo código de barras)</t>
        </is>
      </c>
      <c r="D16" s="60" t="inlineStr">
        <is>
          <t>087327004386</t>
        </is>
      </c>
      <c r="E16" s="59" t="inlineStr">
        <is>
          <t>111722</t>
        </is>
      </c>
      <c r="F16" s="155" t="inlineStr">
        <is>
          <t>Multimarca</t>
        </is>
      </c>
      <c r="G16" s="155" t="inlineStr">
        <is>
          <t>92997</t>
        </is>
      </c>
      <c r="H16" s="155" t="inlineStr">
        <is>
          <t>92997-3.4oz/100mL</t>
        </is>
      </c>
      <c r="I16" s="155" t="inlineStr">
        <is>
          <t>100 ml</t>
        </is>
      </c>
      <c r="J16" s="155" t="inlineStr">
        <is>
          <t>3.4 / 3.5 fl oz</t>
        </is>
      </c>
      <c r="K16" s="155" t="inlineStr">
        <is>
          <t>Tru Western</t>
        </is>
      </c>
      <c r="L16" s="155" t="inlineStr">
        <is>
          <t>Perfume PBR Black &amp; Blue Flame</t>
        </is>
      </c>
      <c r="M16" s="155" t="inlineStr">
        <is>
          <t>Accesorios</t>
        </is>
      </c>
      <c r="N16" s="155" t="inlineStr">
        <is>
          <t>Fragancias</t>
        </is>
      </c>
      <c r="O16" s="155" t="inlineStr">
        <is>
          <t>Unisex</t>
        </is>
      </c>
      <c r="P16" s="155" t="inlineStr">
        <is>
          <t>Tru Western</t>
        </is>
      </c>
      <c r="Q16" s="155" t="inlineStr">
        <is>
          <t>SS26</t>
        </is>
      </c>
      <c r="R16" s="155" t="inlineStr">
        <is>
          <t>Seasonal</t>
        </is>
      </c>
      <c r="S16" s="155" t="inlineStr">
        <is>
          <t>Negro</t>
        </is>
      </c>
      <c r="T16" s="155" t="n"/>
      <c r="U16" s="155" t="n"/>
      <c r="V16" s="155" t="n"/>
      <c r="W16" s="155" t="inlineStr">
        <is>
          <t>Perfume PBR Black &amp; Blue Flame. Fragancia de la marca Tru Western. Estilo 92997.</t>
        </is>
      </c>
      <c r="X16" s="155" t="inlineStr">
        <is>
          <t>Estados Unidos</t>
        </is>
      </c>
      <c r="Y16" s="155" t="inlineStr">
        <is>
          <t>PZS</t>
        </is>
      </c>
      <c r="Z16" s="59" t="inlineStr">
        <is>
          <t>53131620</t>
        </is>
      </c>
      <c r="AA16" s="126" t="inlineStr">
        <is>
          <t>https://m-universal-unique-brands.odoo.com/web/image/product.product/27679/image_1920</t>
        </is>
      </c>
      <c r="AB16" s="61" t="n">
        <v>301.7</v>
      </c>
      <c r="AC16" s="61" t="n">
        <v>1033.62069</v>
      </c>
      <c r="AD16" s="62" t="inlineStr">
        <is>
          <t>Válido</t>
        </is>
      </c>
      <c r="AE16" s="64" t="n"/>
      <c r="AF16" s="64" t="n"/>
      <c r="AG16" s="59" t="n">
        <v>0</v>
      </c>
      <c r="AH16" s="155" t="n"/>
      <c r="AI16" s="59" t="n">
        <v>0</v>
      </c>
      <c r="AJ16" s="155" t="inlineStr">
        <is>
          <t>Nuevo – NetSuite sin existencia</t>
        </is>
      </c>
      <c r="AK16" s="155" t="inlineStr">
        <is>
          <t>Revisión 29/09/2026: Campos sin respaldo: S, X; Auditoría NetSuite 30/09/2026: llenado desde NetSuite [H,V,Y] | 01/10/2026: complementado desde Shopify Western Brothers (match por código de barras): WB Color, WB Fit, WB Silueta | 01/10/2026: Shopify Western Brothers trae Género «Hombre» — se conservó el valor de Productos</t>
        </is>
      </c>
      <c r="AL16" s="155" t="inlineStr">
        <is>
          <t>No</t>
        </is>
      </c>
      <c r="AM16" s="155" t="n"/>
      <c r="AN16" s="155" t="inlineStr">
        <is>
          <t>ProductosCatalogoEstandar907.xlsx: fila 50861 [N,O,U,Y] | Catálogo y Criterios: F [G]; G1522_Extraccion_Articulos_NetSuite_2026-09-30.xlsx: fila 59370 [H,V,Y] | Shopify WB: producto 8576547586233 / variante 47777666433209</t>
        </is>
      </c>
      <c r="AO16" s="58" t="n"/>
      <c r="AP16" s="58" t="n">
        <v>1199.0000004</v>
      </c>
      <c r="AQ16" s="155" t="inlineStr">
        <is>
          <t>Shopify Western Brothers</t>
        </is>
      </c>
      <c r="AR16" s="59" t="n"/>
      <c r="AS16" s="59" t="n">
        <v>0</v>
      </c>
      <c r="AT16" s="59" t="n"/>
      <c r="AU16" s="155" t="n"/>
    </row>
    <row r="17">
      <c r="A17" s="51" t="n">
        <v>8</v>
      </c>
      <c r="B17" s="156" t="inlineStr">
        <is>
          <t>Productos — registro integrado en el anterior</t>
        </is>
      </c>
      <c r="C17" s="125" t="inlineStr">
        <is>
          <t>Homologación G1522: mismo producto (mismo código de barras)</t>
        </is>
      </c>
      <c r="D17" s="60" t="inlineStr">
        <is>
          <t>087327004386</t>
        </is>
      </c>
      <c r="E17" s="59" t="inlineStr">
        <is>
          <t>27679</t>
        </is>
      </c>
      <c r="F17" s="155" t="inlineStr">
        <is>
          <t>Tru Western</t>
        </is>
      </c>
      <c r="G17" s="155" t="inlineStr">
        <is>
          <t>92997</t>
        </is>
      </c>
      <c r="H17" s="155" t="inlineStr">
        <is>
          <t>92997</t>
        </is>
      </c>
      <c r="I17" s="155" t="inlineStr">
        <is>
          <t>100 ml</t>
        </is>
      </c>
      <c r="J17" s="155" t="inlineStr">
        <is>
          <t>3.4 / 3.5 fl oz</t>
        </is>
      </c>
      <c r="K17" s="155" t="inlineStr">
        <is>
          <t>Tru Western</t>
        </is>
      </c>
      <c r="L17" s="155" t="inlineStr">
        <is>
          <t>Tru Western - PBR - EDC - 100mL - Black &amp; Blue Flame</t>
        </is>
      </c>
      <c r="M17" s="155" t="inlineStr">
        <is>
          <t>Accesorios</t>
        </is>
      </c>
      <c r="N17" s="155" t="inlineStr">
        <is>
          <t>Fragancias</t>
        </is>
      </c>
      <c r="O17" s="155" t="inlineStr">
        <is>
          <t>Unisex</t>
        </is>
      </c>
      <c r="P17" s="155" t="inlineStr">
        <is>
          <t>Tru Western</t>
        </is>
      </c>
      <c r="Q17" s="155" t="inlineStr">
        <is>
          <t>SS26</t>
        </is>
      </c>
      <c r="R17" s="155" t="inlineStr">
        <is>
          <t>Seasonal</t>
        </is>
      </c>
      <c r="S17" s="155" t="inlineStr">
        <is>
          <t>Negro</t>
        </is>
      </c>
      <c r="T17" s="155" t="n"/>
      <c r="U17" s="155" t="n"/>
      <c r="V17" s="155" t="n"/>
      <c r="W17" s="155" t="n"/>
      <c r="X17" s="155" t="n"/>
      <c r="Y17" s="155" t="inlineStr">
        <is>
          <t>PZS</t>
        </is>
      </c>
      <c r="Z17" s="59" t="inlineStr">
        <is>
          <t>53131620</t>
        </is>
      </c>
      <c r="AA17" s="126" t="inlineStr">
        <is>
          <t>https://m-universal-unique-brands.odoo.com/web/image/product.product/27679/image_1920</t>
        </is>
      </c>
      <c r="AB17" s="61" t="n">
        <v>50</v>
      </c>
      <c r="AC17" s="61" t="n">
        <v>569</v>
      </c>
      <c r="AD17" s="62" t="inlineStr">
        <is>
          <t>Válido</t>
        </is>
      </c>
      <c r="AE17" s="64" t="n"/>
      <c r="AF17" s="64" t="n"/>
      <c r="AG17" s="59" t="n"/>
      <c r="AH17" s="155" t="n"/>
      <c r="AI17" s="59" t="n"/>
      <c r="AJ17" s="155" t="inlineStr">
        <is>
          <t>Nuevo – Carga Hoja2 01/10/2026</t>
        </is>
      </c>
      <c r="AK17" s="155" t="inlineStr">
        <is>
          <t>Alta 01/10/2026 desde Hoja2 (fila 420) | 01/10/2026: complementado desde Odoo Universal Unique Brands (match por código de barras): WB N.º de estilo, WB Talla, WB Talla de EE. UU., WB Género, WB Licencia, WB Temporada, WB Ciclo de vida, WB Color, Enlace de imagen</t>
        </is>
      </c>
      <c r="AL17" s="155" t="n"/>
      <c r="AM17" s="155" t="n"/>
      <c r="AN17" s="155" t="inlineStr">
        <is>
          <t>Hoja2: fila 420 | Odoo: producto 27679 / plantilla 34415</t>
        </is>
      </c>
      <c r="AO17" s="58" t="n"/>
      <c r="AP17" s="58" t="n"/>
      <c r="AQ17" s="155" t="inlineStr">
        <is>
          <t>Odoo Universal Unique Brands</t>
        </is>
      </c>
      <c r="AR17" s="59" t="n"/>
      <c r="AS17" s="59" t="n"/>
      <c r="AT17" s="59" t="n">
        <v>-6</v>
      </c>
      <c r="AU17" s="155" t="inlineStr">
        <is>
          <t>Odoo Universal Unique Brands › Bodega 25 › Bodega 25/Output: 12</t>
        </is>
      </c>
    </row>
    <row r="18">
      <c r="A18" s="51" t="n">
        <v>9</v>
      </c>
      <c r="B18" s="156" t="inlineStr">
        <is>
          <t>Productos — registro conservado</t>
        </is>
      </c>
      <c r="C18" s="125" t="inlineStr">
        <is>
          <t>Homologación G1522: mismo producto (mismo código de barras)</t>
        </is>
      </c>
      <c r="D18" s="60" t="inlineStr">
        <is>
          <t>087327010219</t>
        </is>
      </c>
      <c r="E18" s="59" t="inlineStr">
        <is>
          <t>111730</t>
        </is>
      </c>
      <c r="F18" s="155" t="inlineStr">
        <is>
          <t>Multimarca</t>
        </is>
      </c>
      <c r="G18" s="155" t="inlineStr">
        <is>
          <t>94434</t>
        </is>
      </c>
      <c r="H18" s="155" t="inlineStr">
        <is>
          <t>94434-1.7oz/50mL</t>
        </is>
      </c>
      <c r="I18" s="155" t="inlineStr">
        <is>
          <t>50 ml</t>
        </is>
      </c>
      <c r="J18" s="155" t="inlineStr">
        <is>
          <t>1.7 fl oz</t>
        </is>
      </c>
      <c r="K18" s="155" t="inlineStr">
        <is>
          <t>Tru Western</t>
        </is>
      </c>
      <c r="L18" s="155" t="inlineStr">
        <is>
          <t>Perfume Love &amp; Lyrics</t>
        </is>
      </c>
      <c r="M18" s="155" t="inlineStr">
        <is>
          <t>Accesorios</t>
        </is>
      </c>
      <c r="N18" s="155" t="inlineStr">
        <is>
          <t>Fragancias</t>
        </is>
      </c>
      <c r="O18" s="155" t="inlineStr">
        <is>
          <t>Unisex</t>
        </is>
      </c>
      <c r="P18" s="155" t="inlineStr">
        <is>
          <t>Tru Western</t>
        </is>
      </c>
      <c r="Q18" s="155" t="inlineStr">
        <is>
          <t>SS26</t>
        </is>
      </c>
      <c r="R18" s="155" t="inlineStr">
        <is>
          <t>Seasonal</t>
        </is>
      </c>
      <c r="S18" s="155" t="n"/>
      <c r="T18" s="155" t="n"/>
      <c r="U18" s="155" t="n"/>
      <c r="V18" s="155" t="n"/>
      <c r="W18" s="155" t="inlineStr">
        <is>
          <t>Perfume Love &amp; Lyrics. Fragancia de la marca Tru Western. Estilo 94434.</t>
        </is>
      </c>
      <c r="X18" s="155" t="inlineStr">
        <is>
          <t>Estados Unidos</t>
        </is>
      </c>
      <c r="Y18" s="155" t="inlineStr">
        <is>
          <t>PZS</t>
        </is>
      </c>
      <c r="Z18" s="59" t="inlineStr">
        <is>
          <t>53131620</t>
        </is>
      </c>
      <c r="AA18" s="126" t="inlineStr">
        <is>
          <t>https://m-universal-unique-brands.odoo.com/web/image/product.product/27702/image_1920</t>
        </is>
      </c>
      <c r="AB18" s="61" t="n">
        <v>211.225</v>
      </c>
      <c r="AC18" s="61" t="n">
        <v>731.8965517</v>
      </c>
      <c r="AD18" s="62" t="inlineStr">
        <is>
          <t>Válido</t>
        </is>
      </c>
      <c r="AE18" s="64" t="n"/>
      <c r="AF18" s="64" t="n"/>
      <c r="AG18" s="59" t="n">
        <v>0</v>
      </c>
      <c r="AH18" s="155" t="n"/>
      <c r="AI18" s="59" t="n">
        <v>0</v>
      </c>
      <c r="AJ18" s="155" t="inlineStr">
        <is>
          <t>Nuevo – NetSuite sin existencia</t>
        </is>
      </c>
      <c r="AK18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18" s="155" t="inlineStr">
        <is>
          <t>No</t>
        </is>
      </c>
      <c r="AM18" s="155" t="n"/>
      <c r="AN18" s="155" t="inlineStr">
        <is>
          <t>ProductosCatalogoEstandar907.xlsx: fila 50911 [N,O,U,Y] | Catálogo y Criterios: F [G]; G1522_Extraccion_Articulos_NetSuite_2026-09-30.xlsx: fila 59378 [H,V,Y] | Shopify WB: producto 8576547979449 / variante 47777667219641</t>
        </is>
      </c>
      <c r="AO18" s="58" t="n"/>
      <c r="AP18" s="58" t="n">
        <v>848.99999997</v>
      </c>
      <c r="AQ18" s="155" t="inlineStr">
        <is>
          <t>Shopify Western Brothers</t>
        </is>
      </c>
      <c r="AR18" s="59" t="n"/>
      <c r="AS18" s="59" t="n">
        <v>0</v>
      </c>
      <c r="AT18" s="59" t="n"/>
      <c r="AU18" s="155" t="n"/>
    </row>
    <row r="19">
      <c r="A19" s="51" t="n">
        <v>9</v>
      </c>
      <c r="B19" s="156" t="inlineStr">
        <is>
          <t>Productos — registro integrado en el anterior</t>
        </is>
      </c>
      <c r="C19" s="125" t="inlineStr">
        <is>
          <t>Homologación G1522: mismo producto (mismo código de barras)</t>
        </is>
      </c>
      <c r="D19" s="60" t="inlineStr">
        <is>
          <t>087327010219</t>
        </is>
      </c>
      <c r="E19" s="59" t="inlineStr">
        <is>
          <t>27702</t>
        </is>
      </c>
      <c r="F19" s="155" t="inlineStr">
        <is>
          <t>Tru Western</t>
        </is>
      </c>
      <c r="G19" s="155" t="inlineStr">
        <is>
          <t>94434</t>
        </is>
      </c>
      <c r="H19" s="155" t="inlineStr">
        <is>
          <t>94434</t>
        </is>
      </c>
      <c r="I19" s="155" t="inlineStr">
        <is>
          <t>50 ml</t>
        </is>
      </c>
      <c r="J19" s="155" t="inlineStr">
        <is>
          <t>1.7 fl oz</t>
        </is>
      </c>
      <c r="K19" s="155" t="inlineStr">
        <is>
          <t>Tru Western</t>
        </is>
      </c>
      <c r="L19" s="155" t="inlineStr">
        <is>
          <t>Tru Western - EDP - 50mL - Love &amp; Lyrics</t>
        </is>
      </c>
      <c r="M19" s="155" t="inlineStr">
        <is>
          <t>Accesorios</t>
        </is>
      </c>
      <c r="N19" s="155" t="inlineStr">
        <is>
          <t>Fragancias</t>
        </is>
      </c>
      <c r="O19" s="155" t="inlineStr">
        <is>
          <t>Unisex</t>
        </is>
      </c>
      <c r="P19" s="155" t="inlineStr">
        <is>
          <t>Tru Western</t>
        </is>
      </c>
      <c r="Q19" s="155" t="inlineStr">
        <is>
          <t>SS26</t>
        </is>
      </c>
      <c r="R19" s="155" t="inlineStr">
        <is>
          <t>Seasonal</t>
        </is>
      </c>
      <c r="S19" s="155" t="n"/>
      <c r="T19" s="155" t="n"/>
      <c r="U19" s="155" t="n"/>
      <c r="V19" s="155" t="n"/>
      <c r="W19" s="155" t="n"/>
      <c r="X19" s="155" t="n"/>
      <c r="Y19" s="155" t="inlineStr">
        <is>
          <t>PZS</t>
        </is>
      </c>
      <c r="Z19" s="59" t="inlineStr">
        <is>
          <t>53131620</t>
        </is>
      </c>
      <c r="AA19" s="126" t="inlineStr">
        <is>
          <t>https://m-universal-unique-brands.odoo.com/web/image/product.product/27702/image_1920</t>
        </is>
      </c>
      <c r="AB19" s="61" t="n">
        <v>35</v>
      </c>
      <c r="AC19" s="61" t="n">
        <v>399</v>
      </c>
      <c r="AD19" s="62" t="inlineStr">
        <is>
          <t>Válido</t>
        </is>
      </c>
      <c r="AE19" s="64" t="n"/>
      <c r="AF19" s="64" t="n"/>
      <c r="AG19" s="59" t="n"/>
      <c r="AH19" s="155" t="n"/>
      <c r="AI19" s="59" t="n"/>
      <c r="AJ19" s="155" t="inlineStr">
        <is>
          <t>Nuevo – Carga Hoja2 01/10/2026</t>
        </is>
      </c>
      <c r="AK19" s="155" t="inlineStr">
        <is>
          <t>Alta 01/10/2026 desde Hoja2 (fila 423) | 01/10/2026: complementado desde Odoo Universal Unique Brands (match por código de barras): WB N.º de estilo, WB Talla, WB Talla de EE. UU., WB Género, WB Licencia, WB Temporada, WB Ciclo de vida, Enlace de imagen</t>
        </is>
      </c>
      <c r="AL19" s="155" t="n"/>
      <c r="AM19" s="155" t="n"/>
      <c r="AN19" s="155" t="inlineStr">
        <is>
          <t>Hoja2: fila 423 | Odoo: producto 27702 / plantilla 34438</t>
        </is>
      </c>
      <c r="AO19" s="58" t="n"/>
      <c r="AP19" s="58" t="n"/>
      <c r="AQ19" s="155" t="inlineStr">
        <is>
          <t>Odoo Universal Unique Brands</t>
        </is>
      </c>
      <c r="AR19" s="59" t="n"/>
      <c r="AS19" s="59" t="n"/>
      <c r="AT19" s="59" t="n">
        <v>14</v>
      </c>
      <c r="AU19" s="155" t="inlineStr">
        <is>
          <t>Odoo Universal Unique Brands › Bodega 25 › Bodega 25/General: 2 | Odoo Universal Unique Brands › Bodega 25 › Bodega 25/Output: 12</t>
        </is>
      </c>
    </row>
    <row r="20">
      <c r="A20" s="51" t="n">
        <v>10</v>
      </c>
      <c r="B20" s="156" t="inlineStr">
        <is>
          <t>Productos — registro conservado</t>
        </is>
      </c>
      <c r="C20" s="125" t="inlineStr">
        <is>
          <t>Homologación G1522: mismo producto (mismo código de barras)</t>
        </is>
      </c>
      <c r="D20" s="60" t="inlineStr">
        <is>
          <t>087327012466</t>
        </is>
      </c>
      <c r="E20" s="59" t="inlineStr">
        <is>
          <t>111731</t>
        </is>
      </c>
      <c r="F20" s="155" t="inlineStr">
        <is>
          <t>Multimarca</t>
        </is>
      </c>
      <c r="G20" s="155" t="inlineStr">
        <is>
          <t>95176</t>
        </is>
      </c>
      <c r="H20" s="155" t="inlineStr">
        <is>
          <t>95176-1.7oz/50mL</t>
        </is>
      </c>
      <c r="I20" s="155" t="inlineStr">
        <is>
          <t>50 ml</t>
        </is>
      </c>
      <c r="J20" s="155" t="inlineStr">
        <is>
          <t>1.7 fl oz</t>
        </is>
      </c>
      <c r="K20" s="155" t="inlineStr">
        <is>
          <t>Tru Western</t>
        </is>
      </c>
      <c r="L20" s="155" t="inlineStr">
        <is>
          <t>Perfume Love &amp; Lyrics Crush</t>
        </is>
      </c>
      <c r="M20" s="155" t="inlineStr">
        <is>
          <t>Accesorios</t>
        </is>
      </c>
      <c r="N20" s="155" t="inlineStr">
        <is>
          <t>Fragancias</t>
        </is>
      </c>
      <c r="O20" s="155" t="inlineStr">
        <is>
          <t>Unisex</t>
        </is>
      </c>
      <c r="P20" s="155" t="inlineStr">
        <is>
          <t>Tru Western</t>
        </is>
      </c>
      <c r="Q20" s="155" t="inlineStr">
        <is>
          <t>SS26</t>
        </is>
      </c>
      <c r="R20" s="155" t="inlineStr">
        <is>
          <t>Seasonal</t>
        </is>
      </c>
      <c r="S20" s="155" t="n"/>
      <c r="T20" s="155" t="n"/>
      <c r="U20" s="155" t="n"/>
      <c r="V20" s="155" t="n"/>
      <c r="W20" s="155" t="inlineStr">
        <is>
          <t>Perfume Love &amp; Lyrics Crush. Fragancia de la marca Tru Western. Estilo 95176.</t>
        </is>
      </c>
      <c r="X20" s="155" t="inlineStr">
        <is>
          <t>Estados Unidos</t>
        </is>
      </c>
      <c r="Y20" s="155" t="inlineStr">
        <is>
          <t>PZS</t>
        </is>
      </c>
      <c r="Z20" s="59" t="inlineStr">
        <is>
          <t>53131620</t>
        </is>
      </c>
      <c r="AA20" s="126" t="inlineStr">
        <is>
          <t>https://m-universal-unique-brands.odoo.com/web/image/product.product/27704/image_1920</t>
        </is>
      </c>
      <c r="AB20" s="61" t="n">
        <v>211.225</v>
      </c>
      <c r="AC20" s="61" t="n">
        <v>731.8965517</v>
      </c>
      <c r="AD20" s="62" t="inlineStr">
        <is>
          <t>Válido</t>
        </is>
      </c>
      <c r="AE20" s="64" t="n"/>
      <c r="AF20" s="64" t="n"/>
      <c r="AG20" s="59" t="n">
        <v>0</v>
      </c>
      <c r="AH20" s="155" t="n"/>
      <c r="AI20" s="59" t="n">
        <v>0</v>
      </c>
      <c r="AJ20" s="155" t="inlineStr">
        <is>
          <t>Nuevo – NetSuite sin existencia</t>
        </is>
      </c>
      <c r="AK20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20" s="155" t="inlineStr">
        <is>
          <t>No</t>
        </is>
      </c>
      <c r="AM20" s="155" t="n"/>
      <c r="AN20" s="155" t="inlineStr">
        <is>
          <t>ProductosCatalogoEstandar907.xlsx: fila 50924 [N,O,U,Y] | Catálogo y Criterios: F [G]; G1522_Extraccion_Articulos_NetSuite_2026-09-30.xlsx: fila 59379 [H,V,Y] | Shopify WB: producto 8576548012217 / variante 47777667252409</t>
        </is>
      </c>
      <c r="AO20" s="58" t="n"/>
      <c r="AP20" s="58" t="n">
        <v>848.99999997</v>
      </c>
      <c r="AQ20" s="155" t="inlineStr">
        <is>
          <t>Shopify Western Brothers</t>
        </is>
      </c>
      <c r="AR20" s="59" t="n"/>
      <c r="AS20" s="59" t="n">
        <v>0</v>
      </c>
      <c r="AT20" s="59" t="n"/>
      <c r="AU20" s="155" t="n"/>
    </row>
    <row r="21">
      <c r="A21" s="51" t="n">
        <v>10</v>
      </c>
      <c r="B21" s="156" t="inlineStr">
        <is>
          <t>Productos — registro integrado en el anterior</t>
        </is>
      </c>
      <c r="C21" s="125" t="inlineStr">
        <is>
          <t>Homologación G1522: mismo producto (mismo código de barras)</t>
        </is>
      </c>
      <c r="D21" s="60" t="inlineStr">
        <is>
          <t>087327012466</t>
        </is>
      </c>
      <c r="E21" s="59" t="inlineStr">
        <is>
          <t>27704</t>
        </is>
      </c>
      <c r="F21" s="155" t="inlineStr">
        <is>
          <t>Tru Western</t>
        </is>
      </c>
      <c r="G21" s="155" t="inlineStr">
        <is>
          <t>95176</t>
        </is>
      </c>
      <c r="H21" s="155" t="inlineStr">
        <is>
          <t>95176</t>
        </is>
      </c>
      <c r="I21" s="155" t="inlineStr">
        <is>
          <t>50 ml</t>
        </is>
      </c>
      <c r="J21" s="155" t="inlineStr">
        <is>
          <t>1.7 fl oz</t>
        </is>
      </c>
      <c r="K21" s="155" t="inlineStr">
        <is>
          <t>Tru Western</t>
        </is>
      </c>
      <c r="L21" s="155" t="inlineStr">
        <is>
          <t>Tru Western - EDP - 50mL - Love &amp; Lyrics Crush</t>
        </is>
      </c>
      <c r="M21" s="155" t="inlineStr">
        <is>
          <t>Accesorios</t>
        </is>
      </c>
      <c r="N21" s="155" t="inlineStr">
        <is>
          <t>Fragancias</t>
        </is>
      </c>
      <c r="O21" s="155" t="inlineStr">
        <is>
          <t>Unisex</t>
        </is>
      </c>
      <c r="P21" s="155" t="inlineStr">
        <is>
          <t>Tru Western</t>
        </is>
      </c>
      <c r="Q21" s="155" t="inlineStr">
        <is>
          <t>SS26</t>
        </is>
      </c>
      <c r="R21" s="155" t="inlineStr">
        <is>
          <t>Seasonal</t>
        </is>
      </c>
      <c r="S21" s="155" t="n"/>
      <c r="T21" s="155" t="n"/>
      <c r="U21" s="155" t="n"/>
      <c r="V21" s="155" t="n"/>
      <c r="W21" s="155" t="n"/>
      <c r="X21" s="155" t="n"/>
      <c r="Y21" s="155" t="inlineStr">
        <is>
          <t>PZS</t>
        </is>
      </c>
      <c r="Z21" s="59" t="inlineStr">
        <is>
          <t>53131620</t>
        </is>
      </c>
      <c r="AA21" s="126" t="inlineStr">
        <is>
          <t>https://m-universal-unique-brands.odoo.com/web/image/product.product/27704/image_1920</t>
        </is>
      </c>
      <c r="AB21" s="61" t="n">
        <v>35</v>
      </c>
      <c r="AC21" s="61" t="n">
        <v>399</v>
      </c>
      <c r="AD21" s="62" t="inlineStr">
        <is>
          <t>Válido</t>
        </is>
      </c>
      <c r="AE21" s="64" t="n"/>
      <c r="AF21" s="64" t="n"/>
      <c r="AG21" s="59" t="n"/>
      <c r="AH21" s="155" t="n"/>
      <c r="AI21" s="59" t="n"/>
      <c r="AJ21" s="155" t="inlineStr">
        <is>
          <t>Nuevo – Carga Hoja2 01/10/2026</t>
        </is>
      </c>
      <c r="AK21" s="155" t="inlineStr">
        <is>
          <t>Alta 01/10/2026 desde Hoja2 (fila 426) | 01/10/2026: complementado desde Odoo Universal Unique Brands (match por código de barras): WB N.º de estilo, WB Talla, WB Talla de EE. UU., WB Género, WB Licencia, WB Temporada, WB Ciclo de vida, Enlace de imagen</t>
        </is>
      </c>
      <c r="AL21" s="155" t="n"/>
      <c r="AM21" s="155" t="n"/>
      <c r="AN21" s="155" t="inlineStr">
        <is>
          <t>Hoja2: fila 426 | Odoo: producto 27704 / plantilla 34440</t>
        </is>
      </c>
      <c r="AO21" s="58" t="n"/>
      <c r="AP21" s="58" t="n"/>
      <c r="AQ21" s="155" t="inlineStr">
        <is>
          <t>Odoo Universal Unique Brands</t>
        </is>
      </c>
      <c r="AR21" s="59" t="n"/>
      <c r="AS21" s="59" t="n"/>
      <c r="AT21" s="59" t="n">
        <v>15</v>
      </c>
      <c r="AU21" s="155" t="inlineStr">
        <is>
          <t>Odoo Universal Unique Brands › Bodega 25 › Bodega 25/General: 2 | Odoo Universal Unique Brands › Bodega 25 › Bodega 25/Output: 13</t>
        </is>
      </c>
    </row>
    <row r="22">
      <c r="A22" s="51" t="n">
        <v>11</v>
      </c>
      <c r="B22" s="156" t="inlineStr">
        <is>
          <t>Productos — registro conservado</t>
        </is>
      </c>
      <c r="C22" s="125" t="inlineStr">
        <is>
          <t>Homologación G1522: mismo producto (mismo código de barras)</t>
        </is>
      </c>
      <c r="D22" s="60" t="inlineStr">
        <is>
          <t>087327012480</t>
        </is>
      </c>
      <c r="E22" s="59" t="inlineStr">
        <is>
          <t>111721</t>
        </is>
      </c>
      <c r="F22" s="155" t="inlineStr">
        <is>
          <t>Multimarca</t>
        </is>
      </c>
      <c r="G22" s="155" t="inlineStr">
        <is>
          <t>95194</t>
        </is>
      </c>
      <c r="H22" s="155" t="inlineStr">
        <is>
          <t>95194-3.4oz/100mL</t>
        </is>
      </c>
      <c r="I22" s="155" t="inlineStr">
        <is>
          <t>100 ml</t>
        </is>
      </c>
      <c r="J22" s="155" t="inlineStr">
        <is>
          <t>3.4 / 3.5 fl oz</t>
        </is>
      </c>
      <c r="K22" s="155" t="inlineStr">
        <is>
          <t>Tru Western</t>
        </is>
      </c>
      <c r="L22" s="155" t="inlineStr">
        <is>
          <t>Perfume Cowboy Gunslinger</t>
        </is>
      </c>
      <c r="M22" s="155" t="inlineStr">
        <is>
          <t>Accesorios</t>
        </is>
      </c>
      <c r="N22" s="155" t="inlineStr">
        <is>
          <t>Fragancias</t>
        </is>
      </c>
      <c r="O22" s="155" t="inlineStr">
        <is>
          <t>Unisex</t>
        </is>
      </c>
      <c r="P22" s="155" t="inlineStr">
        <is>
          <t>Tru Western</t>
        </is>
      </c>
      <c r="Q22" s="155" t="inlineStr">
        <is>
          <t>SS26</t>
        </is>
      </c>
      <c r="R22" s="155" t="inlineStr">
        <is>
          <t>Seasonal</t>
        </is>
      </c>
      <c r="S22" s="155" t="n"/>
      <c r="T22" s="155" t="n"/>
      <c r="U22" s="155" t="n"/>
      <c r="V22" s="155" t="n"/>
      <c r="W22" s="155" t="inlineStr">
        <is>
          <t>Perfume Cowboy Gunslinger. Fragancia de la marca Tru Western. Estilo 95194.</t>
        </is>
      </c>
      <c r="X22" s="155" t="inlineStr">
        <is>
          <t>Estados Unidos</t>
        </is>
      </c>
      <c r="Y22" s="155" t="inlineStr">
        <is>
          <t>PZS</t>
        </is>
      </c>
      <c r="Z22" s="59" t="inlineStr">
        <is>
          <t>53131620</t>
        </is>
      </c>
      <c r="AA22" s="126" t="inlineStr">
        <is>
          <t>https://m-universal-unique-brands.odoo.com/web/image/product.product/27675/image_1920</t>
        </is>
      </c>
      <c r="AB22" s="61" t="n">
        <v>266.875</v>
      </c>
      <c r="AC22" s="61" t="n">
        <v>904.3103448000001</v>
      </c>
      <c r="AD22" s="62" t="inlineStr">
        <is>
          <t>Válido</t>
        </is>
      </c>
      <c r="AE22" s="64" t="n"/>
      <c r="AF22" s="64" t="n"/>
      <c r="AG22" s="59" t="n">
        <v>4</v>
      </c>
      <c r="AH22" s="155" t="inlineStr">
        <is>
          <t>WB OUTLET LERMA: 4</t>
        </is>
      </c>
      <c r="AI22" s="59" t="n">
        <v>4</v>
      </c>
      <c r="AJ22" s="155" t="inlineStr">
        <is>
          <t>Nuevo – NetSuite con existencia</t>
        </is>
      </c>
      <c r="AK22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22" s="155" t="inlineStr">
        <is>
          <t>No</t>
        </is>
      </c>
      <c r="AM22" s="155" t="n"/>
      <c r="AN22" s="155" t="inlineStr">
        <is>
          <t>ProductosCatalogoEstandar907.xlsx: fila 50925 [N,O,U,Y] | Catálogo y Criterios: F [G]; G1522_Extraccion_Articulos_NetSuite_2026-09-30.xlsx: fila 59369 [H,V,Y] | Shopify WB: producto 8576547487929 / variante 47777664499897</t>
        </is>
      </c>
      <c r="AO22" s="58" t="n">
        <v>366.245</v>
      </c>
      <c r="AP22" s="58" t="n">
        <v>1048.99999997</v>
      </c>
      <c r="AQ22" s="155" t="inlineStr">
        <is>
          <t>Shopify Western Brothers</t>
        </is>
      </c>
      <c r="AR22" s="59" t="n"/>
      <c r="AS22" s="59" t="n">
        <v>4</v>
      </c>
      <c r="AT22" s="59" t="n"/>
      <c r="AU22" s="155" t="inlineStr">
        <is>
          <t>Shopify Western Brothers › Western Brothers Outlet Lerma: 4</t>
        </is>
      </c>
    </row>
    <row r="23">
      <c r="A23" s="51" t="n">
        <v>11</v>
      </c>
      <c r="B23" s="156" t="inlineStr">
        <is>
          <t>Productos — registro integrado en el anterior</t>
        </is>
      </c>
      <c r="C23" s="125" t="inlineStr">
        <is>
          <t>Homologación G1522: mismo producto (mismo código de barras)</t>
        </is>
      </c>
      <c r="D23" s="60" t="inlineStr">
        <is>
          <t>087327012480</t>
        </is>
      </c>
      <c r="E23" s="59" t="inlineStr">
        <is>
          <t>27675</t>
        </is>
      </c>
      <c r="F23" s="155" t="inlineStr">
        <is>
          <t>Tru Western</t>
        </is>
      </c>
      <c r="G23" s="155" t="inlineStr">
        <is>
          <t>95194</t>
        </is>
      </c>
      <c r="H23" s="155" t="inlineStr">
        <is>
          <t>95194</t>
        </is>
      </c>
      <c r="I23" s="155" t="inlineStr">
        <is>
          <t>100 ml</t>
        </is>
      </c>
      <c r="J23" s="155" t="inlineStr">
        <is>
          <t>3.4 / 3.5 fl oz</t>
        </is>
      </c>
      <c r="K23" s="155" t="inlineStr">
        <is>
          <t>Tru Western</t>
        </is>
      </c>
      <c r="L23" s="155" t="inlineStr">
        <is>
          <t>Tru Western - EDC - 100mL - Cowboy Gunslinger</t>
        </is>
      </c>
      <c r="M23" s="155" t="inlineStr">
        <is>
          <t>Accesorios</t>
        </is>
      </c>
      <c r="N23" s="155" t="inlineStr">
        <is>
          <t>Fragancias</t>
        </is>
      </c>
      <c r="O23" s="155" t="inlineStr">
        <is>
          <t>Unisex</t>
        </is>
      </c>
      <c r="P23" s="155" t="inlineStr">
        <is>
          <t>Tru Western</t>
        </is>
      </c>
      <c r="Q23" s="155" t="inlineStr">
        <is>
          <t>SS26</t>
        </is>
      </c>
      <c r="R23" s="155" t="inlineStr">
        <is>
          <t>Seasonal</t>
        </is>
      </c>
      <c r="S23" s="155" t="n"/>
      <c r="T23" s="155" t="n"/>
      <c r="U23" s="155" t="n"/>
      <c r="V23" s="155" t="n"/>
      <c r="W23" s="155" t="n"/>
      <c r="X23" s="155" t="n"/>
      <c r="Y23" s="155" t="inlineStr">
        <is>
          <t>PZS</t>
        </is>
      </c>
      <c r="Z23" s="59" t="inlineStr">
        <is>
          <t>53131620</t>
        </is>
      </c>
      <c r="AA23" s="126" t="inlineStr">
        <is>
          <t>https://m-universal-unique-brands.odoo.com/web/image/product.product/27675/image_1920</t>
        </is>
      </c>
      <c r="AB23" s="61" t="n">
        <v>45</v>
      </c>
      <c r="AC23" s="61" t="n">
        <v>499</v>
      </c>
      <c r="AD23" s="62" t="inlineStr">
        <is>
          <t>Válido</t>
        </is>
      </c>
      <c r="AE23" s="64" t="n"/>
      <c r="AF23" s="64" t="n"/>
      <c r="AG23" s="59" t="n"/>
      <c r="AH23" s="155" t="n"/>
      <c r="AI23" s="59" t="n"/>
      <c r="AJ23" s="155" t="inlineStr">
        <is>
          <t>Nuevo – Carga Hoja2 01/10/2026</t>
        </is>
      </c>
      <c r="AK23" s="155" t="inlineStr">
        <is>
          <t>Alta 01/10/2026 desde Hoja2 (fila 428) | 01/10/2026: complementado desde Odoo Universal Unique Brands (match por código de barras): WB N.º de estilo, WB Talla, WB Talla de EE. UU., WB Género, WB Licencia, WB Temporada, WB Ciclo de vida, Enlace de imagen</t>
        </is>
      </c>
      <c r="AL23" s="155" t="n"/>
      <c r="AM23" s="155" t="n"/>
      <c r="AN23" s="155" t="inlineStr">
        <is>
          <t>Hoja2: fila 428 | Odoo: producto 27675 / plantilla 34411</t>
        </is>
      </c>
      <c r="AO23" s="58" t="n"/>
      <c r="AP23" s="58" t="n"/>
      <c r="AQ23" s="155" t="inlineStr">
        <is>
          <t>Odoo Universal Unique Brands</t>
        </is>
      </c>
      <c r="AR23" s="59" t="n"/>
      <c r="AS23" s="59" t="n"/>
      <c r="AT23" s="59" t="n">
        <v>2</v>
      </c>
      <c r="AU23" s="155" t="inlineStr">
        <is>
          <t>Odoo Universal Unique Brands › Bodega 25 › Bodega 25/Output: 12</t>
        </is>
      </c>
    </row>
    <row r="24">
      <c r="A24" s="51" t="n">
        <v>12</v>
      </c>
      <c r="B24" s="156" t="inlineStr">
        <is>
          <t>Productos — registro conservado</t>
        </is>
      </c>
      <c r="C24" s="125" t="inlineStr">
        <is>
          <t>Homologación G1522: mismo producto (mismo código de barras)</t>
        </is>
      </c>
      <c r="D24" s="60" t="inlineStr">
        <is>
          <t>087327012954</t>
        </is>
      </c>
      <c r="E24" s="59" t="inlineStr">
        <is>
          <t>111707</t>
        </is>
      </c>
      <c r="F24" s="155" t="inlineStr">
        <is>
          <t>Multimarca</t>
        </is>
      </c>
      <c r="G24" s="155" t="inlineStr">
        <is>
          <t>95302</t>
        </is>
      </c>
      <c r="H24" s="155" t="inlineStr">
        <is>
          <t>95302-3.4oz/100mL</t>
        </is>
      </c>
      <c r="I24" s="155" t="inlineStr">
        <is>
          <t>100 ml</t>
        </is>
      </c>
      <c r="J24" s="155" t="inlineStr">
        <is>
          <t>3.4 / 3.5 fl oz</t>
        </is>
      </c>
      <c r="K24" s="155" t="inlineStr">
        <is>
          <t>Tru Western</t>
        </is>
      </c>
      <c r="L24" s="155" t="inlineStr">
        <is>
          <t>Perfume Yellowstone Eau de Cologne</t>
        </is>
      </c>
      <c r="M24" s="155" t="inlineStr">
        <is>
          <t>Accesorios</t>
        </is>
      </c>
      <c r="N24" s="155" t="inlineStr">
        <is>
          <t>Fragancias</t>
        </is>
      </c>
      <c r="O24" s="155" t="inlineStr">
        <is>
          <t>Unisex</t>
        </is>
      </c>
      <c r="P24" s="155" t="inlineStr">
        <is>
          <t>Tru Western</t>
        </is>
      </c>
      <c r="Q24" s="155" t="inlineStr">
        <is>
          <t>SS26</t>
        </is>
      </c>
      <c r="R24" s="155" t="inlineStr">
        <is>
          <t>Seasonal</t>
        </is>
      </c>
      <c r="S24" s="155" t="n"/>
      <c r="T24" s="155" t="n"/>
      <c r="U24" s="155" t="n"/>
      <c r="V24" s="155" t="n"/>
      <c r="W24" s="155" t="inlineStr">
        <is>
          <t>Perfume Yellowstone Eau de Cologne. Fragancia de la marca Tru Western. Estilo 95302.</t>
        </is>
      </c>
      <c r="X24" s="155" t="inlineStr">
        <is>
          <t>Estados Unidos</t>
        </is>
      </c>
      <c r="Y24" s="155" t="inlineStr">
        <is>
          <t>PZS</t>
        </is>
      </c>
      <c r="Z24" s="59" t="inlineStr">
        <is>
          <t>53131620</t>
        </is>
      </c>
      <c r="AA24" s="126" t="inlineStr">
        <is>
          <t>https://m-universal-unique-brands.odoo.com/web/image/product.product/27663/image_1920</t>
        </is>
      </c>
      <c r="AB24" s="61" t="n">
        <v>362.075</v>
      </c>
      <c r="AC24" s="61" t="n">
        <v>1249.137931</v>
      </c>
      <c r="AD24" s="62" t="inlineStr">
        <is>
          <t>Válido</t>
        </is>
      </c>
      <c r="AE24" s="64" t="n"/>
      <c r="AF24" s="64" t="n"/>
      <c r="AG24" s="59" t="n">
        <v>0</v>
      </c>
      <c r="AH24" s="155" t="n"/>
      <c r="AI24" s="59" t="n">
        <v>0</v>
      </c>
      <c r="AJ24" s="155" t="inlineStr">
        <is>
          <t>Nuevo – NetSuite sin existencia</t>
        </is>
      </c>
      <c r="AK24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24" s="155" t="inlineStr">
        <is>
          <t>No</t>
        </is>
      </c>
      <c r="AM24" s="155" t="n"/>
      <c r="AN24" s="155" t="inlineStr">
        <is>
          <t>ProductosCatalogoEstandar907.xlsx: fila 50926 [N,O,U,Y] | Catálogo y Criterios: F [G]; G1522_Extraccion_Articulos_NetSuite_2026-09-30.xlsx: fila 59355 [H,V,Y] | Shopify WB: producto 8576546832569 / variante 47777662959801</t>
        </is>
      </c>
      <c r="AO24" s="58" t="n">
        <v>679</v>
      </c>
      <c r="AP24" s="58" t="n">
        <v>1448.99999996</v>
      </c>
      <c r="AQ24" s="155" t="inlineStr">
        <is>
          <t>Shopify Western Brothers</t>
        </is>
      </c>
      <c r="AR24" s="59" t="n"/>
      <c r="AS24" s="59" t="n">
        <v>0</v>
      </c>
      <c r="AT24" s="59" t="n"/>
      <c r="AU24" s="155" t="n"/>
    </row>
    <row r="25">
      <c r="A25" s="51" t="n">
        <v>12</v>
      </c>
      <c r="B25" s="156" t="inlineStr">
        <is>
          <t>Productos — registro integrado en el anterior</t>
        </is>
      </c>
      <c r="C25" s="125" t="inlineStr">
        <is>
          <t>Homologación G1522: mismo producto (mismo código de barras)</t>
        </is>
      </c>
      <c r="D25" s="60" t="inlineStr">
        <is>
          <t>087327012954</t>
        </is>
      </c>
      <c r="E25" s="59" t="inlineStr">
        <is>
          <t>27663</t>
        </is>
      </c>
      <c r="F25" s="155" t="inlineStr">
        <is>
          <t>Tru Western</t>
        </is>
      </c>
      <c r="G25" s="155" t="inlineStr">
        <is>
          <t>95302</t>
        </is>
      </c>
      <c r="H25" s="155" t="inlineStr">
        <is>
          <t>95302</t>
        </is>
      </c>
      <c r="I25" s="155" t="inlineStr">
        <is>
          <t>100 ml</t>
        </is>
      </c>
      <c r="J25" s="155" t="inlineStr">
        <is>
          <t>3.4 / 3.5 fl oz</t>
        </is>
      </c>
      <c r="K25" s="155" t="inlineStr">
        <is>
          <t>Tru Western</t>
        </is>
      </c>
      <c r="L25" s="155" t="inlineStr">
        <is>
          <t>Tru Western - Yellowstone Men's - EDC - 100mL - Original</t>
        </is>
      </c>
      <c r="M25" s="155" t="inlineStr">
        <is>
          <t>Accesorios</t>
        </is>
      </c>
      <c r="N25" s="155" t="inlineStr">
        <is>
          <t>Fragancias</t>
        </is>
      </c>
      <c r="O25" s="155" t="inlineStr">
        <is>
          <t>Hombre</t>
        </is>
      </c>
      <c r="P25" s="155" t="inlineStr">
        <is>
          <t>Yellowstone</t>
        </is>
      </c>
      <c r="Q25" s="155" t="inlineStr">
        <is>
          <t>SS26</t>
        </is>
      </c>
      <c r="R25" s="155" t="inlineStr">
        <is>
          <t>Seasonal</t>
        </is>
      </c>
      <c r="S25" s="155" t="n"/>
      <c r="T25" s="155" t="n"/>
      <c r="U25" s="155" t="n"/>
      <c r="V25" s="155" t="n"/>
      <c r="W25" s="155" t="n"/>
      <c r="X25" s="155" t="n"/>
      <c r="Y25" s="155" t="inlineStr">
        <is>
          <t>PZS</t>
        </is>
      </c>
      <c r="Z25" s="59" t="inlineStr">
        <is>
          <t>53131620</t>
        </is>
      </c>
      <c r="AA25" s="126" t="inlineStr">
        <is>
          <t>https://m-universal-unique-brands.odoo.com/web/image/product.product/27663/image_1920</t>
        </is>
      </c>
      <c r="AB25" s="61" t="n">
        <v>60</v>
      </c>
      <c r="AC25" s="61" t="n">
        <v>679</v>
      </c>
      <c r="AD25" s="62" t="inlineStr">
        <is>
          <t>Válido</t>
        </is>
      </c>
      <c r="AE25" s="64" t="n"/>
      <c r="AF25" s="64" t="n"/>
      <c r="AG25" s="59" t="n"/>
      <c r="AH25" s="155" t="n"/>
      <c r="AI25" s="59" t="n"/>
      <c r="AJ25" s="155" t="inlineStr">
        <is>
          <t>Nuevo – Carga Hoja2 01/10/2026</t>
        </is>
      </c>
      <c r="AK25" s="155" t="inlineStr">
        <is>
          <t>Alta 01/10/2026 desde Hoja2 (fila 430) | 01/10/2026: complementado desde Odoo Universal Unique Brands (match por código de barras): WB N.º de estilo, WB Talla, WB Talla de EE. UU., WB Género, WB Licencia, WB Temporada, WB Ciclo de vida, Enlace de imagen</t>
        </is>
      </c>
      <c r="AL25" s="155" t="n"/>
      <c r="AM25" s="155" t="n"/>
      <c r="AN25" s="155" t="inlineStr">
        <is>
          <t>Hoja2: fila 430 | Odoo: producto 27663 / plantilla 34399</t>
        </is>
      </c>
      <c r="AO25" s="58" t="n"/>
      <c r="AP25" s="58" t="n"/>
      <c r="AQ25" s="155" t="inlineStr">
        <is>
          <t>Odoo Universal Unique Brands</t>
        </is>
      </c>
      <c r="AR25" s="59" t="n"/>
      <c r="AS25" s="59" t="n"/>
      <c r="AT25" s="59" t="n">
        <v>-32</v>
      </c>
      <c r="AU25" s="155" t="inlineStr">
        <is>
          <t>Odoo Universal Unique Brands › Bodega 25 › Bodega 25/Output: 12</t>
        </is>
      </c>
    </row>
    <row r="26">
      <c r="A26" s="51" t="n">
        <v>13</v>
      </c>
      <c r="B26" s="156" t="inlineStr">
        <is>
          <t>Productos — registro conservado</t>
        </is>
      </c>
      <c r="C26" s="125" t="inlineStr">
        <is>
          <t>Homologación G1522: mismo producto (mismo código de barras)</t>
        </is>
      </c>
      <c r="D26" s="60" t="inlineStr">
        <is>
          <t>087327012961</t>
        </is>
      </c>
      <c r="E26" s="59" t="inlineStr">
        <is>
          <t>111713</t>
        </is>
      </c>
      <c r="F26" s="155" t="inlineStr">
        <is>
          <t>Multimarca</t>
        </is>
      </c>
      <c r="G26" s="155" t="inlineStr">
        <is>
          <t>95513</t>
        </is>
      </c>
      <c r="H26" s="155" t="inlineStr">
        <is>
          <t>95513-1.7oz/50mL</t>
        </is>
      </c>
      <c r="I26" s="155" t="inlineStr">
        <is>
          <t>50 ml</t>
        </is>
      </c>
      <c r="J26" s="155" t="inlineStr">
        <is>
          <t>1.7 fl oz</t>
        </is>
      </c>
      <c r="K26" s="155" t="inlineStr">
        <is>
          <t>Tru Western</t>
        </is>
      </c>
      <c r="L26" s="155" t="inlineStr">
        <is>
          <t>Perfume Yellowstone Original Eau de Parfum</t>
        </is>
      </c>
      <c r="M26" s="155" t="inlineStr">
        <is>
          <t>Accesorios</t>
        </is>
      </c>
      <c r="N26" s="155" t="inlineStr">
        <is>
          <t>Fragancias</t>
        </is>
      </c>
      <c r="O26" s="155" t="inlineStr">
        <is>
          <t>Unisex</t>
        </is>
      </c>
      <c r="P26" s="155" t="inlineStr">
        <is>
          <t>Tru Western</t>
        </is>
      </c>
      <c r="Q26" s="155" t="inlineStr">
        <is>
          <t>SS26</t>
        </is>
      </c>
      <c r="R26" s="155" t="inlineStr">
        <is>
          <t>Seasonal</t>
        </is>
      </c>
      <c r="S26" s="155" t="n"/>
      <c r="T26" s="155" t="n"/>
      <c r="U26" s="155" t="n"/>
      <c r="V26" s="155" t="n"/>
      <c r="W26" s="155" t="inlineStr">
        <is>
          <t>Perfume Yellowstone Original Eau de Parfum. Fragancia de la marca Tru Western. Estilo 95513.</t>
        </is>
      </c>
      <c r="X26" s="155" t="inlineStr">
        <is>
          <t>Estados Unidos</t>
        </is>
      </c>
      <c r="Y26" s="155" t="inlineStr">
        <is>
          <t>PZS</t>
        </is>
      </c>
      <c r="Z26" s="59" t="inlineStr">
        <is>
          <t>53131620</t>
        </is>
      </c>
      <c r="AA26" s="126" t="inlineStr">
        <is>
          <t>https://m-universal-unique-brands.odoo.com/web/image/product.product/27693/image_1920</t>
        </is>
      </c>
      <c r="AB26" s="61" t="n">
        <v>331.8</v>
      </c>
      <c r="AC26" s="61" t="n">
        <v>1119.827586</v>
      </c>
      <c r="AD26" s="62" t="inlineStr">
        <is>
          <t>Válido</t>
        </is>
      </c>
      <c r="AE26" s="64" t="n"/>
      <c r="AF26" s="64" t="n"/>
      <c r="AG26" s="59" t="n">
        <v>5</v>
      </c>
      <c r="AH26" s="155" t="inlineStr">
        <is>
          <t>WB OUTLET LERMA: 5</t>
        </is>
      </c>
      <c r="AI26" s="59" t="n">
        <v>5</v>
      </c>
      <c r="AJ26" s="155" t="inlineStr">
        <is>
          <t>Nuevo – NetSuite con existencia</t>
        </is>
      </c>
      <c r="AK26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26" s="155" t="inlineStr">
        <is>
          <t>No</t>
        </is>
      </c>
      <c r="AM26" s="155" t="n"/>
      <c r="AN26" s="155" t="inlineStr">
        <is>
          <t>ProductosCatalogoEstandar907.xlsx: fila 50927 [N,O,U,Y] | Catálogo y Criterios: F [G]; G1522_Extraccion_Articulos_NetSuite_2026-09-30.xlsx: fila 59361 [H,V,Y] | Shopify WB: producto 8576547061945 / variante 47777663484089</t>
        </is>
      </c>
      <c r="AO26" s="58" t="n">
        <v>619</v>
      </c>
      <c r="AP26" s="58" t="n">
        <v>1298.99999976</v>
      </c>
      <c r="AQ26" s="155" t="inlineStr">
        <is>
          <t>Shopify Western Brothers</t>
        </is>
      </c>
      <c r="AR26" s="59" t="n"/>
      <c r="AS26" s="59" t="n">
        <v>5</v>
      </c>
      <c r="AT26" s="59" t="n"/>
      <c r="AU26" s="155" t="inlineStr">
        <is>
          <t>Shopify Western Brothers › Western Brothers Outlet Lerma: 5</t>
        </is>
      </c>
    </row>
    <row r="27">
      <c r="A27" s="51" t="n">
        <v>13</v>
      </c>
      <c r="B27" s="156" t="inlineStr">
        <is>
          <t>Productos — registro integrado en el anterior</t>
        </is>
      </c>
      <c r="C27" s="125" t="inlineStr">
        <is>
          <t>Homologación G1522: mismo producto (mismo código de barras)</t>
        </is>
      </c>
      <c r="D27" s="60" t="inlineStr">
        <is>
          <t>087327012961</t>
        </is>
      </c>
      <c r="E27" s="59" t="inlineStr">
        <is>
          <t>27693</t>
        </is>
      </c>
      <c r="F27" s="155" t="inlineStr">
        <is>
          <t>Tru Western</t>
        </is>
      </c>
      <c r="G27" s="155" t="inlineStr">
        <is>
          <t>95513</t>
        </is>
      </c>
      <c r="H27" s="155" t="inlineStr">
        <is>
          <t>95513</t>
        </is>
      </c>
      <c r="I27" s="155" t="inlineStr">
        <is>
          <t>50 ml</t>
        </is>
      </c>
      <c r="J27" s="155" t="inlineStr">
        <is>
          <t>1.7 fl oz</t>
        </is>
      </c>
      <c r="K27" s="155" t="inlineStr">
        <is>
          <t>Tru Western</t>
        </is>
      </c>
      <c r="L27" s="155" t="inlineStr">
        <is>
          <t>Tru Western - Yellowstone Women's - EDP - 50mL - Original</t>
        </is>
      </c>
      <c r="M27" s="155" t="inlineStr">
        <is>
          <t>Accesorios</t>
        </is>
      </c>
      <c r="N27" s="155" t="inlineStr">
        <is>
          <t>Fragancias</t>
        </is>
      </c>
      <c r="O27" s="155" t="inlineStr">
        <is>
          <t>Mujer</t>
        </is>
      </c>
      <c r="P27" s="155" t="inlineStr">
        <is>
          <t>Yellowstone</t>
        </is>
      </c>
      <c r="Q27" s="155" t="inlineStr">
        <is>
          <t>SS26</t>
        </is>
      </c>
      <c r="R27" s="155" t="inlineStr">
        <is>
          <t>Seasonal</t>
        </is>
      </c>
      <c r="S27" s="155" t="n"/>
      <c r="T27" s="155" t="n"/>
      <c r="U27" s="155" t="n"/>
      <c r="V27" s="155" t="n"/>
      <c r="W27" s="155" t="n"/>
      <c r="X27" s="155" t="n"/>
      <c r="Y27" s="155" t="inlineStr">
        <is>
          <t>PZS</t>
        </is>
      </c>
      <c r="Z27" s="59" t="inlineStr">
        <is>
          <t>53131620</t>
        </is>
      </c>
      <c r="AA27" s="126" t="inlineStr">
        <is>
          <t>https://m-universal-unique-brands.odoo.com/web/image/product.product/27693/image_1920</t>
        </is>
      </c>
      <c r="AB27" s="61" t="n">
        <v>55</v>
      </c>
      <c r="AC27" s="61" t="n">
        <v>619</v>
      </c>
      <c r="AD27" s="62" t="inlineStr">
        <is>
          <t>Válido</t>
        </is>
      </c>
      <c r="AE27" s="64" t="n"/>
      <c r="AF27" s="64" t="n"/>
      <c r="AG27" s="59" t="n"/>
      <c r="AH27" s="155" t="n"/>
      <c r="AI27" s="59" t="n"/>
      <c r="AJ27" s="155" t="inlineStr">
        <is>
          <t>Nuevo – Carga Hoja2 01/10/2026</t>
        </is>
      </c>
      <c r="AK27" s="155" t="inlineStr">
        <is>
          <t>Alta 01/10/2026 desde Hoja2 (fila 431) | 01/10/2026: complementado desde Odoo Universal Unique Brands (match por código de barras): WB N.º de estilo, WB Talla, WB Talla de EE. UU., WB Género, WB Licencia, WB Temporada, WB Ciclo de vida, Enlace de imagen</t>
        </is>
      </c>
      <c r="AL27" s="155" t="n"/>
      <c r="AM27" s="155" t="n"/>
      <c r="AN27" s="155" t="inlineStr">
        <is>
          <t>Hoja2: fila 431 | Odoo: producto 27693 / plantilla 34429</t>
        </is>
      </c>
      <c r="AO27" s="58" t="n"/>
      <c r="AP27" s="58" t="n"/>
      <c r="AQ27" s="155" t="inlineStr">
        <is>
          <t>Odoo Universal Unique Brands</t>
        </is>
      </c>
      <c r="AR27" s="59" t="n"/>
      <c r="AS27" s="59" t="n"/>
      <c r="AT27" s="59" t="n">
        <v>26</v>
      </c>
      <c r="AU27" s="155" t="inlineStr">
        <is>
          <t>Odoo Universal Unique Brands › Bodega 25 › Bodega 25/General: 11 | Odoo Universal Unique Brands › Bodega 25 › Bodega 25/Output: 15</t>
        </is>
      </c>
    </row>
    <row r="28">
      <c r="A28" s="51" t="n">
        <v>14</v>
      </c>
      <c r="B28" s="156" t="inlineStr">
        <is>
          <t>Productos — registro conservado</t>
        </is>
      </c>
      <c r="C28" s="125" t="inlineStr">
        <is>
          <t>Homologación G1522: mismo producto (mismo código de barras)</t>
        </is>
      </c>
      <c r="D28" s="60" t="inlineStr">
        <is>
          <t>087327014439</t>
        </is>
      </c>
      <c r="E28" s="59" t="inlineStr">
        <is>
          <t>111706</t>
        </is>
      </c>
      <c r="F28" s="155" t="inlineStr">
        <is>
          <t>Multimarca</t>
        </is>
      </c>
      <c r="G28" s="155" t="inlineStr">
        <is>
          <t>96202</t>
        </is>
      </c>
      <c r="H28" s="155" t="inlineStr">
        <is>
          <t>96202-3.4oz/100mL</t>
        </is>
      </c>
      <c r="I28" s="155" t="inlineStr">
        <is>
          <t>100 ml</t>
        </is>
      </c>
      <c r="J28" s="155" t="inlineStr">
        <is>
          <t>3.4 / 3.5 fl oz</t>
        </is>
      </c>
      <c r="K28" s="155" t="inlineStr">
        <is>
          <t>Tru Western</t>
        </is>
      </c>
      <c r="L28" s="155" t="inlineStr">
        <is>
          <t>Perfume Yellowstone Ride Eau de Cologne</t>
        </is>
      </c>
      <c r="M28" s="155" t="inlineStr">
        <is>
          <t>Accesorios</t>
        </is>
      </c>
      <c r="N28" s="155" t="inlineStr">
        <is>
          <t>Fragancias</t>
        </is>
      </c>
      <c r="O28" s="155" t="inlineStr">
        <is>
          <t>Unisex</t>
        </is>
      </c>
      <c r="P28" s="155" t="inlineStr">
        <is>
          <t>Tru Western</t>
        </is>
      </c>
      <c r="Q28" s="155" t="inlineStr">
        <is>
          <t>SS26</t>
        </is>
      </c>
      <c r="R28" s="155" t="inlineStr">
        <is>
          <t>Seasonal</t>
        </is>
      </c>
      <c r="S28" s="155" t="n"/>
      <c r="T28" s="155" t="n"/>
      <c r="U28" s="155" t="n"/>
      <c r="V28" s="155" t="n"/>
      <c r="W28" s="155" t="inlineStr">
        <is>
          <t>Perfume Yellowstone Ride Eau de Cologne. Fragancia de la marca Tru Western. Estilo 96202.</t>
        </is>
      </c>
      <c r="X28" s="155" t="inlineStr">
        <is>
          <t>Estados Unidos</t>
        </is>
      </c>
      <c r="Y28" s="155" t="inlineStr">
        <is>
          <t>PZS</t>
        </is>
      </c>
      <c r="Z28" s="59" t="inlineStr">
        <is>
          <t>53131620</t>
        </is>
      </c>
      <c r="AA28" s="126" t="inlineStr">
        <is>
          <t>https://m-universal-unique-brands.odoo.com/web/image/product.product/27662/image_1920</t>
        </is>
      </c>
      <c r="AB28" s="61" t="n">
        <v>362.075</v>
      </c>
      <c r="AC28" s="61" t="n">
        <v>1249.137931</v>
      </c>
      <c r="AD28" s="62" t="inlineStr">
        <is>
          <t>Válido</t>
        </is>
      </c>
      <c r="AE28" s="64" t="n"/>
      <c r="AF28" s="64" t="n"/>
      <c r="AG28" s="59" t="n">
        <v>0</v>
      </c>
      <c r="AH28" s="155" t="n"/>
      <c r="AI28" s="59" t="n">
        <v>0</v>
      </c>
      <c r="AJ28" s="155" t="inlineStr">
        <is>
          <t>Nuevo – NetSuite sin existencia</t>
        </is>
      </c>
      <c r="AK28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28" s="155" t="inlineStr">
        <is>
          <t>No</t>
        </is>
      </c>
      <c r="AM28" s="155" t="n"/>
      <c r="AN28" s="155" t="inlineStr">
        <is>
          <t>ProductosCatalogoEstandar907.xlsx: fila 50928 [N,O,U,Y] | Catálogo y Criterios: F [G]; G1522_Extraccion_Articulos_NetSuite_2026-09-30.xlsx: fila 59354 [H,V,Y] | Shopify WB: producto 8576546799801 / variante 47777662927033</t>
        </is>
      </c>
      <c r="AO28" s="58" t="n">
        <v>679</v>
      </c>
      <c r="AP28" s="58" t="n">
        <v>1448.99999996</v>
      </c>
      <c r="AQ28" s="155" t="inlineStr">
        <is>
          <t>Shopify Western Brothers</t>
        </is>
      </c>
      <c r="AR28" s="59" t="n"/>
      <c r="AS28" s="59" t="n">
        <v>0</v>
      </c>
      <c r="AT28" s="59" t="n"/>
      <c r="AU28" s="155" t="n"/>
    </row>
    <row r="29">
      <c r="A29" s="51" t="n">
        <v>14</v>
      </c>
      <c r="B29" s="156" t="inlineStr">
        <is>
          <t>Productos — registro integrado en el anterior</t>
        </is>
      </c>
      <c r="C29" s="125" t="inlineStr">
        <is>
          <t>Homologación G1522: mismo producto (mismo código de barras)</t>
        </is>
      </c>
      <c r="D29" s="60" t="inlineStr">
        <is>
          <t>087327014439</t>
        </is>
      </c>
      <c r="E29" s="59" t="inlineStr">
        <is>
          <t>27662</t>
        </is>
      </c>
      <c r="F29" s="155" t="inlineStr">
        <is>
          <t>Tru Western</t>
        </is>
      </c>
      <c r="G29" s="155" t="inlineStr">
        <is>
          <t>96202</t>
        </is>
      </c>
      <c r="H29" s="155" t="inlineStr">
        <is>
          <t>96202</t>
        </is>
      </c>
      <c r="I29" s="155" t="inlineStr">
        <is>
          <t>100 ml</t>
        </is>
      </c>
      <c r="J29" s="155" t="inlineStr">
        <is>
          <t>3.4 / 3.5 fl oz</t>
        </is>
      </c>
      <c r="K29" s="155" t="inlineStr">
        <is>
          <t>Tru Western</t>
        </is>
      </c>
      <c r="L29" s="155" t="inlineStr">
        <is>
          <t>Tru Western - Yellowstone - EDC - 100mL - Ride</t>
        </is>
      </c>
      <c r="M29" s="155" t="inlineStr">
        <is>
          <t>Accesorios</t>
        </is>
      </c>
      <c r="N29" s="155" t="inlineStr">
        <is>
          <t>Fragancias</t>
        </is>
      </c>
      <c r="O29" s="155" t="inlineStr">
        <is>
          <t>Unisex</t>
        </is>
      </c>
      <c r="P29" s="155" t="inlineStr">
        <is>
          <t>Yellowstone</t>
        </is>
      </c>
      <c r="Q29" s="155" t="inlineStr">
        <is>
          <t>SS26</t>
        </is>
      </c>
      <c r="R29" s="155" t="inlineStr">
        <is>
          <t>Seasonal</t>
        </is>
      </c>
      <c r="S29" s="155" t="n"/>
      <c r="T29" s="155" t="n"/>
      <c r="U29" s="155" t="n"/>
      <c r="V29" s="155" t="n"/>
      <c r="W29" s="155" t="n"/>
      <c r="X29" s="155" t="n"/>
      <c r="Y29" s="155" t="inlineStr">
        <is>
          <t>PZS</t>
        </is>
      </c>
      <c r="Z29" s="59" t="inlineStr">
        <is>
          <t>53131620</t>
        </is>
      </c>
      <c r="AA29" s="126" t="inlineStr">
        <is>
          <t>https://m-universal-unique-brands.odoo.com/web/image/product.product/27662/image_1920</t>
        </is>
      </c>
      <c r="AB29" s="61" t="n">
        <v>60</v>
      </c>
      <c r="AC29" s="61" t="n">
        <v>679</v>
      </c>
      <c r="AD29" s="62" t="inlineStr">
        <is>
          <t>Válido</t>
        </is>
      </c>
      <c r="AE29" s="64" t="n"/>
      <c r="AF29" s="64" t="n"/>
      <c r="AG29" s="59" t="n"/>
      <c r="AH29" s="155" t="n"/>
      <c r="AI29" s="59" t="n"/>
      <c r="AJ29" s="155" t="inlineStr">
        <is>
          <t>Nuevo – Carga Hoja2 01/10/2026</t>
        </is>
      </c>
      <c r="AK29" s="155" t="inlineStr">
        <is>
          <t>Alta 01/10/2026 desde Hoja2 (fila 433) | 01/10/2026: complementado desde Odoo Universal Unique Brands (match por código de barras): WB N.º de estilo, WB Talla, WB Talla de EE. UU., WB Género, WB Licencia, WB Temporada, WB Ciclo de vida, Enlace de imagen</t>
        </is>
      </c>
      <c r="AL29" s="155" t="n"/>
      <c r="AM29" s="155" t="n"/>
      <c r="AN29" s="155" t="inlineStr">
        <is>
          <t>Hoja2: fila 433 | Odoo: producto 27662 / plantilla 34398</t>
        </is>
      </c>
      <c r="AO29" s="58" t="n"/>
      <c r="AP29" s="58" t="n"/>
      <c r="AQ29" s="155" t="inlineStr">
        <is>
          <t>Odoo Universal Unique Brands</t>
        </is>
      </c>
      <c r="AR29" s="59" t="n"/>
      <c r="AS29" s="59" t="n"/>
      <c r="AT29" s="59" t="n">
        <v>-10</v>
      </c>
      <c r="AU29" s="155" t="inlineStr">
        <is>
          <t>Odoo Universal Unique Brands › Bodega 25 › Bodega 25/Output: 12</t>
        </is>
      </c>
    </row>
    <row r="30">
      <c r="A30" s="51" t="n">
        <v>15</v>
      </c>
      <c r="B30" s="156" t="inlineStr">
        <is>
          <t>Productos — registro conservado</t>
        </is>
      </c>
      <c r="C30" s="125" t="inlineStr">
        <is>
          <t>Homologación G1522: mismo producto (mismo código de barras)</t>
        </is>
      </c>
      <c r="D30" s="60" t="inlineStr">
        <is>
          <t>087327014446</t>
        </is>
      </c>
      <c r="E30" s="59" t="inlineStr">
        <is>
          <t>111711</t>
        </is>
      </c>
      <c r="F30" s="155" t="inlineStr">
        <is>
          <t>Multimarca</t>
        </is>
      </c>
      <c r="G30" s="155" t="inlineStr">
        <is>
          <t>96203</t>
        </is>
      </c>
      <c r="H30" s="155" t="inlineStr">
        <is>
          <t>96203-1.7oz/50mL</t>
        </is>
      </c>
      <c r="I30" s="155" t="inlineStr">
        <is>
          <t>50 ml</t>
        </is>
      </c>
      <c r="J30" s="155" t="inlineStr">
        <is>
          <t>1.7 fl oz</t>
        </is>
      </c>
      <c r="K30" s="155" t="inlineStr">
        <is>
          <t>Tru Western</t>
        </is>
      </c>
      <c r="L30" s="155" t="inlineStr">
        <is>
          <t>Perfume Yellowstone Tornado Eau de Parfum</t>
        </is>
      </c>
      <c r="M30" s="155" t="inlineStr">
        <is>
          <t>Accesorios</t>
        </is>
      </c>
      <c r="N30" s="155" t="inlineStr">
        <is>
          <t>Fragancias</t>
        </is>
      </c>
      <c r="O30" s="155" t="inlineStr">
        <is>
          <t>Unisex</t>
        </is>
      </c>
      <c r="P30" s="155" t="inlineStr">
        <is>
          <t>Tru Western</t>
        </is>
      </c>
      <c r="Q30" s="155" t="inlineStr">
        <is>
          <t>SS26</t>
        </is>
      </c>
      <c r="R30" s="155" t="inlineStr">
        <is>
          <t>Seasonal</t>
        </is>
      </c>
      <c r="S30" s="155" t="n"/>
      <c r="T30" s="155" t="n"/>
      <c r="U30" s="155" t="n"/>
      <c r="V30" s="155" t="n"/>
      <c r="W30" s="155" t="inlineStr">
        <is>
          <t>Perfume Yellowstone Tornado Eau de Parfum. Fragancia de la marca Tru Western. Estilo 96203.</t>
        </is>
      </c>
      <c r="X30" s="155" t="inlineStr">
        <is>
          <t>Estados Unidos</t>
        </is>
      </c>
      <c r="Y30" s="155" t="inlineStr">
        <is>
          <t>PZS</t>
        </is>
      </c>
      <c r="Z30" s="59" t="inlineStr">
        <is>
          <t>53131620</t>
        </is>
      </c>
      <c r="AA30" s="126" t="inlineStr">
        <is>
          <t>https://m-universal-unique-brands.odoo.com/web/image/product.product/27691/image_1920</t>
        </is>
      </c>
      <c r="AB30" s="61" t="n">
        <v>331.8</v>
      </c>
      <c r="AC30" s="61" t="n">
        <v>1119.827586</v>
      </c>
      <c r="AD30" s="62" t="inlineStr">
        <is>
          <t>Válido</t>
        </is>
      </c>
      <c r="AE30" s="64" t="n"/>
      <c r="AF30" s="64" t="n"/>
      <c r="AG30" s="59" t="n">
        <v>3</v>
      </c>
      <c r="AH30" s="155" t="inlineStr">
        <is>
          <t>WB OUTLET LERMA: 3</t>
        </is>
      </c>
      <c r="AI30" s="59" t="n">
        <v>3</v>
      </c>
      <c r="AJ30" s="155" t="inlineStr">
        <is>
          <t>Nuevo – NetSuite con existencia</t>
        </is>
      </c>
      <c r="AK30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30" s="155" t="inlineStr">
        <is>
          <t>No</t>
        </is>
      </c>
      <c r="AM30" s="155" t="n"/>
      <c r="AN30" s="155" t="inlineStr">
        <is>
          <t>ProductosCatalogoEstandar907.xlsx: fila 50929 [N,O,U,Y] | Catálogo y Criterios: F [G]; G1522_Extraccion_Articulos_NetSuite_2026-09-30.xlsx: fila 59359 [H,V,Y] | Shopify WB: producto 8576546996409 / variante 47777663418553</t>
        </is>
      </c>
      <c r="AO30" s="58" t="n">
        <v>619</v>
      </c>
      <c r="AP30" s="58" t="n">
        <v>1298.99999976</v>
      </c>
      <c r="AQ30" s="155" t="inlineStr">
        <is>
          <t>Shopify Western Brothers</t>
        </is>
      </c>
      <c r="AR30" s="59" t="n"/>
      <c r="AS30" s="59" t="n">
        <v>3</v>
      </c>
      <c r="AT30" s="59" t="n"/>
      <c r="AU30" s="155" t="inlineStr">
        <is>
          <t>Shopify Western Brothers › Western Brothers Outlet Lerma: 3</t>
        </is>
      </c>
    </row>
    <row r="31">
      <c r="A31" s="51" t="n">
        <v>15</v>
      </c>
      <c r="B31" s="156" t="inlineStr">
        <is>
          <t>Productos — registro integrado en el anterior</t>
        </is>
      </c>
      <c r="C31" s="125" t="inlineStr">
        <is>
          <t>Homologación G1522: mismo producto (mismo código de barras)</t>
        </is>
      </c>
      <c r="D31" s="60" t="inlineStr">
        <is>
          <t>087327014446</t>
        </is>
      </c>
      <c r="E31" s="59" t="inlineStr">
        <is>
          <t>27691</t>
        </is>
      </c>
      <c r="F31" s="155" t="inlineStr">
        <is>
          <t>Tru Western</t>
        </is>
      </c>
      <c r="G31" s="155" t="inlineStr">
        <is>
          <t>96203</t>
        </is>
      </c>
      <c r="H31" s="155" t="inlineStr">
        <is>
          <t>96203</t>
        </is>
      </c>
      <c r="I31" s="155" t="inlineStr">
        <is>
          <t>50 ml</t>
        </is>
      </c>
      <c r="J31" s="155" t="inlineStr">
        <is>
          <t>1.7 fl oz</t>
        </is>
      </c>
      <c r="K31" s="155" t="inlineStr">
        <is>
          <t>Tru Western</t>
        </is>
      </c>
      <c r="L31" s="155" t="inlineStr">
        <is>
          <t>Tru Western - Yellowstone - EDP - 50mL - Tornado</t>
        </is>
      </c>
      <c r="M31" s="155" t="inlineStr">
        <is>
          <t>Accesorios</t>
        </is>
      </c>
      <c r="N31" s="155" t="inlineStr">
        <is>
          <t>Fragancias</t>
        </is>
      </c>
      <c r="O31" s="155" t="inlineStr">
        <is>
          <t>Unisex</t>
        </is>
      </c>
      <c r="P31" s="155" t="inlineStr">
        <is>
          <t>Yellowstone</t>
        </is>
      </c>
      <c r="Q31" s="155" t="inlineStr">
        <is>
          <t>SS26</t>
        </is>
      </c>
      <c r="R31" s="155" t="inlineStr">
        <is>
          <t>Seasonal</t>
        </is>
      </c>
      <c r="S31" s="155" t="n"/>
      <c r="T31" s="155" t="n"/>
      <c r="U31" s="155" t="n"/>
      <c r="V31" s="155" t="n"/>
      <c r="W31" s="155" t="n"/>
      <c r="X31" s="155" t="n"/>
      <c r="Y31" s="155" t="inlineStr">
        <is>
          <t>PZS</t>
        </is>
      </c>
      <c r="Z31" s="59" t="inlineStr">
        <is>
          <t>53131620</t>
        </is>
      </c>
      <c r="AA31" s="126" t="inlineStr">
        <is>
          <t>https://m-universal-unique-brands.odoo.com/web/image/product.product/27691/image_1920</t>
        </is>
      </c>
      <c r="AB31" s="61" t="n">
        <v>55</v>
      </c>
      <c r="AC31" s="61" t="n">
        <v>619</v>
      </c>
      <c r="AD31" s="62" t="inlineStr">
        <is>
          <t>Válido</t>
        </is>
      </c>
      <c r="AE31" s="64" t="n"/>
      <c r="AF31" s="64" t="n"/>
      <c r="AG31" s="59" t="n"/>
      <c r="AH31" s="155" t="n"/>
      <c r="AI31" s="59" t="n"/>
      <c r="AJ31" s="155" t="inlineStr">
        <is>
          <t>Nuevo – Carga Hoja2 01/10/2026</t>
        </is>
      </c>
      <c r="AK31" s="155" t="inlineStr">
        <is>
          <t>Alta 01/10/2026 desde Hoja2 (fila 434) | 01/10/2026: complementado desde Odoo Universal Unique Brands (match por código de barras): WB N.º de estilo, WB Talla, WB Talla de EE. UU., WB Género, WB Licencia, WB Temporada, WB Ciclo de vida, Enlace de imagen</t>
        </is>
      </c>
      <c r="AL31" s="155" t="n"/>
      <c r="AM31" s="155" t="n"/>
      <c r="AN31" s="155" t="inlineStr">
        <is>
          <t>Hoja2: fila 434 | Odoo: producto 27691 / plantilla 34427</t>
        </is>
      </c>
      <c r="AO31" s="58" t="n"/>
      <c r="AP31" s="58" t="n"/>
      <c r="AQ31" s="155" t="inlineStr">
        <is>
          <t>Odoo Universal Unique Brands</t>
        </is>
      </c>
      <c r="AR31" s="59" t="n"/>
      <c r="AS31" s="59" t="n"/>
      <c r="AT31" s="59" t="n">
        <v>20</v>
      </c>
      <c r="AU31" s="155" t="inlineStr">
        <is>
          <t>Odoo Universal Unique Brands › Bodega 25 › Bodega 25/General: 2 | Odoo Universal Unique Brands › Bodega 25 › Bodega 25/Output: 18</t>
        </is>
      </c>
    </row>
    <row r="32">
      <c r="A32" s="51" t="n">
        <v>16</v>
      </c>
      <c r="B32" s="156" t="inlineStr">
        <is>
          <t>Productos — registro conservado</t>
        </is>
      </c>
      <c r="C32" s="125" t="inlineStr">
        <is>
          <t>Homologación G1522: mismo producto (mismo código de barras)</t>
        </is>
      </c>
      <c r="D32" s="60" t="inlineStr">
        <is>
          <t>087327014866</t>
        </is>
      </c>
      <c r="E32" s="59" t="inlineStr">
        <is>
          <t>111710</t>
        </is>
      </c>
      <c r="F32" s="155" t="inlineStr">
        <is>
          <t>Multimarca</t>
        </is>
      </c>
      <c r="G32" s="155" t="inlineStr">
        <is>
          <t>96391</t>
        </is>
      </c>
      <c r="H32" s="155" t="inlineStr">
        <is>
          <t>96391-3.4oz/100mL</t>
        </is>
      </c>
      <c r="I32" s="155" t="inlineStr">
        <is>
          <t>100 ml</t>
        </is>
      </c>
      <c r="J32" s="155" t="inlineStr">
        <is>
          <t>3.4 / 3.5 fl oz</t>
        </is>
      </c>
      <c r="K32" s="155" t="inlineStr">
        <is>
          <t>Tru Western</t>
        </is>
      </c>
      <c r="L32" s="155" t="inlineStr">
        <is>
          <t>Perfume PBR Anejo</t>
        </is>
      </c>
      <c r="M32" s="155" t="inlineStr">
        <is>
          <t>Accesorios</t>
        </is>
      </c>
      <c r="N32" s="155" t="inlineStr">
        <is>
          <t>Fragancias</t>
        </is>
      </c>
      <c r="O32" s="155" t="inlineStr">
        <is>
          <t>Unisex</t>
        </is>
      </c>
      <c r="P32" s="155" t="inlineStr">
        <is>
          <t>Tru Western</t>
        </is>
      </c>
      <c r="Q32" s="155" t="inlineStr">
        <is>
          <t>SS26</t>
        </is>
      </c>
      <c r="R32" s="155" t="inlineStr">
        <is>
          <t>Seasonal</t>
        </is>
      </c>
      <c r="S32" s="155" t="n"/>
      <c r="T32" s="155" t="n"/>
      <c r="U32" s="155" t="n"/>
      <c r="V32" s="155" t="n"/>
      <c r="W32" s="155" t="inlineStr">
        <is>
          <t>Perfume PBR Anejo. Fragancia de la marca Tru Western. Estilo 96391.</t>
        </is>
      </c>
      <c r="X32" s="155" t="inlineStr">
        <is>
          <t>Estados Unidos</t>
        </is>
      </c>
      <c r="Y32" s="155" t="inlineStr">
        <is>
          <t>PZS</t>
        </is>
      </c>
      <c r="Z32" s="59" t="inlineStr">
        <is>
          <t>53131620</t>
        </is>
      </c>
      <c r="AA32" s="126" t="inlineStr">
        <is>
          <t>https://m-universal-unique-brands.odoo.com/web/image/product.product/27677/image_1920</t>
        </is>
      </c>
      <c r="AB32" s="61" t="n">
        <v>301.7</v>
      </c>
      <c r="AC32" s="61" t="n">
        <v>1033.62069</v>
      </c>
      <c r="AD32" s="62" t="inlineStr">
        <is>
          <t>Válido</t>
        </is>
      </c>
      <c r="AE32" s="64" t="n"/>
      <c r="AF32" s="64" t="n"/>
      <c r="AG32" s="59" t="n">
        <v>3</v>
      </c>
      <c r="AH32" s="155" t="inlineStr">
        <is>
          <t>WB OUTLET LERMA: 3</t>
        </is>
      </c>
      <c r="AI32" s="59" t="n">
        <v>3</v>
      </c>
      <c r="AJ32" s="155" t="inlineStr">
        <is>
          <t>Nuevo – NetSuite con existencia</t>
        </is>
      </c>
      <c r="AK32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32" s="155" t="inlineStr">
        <is>
          <t>No</t>
        </is>
      </c>
      <c r="AM32" s="155" t="n"/>
      <c r="AN32" s="155" t="inlineStr">
        <is>
          <t>ProductosCatalogoEstandar907.xlsx: fila 50930 [N,O,U,Y] | Catálogo y Criterios: F [G]; G1522_Extraccion_Articulos_NetSuite_2026-09-30.xlsx: fila 59358 [H,V,Y] | Shopify WB: producto 8576546930873 / variante 47777663058105</t>
        </is>
      </c>
      <c r="AO32" s="58" t="n">
        <v>418.6166666666667</v>
      </c>
      <c r="AP32" s="58" t="n">
        <v>1199.0000004</v>
      </c>
      <c r="AQ32" s="155" t="inlineStr">
        <is>
          <t>Shopify Western Brothers</t>
        </is>
      </c>
      <c r="AR32" s="59" t="n"/>
      <c r="AS32" s="59" t="n">
        <v>3</v>
      </c>
      <c r="AT32" s="59" t="n"/>
      <c r="AU32" s="155" t="inlineStr">
        <is>
          <t>Shopify Western Brothers › Western Brothers Outlet Lerma: 3</t>
        </is>
      </c>
    </row>
    <row r="33">
      <c r="A33" s="51" t="n">
        <v>16</v>
      </c>
      <c r="B33" s="156" t="inlineStr">
        <is>
          <t>Productos — registro integrado en el anterior</t>
        </is>
      </c>
      <c r="C33" s="125" t="inlineStr">
        <is>
          <t>Homologación G1522: mismo producto (mismo código de barras)</t>
        </is>
      </c>
      <c r="D33" s="60" t="inlineStr">
        <is>
          <t>087327014866</t>
        </is>
      </c>
      <c r="E33" s="59" t="inlineStr">
        <is>
          <t>27677</t>
        </is>
      </c>
      <c r="F33" s="155" t="inlineStr">
        <is>
          <t>Tru Western</t>
        </is>
      </c>
      <c r="G33" s="155" t="inlineStr">
        <is>
          <t>96391</t>
        </is>
      </c>
      <c r="H33" s="155" t="inlineStr">
        <is>
          <t>96391</t>
        </is>
      </c>
      <c r="I33" s="155" t="inlineStr">
        <is>
          <t>100 ml</t>
        </is>
      </c>
      <c r="J33" s="155" t="inlineStr">
        <is>
          <t>3.4 / 3.5 fl oz</t>
        </is>
      </c>
      <c r="K33" s="155" t="inlineStr">
        <is>
          <t>Tru Western</t>
        </is>
      </c>
      <c r="L33" s="155" t="inlineStr">
        <is>
          <t>Tru Western - PBR - EDC - 100mL - Anejo</t>
        </is>
      </c>
      <c r="M33" s="155" t="inlineStr">
        <is>
          <t>Accesorios</t>
        </is>
      </c>
      <c r="N33" s="155" t="inlineStr">
        <is>
          <t>Fragancias</t>
        </is>
      </c>
      <c r="O33" s="155" t="inlineStr">
        <is>
          <t>Unisex</t>
        </is>
      </c>
      <c r="P33" s="155" t="inlineStr">
        <is>
          <t>Tru Western</t>
        </is>
      </c>
      <c r="Q33" s="155" t="inlineStr">
        <is>
          <t>SS26</t>
        </is>
      </c>
      <c r="R33" s="155" t="inlineStr">
        <is>
          <t>Seasonal</t>
        </is>
      </c>
      <c r="S33" s="155" t="n"/>
      <c r="T33" s="155" t="n"/>
      <c r="U33" s="155" t="n"/>
      <c r="V33" s="155" t="n"/>
      <c r="W33" s="155" t="n"/>
      <c r="X33" s="155" t="n"/>
      <c r="Y33" s="155" t="inlineStr">
        <is>
          <t>PZS</t>
        </is>
      </c>
      <c r="Z33" s="59" t="inlineStr">
        <is>
          <t>53131620</t>
        </is>
      </c>
      <c r="AA33" s="126" t="inlineStr">
        <is>
          <t>https://m-universal-unique-brands.odoo.com/web/image/product.product/27677/image_1920</t>
        </is>
      </c>
      <c r="AB33" s="61" t="n">
        <v>50</v>
      </c>
      <c r="AC33" s="61" t="n">
        <v>569</v>
      </c>
      <c r="AD33" s="62" t="inlineStr">
        <is>
          <t>Válido</t>
        </is>
      </c>
      <c r="AE33" s="64" t="n"/>
      <c r="AF33" s="64" t="n"/>
      <c r="AG33" s="59" t="n"/>
      <c r="AH33" s="155" t="n"/>
      <c r="AI33" s="59" t="n"/>
      <c r="AJ33" s="155" t="inlineStr">
        <is>
          <t>Nuevo – Carga Hoja2 01/10/2026</t>
        </is>
      </c>
      <c r="AK33" s="155" t="inlineStr">
        <is>
          <t>Alta 01/10/2026 desde Hoja2 (fila 435) | 01/10/2026: complementado desde Odoo Universal Unique Brands (match por código de barras): WB N.º de estilo, WB Talla, WB Talla de EE. UU., WB Género, WB Licencia, WB Temporada, WB Ciclo de vida, Enlace de imagen</t>
        </is>
      </c>
      <c r="AL33" s="155" t="n"/>
      <c r="AM33" s="155" t="n"/>
      <c r="AN33" s="155" t="inlineStr">
        <is>
          <t>Hoja2: fila 435 | Odoo: producto 27677 / plantilla 34413</t>
        </is>
      </c>
      <c r="AO33" s="58" t="n"/>
      <c r="AP33" s="58" t="n"/>
      <c r="AQ33" s="155" t="inlineStr">
        <is>
          <t>Odoo Universal Unique Brands</t>
        </is>
      </c>
      <c r="AR33" s="59" t="n"/>
      <c r="AS33" s="59" t="n"/>
      <c r="AT33" s="59" t="n">
        <v>33</v>
      </c>
      <c r="AU33" s="155" t="inlineStr">
        <is>
          <t>Odoo Universal Unique Brands › Bodega 25 › Bodega 25/General: 21 | Odoo Universal Unique Brands › Bodega 25 › Bodega 25/Output: 12</t>
        </is>
      </c>
    </row>
    <row r="34">
      <c r="A34" s="51" t="n">
        <v>17</v>
      </c>
      <c r="B34" s="156" t="inlineStr">
        <is>
          <t>Productos — registro conservado</t>
        </is>
      </c>
      <c r="C34" s="125" t="inlineStr">
        <is>
          <t>Homologación G1522: mismo producto (mismo código de barras)</t>
        </is>
      </c>
      <c r="D34" s="60" t="inlineStr">
        <is>
          <t>087327023363</t>
        </is>
      </c>
      <c r="E34" s="59" t="inlineStr">
        <is>
          <t>111715</t>
        </is>
      </c>
      <c r="F34" s="155" t="inlineStr">
        <is>
          <t>Multimarca</t>
        </is>
      </c>
      <c r="G34" s="155" t="inlineStr">
        <is>
          <t>96637</t>
        </is>
      </c>
      <c r="H34" s="155" t="inlineStr">
        <is>
          <t>96637-3.4oz/100mL</t>
        </is>
      </c>
      <c r="I34" s="155" t="inlineStr">
        <is>
          <t>100 ml</t>
        </is>
      </c>
      <c r="J34" s="155" t="inlineStr">
        <is>
          <t>3.4 / 3.5 fl oz</t>
        </is>
      </c>
      <c r="K34" s="155" t="inlineStr">
        <is>
          <t>Tru Western</t>
        </is>
      </c>
      <c r="L34" s="155" t="inlineStr">
        <is>
          <t>Perfume Rodeo Soul</t>
        </is>
      </c>
      <c r="M34" s="155" t="inlineStr">
        <is>
          <t>Accesorios</t>
        </is>
      </c>
      <c r="N34" s="155" t="inlineStr">
        <is>
          <t>Fragancias</t>
        </is>
      </c>
      <c r="O34" s="155" t="inlineStr">
        <is>
          <t>Unisex</t>
        </is>
      </c>
      <c r="P34" s="155" t="inlineStr">
        <is>
          <t>Tru Western</t>
        </is>
      </c>
      <c r="Q34" s="155" t="inlineStr">
        <is>
          <t>SS26</t>
        </is>
      </c>
      <c r="R34" s="155" t="inlineStr">
        <is>
          <t>Seasonal</t>
        </is>
      </c>
      <c r="S34" s="155" t="n"/>
      <c r="T34" s="155" t="n"/>
      <c r="U34" s="155" t="n"/>
      <c r="V34" s="155" t="n"/>
      <c r="W34" s="155" t="inlineStr">
        <is>
          <t>Perfume Rodeo Soul. Fragancia de la marca Tru Western. Estilo 96637.</t>
        </is>
      </c>
      <c r="X34" s="155" t="inlineStr">
        <is>
          <t>Estados Unidos</t>
        </is>
      </c>
      <c r="Y34" s="155" t="inlineStr">
        <is>
          <t>PZS</t>
        </is>
      </c>
      <c r="Z34" s="59" t="inlineStr">
        <is>
          <t>53131620</t>
        </is>
      </c>
      <c r="AA34" s="126" t="inlineStr">
        <is>
          <t>https://m-universal-unique-brands.odoo.com/web/image/product.product/27696/image_1920</t>
        </is>
      </c>
      <c r="AB34" s="61" t="n">
        <v>271.6</v>
      </c>
      <c r="AC34" s="61" t="n">
        <v>947.4137931</v>
      </c>
      <c r="AD34" s="62" t="inlineStr">
        <is>
          <t>Válido</t>
        </is>
      </c>
      <c r="AE34" s="64" t="n"/>
      <c r="AF34" s="64" t="n"/>
      <c r="AG34" s="59" t="n">
        <v>7</v>
      </c>
      <c r="AH34" s="155" t="inlineStr">
        <is>
          <t>WB OUTLET LERMA: 7</t>
        </is>
      </c>
      <c r="AI34" s="59" t="n">
        <v>7</v>
      </c>
      <c r="AJ34" s="155" t="inlineStr">
        <is>
          <t>Nuevo – NetSuite con existencia</t>
        </is>
      </c>
      <c r="AK34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34" s="155" t="inlineStr">
        <is>
          <t>No</t>
        </is>
      </c>
      <c r="AM34" s="155" t="n"/>
      <c r="AN34" s="155" t="inlineStr">
        <is>
          <t>ProductosCatalogoEstandar907.xlsx: fila 50931 [N,O,U,Y] | Catálogo y Criterios: F [G]; G1522_Extraccion_Articulos_NetSuite_2026-09-30.xlsx: fila 59363 [H,V,Y] | Shopify WB: producto 8576547127481 / variante 47777663549625</t>
        </is>
      </c>
      <c r="AO34" s="58" t="n">
        <v>383.7025</v>
      </c>
      <c r="AP34" s="58" t="n">
        <v>1099</v>
      </c>
      <c r="AQ34" s="155" t="inlineStr">
        <is>
          <t>Shopify Western Brothers</t>
        </is>
      </c>
      <c r="AR34" s="59" t="n"/>
      <c r="AS34" s="59" t="n">
        <v>7</v>
      </c>
      <c r="AT34" s="59" t="n"/>
      <c r="AU34" s="155" t="inlineStr">
        <is>
          <t>Shopify Western Brothers › Western Brothers Outlet Lerma: 7</t>
        </is>
      </c>
    </row>
    <row r="35">
      <c r="A35" s="51" t="n">
        <v>17</v>
      </c>
      <c r="B35" s="156" t="inlineStr">
        <is>
          <t>Productos — registro integrado en el anterior</t>
        </is>
      </c>
      <c r="C35" s="125" t="inlineStr">
        <is>
          <t>Homologación G1522: mismo producto (mismo código de barras)</t>
        </is>
      </c>
      <c r="D35" s="60" t="inlineStr">
        <is>
          <t>087327023363</t>
        </is>
      </c>
      <c r="E35" s="59" t="inlineStr">
        <is>
          <t>27696</t>
        </is>
      </c>
      <c r="F35" s="155" t="inlineStr">
        <is>
          <t>Tru Western</t>
        </is>
      </c>
      <c r="G35" s="155" t="inlineStr">
        <is>
          <t>96637</t>
        </is>
      </c>
      <c r="H35" s="155" t="inlineStr">
        <is>
          <t>96637</t>
        </is>
      </c>
      <c r="I35" s="155" t="inlineStr">
        <is>
          <t>100 ml</t>
        </is>
      </c>
      <c r="J35" s="155" t="inlineStr">
        <is>
          <t>3.4 / 3.5 fl oz</t>
        </is>
      </c>
      <c r="K35" s="155" t="inlineStr">
        <is>
          <t>Tru Western</t>
        </is>
      </c>
      <c r="L35" s="155" t="inlineStr">
        <is>
          <t>Tru Western - EDP - 100mL - Rodeo Soul</t>
        </is>
      </c>
      <c r="M35" s="155" t="inlineStr">
        <is>
          <t>Accesorios</t>
        </is>
      </c>
      <c r="N35" s="155" t="inlineStr">
        <is>
          <t>Fragancias</t>
        </is>
      </c>
      <c r="O35" s="155" t="inlineStr">
        <is>
          <t>Unisex</t>
        </is>
      </c>
      <c r="P35" s="155" t="inlineStr">
        <is>
          <t>Tru Western</t>
        </is>
      </c>
      <c r="Q35" s="155" t="inlineStr">
        <is>
          <t>SS26</t>
        </is>
      </c>
      <c r="R35" s="155" t="inlineStr">
        <is>
          <t>Seasonal</t>
        </is>
      </c>
      <c r="S35" s="155" t="n"/>
      <c r="T35" s="155" t="n"/>
      <c r="U35" s="155" t="n"/>
      <c r="V35" s="155" t="n"/>
      <c r="W35" s="155" t="n"/>
      <c r="X35" s="155" t="n"/>
      <c r="Y35" s="155" t="inlineStr">
        <is>
          <t>PZS</t>
        </is>
      </c>
      <c r="Z35" s="59" t="inlineStr">
        <is>
          <t>53131620</t>
        </is>
      </c>
      <c r="AA35" s="126" t="inlineStr">
        <is>
          <t>https://m-universal-unique-brands.odoo.com/web/image/product.product/27696/image_1920</t>
        </is>
      </c>
      <c r="AB35" s="61" t="n">
        <v>45</v>
      </c>
      <c r="AC35" s="61" t="n">
        <v>509</v>
      </c>
      <c r="AD35" s="62" t="inlineStr">
        <is>
          <t>Válido</t>
        </is>
      </c>
      <c r="AE35" s="64" t="n"/>
      <c r="AF35" s="64" t="n"/>
      <c r="AG35" s="59" t="n"/>
      <c r="AH35" s="155" t="n"/>
      <c r="AI35" s="59" t="n"/>
      <c r="AJ35" s="155" t="inlineStr">
        <is>
          <t>Nuevo – Carga Hoja2 01/10/2026</t>
        </is>
      </c>
      <c r="AK35" s="155" t="inlineStr">
        <is>
          <t>Alta 01/10/2026 desde Hoja2 (fila 437) | 01/10/2026: complementado desde Odoo Universal Unique Brands (match por código de barras): WB N.º de estilo, WB Talla, WB Talla de EE. UU., WB Género, WB Licencia, WB Temporada, WB Ciclo de vida, Enlace de imagen</t>
        </is>
      </c>
      <c r="AL35" s="155" t="n"/>
      <c r="AM35" s="155" t="n"/>
      <c r="AN35" s="155" t="inlineStr">
        <is>
          <t>Hoja2: fila 437 | Odoo: producto 27696 / plantilla 34432</t>
        </is>
      </c>
      <c r="AO35" s="58" t="n"/>
      <c r="AP35" s="58" t="n"/>
      <c r="AQ35" s="155" t="inlineStr">
        <is>
          <t>Odoo Universal Unique Brands</t>
        </is>
      </c>
      <c r="AR35" s="59" t="n"/>
      <c r="AS35" s="59" t="n"/>
      <c r="AT35" s="59" t="n">
        <v>68</v>
      </c>
      <c r="AU35" s="155" t="inlineStr">
        <is>
          <t>Odoo Universal Unique Brands › Bodega 25 › Bodega 25/General: 44 | Odoo Universal Unique Brands › Bodega 25 › Bodega 25/Output: 24</t>
        </is>
      </c>
    </row>
    <row r="36">
      <c r="A36" s="51" t="n">
        <v>18</v>
      </c>
      <c r="B36" s="156" t="inlineStr">
        <is>
          <t>Productos — registro conservado</t>
        </is>
      </c>
      <c r="C36" s="125" t="inlineStr">
        <is>
          <t>Homologación G1522: mismo producto (mismo código de barras)</t>
        </is>
      </c>
      <c r="D36" s="60" t="inlineStr">
        <is>
          <t>087327023370</t>
        </is>
      </c>
      <c r="E36" s="59" t="inlineStr">
        <is>
          <t>111717</t>
        </is>
      </c>
      <c r="F36" s="155" t="inlineStr">
        <is>
          <t>Multimarca</t>
        </is>
      </c>
      <c r="G36" s="155" t="inlineStr">
        <is>
          <t>96644</t>
        </is>
      </c>
      <c r="H36" s="155" t="inlineStr">
        <is>
          <t>96644-3.4oz/100mL</t>
        </is>
      </c>
      <c r="I36" s="155" t="inlineStr">
        <is>
          <t>100 ml</t>
        </is>
      </c>
      <c r="J36" s="155" t="inlineStr">
        <is>
          <t>3.4 / 3.5 fl oz</t>
        </is>
      </c>
      <c r="K36" s="155" t="inlineStr">
        <is>
          <t>Tru Western</t>
        </is>
      </c>
      <c r="L36" s="155" t="inlineStr">
        <is>
          <t>Perfume Yellowstone Ride Reserve Eau de Cologne</t>
        </is>
      </c>
      <c r="M36" s="155" t="inlineStr">
        <is>
          <t>Accesorios</t>
        </is>
      </c>
      <c r="N36" s="155" t="inlineStr">
        <is>
          <t>Fragancias</t>
        </is>
      </c>
      <c r="O36" s="155" t="inlineStr">
        <is>
          <t>Unisex</t>
        </is>
      </c>
      <c r="P36" s="155" t="inlineStr">
        <is>
          <t>Tru Western</t>
        </is>
      </c>
      <c r="Q36" s="155" t="inlineStr">
        <is>
          <t>SS26</t>
        </is>
      </c>
      <c r="R36" s="155" t="inlineStr">
        <is>
          <t>Seasonal</t>
        </is>
      </c>
      <c r="S36" s="155" t="n"/>
      <c r="T36" s="155" t="n"/>
      <c r="U36" s="155" t="n"/>
      <c r="V36" s="155" t="n"/>
      <c r="W36" s="155" t="inlineStr">
        <is>
          <t>Perfume Yellowstone Ride Reserve Eau de Cologne. Fragancia de la marca Tru Western. Estilo 96644.</t>
        </is>
      </c>
      <c r="X36" s="155" t="inlineStr">
        <is>
          <t>Estados Unidos</t>
        </is>
      </c>
      <c r="Y36" s="155" t="inlineStr">
        <is>
          <t>PZS</t>
        </is>
      </c>
      <c r="Z36" s="59" t="inlineStr">
        <is>
          <t>53131620</t>
        </is>
      </c>
      <c r="AA36" s="126" t="inlineStr">
        <is>
          <t>https://m-universal-unique-brands.odoo.com/web/image/product.product/27664/image_1920</t>
        </is>
      </c>
      <c r="AB36" s="61" t="n">
        <v>392.175</v>
      </c>
      <c r="AC36" s="61" t="n">
        <v>1335.344828</v>
      </c>
      <c r="AD36" s="62" t="inlineStr">
        <is>
          <t>Válido</t>
        </is>
      </c>
      <c r="AE36" s="64" t="n"/>
      <c r="AF36" s="64" t="n"/>
      <c r="AG36" s="59" t="n">
        <v>0</v>
      </c>
      <c r="AH36" s="155" t="n"/>
      <c r="AI36" s="59" t="n">
        <v>0</v>
      </c>
      <c r="AJ36" s="155" t="inlineStr">
        <is>
          <t>Nuevo – NetSuite sin existencia</t>
        </is>
      </c>
      <c r="AK36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36" s="155" t="inlineStr">
        <is>
          <t>No</t>
        </is>
      </c>
      <c r="AM36" s="155" t="n"/>
      <c r="AN36" s="155" t="inlineStr">
        <is>
          <t>ProductosCatalogoEstandar907.xlsx: fila 50932 [N,O,U,Y] | Catálogo y Criterios: F [G]; G1522_Extraccion_Articulos_NetSuite_2026-09-30.xlsx: fila 59365 [H,V,Y] | Shopify WB: producto 8576547193017 / variante 47777663713465</t>
        </is>
      </c>
      <c r="AO36" s="58" t="n"/>
      <c r="AP36" s="58" t="n">
        <v>1549.00000048</v>
      </c>
      <c r="AQ36" s="155" t="inlineStr">
        <is>
          <t>Shopify Western Brothers</t>
        </is>
      </c>
      <c r="AR36" s="59" t="n"/>
      <c r="AS36" s="59" t="n">
        <v>0</v>
      </c>
      <c r="AT36" s="59" t="n"/>
      <c r="AU36" s="155" t="n"/>
    </row>
    <row r="37">
      <c r="A37" s="51" t="n">
        <v>18</v>
      </c>
      <c r="B37" s="156" t="inlineStr">
        <is>
          <t>Productos — registro integrado en el anterior</t>
        </is>
      </c>
      <c r="C37" s="125" t="inlineStr">
        <is>
          <t>Homologación G1522: mismo producto (mismo código de barras)</t>
        </is>
      </c>
      <c r="D37" s="60" t="inlineStr">
        <is>
          <t>087327023370</t>
        </is>
      </c>
      <c r="E37" s="59" t="inlineStr">
        <is>
          <t>27664</t>
        </is>
      </c>
      <c r="F37" s="155" t="inlineStr">
        <is>
          <t>Tru Western</t>
        </is>
      </c>
      <c r="G37" s="155" t="inlineStr">
        <is>
          <t>96644</t>
        </is>
      </c>
      <c r="H37" s="155" t="inlineStr">
        <is>
          <t>96644</t>
        </is>
      </c>
      <c r="I37" s="155" t="inlineStr">
        <is>
          <t>100 ml</t>
        </is>
      </c>
      <c r="J37" s="155" t="inlineStr">
        <is>
          <t>3.4 / 3.5 fl oz</t>
        </is>
      </c>
      <c r="K37" s="155" t="inlineStr">
        <is>
          <t>Tru Western</t>
        </is>
      </c>
      <c r="L37" s="155" t="inlineStr">
        <is>
          <t>Tru Western - Yellowstone - EDC - 100mL - Ride Reserve</t>
        </is>
      </c>
      <c r="M37" s="155" t="inlineStr">
        <is>
          <t>Accesorios</t>
        </is>
      </c>
      <c r="N37" s="155" t="inlineStr">
        <is>
          <t>Fragancias</t>
        </is>
      </c>
      <c r="O37" s="155" t="inlineStr">
        <is>
          <t>Unisex</t>
        </is>
      </c>
      <c r="P37" s="155" t="inlineStr">
        <is>
          <t>Yellowstone</t>
        </is>
      </c>
      <c r="Q37" s="155" t="inlineStr">
        <is>
          <t>SS26</t>
        </is>
      </c>
      <c r="R37" s="155" t="inlineStr">
        <is>
          <t>Seasonal</t>
        </is>
      </c>
      <c r="S37" s="155" t="n"/>
      <c r="T37" s="155" t="n"/>
      <c r="U37" s="155" t="n"/>
      <c r="V37" s="155" t="n"/>
      <c r="W37" s="155" t="n"/>
      <c r="X37" s="155" t="n"/>
      <c r="Y37" s="155" t="inlineStr">
        <is>
          <t>PZS</t>
        </is>
      </c>
      <c r="Z37" s="59" t="inlineStr">
        <is>
          <t>53131620</t>
        </is>
      </c>
      <c r="AA37" s="126" t="inlineStr">
        <is>
          <t>https://m-universal-unique-brands.odoo.com/web/image/product.product/27664/image_1920</t>
        </is>
      </c>
      <c r="AB37" s="61" t="n">
        <v>65</v>
      </c>
      <c r="AC37" s="61" t="n">
        <v>729</v>
      </c>
      <c r="AD37" s="62" t="inlineStr">
        <is>
          <t>Válido</t>
        </is>
      </c>
      <c r="AE37" s="64" t="n"/>
      <c r="AF37" s="64" t="n"/>
      <c r="AG37" s="59" t="n"/>
      <c r="AH37" s="155" t="n"/>
      <c r="AI37" s="59" t="n"/>
      <c r="AJ37" s="155" t="inlineStr">
        <is>
          <t>Nuevo – Carga Hoja2 01/10/2026</t>
        </is>
      </c>
      <c r="AK37" s="155" t="inlineStr">
        <is>
          <t>Alta 01/10/2026 desde Hoja2 (fila 439) | 01/10/2026: complementado desde Odoo Universal Unique Brands (match por código de barras): WB N.º de estilo, WB Talla, WB Talla de EE. UU., WB Género, WB Licencia, WB Temporada, WB Ciclo de vida, Enlace de imagen</t>
        </is>
      </c>
      <c r="AL37" s="155" t="n"/>
      <c r="AM37" s="155" t="n"/>
      <c r="AN37" s="155" t="inlineStr">
        <is>
          <t>Hoja2: fila 439 | Odoo: producto 27664 / plantilla 34400</t>
        </is>
      </c>
      <c r="AO37" s="58" t="n"/>
      <c r="AP37" s="58" t="n"/>
      <c r="AQ37" s="155" t="inlineStr">
        <is>
          <t>Odoo Universal Unique Brands</t>
        </is>
      </c>
      <c r="AR37" s="59" t="n"/>
      <c r="AS37" s="59" t="n"/>
      <c r="AT37" s="59" t="n">
        <v>-9</v>
      </c>
      <c r="AU37" s="155" t="n"/>
    </row>
    <row r="38">
      <c r="A38" s="51" t="n">
        <v>19</v>
      </c>
      <c r="B38" s="156" t="inlineStr">
        <is>
          <t>Productos — registro conservado</t>
        </is>
      </c>
      <c r="C38" s="125" t="inlineStr">
        <is>
          <t>Homologación G1522: mismo producto (mismo código de barras)</t>
        </is>
      </c>
      <c r="D38" s="60" t="inlineStr">
        <is>
          <t>087327030842</t>
        </is>
      </c>
      <c r="E38" s="59" t="inlineStr">
        <is>
          <t>111712</t>
        </is>
      </c>
      <c r="F38" s="155" t="inlineStr">
        <is>
          <t>Multimarca</t>
        </is>
      </c>
      <c r="G38" s="155" t="inlineStr">
        <is>
          <t>97085</t>
        </is>
      </c>
      <c r="H38" s="155" t="inlineStr">
        <is>
          <t>97085-1.7oz/50mL</t>
        </is>
      </c>
      <c r="I38" s="155" t="inlineStr">
        <is>
          <t>50 ml</t>
        </is>
      </c>
      <c r="J38" s="155" t="inlineStr">
        <is>
          <t>1.7 fl oz</t>
        </is>
      </c>
      <c r="K38" s="155" t="inlineStr">
        <is>
          <t>Tru Western</t>
        </is>
      </c>
      <c r="L38" s="155" t="inlineStr">
        <is>
          <t>Perfume Yellowstone Dusk Eau de Parfum</t>
        </is>
      </c>
      <c r="M38" s="155" t="inlineStr">
        <is>
          <t>Accesorios</t>
        </is>
      </c>
      <c r="N38" s="155" t="inlineStr">
        <is>
          <t>Fragancias</t>
        </is>
      </c>
      <c r="O38" s="155" t="inlineStr">
        <is>
          <t>Unisex</t>
        </is>
      </c>
      <c r="P38" s="155" t="inlineStr">
        <is>
          <t>Tru Western</t>
        </is>
      </c>
      <c r="Q38" s="155" t="inlineStr">
        <is>
          <t>SS26</t>
        </is>
      </c>
      <c r="R38" s="155" t="inlineStr">
        <is>
          <t>Seasonal</t>
        </is>
      </c>
      <c r="S38" s="155" t="n"/>
      <c r="T38" s="155" t="n"/>
      <c r="U38" s="155" t="n"/>
      <c r="V38" s="155" t="n"/>
      <c r="W38" s="155" t="inlineStr">
        <is>
          <t>Perfume Yellowstone Dusk Eau de Parfum. Fragancia de la marca Tru Western. Estilo 97085.</t>
        </is>
      </c>
      <c r="X38" s="155" t="inlineStr">
        <is>
          <t>Estados Unidos</t>
        </is>
      </c>
      <c r="Y38" s="155" t="inlineStr">
        <is>
          <t>PZS</t>
        </is>
      </c>
      <c r="Z38" s="59" t="inlineStr">
        <is>
          <t>53131620</t>
        </is>
      </c>
      <c r="AA38" s="126" t="inlineStr">
        <is>
          <t>https://m-universal-unique-brands.odoo.com/web/image/product.product/27692/image_1920</t>
        </is>
      </c>
      <c r="AB38" s="61" t="n">
        <v>331.8</v>
      </c>
      <c r="AC38" s="61" t="n">
        <v>1119.827586</v>
      </c>
      <c r="AD38" s="62" t="inlineStr">
        <is>
          <t>Válido</t>
        </is>
      </c>
      <c r="AE38" s="64" t="n"/>
      <c r="AF38" s="64" t="n"/>
      <c r="AG38" s="59" t="n">
        <v>5</v>
      </c>
      <c r="AH38" s="155" t="inlineStr">
        <is>
          <t>WB OUTLET LERMA: 5</t>
        </is>
      </c>
      <c r="AI38" s="59" t="n">
        <v>5</v>
      </c>
      <c r="AJ38" s="155" t="inlineStr">
        <is>
          <t>Nuevo – NetSuite con existencia</t>
        </is>
      </c>
      <c r="AK38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38" s="155" t="inlineStr">
        <is>
          <t>No</t>
        </is>
      </c>
      <c r="AM38" s="155" t="n"/>
      <c r="AN38" s="155" t="inlineStr">
        <is>
          <t>ProductosCatalogoEstandar907.xlsx: fila 50933 [N,O,U,Y] | Catálogo y Criterios: F [G]; G1522_Extraccion_Articulos_NetSuite_2026-09-30.xlsx: fila 59360 [H,V,Y] | Shopify WB: producto 8576547029177 / variante 47777663451321</t>
        </is>
      </c>
      <c r="AO38" s="58" t="n">
        <v>619</v>
      </c>
      <c r="AP38" s="58" t="n">
        <v>1298.99999976</v>
      </c>
      <c r="AQ38" s="155" t="inlineStr">
        <is>
          <t>Shopify Western Brothers</t>
        </is>
      </c>
      <c r="AR38" s="59" t="n"/>
      <c r="AS38" s="59" t="n">
        <v>5</v>
      </c>
      <c r="AT38" s="59" t="n"/>
      <c r="AU38" s="155" t="inlineStr">
        <is>
          <t>Shopify Western Brothers › Western Brothers Outlet Lerma: 5</t>
        </is>
      </c>
    </row>
    <row r="39">
      <c r="A39" s="51" t="n">
        <v>19</v>
      </c>
      <c r="B39" s="156" t="inlineStr">
        <is>
          <t>Productos — registro integrado en el anterior</t>
        </is>
      </c>
      <c r="C39" s="125" t="inlineStr">
        <is>
          <t>Homologación G1522: mismo producto (mismo código de barras)</t>
        </is>
      </c>
      <c r="D39" s="60" t="inlineStr">
        <is>
          <t>087327030842</t>
        </is>
      </c>
      <c r="E39" s="59" t="inlineStr">
        <is>
          <t>27692</t>
        </is>
      </c>
      <c r="F39" s="155" t="inlineStr">
        <is>
          <t>Tru Western</t>
        </is>
      </c>
      <c r="G39" s="155" t="inlineStr">
        <is>
          <t>97085</t>
        </is>
      </c>
      <c r="H39" s="155" t="inlineStr">
        <is>
          <t>97085</t>
        </is>
      </c>
      <c r="I39" s="155" t="inlineStr">
        <is>
          <t>50 ml</t>
        </is>
      </c>
      <c r="J39" s="155" t="inlineStr">
        <is>
          <t>1.7 fl oz</t>
        </is>
      </c>
      <c r="K39" s="155" t="inlineStr">
        <is>
          <t>Tru Western</t>
        </is>
      </c>
      <c r="L39" s="155" t="inlineStr">
        <is>
          <t>Tru Western - Yellowstone - EDP - 50mL - Dusk</t>
        </is>
      </c>
      <c r="M39" s="155" t="inlineStr">
        <is>
          <t>Accesorios</t>
        </is>
      </c>
      <c r="N39" s="155" t="inlineStr">
        <is>
          <t>Fragancias</t>
        </is>
      </c>
      <c r="O39" s="155" t="inlineStr">
        <is>
          <t>Unisex</t>
        </is>
      </c>
      <c r="P39" s="155" t="inlineStr">
        <is>
          <t>Yellowstone</t>
        </is>
      </c>
      <c r="Q39" s="155" t="inlineStr">
        <is>
          <t>SS26</t>
        </is>
      </c>
      <c r="R39" s="155" t="inlineStr">
        <is>
          <t>Seasonal</t>
        </is>
      </c>
      <c r="S39" s="155" t="n"/>
      <c r="T39" s="155" t="n"/>
      <c r="U39" s="155" t="n"/>
      <c r="V39" s="155" t="n"/>
      <c r="W39" s="155" t="n"/>
      <c r="X39" s="155" t="n"/>
      <c r="Y39" s="155" t="inlineStr">
        <is>
          <t>PZS</t>
        </is>
      </c>
      <c r="Z39" s="59" t="inlineStr">
        <is>
          <t>53131620</t>
        </is>
      </c>
      <c r="AA39" s="126" t="inlineStr">
        <is>
          <t>https://m-universal-unique-brands.odoo.com/web/image/product.product/27692/image_1920</t>
        </is>
      </c>
      <c r="AB39" s="61" t="n">
        <v>55</v>
      </c>
      <c r="AC39" s="61" t="n">
        <v>619</v>
      </c>
      <c r="AD39" s="62" t="inlineStr">
        <is>
          <t>Válido</t>
        </is>
      </c>
      <c r="AE39" s="64" t="n"/>
      <c r="AF39" s="64" t="n"/>
      <c r="AG39" s="59" t="n"/>
      <c r="AH39" s="155" t="n"/>
      <c r="AI39" s="59" t="n"/>
      <c r="AJ39" s="155" t="inlineStr">
        <is>
          <t>Nuevo – Carga Hoja2 01/10/2026</t>
        </is>
      </c>
      <c r="AK39" s="155" t="inlineStr">
        <is>
          <t>Alta 01/10/2026 desde Hoja2 (fila 440) | 01/10/2026: complementado desde Odoo Universal Unique Brands (match por código de barras): WB N.º de estilo, WB Talla, WB Talla de EE. UU., WB Género, WB Licencia, WB Temporada, WB Ciclo de vida, Enlace de imagen</t>
        </is>
      </c>
      <c r="AL39" s="155" t="n"/>
      <c r="AM39" s="155" t="n"/>
      <c r="AN39" s="155" t="inlineStr">
        <is>
          <t>Hoja2: fila 440 | Odoo: producto 27692 / plantilla 34428</t>
        </is>
      </c>
      <c r="AO39" s="58" t="n"/>
      <c r="AP39" s="58" t="n"/>
      <c r="AQ39" s="155" t="inlineStr">
        <is>
          <t>Odoo Universal Unique Brands</t>
        </is>
      </c>
      <c r="AR39" s="59" t="n"/>
      <c r="AS39" s="59" t="n"/>
      <c r="AT39" s="59" t="n">
        <v>8</v>
      </c>
      <c r="AU39" s="155" t="inlineStr">
        <is>
          <t>Odoo Universal Unique Brands › Bodega 25 › Bodega 25/Output: 18</t>
        </is>
      </c>
    </row>
    <row r="40">
      <c r="A40" s="51" t="n">
        <v>20</v>
      </c>
      <c r="B40" s="156" t="inlineStr">
        <is>
          <t>Productos — registro conservado</t>
        </is>
      </c>
      <c r="C40" s="125" t="inlineStr">
        <is>
          <t>Homologación G1522: mismo producto (mismo código de barras)</t>
        </is>
      </c>
      <c r="D40" s="60" t="inlineStr">
        <is>
          <t>087327031214</t>
        </is>
      </c>
      <c r="E40" s="59" t="inlineStr">
        <is>
          <t>111716</t>
        </is>
      </c>
      <c r="F40" s="155" t="inlineStr">
        <is>
          <t>Multimarca</t>
        </is>
      </c>
      <c r="G40" s="155" t="inlineStr">
        <is>
          <t>97265</t>
        </is>
      </c>
      <c r="H40" s="155" t="inlineStr">
        <is>
          <t>97265-2.7fl.oz./80mL</t>
        </is>
      </c>
      <c r="I40" s="155" t="inlineStr">
        <is>
          <t>80 ml</t>
        </is>
      </c>
      <c r="J40" s="155" t="inlineStr">
        <is>
          <t>2.7 fl oz</t>
        </is>
      </c>
      <c r="K40" s="155" t="inlineStr">
        <is>
          <t>Tru Western</t>
        </is>
      </c>
      <c r="L40" s="155" t="inlineStr">
        <is>
          <t>Perfume Amber Waves</t>
        </is>
      </c>
      <c r="M40" s="155" t="inlineStr">
        <is>
          <t>Accesorios</t>
        </is>
      </c>
      <c r="N40" s="155" t="inlineStr">
        <is>
          <t>Fragancias</t>
        </is>
      </c>
      <c r="O40" s="155" t="inlineStr">
        <is>
          <t>Unisex</t>
        </is>
      </c>
      <c r="P40" s="155" t="inlineStr">
        <is>
          <t>Tru Western</t>
        </is>
      </c>
      <c r="Q40" s="155" t="inlineStr">
        <is>
          <t>SS26</t>
        </is>
      </c>
      <c r="R40" s="155" t="inlineStr">
        <is>
          <t>Seasonal</t>
        </is>
      </c>
      <c r="S40" s="155" t="n"/>
      <c r="T40" s="155" t="n"/>
      <c r="U40" s="155" t="n"/>
      <c r="V40" s="155" t="n"/>
      <c r="W40" s="155" t="inlineStr">
        <is>
          <t>Perfume Amber Waves. Fragancia de la marca Tru Western. Estilo 97265.</t>
        </is>
      </c>
      <c r="X40" s="155" t="inlineStr">
        <is>
          <t>Estados Unidos</t>
        </is>
      </c>
      <c r="Y40" s="155" t="inlineStr">
        <is>
          <t>PZS</t>
        </is>
      </c>
      <c r="Z40" s="59" t="inlineStr">
        <is>
          <t>53131620</t>
        </is>
      </c>
      <c r="AA40" s="126" t="inlineStr">
        <is>
          <t>https://m-universal-unique-brands.odoo.com/web/image/product.product/27698/image_1920</t>
        </is>
      </c>
      <c r="AB40" s="61" t="n">
        <v>331.8</v>
      </c>
      <c r="AC40" s="61" t="n">
        <v>1119.827586</v>
      </c>
      <c r="AD40" s="62" t="inlineStr">
        <is>
          <t>Válido</t>
        </is>
      </c>
      <c r="AE40" s="64" t="n"/>
      <c r="AF40" s="64" t="n"/>
      <c r="AG40" s="59" t="n">
        <v>6</v>
      </c>
      <c r="AH40" s="155" t="inlineStr">
        <is>
          <t>WB OUTLET LERMA: 6</t>
        </is>
      </c>
      <c r="AI40" s="59" t="n">
        <v>6</v>
      </c>
      <c r="AJ40" s="155" t="inlineStr">
        <is>
          <t>Nuevo – NetSuite con existencia</t>
        </is>
      </c>
      <c r="AK40" s="155" t="inlineStr">
        <is>
          <t>Color por validar | Revisión 29/09/2026: Talla fuente 80 ml sin equivalencia exacta en Criterios para Contenido; Campos sin respaldo: P, S, X; Auditoría NetSuite 30/09/2026: llenado desde NetSuite [V,Y] | 01/10/2026: complementado desde Shopify Western Brothers (match por código de barras): WB Fit, WB Silueta | 01/10/2026: Shopify Western Brothers trae Género «Mujer» — se conservó el valor de Productos</t>
        </is>
      </c>
      <c r="AL40" s="155" t="inlineStr">
        <is>
          <t>No</t>
        </is>
      </c>
      <c r="AM40" s="155" t="n"/>
      <c r="AN40" s="155" t="inlineStr">
        <is>
          <t>ProductosCatalogoEstandar907.xlsx: fila 50934 [N,O,U,Y]; G1522_Extraccion_Articulos_NetSuite_2026-09-30.xlsx: fila 59364 [V,Y] | Shopify WB: producto 8576547160249 / variante 47777663582393</t>
        </is>
      </c>
      <c r="AO40" s="58" t="n">
        <v>453.53</v>
      </c>
      <c r="AP40" s="58" t="n">
        <v>1298.99999976</v>
      </c>
      <c r="AQ40" s="155" t="inlineStr">
        <is>
          <t>Shopify Western Brothers</t>
        </is>
      </c>
      <c r="AR40" s="59" t="n"/>
      <c r="AS40" s="59" t="n">
        <v>6</v>
      </c>
      <c r="AT40" s="59" t="n"/>
      <c r="AU40" s="155" t="inlineStr">
        <is>
          <t>Shopify Western Brothers › Western Brothers Outlet Lerma: 6</t>
        </is>
      </c>
    </row>
    <row r="41">
      <c r="A41" s="51" t="n">
        <v>20</v>
      </c>
      <c r="B41" s="156" t="inlineStr">
        <is>
          <t>Productos — registro integrado en el anterior</t>
        </is>
      </c>
      <c r="C41" s="125" t="inlineStr">
        <is>
          <t>Homologación G1522: mismo producto (mismo código de barras)</t>
        </is>
      </c>
      <c r="D41" s="60" t="inlineStr">
        <is>
          <t>087327031214</t>
        </is>
      </c>
      <c r="E41" s="59" t="inlineStr">
        <is>
          <t>27698</t>
        </is>
      </c>
      <c r="F41" s="155" t="inlineStr">
        <is>
          <t>Tru Western</t>
        </is>
      </c>
      <c r="G41" s="155" t="inlineStr">
        <is>
          <t>97265</t>
        </is>
      </c>
      <c r="H41" s="155" t="inlineStr">
        <is>
          <t>97265</t>
        </is>
      </c>
      <c r="I41" s="155" t="inlineStr">
        <is>
          <t>80 ml</t>
        </is>
      </c>
      <c r="J41" s="155" t="inlineStr">
        <is>
          <t>2.7 fl oz</t>
        </is>
      </c>
      <c r="K41" s="155" t="inlineStr">
        <is>
          <t>Tru Western</t>
        </is>
      </c>
      <c r="L41" s="155" t="inlineStr">
        <is>
          <t>Tru Western - EDP - 80mL - Amber Waves</t>
        </is>
      </c>
      <c r="M41" s="155" t="inlineStr">
        <is>
          <t>Accesorios</t>
        </is>
      </c>
      <c r="N41" s="155" t="inlineStr">
        <is>
          <t>Fragancias</t>
        </is>
      </c>
      <c r="O41" s="155" t="inlineStr">
        <is>
          <t>Unisex</t>
        </is>
      </c>
      <c r="P41" s="155" t="inlineStr">
        <is>
          <t>Tru Western</t>
        </is>
      </c>
      <c r="Q41" s="155" t="inlineStr">
        <is>
          <t>SS26</t>
        </is>
      </c>
      <c r="R41" s="155" t="inlineStr">
        <is>
          <t>Seasonal</t>
        </is>
      </c>
      <c r="S41" s="155" t="n"/>
      <c r="T41" s="155" t="n"/>
      <c r="U41" s="155" t="n"/>
      <c r="V41" s="155" t="n"/>
      <c r="W41" s="155" t="n"/>
      <c r="X41" s="155" t="n"/>
      <c r="Y41" s="155" t="inlineStr">
        <is>
          <t>PZS</t>
        </is>
      </c>
      <c r="Z41" s="59" t="inlineStr">
        <is>
          <t>53131620</t>
        </is>
      </c>
      <c r="AA41" s="126" t="inlineStr">
        <is>
          <t>https://m-universal-unique-brands.odoo.com/web/image/product.product/27698/image_1920</t>
        </is>
      </c>
      <c r="AB41" s="61" t="n">
        <v>55</v>
      </c>
      <c r="AC41" s="61" t="n">
        <v>619</v>
      </c>
      <c r="AD41" s="62" t="inlineStr">
        <is>
          <t>Válido</t>
        </is>
      </c>
      <c r="AE41" s="64" t="n"/>
      <c r="AF41" s="64" t="n"/>
      <c r="AG41" s="59" t="n"/>
      <c r="AH41" s="155" t="n"/>
      <c r="AI41" s="59" t="n"/>
      <c r="AJ41" s="155" t="inlineStr">
        <is>
          <t>Nuevo – Carga Hoja2 01/10/2026</t>
        </is>
      </c>
      <c r="AK41" s="155" t="inlineStr">
        <is>
          <t>Alta 01/10/2026 desde Hoja2 (fila 442) | 01/10/2026: complementado desde Odoo Universal Unique Brands (match por código de barras): WB N.º de estilo, WB Talla, WB Talla de EE. UU., WB Género, WB Licencia, WB Temporada, WB Ciclo de vida, Enlace de imagen</t>
        </is>
      </c>
      <c r="AL41" s="155" t="n"/>
      <c r="AM41" s="155" t="n"/>
      <c r="AN41" s="155" t="inlineStr">
        <is>
          <t>Hoja2: fila 442 | Odoo: producto 27698 / plantilla 34434</t>
        </is>
      </c>
      <c r="AO41" s="58" t="n"/>
      <c r="AP41" s="58" t="n"/>
      <c r="AQ41" s="155" t="inlineStr">
        <is>
          <t>Odoo Universal Unique Brands</t>
        </is>
      </c>
      <c r="AR41" s="59" t="n"/>
      <c r="AS41" s="59" t="n"/>
      <c r="AT41" s="59" t="n">
        <v>59</v>
      </c>
      <c r="AU41" s="155" t="inlineStr">
        <is>
          <t>Odoo Universal Unique Brands › Bodega 25 › Bodega 25/General: 47 | Odoo Universal Unique Brands › Bodega 25 › Bodega 25/Output: 12</t>
        </is>
      </c>
    </row>
    <row r="42">
      <c r="A42" s="51" t="n">
        <v>21</v>
      </c>
      <c r="B42" s="156" t="inlineStr">
        <is>
          <t>Productos — registro conservado</t>
        </is>
      </c>
      <c r="C42" s="125" t="inlineStr">
        <is>
          <t>Homologación G1522: mismo producto (mismo código de barras)</t>
        </is>
      </c>
      <c r="D42" s="60" t="inlineStr">
        <is>
          <t>087327032600</t>
        </is>
      </c>
      <c r="E42" s="59" t="inlineStr">
        <is>
          <t>111714</t>
        </is>
      </c>
      <c r="F42" s="155" t="inlineStr">
        <is>
          <t>Multimarca</t>
        </is>
      </c>
      <c r="G42" s="155" t="inlineStr">
        <is>
          <t>98052</t>
        </is>
      </c>
      <c r="H42" s="155" t="inlineStr">
        <is>
          <t>98052-3.4oz/100mL</t>
        </is>
      </c>
      <c r="I42" s="155" t="inlineStr">
        <is>
          <t>100 ml</t>
        </is>
      </c>
      <c r="J42" s="155" t="inlineStr">
        <is>
          <t>3.4 / 3.5 fl oz</t>
        </is>
      </c>
      <c r="K42" s="155" t="inlineStr">
        <is>
          <t>Tru Western</t>
        </is>
      </c>
      <c r="L42" s="155" t="inlineStr">
        <is>
          <t>Perfume Rodeo Soul Fearless</t>
        </is>
      </c>
      <c r="M42" s="155" t="inlineStr">
        <is>
          <t>Accesorios</t>
        </is>
      </c>
      <c r="N42" s="155" t="inlineStr">
        <is>
          <t>Fragancias</t>
        </is>
      </c>
      <c r="O42" s="155" t="inlineStr">
        <is>
          <t>Unisex</t>
        </is>
      </c>
      <c r="P42" s="155" t="inlineStr">
        <is>
          <t>Tru Western</t>
        </is>
      </c>
      <c r="Q42" s="155" t="inlineStr">
        <is>
          <t>SS26</t>
        </is>
      </c>
      <c r="R42" s="155" t="inlineStr">
        <is>
          <t>Seasonal</t>
        </is>
      </c>
      <c r="S42" s="155" t="n"/>
      <c r="T42" s="155" t="n"/>
      <c r="U42" s="155" t="n"/>
      <c r="V42" s="155" t="n"/>
      <c r="W42" s="155" t="inlineStr">
        <is>
          <t>Perfume Rodeo Soul Fearless. Fragancia de la marca Tru Western. Estilo 98052.</t>
        </is>
      </c>
      <c r="X42" s="155" t="inlineStr">
        <is>
          <t>Estados Unidos</t>
        </is>
      </c>
      <c r="Y42" s="155" t="inlineStr">
        <is>
          <t>PZS</t>
        </is>
      </c>
      <c r="Z42" s="59" t="inlineStr">
        <is>
          <t>53131620</t>
        </is>
      </c>
      <c r="AA42" s="126" t="inlineStr">
        <is>
          <t>https://m-universal-unique-brands.odoo.com/web/image/product.product/27694/image_1920</t>
        </is>
      </c>
      <c r="AB42" s="61" t="n">
        <v>271.6</v>
      </c>
      <c r="AC42" s="61" t="n">
        <v>947.4137931</v>
      </c>
      <c r="AD42" s="62" t="inlineStr">
        <is>
          <t>Válido</t>
        </is>
      </c>
      <c r="AE42" s="64" t="n"/>
      <c r="AF42" s="64" t="n"/>
      <c r="AG42" s="59" t="n">
        <v>6</v>
      </c>
      <c r="AH42" s="155" t="inlineStr">
        <is>
          <t>WB OUTLET LERMA: 6</t>
        </is>
      </c>
      <c r="AI42" s="59" t="n">
        <v>6</v>
      </c>
      <c r="AJ42" s="155" t="inlineStr">
        <is>
          <t>Nuevo – NetSuite con existencia</t>
        </is>
      </c>
      <c r="AK42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«Mujer» — se conservó el valor de Productos</t>
        </is>
      </c>
      <c r="AL42" s="155" t="inlineStr">
        <is>
          <t>No</t>
        </is>
      </c>
      <c r="AM42" s="155" t="n"/>
      <c r="AN42" s="155" t="inlineStr">
        <is>
          <t>ProductosCatalogoEstandar907.xlsx: fila 50970 [N,O,U,Y] | Catálogo y Criterios: F [G]; G1522_Extraccion_Articulos_NetSuite_2026-09-30.xlsx: fila 59362 [H,V,Y] | Shopify WB: producto 8576547094713 / variante 47777663516857</t>
        </is>
      </c>
      <c r="AO42" s="58" t="n">
        <v>383.7025</v>
      </c>
      <c r="AP42" s="58" t="n">
        <v>1099</v>
      </c>
      <c r="AQ42" s="155" t="inlineStr">
        <is>
          <t>Shopify Western Brothers</t>
        </is>
      </c>
      <c r="AR42" s="59" t="n"/>
      <c r="AS42" s="59" t="n">
        <v>6</v>
      </c>
      <c r="AT42" s="59" t="n"/>
      <c r="AU42" s="155" t="inlineStr">
        <is>
          <t>Shopify Western Brothers › Western Brothers Outlet Lerma: 6</t>
        </is>
      </c>
    </row>
    <row r="43">
      <c r="A43" s="51" t="n">
        <v>21</v>
      </c>
      <c r="B43" s="156" t="inlineStr">
        <is>
          <t>Productos — registro integrado en el anterior</t>
        </is>
      </c>
      <c r="C43" s="125" t="inlineStr">
        <is>
          <t>Homologación G1522: mismo producto (mismo código de barras)</t>
        </is>
      </c>
      <c r="D43" s="60" t="inlineStr">
        <is>
          <t>087327032600</t>
        </is>
      </c>
      <c r="E43" s="59" t="inlineStr">
        <is>
          <t>27694</t>
        </is>
      </c>
      <c r="F43" s="155" t="inlineStr">
        <is>
          <t>Tru Western</t>
        </is>
      </c>
      <c r="G43" s="155" t="inlineStr">
        <is>
          <t>98052</t>
        </is>
      </c>
      <c r="H43" s="155" t="inlineStr">
        <is>
          <t>98052</t>
        </is>
      </c>
      <c r="I43" s="155" t="inlineStr">
        <is>
          <t>100 ml</t>
        </is>
      </c>
      <c r="J43" s="155" t="inlineStr">
        <is>
          <t>3.4 / 3.5 fl oz</t>
        </is>
      </c>
      <c r="K43" s="155" t="inlineStr">
        <is>
          <t>Tru Western</t>
        </is>
      </c>
      <c r="L43" s="155" t="inlineStr">
        <is>
          <t>Tru Western - EDP - 100mL - Rodeo Soul Fearless</t>
        </is>
      </c>
      <c r="M43" s="155" t="inlineStr">
        <is>
          <t>Accesorios</t>
        </is>
      </c>
      <c r="N43" s="155" t="inlineStr">
        <is>
          <t>Fragancias</t>
        </is>
      </c>
      <c r="O43" s="155" t="inlineStr">
        <is>
          <t>Unisex</t>
        </is>
      </c>
      <c r="P43" s="155" t="inlineStr">
        <is>
          <t>Tru Western</t>
        </is>
      </c>
      <c r="Q43" s="155" t="inlineStr">
        <is>
          <t>SS26</t>
        </is>
      </c>
      <c r="R43" s="155" t="inlineStr">
        <is>
          <t>Seasonal</t>
        </is>
      </c>
      <c r="S43" s="155" t="n"/>
      <c r="T43" s="155" t="n"/>
      <c r="U43" s="155" t="n"/>
      <c r="V43" s="155" t="n"/>
      <c r="W43" s="155" t="n"/>
      <c r="X43" s="155" t="n"/>
      <c r="Y43" s="155" t="inlineStr">
        <is>
          <t>PZS</t>
        </is>
      </c>
      <c r="Z43" s="59" t="inlineStr">
        <is>
          <t>53131620</t>
        </is>
      </c>
      <c r="AA43" s="126" t="inlineStr">
        <is>
          <t>https://m-universal-unique-brands.odoo.com/web/image/product.product/27694/image_1920</t>
        </is>
      </c>
      <c r="AB43" s="61" t="n">
        <v>45</v>
      </c>
      <c r="AC43" s="61" t="n">
        <v>509</v>
      </c>
      <c r="AD43" s="62" t="inlineStr">
        <is>
          <t>Válido</t>
        </is>
      </c>
      <c r="AE43" s="64" t="n"/>
      <c r="AF43" s="64" t="n"/>
      <c r="AG43" s="59" t="n"/>
      <c r="AH43" s="155" t="n"/>
      <c r="AI43" s="59" t="n"/>
      <c r="AJ43" s="155" t="inlineStr">
        <is>
          <t>Nuevo – Carga Hoja2 01/10/2026</t>
        </is>
      </c>
      <c r="AK43" s="155" t="inlineStr">
        <is>
          <t>Alta 01/10/2026 desde Hoja2 (fila 447) | 01/10/2026: complementado desde Odoo Universal Unique Brands (match por código de barras): WB N.º de estilo, WB Talla, WB Talla de EE. UU., WB Género, WB Licencia, WB Temporada, WB Ciclo de vida, Enlace de imagen</t>
        </is>
      </c>
      <c r="AL43" s="155" t="n"/>
      <c r="AM43" s="155" t="n"/>
      <c r="AN43" s="155" t="inlineStr">
        <is>
          <t>Hoja2: fila 447 | Odoo: producto 27694 / plantilla 34430</t>
        </is>
      </c>
      <c r="AO43" s="58" t="n"/>
      <c r="AP43" s="58" t="n"/>
      <c r="AQ43" s="155" t="inlineStr">
        <is>
          <t>Odoo Universal Unique Brands</t>
        </is>
      </c>
      <c r="AR43" s="59" t="n"/>
      <c r="AS43" s="59" t="n"/>
      <c r="AT43" s="59" t="n">
        <v>31</v>
      </c>
      <c r="AU43" s="155" t="inlineStr">
        <is>
          <t>Odoo Universal Unique Brands › Bodega 25 › Bodega 25/General: 19 | Odoo Universal Unique Brands › Bodega 25 › Bodega 25/Output: 12</t>
        </is>
      </c>
    </row>
    <row r="44">
      <c r="A44" s="51" t="n">
        <v>22</v>
      </c>
      <c r="B44" s="156" t="inlineStr">
        <is>
          <t>Productos — registro conservado</t>
        </is>
      </c>
      <c r="C44" s="125" t="inlineStr">
        <is>
          <t>Homologación G1522: mismo producto (mismo código de barras)</t>
        </is>
      </c>
      <c r="D44" s="60" t="inlineStr">
        <is>
          <t>087327032624</t>
        </is>
      </c>
      <c r="E44" s="59" t="inlineStr">
        <is>
          <t>111719</t>
        </is>
      </c>
      <c r="F44" s="155" t="inlineStr">
        <is>
          <t>Multimarca</t>
        </is>
      </c>
      <c r="G44" s="155" t="inlineStr">
        <is>
          <t>98083</t>
        </is>
      </c>
      <c r="H44" s="155" t="inlineStr">
        <is>
          <t>98083-3.4oz/100mL</t>
        </is>
      </c>
      <c r="I44" s="155" t="inlineStr">
        <is>
          <t>100 ml</t>
        </is>
      </c>
      <c r="J44" s="155" t="inlineStr">
        <is>
          <t>3.4 / 3.5 fl oz</t>
        </is>
      </c>
      <c r="K44" s="155" t="inlineStr">
        <is>
          <t>Tru Western</t>
        </is>
      </c>
      <c r="L44" s="155" t="inlineStr">
        <is>
          <t>Perfume Leather Vintage Label No. 1 -Private Reserve</t>
        </is>
      </c>
      <c r="M44" s="155" t="inlineStr">
        <is>
          <t>Accesorios</t>
        </is>
      </c>
      <c r="N44" s="155" t="inlineStr">
        <is>
          <t>Fragancias</t>
        </is>
      </c>
      <c r="O44" s="155" t="inlineStr">
        <is>
          <t>Unisex</t>
        </is>
      </c>
      <c r="P44" s="155" t="inlineStr">
        <is>
          <t>Tru Western</t>
        </is>
      </c>
      <c r="Q44" s="155" t="inlineStr">
        <is>
          <t>SS26</t>
        </is>
      </c>
      <c r="R44" s="155" t="inlineStr">
        <is>
          <t>Seasonal</t>
        </is>
      </c>
      <c r="S44" s="155" t="n"/>
      <c r="T44" s="155" t="n"/>
      <c r="U44" s="155" t="n"/>
      <c r="V44" s="155" t="n"/>
      <c r="W44" s="155" t="inlineStr">
        <is>
          <t>Perfume Leather Vintage Label No. 1 -Private Reserve. Fragancia de la marca Tru Western. Estilo 98083.</t>
        </is>
      </c>
      <c r="X44" s="155" t="inlineStr">
        <is>
          <t>Estados Unidos</t>
        </is>
      </c>
      <c r="Y44" s="155" t="inlineStr">
        <is>
          <t>PZS</t>
        </is>
      </c>
      <c r="Z44" s="59" t="inlineStr">
        <is>
          <t>53131620</t>
        </is>
      </c>
      <c r="AA44" s="126" t="inlineStr">
        <is>
          <t>https://m-universal-unique-brands.odoo.com/web/image/product.product/27665/image_1920</t>
        </is>
      </c>
      <c r="AB44" s="61" t="n">
        <v>301.7</v>
      </c>
      <c r="AC44" s="61" t="n">
        <v>1033.62069</v>
      </c>
      <c r="AD44" s="62" t="inlineStr">
        <is>
          <t>Válido</t>
        </is>
      </c>
      <c r="AE44" s="64" t="n"/>
      <c r="AF44" s="64" t="n"/>
      <c r="AG44" s="59" t="n">
        <v>0</v>
      </c>
      <c r="AH44" s="155" t="n"/>
      <c r="AI44" s="59" t="n">
        <v>0</v>
      </c>
      <c r="AJ44" s="155" t="inlineStr">
        <is>
          <t>Nuevo – NetSuite sin existencia</t>
        </is>
      </c>
      <c r="AK44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44" s="155" t="inlineStr">
        <is>
          <t>No</t>
        </is>
      </c>
      <c r="AM44" s="155" t="n"/>
      <c r="AN44" s="155" t="inlineStr">
        <is>
          <t>ProductosCatalogoEstandar907.xlsx: fila 50982 [N,O,U,Y] | Catálogo y Criterios: F [G]; G1522_Extraccion_Articulos_NetSuite_2026-09-30.xlsx: fila 59367 [H,V,Y] | Shopify WB: producto 8576547258553 / variante 47777663779001</t>
        </is>
      </c>
      <c r="AO44" s="58" t="n"/>
      <c r="AP44" s="58" t="n">
        <v>1199.0000004</v>
      </c>
      <c r="AQ44" s="155" t="inlineStr">
        <is>
          <t>Shopify Western Brothers</t>
        </is>
      </c>
      <c r="AR44" s="59" t="n"/>
      <c r="AS44" s="59" t="n">
        <v>0</v>
      </c>
      <c r="AT44" s="59" t="n"/>
      <c r="AU44" s="155" t="n"/>
    </row>
    <row r="45">
      <c r="A45" s="51" t="n">
        <v>22</v>
      </c>
      <c r="B45" s="156" t="inlineStr">
        <is>
          <t>Productos — registro integrado en el anterior</t>
        </is>
      </c>
      <c r="C45" s="125" t="inlineStr">
        <is>
          <t>Homologación G1522: mismo producto (mismo código de barras)</t>
        </is>
      </c>
      <c r="D45" s="60" t="inlineStr">
        <is>
          <t>087327032624</t>
        </is>
      </c>
      <c r="E45" s="59" t="inlineStr">
        <is>
          <t>27665</t>
        </is>
      </c>
      <c r="F45" s="155" t="inlineStr">
        <is>
          <t>Tru Western</t>
        </is>
      </c>
      <c r="G45" s="155" t="inlineStr">
        <is>
          <t>98083</t>
        </is>
      </c>
      <c r="H45" s="155" t="inlineStr">
        <is>
          <t>98083</t>
        </is>
      </c>
      <c r="I45" s="155" t="inlineStr">
        <is>
          <t>100 ml</t>
        </is>
      </c>
      <c r="J45" s="155" t="inlineStr">
        <is>
          <t>3.4 / 3.5 fl oz</t>
        </is>
      </c>
      <c r="K45" s="155" t="inlineStr">
        <is>
          <t>Tru Western</t>
        </is>
      </c>
      <c r="L45" s="155" t="inlineStr">
        <is>
          <t>Tru Western - Leather - EDC - 100mL - No. 1 Private Reserve</t>
        </is>
      </c>
      <c r="M45" s="155" t="inlineStr">
        <is>
          <t>Accesorios</t>
        </is>
      </c>
      <c r="N45" s="155" t="inlineStr">
        <is>
          <t>Fragancias</t>
        </is>
      </c>
      <c r="O45" s="155" t="inlineStr">
        <is>
          <t>Unisex</t>
        </is>
      </c>
      <c r="P45" s="155" t="inlineStr">
        <is>
          <t>Tru Western</t>
        </is>
      </c>
      <c r="Q45" s="155" t="inlineStr">
        <is>
          <t>SS26</t>
        </is>
      </c>
      <c r="R45" s="155" t="inlineStr">
        <is>
          <t>Seasonal</t>
        </is>
      </c>
      <c r="S45" s="155" t="n"/>
      <c r="T45" s="155" t="n"/>
      <c r="U45" s="155" t="n"/>
      <c r="V45" s="155" t="n"/>
      <c r="W45" s="155" t="n"/>
      <c r="X45" s="155" t="n"/>
      <c r="Y45" s="155" t="inlineStr">
        <is>
          <t>PZS</t>
        </is>
      </c>
      <c r="Z45" s="59" t="inlineStr">
        <is>
          <t>53131620</t>
        </is>
      </c>
      <c r="AA45" s="126" t="inlineStr">
        <is>
          <t>https://m-universal-unique-brands.odoo.com/web/image/product.product/27665/image_1920</t>
        </is>
      </c>
      <c r="AB45" s="61" t="n">
        <v>50</v>
      </c>
      <c r="AC45" s="61" t="n">
        <v>569</v>
      </c>
      <c r="AD45" s="62" t="inlineStr">
        <is>
          <t>Válido</t>
        </is>
      </c>
      <c r="AE45" s="64" t="n"/>
      <c r="AF45" s="64" t="n"/>
      <c r="AG45" s="59" t="n"/>
      <c r="AH45" s="155" t="n"/>
      <c r="AI45" s="59" t="n"/>
      <c r="AJ45" s="155" t="inlineStr">
        <is>
          <t>Nuevo – Carga Hoja2 01/10/2026</t>
        </is>
      </c>
      <c r="AK45" s="155" t="inlineStr">
        <is>
          <t>Alta 01/10/2026 desde Hoja2 (fila 449) | 01/10/2026: complementado desde Odoo Universal Unique Brands (match por código de barras): WB N.º de estilo, WB Talla, WB Talla de EE. UU., WB Género, WB Licencia, WB Temporada, WB Ciclo de vida, Enlace de imagen</t>
        </is>
      </c>
      <c r="AL45" s="155" t="n"/>
      <c r="AM45" s="155" t="n"/>
      <c r="AN45" s="155" t="inlineStr">
        <is>
          <t>Hoja2: fila 449 | Odoo: producto 27665 / plantilla 34401</t>
        </is>
      </c>
      <c r="AO45" s="58" t="n"/>
      <c r="AP45" s="58" t="n"/>
      <c r="AQ45" s="155" t="inlineStr">
        <is>
          <t>Odoo Universal Unique Brands</t>
        </is>
      </c>
      <c r="AR45" s="59" t="n"/>
      <c r="AS45" s="59" t="n"/>
      <c r="AT45" s="59" t="n">
        <v>-18</v>
      </c>
      <c r="AU45" s="155" t="inlineStr">
        <is>
          <t>Odoo Universal Unique Brands › Bodega 25 › Bodega 25/Output: 12</t>
        </is>
      </c>
    </row>
    <row r="46">
      <c r="A46" s="51" t="n">
        <v>23</v>
      </c>
      <c r="B46" s="156" t="inlineStr">
        <is>
          <t>Productos — registro conservado</t>
        </is>
      </c>
      <c r="C46" s="125" t="inlineStr">
        <is>
          <t>Homologación G1522: mismo producto (mismo código de barras)</t>
        </is>
      </c>
      <c r="D46" s="60" t="inlineStr">
        <is>
          <t>087327032648</t>
        </is>
      </c>
      <c r="E46" s="59" t="inlineStr">
        <is>
          <t>111708</t>
        </is>
      </c>
      <c r="F46" s="155" t="inlineStr">
        <is>
          <t>Multimarca</t>
        </is>
      </c>
      <c r="G46" s="155" t="inlineStr">
        <is>
          <t>98085</t>
        </is>
      </c>
      <c r="H46" s="155" t="inlineStr">
        <is>
          <t>98085-3.4oz/100mL</t>
        </is>
      </c>
      <c r="I46" s="155" t="inlineStr">
        <is>
          <t>100 ml</t>
        </is>
      </c>
      <c r="J46" s="155" t="inlineStr">
        <is>
          <t>3.4 / 3.5 fl oz</t>
        </is>
      </c>
      <c r="K46" s="155" t="inlineStr">
        <is>
          <t>Tru Western</t>
        </is>
      </c>
      <c r="L46" s="155" t="inlineStr">
        <is>
          <t>Perfume Leather Vintage Label No. 2 - Small Batch</t>
        </is>
      </c>
      <c r="M46" s="155" t="inlineStr">
        <is>
          <t>Accesorios</t>
        </is>
      </c>
      <c r="N46" s="155" t="inlineStr">
        <is>
          <t>Fragancias</t>
        </is>
      </c>
      <c r="O46" s="155" t="inlineStr">
        <is>
          <t>Unisex</t>
        </is>
      </c>
      <c r="P46" s="155" t="inlineStr">
        <is>
          <t>Tru Western</t>
        </is>
      </c>
      <c r="Q46" s="155" t="inlineStr">
        <is>
          <t>SS26</t>
        </is>
      </c>
      <c r="R46" s="155" t="inlineStr">
        <is>
          <t>Seasonal</t>
        </is>
      </c>
      <c r="S46" s="155" t="n"/>
      <c r="T46" s="155" t="n"/>
      <c r="U46" s="155" t="n"/>
      <c r="V46" s="155" t="n"/>
      <c r="W46" s="155" t="inlineStr">
        <is>
          <t>Perfume Leather Vintage Label No. 2 - Small Batch. Fragancia de la marca Tru Western. Estilo 98085.</t>
        </is>
      </c>
      <c r="X46" s="155" t="inlineStr">
        <is>
          <t>Estados Unidos</t>
        </is>
      </c>
      <c r="Y46" s="155" t="inlineStr">
        <is>
          <t>PZS</t>
        </is>
      </c>
      <c r="Z46" s="59" t="inlineStr">
        <is>
          <t>53131620</t>
        </is>
      </c>
      <c r="AA46" s="126" t="inlineStr">
        <is>
          <t>https://m-universal-unique-brands.odoo.com/web/image/product.product/27667/image_1920</t>
        </is>
      </c>
      <c r="AB46" s="61" t="n">
        <v>301.7</v>
      </c>
      <c r="AC46" s="61" t="n">
        <v>1033.62069</v>
      </c>
      <c r="AD46" s="62" t="inlineStr">
        <is>
          <t>Válido</t>
        </is>
      </c>
      <c r="AE46" s="64" t="n"/>
      <c r="AF46" s="64" t="n"/>
      <c r="AG46" s="59" t="n">
        <v>5</v>
      </c>
      <c r="AH46" s="155" t="inlineStr">
        <is>
          <t>WB OUTLET LERMA: 5</t>
        </is>
      </c>
      <c r="AI46" s="59" t="n">
        <v>5</v>
      </c>
      <c r="AJ46" s="155" t="inlineStr">
        <is>
          <t>Nuevo – NetSuite con existencia</t>
        </is>
      </c>
      <c r="AK46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46" s="155" t="inlineStr">
        <is>
          <t>No</t>
        </is>
      </c>
      <c r="AM46" s="155" t="n"/>
      <c r="AN46" s="155" t="inlineStr">
        <is>
          <t>ProductosCatalogoEstandar907.xlsx: fila 50983 [N,O,U,Y] | Catálogo y Criterios: F [G]; G1522_Extraccion_Articulos_NetSuite_2026-09-30.xlsx: fila 59356 [H,V,Y] | Shopify WB: producto 8576546865337 / variante 47777662992569</t>
        </is>
      </c>
      <c r="AO46" s="58" t="n">
        <v>418.6166666666667</v>
      </c>
      <c r="AP46" s="58" t="n">
        <v>1199.0000004</v>
      </c>
      <c r="AQ46" s="155" t="inlineStr">
        <is>
          <t>Shopify Western Brothers</t>
        </is>
      </c>
      <c r="AR46" s="59" t="n"/>
      <c r="AS46" s="59" t="n">
        <v>5</v>
      </c>
      <c r="AT46" s="59" t="n"/>
      <c r="AU46" s="155" t="inlineStr">
        <is>
          <t>Shopify Western Brothers › Western Brothers Outlet Lerma: 5</t>
        </is>
      </c>
    </row>
    <row r="47">
      <c r="A47" s="51" t="n">
        <v>23</v>
      </c>
      <c r="B47" s="156" t="inlineStr">
        <is>
          <t>Productos — registro integrado en el anterior</t>
        </is>
      </c>
      <c r="C47" s="125" t="inlineStr">
        <is>
          <t>Homologación G1522: mismo producto (mismo código de barras)</t>
        </is>
      </c>
      <c r="D47" s="60" t="inlineStr">
        <is>
          <t>087327032648</t>
        </is>
      </c>
      <c r="E47" s="59" t="inlineStr">
        <is>
          <t>27667</t>
        </is>
      </c>
      <c r="F47" s="155" t="inlineStr">
        <is>
          <t>Tru Western</t>
        </is>
      </c>
      <c r="G47" s="155" t="inlineStr">
        <is>
          <t>98085</t>
        </is>
      </c>
      <c r="H47" s="155" t="inlineStr">
        <is>
          <t>98085</t>
        </is>
      </c>
      <c r="I47" s="155" t="inlineStr">
        <is>
          <t>100 ml</t>
        </is>
      </c>
      <c r="J47" s="155" t="inlineStr">
        <is>
          <t>3.4 / 3.5 fl oz</t>
        </is>
      </c>
      <c r="K47" s="155" t="inlineStr">
        <is>
          <t>Tru Western</t>
        </is>
      </c>
      <c r="L47" s="155" t="inlineStr">
        <is>
          <t>Tru Western - Leather - EDC - 100mL - No. 2 Small Batch</t>
        </is>
      </c>
      <c r="M47" s="155" t="inlineStr">
        <is>
          <t>Accesorios</t>
        </is>
      </c>
      <c r="N47" s="155" t="inlineStr">
        <is>
          <t>Fragancias</t>
        </is>
      </c>
      <c r="O47" s="155" t="inlineStr">
        <is>
          <t>Unisex</t>
        </is>
      </c>
      <c r="P47" s="155" t="inlineStr">
        <is>
          <t>Tru Western</t>
        </is>
      </c>
      <c r="Q47" s="155" t="inlineStr">
        <is>
          <t>SS26</t>
        </is>
      </c>
      <c r="R47" s="155" t="inlineStr">
        <is>
          <t>Seasonal</t>
        </is>
      </c>
      <c r="S47" s="155" t="n"/>
      <c r="T47" s="155" t="n"/>
      <c r="U47" s="155" t="n"/>
      <c r="V47" s="155" t="n"/>
      <c r="W47" s="155" t="n"/>
      <c r="X47" s="155" t="n"/>
      <c r="Y47" s="155" t="inlineStr">
        <is>
          <t>PZS</t>
        </is>
      </c>
      <c r="Z47" s="59" t="inlineStr">
        <is>
          <t>53131620</t>
        </is>
      </c>
      <c r="AA47" s="126" t="inlineStr">
        <is>
          <t>https://m-universal-unique-brands.odoo.com/web/image/product.product/27667/image_1920</t>
        </is>
      </c>
      <c r="AB47" s="61" t="n">
        <v>50</v>
      </c>
      <c r="AC47" s="61" t="n">
        <v>569</v>
      </c>
      <c r="AD47" s="62" t="inlineStr">
        <is>
          <t>Válido</t>
        </is>
      </c>
      <c r="AE47" s="64" t="n"/>
      <c r="AF47" s="64" t="n"/>
      <c r="AG47" s="59" t="n"/>
      <c r="AH47" s="155" t="n"/>
      <c r="AI47" s="59" t="n"/>
      <c r="AJ47" s="155" t="inlineStr">
        <is>
          <t>Nuevo – Carga Hoja2 01/10/2026</t>
        </is>
      </c>
      <c r="AK47" s="155" t="inlineStr">
        <is>
          <t>Alta 01/10/2026 desde Hoja2 (fila 451) | 01/10/2026: complementado desde Odoo Universal Unique Brands (match por código de barras): WB N.º de estilo, WB Talla, WB Talla de EE. UU., WB Género, WB Licencia, WB Temporada, WB Ciclo de vida, Enlace de imagen</t>
        </is>
      </c>
      <c r="AL47" s="155" t="n"/>
      <c r="AM47" s="155" t="n"/>
      <c r="AN47" s="155" t="inlineStr">
        <is>
          <t>Hoja2: fila 451 | Odoo: producto 27667 / plantilla 34403</t>
        </is>
      </c>
      <c r="AO47" s="58" t="n"/>
      <c r="AP47" s="58" t="n"/>
      <c r="AQ47" s="155" t="inlineStr">
        <is>
          <t>Odoo Universal Unique Brands</t>
        </is>
      </c>
      <c r="AR47" s="59" t="n"/>
      <c r="AS47" s="59" t="n"/>
      <c r="AT47" s="59" t="n">
        <v>26</v>
      </c>
      <c r="AU47" s="155" t="inlineStr">
        <is>
          <t>Odoo Universal Unique Brands › Bodega 25 › Bodega 25/General: 14 | Odoo Universal Unique Brands › Bodega 25 › Bodega 25/Output: 12</t>
        </is>
      </c>
    </row>
    <row r="48">
      <c r="A48" s="51" t="n">
        <v>24</v>
      </c>
      <c r="B48" s="156" t="inlineStr">
        <is>
          <t>Productos — registro conservado</t>
        </is>
      </c>
      <c r="C48" s="125" t="inlineStr">
        <is>
          <t>Homologación G1522: mismo producto (mismo código de barras)</t>
        </is>
      </c>
      <c r="D48" s="60" t="inlineStr">
        <is>
          <t>087327032662</t>
        </is>
      </c>
      <c r="E48" s="59" t="inlineStr">
        <is>
          <t>111720</t>
        </is>
      </c>
      <c r="F48" s="155" t="inlineStr">
        <is>
          <t>Multimarca</t>
        </is>
      </c>
      <c r="G48" s="155" t="inlineStr">
        <is>
          <t>98087</t>
        </is>
      </c>
      <c r="H48" s="155" t="inlineStr">
        <is>
          <t>98087-3.4oz/100mL</t>
        </is>
      </c>
      <c r="I48" s="155" t="inlineStr">
        <is>
          <t>100 ml</t>
        </is>
      </c>
      <c r="J48" s="155" t="inlineStr">
        <is>
          <t>3.4 / 3.5 fl oz</t>
        </is>
      </c>
      <c r="K48" s="155" t="inlineStr">
        <is>
          <t>Tru Western</t>
        </is>
      </c>
      <c r="L48" s="155" t="inlineStr">
        <is>
          <t>Perfume Leather Vintage Label No. 3 -Indigo Blend</t>
        </is>
      </c>
      <c r="M48" s="155" t="inlineStr">
        <is>
          <t>Accesorios</t>
        </is>
      </c>
      <c r="N48" s="155" t="inlineStr">
        <is>
          <t>Fragancias</t>
        </is>
      </c>
      <c r="O48" s="155" t="inlineStr">
        <is>
          <t>Unisex</t>
        </is>
      </c>
      <c r="P48" s="155" t="inlineStr">
        <is>
          <t>Tru Western</t>
        </is>
      </c>
      <c r="Q48" s="155" t="inlineStr">
        <is>
          <t>SS26</t>
        </is>
      </c>
      <c r="R48" s="155" t="inlineStr">
        <is>
          <t>Seasonal</t>
        </is>
      </c>
      <c r="S48" s="155" t="inlineStr">
        <is>
          <t>Azul</t>
        </is>
      </c>
      <c r="T48" s="155" t="n"/>
      <c r="U48" s="155" t="n"/>
      <c r="V48" s="155" t="n"/>
      <c r="W48" s="155" t="inlineStr">
        <is>
          <t>Perfume Leather Vintage Label No. 3 -Indigo Blend. Fragancia de la marca Tru Western. Estilo 98087.</t>
        </is>
      </c>
      <c r="X48" s="155" t="inlineStr">
        <is>
          <t>Estados Unidos</t>
        </is>
      </c>
      <c r="Y48" s="155" t="inlineStr">
        <is>
          <t>PZS</t>
        </is>
      </c>
      <c r="Z48" s="59" t="inlineStr">
        <is>
          <t>53131620</t>
        </is>
      </c>
      <c r="AA48" s="126" t="inlineStr">
        <is>
          <t>https://m-universal-unique-brands.odoo.com/web/image/product.product/27669/image_1920</t>
        </is>
      </c>
      <c r="AB48" s="61" t="n">
        <v>301.7</v>
      </c>
      <c r="AC48" s="61" t="n">
        <v>1033.62069</v>
      </c>
      <c r="AD48" s="62" t="inlineStr">
        <is>
          <t>Válido</t>
        </is>
      </c>
      <c r="AE48" s="64" t="n"/>
      <c r="AF48" s="64" t="n"/>
      <c r="AG48" s="59" t="n">
        <v>0</v>
      </c>
      <c r="AH48" s="155" t="n"/>
      <c r="AI48" s="59" t="n">
        <v>0</v>
      </c>
      <c r="AJ48" s="155" t="inlineStr">
        <is>
          <t>Nuevo – NetSuite sin existencia</t>
        </is>
      </c>
      <c r="AK48" s="155" t="inlineStr">
        <is>
          <t>Revisión 29/09/2026: Campos sin respaldo: S, X; Auditoría NetSuite 30/09/2026: llenado desde NetSuite [H,V,Y] | 01/10/2026: complementado desde Shopify Western Brothers (match por código de barras): WB Color, WB Fit, WB Silueta | 01/10/2026: Shopify Western Brothers trae Género «Hombre» — se conservó el valor de Productos</t>
        </is>
      </c>
      <c r="AL48" s="155" t="inlineStr">
        <is>
          <t>No</t>
        </is>
      </c>
      <c r="AM48" s="155" t="n"/>
      <c r="AN48" s="155" t="inlineStr">
        <is>
          <t>ProductosCatalogoEstandar907.xlsx: fila 50984 [N,O,U,Y] | Catálogo y Criterios: F [G]; G1522_Extraccion_Articulos_NetSuite_2026-09-30.xlsx: fila 59368 [H,V,Y] | Shopify WB: producto 8576547389625 / variante 47777663910073</t>
        </is>
      </c>
      <c r="AO48" s="58" t="n"/>
      <c r="AP48" s="58" t="n">
        <v>1199.0000004</v>
      </c>
      <c r="AQ48" s="155" t="inlineStr">
        <is>
          <t>Shopify Western Brothers</t>
        </is>
      </c>
      <c r="AR48" s="59" t="n"/>
      <c r="AS48" s="59" t="n">
        <v>0</v>
      </c>
      <c r="AT48" s="59" t="n"/>
      <c r="AU48" s="155" t="n"/>
    </row>
    <row r="49">
      <c r="A49" s="51" t="n">
        <v>24</v>
      </c>
      <c r="B49" s="156" t="inlineStr">
        <is>
          <t>Productos — registro integrado en el anterior</t>
        </is>
      </c>
      <c r="C49" s="125" t="inlineStr">
        <is>
          <t>Homologación G1522: mismo producto (mismo código de barras)</t>
        </is>
      </c>
      <c r="D49" s="60" t="inlineStr">
        <is>
          <t>087327032662</t>
        </is>
      </c>
      <c r="E49" s="59" t="inlineStr">
        <is>
          <t>27669</t>
        </is>
      </c>
      <c r="F49" s="155" t="inlineStr">
        <is>
          <t>Tru Western</t>
        </is>
      </c>
      <c r="G49" s="155" t="inlineStr">
        <is>
          <t>98087</t>
        </is>
      </c>
      <c r="H49" s="155" t="inlineStr">
        <is>
          <t>98087</t>
        </is>
      </c>
      <c r="I49" s="155" t="inlineStr">
        <is>
          <t>100 ml</t>
        </is>
      </c>
      <c r="J49" s="155" t="inlineStr">
        <is>
          <t>3.4 / 3.5 fl oz</t>
        </is>
      </c>
      <c r="K49" s="155" t="inlineStr">
        <is>
          <t>Tru Western</t>
        </is>
      </c>
      <c r="L49" s="155" t="inlineStr">
        <is>
          <t>Tru Western - Leather - EDC - 100mL - No. 3 Indigo Blend</t>
        </is>
      </c>
      <c r="M49" s="155" t="inlineStr">
        <is>
          <t>Accesorios</t>
        </is>
      </c>
      <c r="N49" s="155" t="inlineStr">
        <is>
          <t>Fragancias</t>
        </is>
      </c>
      <c r="O49" s="155" t="inlineStr">
        <is>
          <t>Unisex</t>
        </is>
      </c>
      <c r="P49" s="155" t="inlineStr">
        <is>
          <t>Tru Western</t>
        </is>
      </c>
      <c r="Q49" s="155" t="inlineStr">
        <is>
          <t>SS26</t>
        </is>
      </c>
      <c r="R49" s="155" t="inlineStr">
        <is>
          <t>Seasonal</t>
        </is>
      </c>
      <c r="S49" s="155" t="inlineStr">
        <is>
          <t>Azul</t>
        </is>
      </c>
      <c r="T49" s="155" t="n"/>
      <c r="U49" s="155" t="n"/>
      <c r="V49" s="155" t="n"/>
      <c r="W49" s="155" t="n"/>
      <c r="X49" s="155" t="n"/>
      <c r="Y49" s="155" t="inlineStr">
        <is>
          <t>PZS</t>
        </is>
      </c>
      <c r="Z49" s="59" t="inlineStr">
        <is>
          <t>53131620</t>
        </is>
      </c>
      <c r="AA49" s="126" t="inlineStr">
        <is>
          <t>https://m-universal-unique-brands.odoo.com/web/image/product.product/27669/image_1920</t>
        </is>
      </c>
      <c r="AB49" s="61" t="n">
        <v>50</v>
      </c>
      <c r="AC49" s="61" t="n">
        <v>569</v>
      </c>
      <c r="AD49" s="62" t="inlineStr">
        <is>
          <t>Válido</t>
        </is>
      </c>
      <c r="AE49" s="64" t="n"/>
      <c r="AF49" s="64" t="n"/>
      <c r="AG49" s="59" t="n"/>
      <c r="AH49" s="155" t="n"/>
      <c r="AI49" s="59" t="n"/>
      <c r="AJ49" s="155" t="inlineStr">
        <is>
          <t>Nuevo – Carga Hoja2 01/10/2026</t>
        </is>
      </c>
      <c r="AK49" s="155" t="inlineStr">
        <is>
          <t>Alta 01/10/2026 desde Hoja2 (fila 453) | 01/10/2026: complementado desde Odoo Universal Unique Brands (match por código de barras): WB N.º de estilo, WB Talla, WB Talla de EE. UU., WB Género, WB Licencia, WB Temporada, WB Ciclo de vida, WB Color, Enlace de imagen</t>
        </is>
      </c>
      <c r="AL49" s="155" t="n"/>
      <c r="AM49" s="155" t="n"/>
      <c r="AN49" s="155" t="inlineStr">
        <is>
          <t>Hoja2: fila 453 | Odoo: producto 27669 / plantilla 34405</t>
        </is>
      </c>
      <c r="AO49" s="58" t="n"/>
      <c r="AP49" s="58" t="n"/>
      <c r="AQ49" s="155" t="inlineStr">
        <is>
          <t>Odoo Universal Unique Brands</t>
        </is>
      </c>
      <c r="AR49" s="59" t="n"/>
      <c r="AS49" s="59" t="n"/>
      <c r="AT49" s="59" t="n">
        <v>-12</v>
      </c>
      <c r="AU49" s="155" t="inlineStr">
        <is>
          <t>Odoo Universal Unique Brands › Bodega 25 › Bodega 25/Output: 12</t>
        </is>
      </c>
    </row>
    <row r="50">
      <c r="A50" s="51" t="n">
        <v>25</v>
      </c>
      <c r="B50" s="156" t="inlineStr">
        <is>
          <t>Productos — registro conservado</t>
        </is>
      </c>
      <c r="C50" s="125" t="inlineStr">
        <is>
          <t>Homologación G1522: mismo producto (mismo código de barras)</t>
        </is>
      </c>
      <c r="D50" s="60" t="inlineStr">
        <is>
          <t>087327032686</t>
        </is>
      </c>
      <c r="E50" s="59" t="inlineStr">
        <is>
          <t>111709</t>
        </is>
      </c>
      <c r="F50" s="155" t="inlineStr">
        <is>
          <t>Multimarca</t>
        </is>
      </c>
      <c r="G50" s="155" t="inlineStr">
        <is>
          <t>98089</t>
        </is>
      </c>
      <c r="H50" s="155" t="inlineStr">
        <is>
          <t>98089-3.4oz/100mL</t>
        </is>
      </c>
      <c r="I50" s="155" t="inlineStr">
        <is>
          <t>100 ml</t>
        </is>
      </c>
      <c r="J50" s="155" t="inlineStr">
        <is>
          <t>3.4 / 3.5 fl oz</t>
        </is>
      </c>
      <c r="K50" s="155" t="inlineStr">
        <is>
          <t>Tru Western</t>
        </is>
      </c>
      <c r="L50" s="155" t="inlineStr">
        <is>
          <t>Perfume Leather Vintage Label No. 4 -Deep Leather</t>
        </is>
      </c>
      <c r="M50" s="155" t="inlineStr">
        <is>
          <t>Accesorios</t>
        </is>
      </c>
      <c r="N50" s="155" t="inlineStr">
        <is>
          <t>Fragancias</t>
        </is>
      </c>
      <c r="O50" s="155" t="inlineStr">
        <is>
          <t>Unisex</t>
        </is>
      </c>
      <c r="P50" s="155" t="inlineStr">
        <is>
          <t>Tru Western</t>
        </is>
      </c>
      <c r="Q50" s="155" t="inlineStr">
        <is>
          <t>SS26</t>
        </is>
      </c>
      <c r="R50" s="155" t="inlineStr">
        <is>
          <t>Seasonal</t>
        </is>
      </c>
      <c r="S50" s="155" t="n"/>
      <c r="T50" s="155" t="n"/>
      <c r="U50" s="155" t="n"/>
      <c r="V50" s="155" t="n"/>
      <c r="W50" s="155" t="inlineStr">
        <is>
          <t>Perfume Leather Vintage Label No. 4 -Deep Leather. Fragancia de la marca Tru Western. Estilo 98089.</t>
        </is>
      </c>
      <c r="X50" s="155" t="inlineStr">
        <is>
          <t>Estados Unidos</t>
        </is>
      </c>
      <c r="Y50" s="155" t="inlineStr">
        <is>
          <t>PZS</t>
        </is>
      </c>
      <c r="Z50" s="59" t="inlineStr">
        <is>
          <t>53131620</t>
        </is>
      </c>
      <c r="AA50" s="126" t="inlineStr">
        <is>
          <t>https://m-universal-unique-brands.odoo.com/web/image/product.product/27671/image_1920</t>
        </is>
      </c>
      <c r="AB50" s="61" t="n">
        <v>301.7</v>
      </c>
      <c r="AC50" s="61" t="n">
        <v>1033.62069</v>
      </c>
      <c r="AD50" s="62" t="inlineStr">
        <is>
          <t>Válido</t>
        </is>
      </c>
      <c r="AE50" s="64" t="n"/>
      <c r="AF50" s="64" t="n"/>
      <c r="AG50" s="59" t="n">
        <v>7</v>
      </c>
      <c r="AH50" s="155" t="inlineStr">
        <is>
          <t>WB OUTLET LERMA: 7</t>
        </is>
      </c>
      <c r="AI50" s="59" t="n">
        <v>7</v>
      </c>
      <c r="AJ50" s="155" t="inlineStr">
        <is>
          <t>Nuevo – NetSuite con existencia</t>
        </is>
      </c>
      <c r="AK50" s="155" t="inlineStr">
        <is>
          <t>Color por validar | Revisión 29/09/2026: Campos sin respaldo: P, S, X; Auditoría NetSuite 30/09/2026: llenado desde NetSuite [H,V,Y] | 01/10/2026: complementado desde Shopify Western Brothers (match por código de barras): WB Fit, WB Silueta | 01/10/2026: Shopify Western Brothers trae Género «Hombre» — se conservó el valor de Productos</t>
        </is>
      </c>
      <c r="AL50" s="155" t="inlineStr">
        <is>
          <t>No</t>
        </is>
      </c>
      <c r="AM50" s="155" t="n"/>
      <c r="AN50" s="155" t="inlineStr">
        <is>
          <t>ProductosCatalogoEstandar907.xlsx: fila 50985 [N,O,U,Y] | Catálogo y Criterios: F [G]; G1522_Extraccion_Articulos_NetSuite_2026-09-30.xlsx: fila 59357 [H,V,Y] | Shopify WB: producto 8576546898105 / variante 47777663025337</t>
        </is>
      </c>
      <c r="AO50" s="58" t="n">
        <v>418.6166666666667</v>
      </c>
      <c r="AP50" s="58" t="n">
        <v>1199.0000004</v>
      </c>
      <c r="AQ50" s="155" t="inlineStr">
        <is>
          <t>Shopify Western Brothers</t>
        </is>
      </c>
      <c r="AR50" s="59" t="n"/>
      <c r="AS50" s="59" t="n">
        <v>7</v>
      </c>
      <c r="AT50" s="59" t="n"/>
      <c r="AU50" s="155" t="inlineStr">
        <is>
          <t>Shopify Western Brothers › Western Brothers Outlet Lerma: 7</t>
        </is>
      </c>
    </row>
    <row r="51">
      <c r="A51" s="51" t="n">
        <v>25</v>
      </c>
      <c r="B51" s="156" t="inlineStr">
        <is>
          <t>Productos — registro integrado en el anterior</t>
        </is>
      </c>
      <c r="C51" s="125" t="inlineStr">
        <is>
          <t>Homologación G1522: mismo producto (mismo código de barras)</t>
        </is>
      </c>
      <c r="D51" s="60" t="inlineStr">
        <is>
          <t>087327032686</t>
        </is>
      </c>
      <c r="E51" s="59" t="inlineStr">
        <is>
          <t>27671</t>
        </is>
      </c>
      <c r="F51" s="155" t="inlineStr">
        <is>
          <t>Tru Western</t>
        </is>
      </c>
      <c r="G51" s="155" t="inlineStr">
        <is>
          <t>98089</t>
        </is>
      </c>
      <c r="H51" s="155" t="inlineStr">
        <is>
          <t>98089</t>
        </is>
      </c>
      <c r="I51" s="155" t="inlineStr">
        <is>
          <t>100 ml</t>
        </is>
      </c>
      <c r="J51" s="155" t="inlineStr">
        <is>
          <t>3.4 / 3.5 fl oz</t>
        </is>
      </c>
      <c r="K51" s="155" t="inlineStr">
        <is>
          <t>Tru Western</t>
        </is>
      </c>
      <c r="L51" s="155" t="inlineStr">
        <is>
          <t>Tru Western - Leather - EDC - 100mL - No. 4 Deep Leather</t>
        </is>
      </c>
      <c r="M51" s="155" t="inlineStr">
        <is>
          <t>Accesorios</t>
        </is>
      </c>
      <c r="N51" s="155" t="inlineStr">
        <is>
          <t>Fragancias</t>
        </is>
      </c>
      <c r="O51" s="155" t="inlineStr">
        <is>
          <t>Unisex</t>
        </is>
      </c>
      <c r="P51" s="155" t="inlineStr">
        <is>
          <t>Tru Western</t>
        </is>
      </c>
      <c r="Q51" s="155" t="inlineStr">
        <is>
          <t>SS26</t>
        </is>
      </c>
      <c r="R51" s="155" t="inlineStr">
        <is>
          <t>Seasonal</t>
        </is>
      </c>
      <c r="S51" s="155" t="n"/>
      <c r="T51" s="155" t="n"/>
      <c r="U51" s="155" t="n"/>
      <c r="V51" s="155" t="n"/>
      <c r="W51" s="155" t="n"/>
      <c r="X51" s="155" t="n"/>
      <c r="Y51" s="155" t="inlineStr">
        <is>
          <t>PZS</t>
        </is>
      </c>
      <c r="Z51" s="59" t="inlineStr">
        <is>
          <t>53131620</t>
        </is>
      </c>
      <c r="AA51" s="126" t="inlineStr">
        <is>
          <t>https://m-universal-unique-brands.odoo.com/web/image/product.product/27671/image_1920</t>
        </is>
      </c>
      <c r="AB51" s="61" t="n">
        <v>50</v>
      </c>
      <c r="AC51" s="61" t="n">
        <v>569</v>
      </c>
      <c r="AD51" s="62" t="inlineStr">
        <is>
          <t>Válido</t>
        </is>
      </c>
      <c r="AE51" s="64" t="n"/>
      <c r="AF51" s="64" t="n"/>
      <c r="AG51" s="59" t="n"/>
      <c r="AH51" s="155" t="n"/>
      <c r="AI51" s="59" t="n"/>
      <c r="AJ51" s="155" t="inlineStr">
        <is>
          <t>Nuevo – Carga Hoja2 01/10/2026</t>
        </is>
      </c>
      <c r="AK51" s="155" t="inlineStr">
        <is>
          <t>Alta 01/10/2026 desde Hoja2 (fila 455) | 01/10/2026: complementado desde Odoo Universal Unique Brands (match por código de barras): WB N.º de estilo, WB Talla, WB Talla de EE. UU., WB Género, WB Licencia, WB Temporada, WB Ciclo de vida, Enlace de imagen</t>
        </is>
      </c>
      <c r="AL51" s="155" t="n"/>
      <c r="AM51" s="155" t="n"/>
      <c r="AN51" s="155" t="inlineStr">
        <is>
          <t>Hoja2: fila 455 | Odoo: producto 27671 / plantilla 34407</t>
        </is>
      </c>
      <c r="AO51" s="58" t="n"/>
      <c r="AP51" s="58" t="n"/>
      <c r="AQ51" s="155" t="inlineStr">
        <is>
          <t>Odoo Universal Unique Brands</t>
        </is>
      </c>
      <c r="AR51" s="59" t="n"/>
      <c r="AS51" s="59" t="n"/>
      <c r="AT51" s="59" t="n">
        <v>20</v>
      </c>
      <c r="AU51" s="155" t="inlineStr">
        <is>
          <t>Odoo Universal Unique Brands › Bodega 25 › Bodega 25/General: 8 | Odoo Universal Unique Brands › Bodega 25 › Bodega 25/Output: 12</t>
        </is>
      </c>
    </row>
  </sheetData>
  <autoFilter ref="A1:AU51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WB OUTLET LERMA</t>
        </is>
      </c>
      <c r="B2" s="5">
        <f>IF($I2="","",INDEX(Productos!$A:$A,$I2))</f>
        <v/>
      </c>
      <c r="C2" s="134" t="inlineStr">
        <is>
          <t>90092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4</v>
      </c>
      <c r="H2" s="5">
        <f>IF($I2="","",INDEX(Productos!$AG:$AG,$I2))</f>
        <v/>
      </c>
      <c r="I2" s="136">
        <f>LET(_xlpm.r,Productos!$E$2:$E$52,_xlpm.m,IFERROR(_xlfn.XMATCH(C2,_xlpm.r),IFERROR(_xlfn.XMATCH(VALUE(C2),_xlpm.r),0)),IF(_xlpm.m=0,"",_xlpm.m+1))</f>
        <v/>
      </c>
      <c r="J2" s="137" t="inlineStr">
        <is>
          <t>NetSuite</t>
        </is>
      </c>
    </row>
    <row r="3">
      <c r="A3" s="5" t="inlineStr">
        <is>
          <t>WB OUTLET LERMA</t>
        </is>
      </c>
      <c r="B3" s="5">
        <f>IF($I2="","",INDEX(Productos!$A:$A,$I2))</f>
        <v/>
      </c>
      <c r="C3" s="134" t="inlineStr">
        <is>
          <t>90543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4</v>
      </c>
      <c r="H3" s="5">
        <f>IF($I2="","",INDEX(Productos!$AG:$AG,$I2))</f>
        <v/>
      </c>
      <c r="I3" s="136">
        <f>LET(_xlpm.r,Productos!$E$2:$E$52,_xlpm.m,IFERROR(_xlfn.XMATCH(C3,_xlpm.r),IFERROR(_xlfn.XMATCH(VALUE(C3),_xlpm.r),0)),IF(_xlpm.m=0,"",_xlpm.m+1))</f>
        <v/>
      </c>
      <c r="J3" s="137" t="inlineStr">
        <is>
          <t>NetSuite</t>
        </is>
      </c>
    </row>
    <row r="4">
      <c r="A4" s="5" t="inlineStr">
        <is>
          <t>WB OUTLET LERMA</t>
        </is>
      </c>
      <c r="B4" s="5">
        <f>IF($I2="","",INDEX(Productos!$A:$A,$I2))</f>
        <v/>
      </c>
      <c r="C4" s="134" t="inlineStr">
        <is>
          <t>95194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4</v>
      </c>
      <c r="H4" s="5">
        <f>IF($I2="","",INDEX(Productos!$AG:$AG,$I2))</f>
        <v/>
      </c>
      <c r="I4" s="136">
        <f>LET(_xlpm.r,Productos!$E$2:$E$52,_xlpm.m,IFERROR(_xlfn.XMATCH(C4,_xlpm.r),IFERROR(_xlfn.XMATCH(VALUE(C4),_xlpm.r),0)),IF(_xlpm.m=0,"",_xlpm.m+1))</f>
        <v/>
      </c>
      <c r="J4" s="137" t="inlineStr">
        <is>
          <t>NetSuite</t>
        </is>
      </c>
    </row>
    <row r="5">
      <c r="A5" s="5" t="inlineStr">
        <is>
          <t>WB OUTLET LERMA</t>
        </is>
      </c>
      <c r="B5" s="5">
        <f>IF($I2="","",INDEX(Productos!$A:$A,$I2))</f>
        <v/>
      </c>
      <c r="C5" s="134" t="inlineStr">
        <is>
          <t>95513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5</v>
      </c>
      <c r="H5" s="5">
        <f>IF($I2="","",INDEX(Productos!$AG:$AG,$I2))</f>
        <v/>
      </c>
      <c r="I5" s="136">
        <f>LET(_xlpm.r,Productos!$E$2:$E$52,_xlpm.m,IFERROR(_xlfn.XMATCH(C5,_xlpm.r),IFERROR(_xlfn.XMATCH(VALUE(C5),_xlpm.r),0)),IF(_xlpm.m=0,"",_xlpm.m+1))</f>
        <v/>
      </c>
      <c r="J5" s="137" t="inlineStr">
        <is>
          <t>NetSuite</t>
        </is>
      </c>
    </row>
    <row r="6">
      <c r="A6" s="5" t="inlineStr">
        <is>
          <t>WB OUTLET LERMA</t>
        </is>
      </c>
      <c r="B6" s="5">
        <f>IF($I2="","",INDEX(Productos!$A:$A,$I2))</f>
        <v/>
      </c>
      <c r="C6" s="134" t="inlineStr">
        <is>
          <t>96203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3</v>
      </c>
      <c r="H6" s="5">
        <f>IF($I2="","",INDEX(Productos!$AG:$AG,$I2))</f>
        <v/>
      </c>
      <c r="I6" s="136">
        <f>LET(_xlpm.r,Productos!$E$2:$E$52,_xlpm.m,IFERROR(_xlfn.XMATCH(C6,_xlpm.r),IFERROR(_xlfn.XMATCH(VALUE(C6),_xlpm.r),0)),IF(_xlpm.m=0,"",_xlpm.m+1))</f>
        <v/>
      </c>
      <c r="J6" s="137" t="inlineStr">
        <is>
          <t>NetSuite</t>
        </is>
      </c>
    </row>
    <row r="7">
      <c r="A7" s="5" t="inlineStr">
        <is>
          <t>WB OUTLET LERMA</t>
        </is>
      </c>
      <c r="B7" s="5">
        <f>IF($I2="","",INDEX(Productos!$A:$A,$I2))</f>
        <v/>
      </c>
      <c r="C7" s="134" t="inlineStr">
        <is>
          <t>96391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3</v>
      </c>
      <c r="H7" s="5">
        <f>IF($I2="","",INDEX(Productos!$AG:$AG,$I2))</f>
        <v/>
      </c>
      <c r="I7" s="136">
        <f>LET(_xlpm.r,Productos!$E$2:$E$52,_xlpm.m,IFERROR(_xlfn.XMATCH(C7,_xlpm.r),IFERROR(_xlfn.XMATCH(VALUE(C7),_xlpm.r),0)),IF(_xlpm.m=0,"",_xlpm.m+1))</f>
        <v/>
      </c>
      <c r="J7" s="137" t="inlineStr">
        <is>
          <t>NetSuite</t>
        </is>
      </c>
    </row>
    <row r="8">
      <c r="A8" s="5" t="inlineStr">
        <is>
          <t>WB OUTLET LERMA</t>
        </is>
      </c>
      <c r="B8" s="5">
        <f>IF($I2="","",INDEX(Productos!$A:$A,$I2))</f>
        <v/>
      </c>
      <c r="C8" s="134" t="inlineStr">
        <is>
          <t>96637</t>
        </is>
      </c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7</v>
      </c>
      <c r="H8" s="5">
        <f>IF($I2="","",INDEX(Productos!$AG:$AG,$I2))</f>
        <v/>
      </c>
      <c r="I8" s="136">
        <f>LET(_xlpm.r,Productos!$E$2:$E$52,_xlpm.m,IFERROR(_xlfn.XMATCH(C8,_xlpm.r),IFERROR(_xlfn.XMATCH(VALUE(C8),_xlpm.r),0)),IF(_xlpm.m=0,"",_xlpm.m+1))</f>
        <v/>
      </c>
      <c r="J8" s="137" t="inlineStr">
        <is>
          <t>NetSuite</t>
        </is>
      </c>
    </row>
    <row r="9">
      <c r="A9" s="5" t="inlineStr">
        <is>
          <t>WB OUTLET LERMA</t>
        </is>
      </c>
      <c r="B9" s="5">
        <f>IF($I2="","",INDEX(Productos!$A:$A,$I2))</f>
        <v/>
      </c>
      <c r="C9" s="134" t="inlineStr">
        <is>
          <t>97085</t>
        </is>
      </c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5</v>
      </c>
      <c r="H9" s="5">
        <f>IF($I2="","",INDEX(Productos!$AG:$AG,$I2))</f>
        <v/>
      </c>
      <c r="I9" s="136">
        <f>LET(_xlpm.r,Productos!$E$2:$E$52,_xlpm.m,IFERROR(_xlfn.XMATCH(C9,_xlpm.r),IFERROR(_xlfn.XMATCH(VALUE(C9),_xlpm.r),0)),IF(_xlpm.m=0,"",_xlpm.m+1))</f>
        <v/>
      </c>
      <c r="J9" s="137" t="inlineStr">
        <is>
          <t>NetSuite</t>
        </is>
      </c>
    </row>
    <row r="10">
      <c r="A10" s="5" t="inlineStr">
        <is>
          <t>WB OUTLET LERMA</t>
        </is>
      </c>
      <c r="B10" s="5">
        <f>IF($I2="","",INDEX(Productos!$A:$A,$I2))</f>
        <v/>
      </c>
      <c r="C10" s="134" t="inlineStr">
        <is>
          <t>97265</t>
        </is>
      </c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6</v>
      </c>
      <c r="H10" s="5">
        <f>IF($I2="","",INDEX(Productos!$AG:$AG,$I2))</f>
        <v/>
      </c>
      <c r="I10" s="136">
        <f>LET(_xlpm.r,Productos!$E$2:$E$52,_xlpm.m,IFERROR(_xlfn.XMATCH(C10,_xlpm.r),IFERROR(_xlfn.XMATCH(VALUE(C10),_xlpm.r),0)),IF(_xlpm.m=0,"",_xlpm.m+1))</f>
        <v/>
      </c>
      <c r="J10" s="137" t="inlineStr">
        <is>
          <t>NetSuite</t>
        </is>
      </c>
    </row>
    <row r="11">
      <c r="A11" s="5" t="inlineStr">
        <is>
          <t>WB OUTLET LERMA</t>
        </is>
      </c>
      <c r="B11" s="5">
        <f>IF($I2="","",INDEX(Productos!$A:$A,$I2))</f>
        <v/>
      </c>
      <c r="C11" s="134" t="inlineStr">
        <is>
          <t>98052</t>
        </is>
      </c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6</v>
      </c>
      <c r="H11" s="5">
        <f>IF($I2="","",INDEX(Productos!$AG:$AG,$I2))</f>
        <v/>
      </c>
      <c r="I11" s="136">
        <f>LET(_xlpm.r,Productos!$E$2:$E$52,_xlpm.m,IFERROR(_xlfn.XMATCH(C11,_xlpm.r),IFERROR(_xlfn.XMATCH(VALUE(C11),_xlpm.r),0)),IF(_xlpm.m=0,"",_xlpm.m+1))</f>
        <v/>
      </c>
      <c r="J11" s="137" t="inlineStr">
        <is>
          <t>NetSuite</t>
        </is>
      </c>
    </row>
    <row r="12">
      <c r="A12" s="5" t="inlineStr">
        <is>
          <t>WB OUTLET LERMA</t>
        </is>
      </c>
      <c r="B12" s="5">
        <f>IF($I2="","",INDEX(Productos!$A:$A,$I2))</f>
        <v/>
      </c>
      <c r="C12" s="134" t="inlineStr">
        <is>
          <t>98085</t>
        </is>
      </c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5</v>
      </c>
      <c r="H12" s="5">
        <f>IF($I2="","",INDEX(Productos!$AG:$AG,$I2))</f>
        <v/>
      </c>
      <c r="I12" s="136">
        <f>LET(_xlpm.r,Productos!$E$2:$E$52,_xlpm.m,IFERROR(_xlfn.XMATCH(C12,_xlpm.r),IFERROR(_xlfn.XMATCH(VALUE(C12),_xlpm.r),0)),IF(_xlpm.m=0,"",_xlpm.m+1))</f>
        <v/>
      </c>
      <c r="J12" s="137" t="inlineStr">
        <is>
          <t>NetSuite</t>
        </is>
      </c>
    </row>
    <row r="13">
      <c r="A13" s="5" t="inlineStr">
        <is>
          <t>WB OUTLET LERMA</t>
        </is>
      </c>
      <c r="B13" s="5">
        <f>IF($I2="","",INDEX(Productos!$A:$A,$I2))</f>
        <v/>
      </c>
      <c r="C13" s="134" t="inlineStr">
        <is>
          <t>98089</t>
        </is>
      </c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7</v>
      </c>
      <c r="H13" s="5">
        <f>IF($I2="","",INDEX(Productos!$AG:$AG,$I2))</f>
        <v/>
      </c>
      <c r="I13" s="136">
        <f>LET(_xlpm.r,Productos!$E$2:$E$52,_xlpm.m,IFERROR(_xlfn.XMATCH(C13,_xlpm.r),IFERROR(_xlfn.XMATCH(VALUE(C13),_xlpm.r),0)),IF(_xlpm.m=0,"",_xlpm.m+1))</f>
        <v/>
      </c>
      <c r="J13" s="137" t="inlineStr">
        <is>
          <t>NetSuite</t>
        </is>
      </c>
    </row>
    <row r="14">
      <c r="A14" s="5" t="inlineStr">
        <is>
          <t>Shopify Western Brothers › Western Brothers Outlet Lerma</t>
        </is>
      </c>
      <c r="B14" s="5">
        <f>IF($I2="","",INDEX(Productos!$A:$A,$I2))</f>
        <v/>
      </c>
      <c r="C14" s="134" t="inlineStr">
        <is>
          <t>90092-3.4oz/100mL</t>
        </is>
      </c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4</v>
      </c>
      <c r="H14" s="5">
        <f>IF($I2="","",INDEX(Productos!$AG:$AG,$I2))</f>
        <v/>
      </c>
      <c r="I14" s="136">
        <f>LET(_xlpm.r,Productos!$E$2:$E$52,_xlpm.m,IFERROR(_xlfn.XMATCH(C14,_xlpm.r),IFERROR(_xlfn.XMATCH(VALUE(C14),_xlpm.r),0)),IF(_xlpm.m=0,"",_xlpm.m+1))</f>
        <v/>
      </c>
      <c r="J14" s="137" t="inlineStr">
        <is>
          <t>Shopify</t>
        </is>
      </c>
    </row>
    <row r="15">
      <c r="A15" s="5" t="inlineStr">
        <is>
          <t>Shopify Western Brothers › Western Brothers Outlet Lerma</t>
        </is>
      </c>
      <c r="B15" s="5">
        <f>IF($I2="","",INDEX(Productos!$A:$A,$I2))</f>
        <v/>
      </c>
      <c r="C15" s="134" t="inlineStr">
        <is>
          <t>90543-3.4oz/100mL</t>
        </is>
      </c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4</v>
      </c>
      <c r="H15" s="5">
        <f>IF($I2="","",INDEX(Productos!$AG:$AG,$I2))</f>
        <v/>
      </c>
      <c r="I15" s="136">
        <f>LET(_xlpm.r,Productos!$E$2:$E$52,_xlpm.m,IFERROR(_xlfn.XMATCH(C15,_xlpm.r),IFERROR(_xlfn.XMATCH(VALUE(C15),_xlpm.r),0)),IF(_xlpm.m=0,"",_xlpm.m+1))</f>
        <v/>
      </c>
      <c r="J15" s="137" t="inlineStr">
        <is>
          <t>Shopify</t>
        </is>
      </c>
    </row>
    <row r="16">
      <c r="A16" s="5" t="inlineStr">
        <is>
          <t>Shopify Western Brothers › Western Brothers Outlet Lerma</t>
        </is>
      </c>
      <c r="B16" s="5">
        <f>IF($I2="","",INDEX(Productos!$A:$A,$I2))</f>
        <v/>
      </c>
      <c r="C16" s="134" t="inlineStr">
        <is>
          <t>95194-3.4oz/100mL</t>
        </is>
      </c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4</v>
      </c>
      <c r="H16" s="5">
        <f>IF($I2="","",INDEX(Productos!$AG:$AG,$I2))</f>
        <v/>
      </c>
      <c r="I16" s="136">
        <f>LET(_xlpm.r,Productos!$E$2:$E$52,_xlpm.m,IFERROR(_xlfn.XMATCH(C16,_xlpm.r),IFERROR(_xlfn.XMATCH(VALUE(C16),_xlpm.r),0)),IF(_xlpm.m=0,"",_xlpm.m+1))</f>
        <v/>
      </c>
      <c r="J16" s="137" t="inlineStr">
        <is>
          <t>Shopify</t>
        </is>
      </c>
    </row>
    <row r="17">
      <c r="A17" s="5" t="inlineStr">
        <is>
          <t>Shopify Western Brothers › Western Brothers Outlet Lerma</t>
        </is>
      </c>
      <c r="B17" s="5">
        <f>IF($I2="","",INDEX(Productos!$A:$A,$I2))</f>
        <v/>
      </c>
      <c r="C17" s="134" t="inlineStr">
        <is>
          <t>95513-1.7oz/50mL</t>
        </is>
      </c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5</v>
      </c>
      <c r="H17" s="5">
        <f>IF($I2="","",INDEX(Productos!$AG:$AG,$I2))</f>
        <v/>
      </c>
      <c r="I17" s="136">
        <f>LET(_xlpm.r,Productos!$E$2:$E$52,_xlpm.m,IFERROR(_xlfn.XMATCH(C17,_xlpm.r),IFERROR(_xlfn.XMATCH(VALUE(C17),_xlpm.r),0)),IF(_xlpm.m=0,"",_xlpm.m+1))</f>
        <v/>
      </c>
      <c r="J17" s="137" t="inlineStr">
        <is>
          <t>Shopify</t>
        </is>
      </c>
    </row>
    <row r="18">
      <c r="A18" s="5" t="inlineStr">
        <is>
          <t>Shopify Western Brothers › Western Brothers Outlet Lerma</t>
        </is>
      </c>
      <c r="B18" s="5">
        <f>IF($I2="","",INDEX(Productos!$A:$A,$I2))</f>
        <v/>
      </c>
      <c r="C18" s="134" t="inlineStr">
        <is>
          <t>96203-1.7oz/50mL</t>
        </is>
      </c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3</v>
      </c>
      <c r="H18" s="5">
        <f>IF($I2="","",INDEX(Productos!$AG:$AG,$I2))</f>
        <v/>
      </c>
      <c r="I18" s="136">
        <f>LET(_xlpm.r,Productos!$E$2:$E$52,_xlpm.m,IFERROR(_xlfn.XMATCH(C18,_xlpm.r),IFERROR(_xlfn.XMATCH(VALUE(C18),_xlpm.r),0)),IF(_xlpm.m=0,"",_xlpm.m+1))</f>
        <v/>
      </c>
      <c r="J18" s="137" t="inlineStr">
        <is>
          <t>Shopify</t>
        </is>
      </c>
    </row>
    <row r="19">
      <c r="A19" s="5" t="inlineStr">
        <is>
          <t>Shopify Western Brothers › Western Brothers Outlet Lerma</t>
        </is>
      </c>
      <c r="B19" s="5">
        <f>IF($I2="","",INDEX(Productos!$A:$A,$I2))</f>
        <v/>
      </c>
      <c r="C19" s="134" t="inlineStr">
        <is>
          <t>96391-3.4oz/100mL</t>
        </is>
      </c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3</v>
      </c>
      <c r="H19" s="5">
        <f>IF($I2="","",INDEX(Productos!$AG:$AG,$I2))</f>
        <v/>
      </c>
      <c r="I19" s="136">
        <f>LET(_xlpm.r,Productos!$E$2:$E$52,_xlpm.m,IFERROR(_xlfn.XMATCH(C19,_xlpm.r),IFERROR(_xlfn.XMATCH(VALUE(C19),_xlpm.r),0)),IF(_xlpm.m=0,"",_xlpm.m+1))</f>
        <v/>
      </c>
      <c r="J19" s="137" t="inlineStr">
        <is>
          <t>Shopify</t>
        </is>
      </c>
    </row>
    <row r="20">
      <c r="A20" s="5" t="inlineStr">
        <is>
          <t>Shopify Western Brothers › Western Brothers Outlet Lerma</t>
        </is>
      </c>
      <c r="B20" s="5">
        <f>IF($I2="","",INDEX(Productos!$A:$A,$I2))</f>
        <v/>
      </c>
      <c r="C20" s="134" t="inlineStr">
        <is>
          <t>96637-3.4oz/100mL</t>
        </is>
      </c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7</v>
      </c>
      <c r="H20" s="5">
        <f>IF($I2="","",INDEX(Productos!$AG:$AG,$I2))</f>
        <v/>
      </c>
      <c r="I20" s="136">
        <f>LET(_xlpm.r,Productos!$E$2:$E$52,_xlpm.m,IFERROR(_xlfn.XMATCH(C20,_xlpm.r),IFERROR(_xlfn.XMATCH(VALUE(C20),_xlpm.r),0)),IF(_xlpm.m=0,"",_xlpm.m+1))</f>
        <v/>
      </c>
      <c r="J20" s="137" t="inlineStr">
        <is>
          <t>Shopify</t>
        </is>
      </c>
    </row>
    <row r="21">
      <c r="A21" s="5" t="inlineStr">
        <is>
          <t>Shopify Western Brothers › Western Brothers Outlet Lerma</t>
        </is>
      </c>
      <c r="B21" s="5">
        <f>IF($I2="","",INDEX(Productos!$A:$A,$I2))</f>
        <v/>
      </c>
      <c r="C21" s="134" t="inlineStr">
        <is>
          <t>97085-1.7oz/50mL</t>
        </is>
      </c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5</v>
      </c>
      <c r="H21" s="5">
        <f>IF($I2="","",INDEX(Productos!$AG:$AG,$I2))</f>
        <v/>
      </c>
      <c r="I21" s="136">
        <f>LET(_xlpm.r,Productos!$E$2:$E$52,_xlpm.m,IFERROR(_xlfn.XMATCH(C21,_xlpm.r),IFERROR(_xlfn.XMATCH(VALUE(C21),_xlpm.r),0)),IF(_xlpm.m=0,"",_xlpm.m+1))</f>
        <v/>
      </c>
      <c r="J21" s="137" t="inlineStr">
        <is>
          <t>Shopify</t>
        </is>
      </c>
    </row>
    <row r="22">
      <c r="A22" s="5" t="inlineStr">
        <is>
          <t>Shopify Western Brothers › Western Brothers Outlet Lerma</t>
        </is>
      </c>
      <c r="B22" s="5">
        <f>IF($I2="","",INDEX(Productos!$A:$A,$I2))</f>
        <v/>
      </c>
      <c r="C22" s="134" t="inlineStr">
        <is>
          <t>97265-2.7fl.oz./80mL</t>
        </is>
      </c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6</v>
      </c>
      <c r="H22" s="5">
        <f>IF($I2="","",INDEX(Productos!$AG:$AG,$I2))</f>
        <v/>
      </c>
      <c r="I22" s="136">
        <f>LET(_xlpm.r,Productos!$E$2:$E$52,_xlpm.m,IFERROR(_xlfn.XMATCH(C22,_xlpm.r),IFERROR(_xlfn.XMATCH(VALUE(C22),_xlpm.r),0)),IF(_xlpm.m=0,"",_xlpm.m+1))</f>
        <v/>
      </c>
      <c r="J22" s="137" t="inlineStr">
        <is>
          <t>Shopify</t>
        </is>
      </c>
    </row>
    <row r="23">
      <c r="A23" s="5" t="inlineStr">
        <is>
          <t>Shopify Western Brothers › Western Brothers Outlet Lerma</t>
        </is>
      </c>
      <c r="B23" s="5">
        <f>IF($I2="","",INDEX(Productos!$A:$A,$I2))</f>
        <v/>
      </c>
      <c r="C23" s="134" t="inlineStr">
        <is>
          <t>98052-3.4oz/100mL</t>
        </is>
      </c>
      <c r="D23" s="5">
        <f>IF($I2="","",INDEX(Productos!$B:$B,$I2))</f>
        <v/>
      </c>
      <c r="E23" s="5">
        <f>IF($I2="","",INDEX(Productos!$H:$H,$I2))</f>
        <v/>
      </c>
      <c r="F23" s="5">
        <f>IF($I2="","",INDEX(Productos!$I:$I,$I2))</f>
        <v/>
      </c>
      <c r="G23" s="135" t="n">
        <v>6</v>
      </c>
      <c r="H23" s="5">
        <f>IF($I2="","",INDEX(Productos!$AG:$AG,$I2))</f>
        <v/>
      </c>
      <c r="I23" s="136">
        <f>LET(_xlpm.r,Productos!$E$2:$E$52,_xlpm.m,IFERROR(_xlfn.XMATCH(C23,_xlpm.r),IFERROR(_xlfn.XMATCH(VALUE(C23),_xlpm.r),0)),IF(_xlpm.m=0,"",_xlpm.m+1))</f>
        <v/>
      </c>
      <c r="J23" s="137" t="inlineStr">
        <is>
          <t>Shopify</t>
        </is>
      </c>
    </row>
    <row r="24">
      <c r="A24" s="5" t="inlineStr">
        <is>
          <t>Shopify Western Brothers › Western Brothers Outlet Lerma</t>
        </is>
      </c>
      <c r="B24" s="5">
        <f>IF($I2="","",INDEX(Productos!$A:$A,$I2))</f>
        <v/>
      </c>
      <c r="C24" s="134" t="inlineStr">
        <is>
          <t>98085-3.4oz/100mL</t>
        </is>
      </c>
      <c r="D24" s="5">
        <f>IF($I2="","",INDEX(Productos!$B:$B,$I2))</f>
        <v/>
      </c>
      <c r="E24" s="5">
        <f>IF($I2="","",INDEX(Productos!$H:$H,$I2))</f>
        <v/>
      </c>
      <c r="F24" s="5">
        <f>IF($I2="","",INDEX(Productos!$I:$I,$I2))</f>
        <v/>
      </c>
      <c r="G24" s="135" t="n">
        <v>5</v>
      </c>
      <c r="H24" s="5">
        <f>IF($I2="","",INDEX(Productos!$AG:$AG,$I2))</f>
        <v/>
      </c>
      <c r="I24" s="136">
        <f>LET(_xlpm.r,Productos!$E$2:$E$52,_xlpm.m,IFERROR(_xlfn.XMATCH(C24,_xlpm.r),IFERROR(_xlfn.XMATCH(VALUE(C24),_xlpm.r),0)),IF(_xlpm.m=0,"",_xlpm.m+1))</f>
        <v/>
      </c>
      <c r="J24" s="137" t="inlineStr">
        <is>
          <t>Shopify</t>
        </is>
      </c>
    </row>
    <row r="25">
      <c r="A25" s="5" t="inlineStr">
        <is>
          <t>Shopify Western Brothers › Western Brothers Outlet Lerma</t>
        </is>
      </c>
      <c r="B25" s="5">
        <f>IF($I2="","",INDEX(Productos!$A:$A,$I2))</f>
        <v/>
      </c>
      <c r="C25" s="134" t="inlineStr">
        <is>
          <t>98089-3.4oz/100mL</t>
        </is>
      </c>
      <c r="D25" s="5">
        <f>IF($I2="","",INDEX(Productos!$B:$B,$I2))</f>
        <v/>
      </c>
      <c r="E25" s="5">
        <f>IF($I2="","",INDEX(Productos!$H:$H,$I2))</f>
        <v/>
      </c>
      <c r="F25" s="5">
        <f>IF($I2="","",INDEX(Productos!$I:$I,$I2))</f>
        <v/>
      </c>
      <c r="G25" s="135" t="n">
        <v>7</v>
      </c>
      <c r="H25" s="5">
        <f>IF($I2="","",INDEX(Productos!$AG:$AG,$I2))</f>
        <v/>
      </c>
      <c r="I25" s="136">
        <f>LET(_xlpm.r,Productos!$E$2:$E$52,_xlpm.m,IFERROR(_xlfn.XMATCH(C25,_xlpm.r),IFERROR(_xlfn.XMATCH(VALUE(C25),_xlpm.r),0)),IF(_xlpm.m=0,"",_xlpm.m+1))</f>
        <v/>
      </c>
      <c r="J25" s="137" t="inlineStr">
        <is>
          <t>Shopify</t>
        </is>
      </c>
    </row>
    <row r="26">
      <c r="A26" s="5" t="inlineStr">
        <is>
          <t>Odoo Universal Unique Brands › Bodega 25 › Bodega 25/General</t>
        </is>
      </c>
      <c r="B26" s="5">
        <f>IF($I2="","",INDEX(Productos!$A:$A,$I2))</f>
        <v/>
      </c>
      <c r="C26" s="134" t="inlineStr">
        <is>
          <t>90093</t>
        </is>
      </c>
      <c r="D26" s="5">
        <f>IF($I2="","",INDEX(Productos!$B:$B,$I2))</f>
        <v/>
      </c>
      <c r="E26" s="5">
        <f>IF($I2="","",INDEX(Productos!$H:$H,$I2))</f>
        <v/>
      </c>
      <c r="F26" s="5">
        <f>IF($I2="","",INDEX(Productos!$I:$I,$I2))</f>
        <v/>
      </c>
      <c r="G26" s="135" t="n">
        <v>1</v>
      </c>
      <c r="H26" s="5">
        <f>IF($I2="","",INDEX(Productos!$AG:$AG,$I2))</f>
        <v/>
      </c>
      <c r="I26" s="136">
        <f>LET(_xlpm.r,Productos!$E$2:$E$52,_xlpm.m,IFERROR(_xlfn.XMATCH(C26,_xlpm.r),IFERROR(_xlfn.XMATCH(VALUE(C26),_xlpm.r),0)),IF(_xlpm.m=0,"",_xlpm.m+1))</f>
        <v/>
      </c>
      <c r="J26" s="137" t="inlineStr">
        <is>
          <t>Odoo</t>
        </is>
      </c>
    </row>
    <row r="27">
      <c r="A27" s="5" t="inlineStr">
        <is>
          <t>Odoo Universal Unique Brands › Bodega 25 › Bodega 25/General</t>
        </is>
      </c>
      <c r="B27" s="5">
        <f>IF($I2="","",INDEX(Productos!$A:$A,$I2))</f>
        <v/>
      </c>
      <c r="C27" s="134" t="inlineStr">
        <is>
          <t>91571</t>
        </is>
      </c>
      <c r="D27" s="5">
        <f>IF($I2="","",INDEX(Productos!$B:$B,$I2))</f>
        <v/>
      </c>
      <c r="E27" s="5">
        <f>IF($I2="","",INDEX(Productos!$H:$H,$I2))</f>
        <v/>
      </c>
      <c r="F27" s="5">
        <f>IF($I2="","",INDEX(Productos!$I:$I,$I2))</f>
        <v/>
      </c>
      <c r="G27" s="135" t="n">
        <v>5</v>
      </c>
      <c r="H27" s="5">
        <f>IF($I2="","",INDEX(Productos!$AG:$AG,$I2))</f>
        <v/>
      </c>
      <c r="I27" s="136">
        <f>LET(_xlpm.r,Productos!$E$2:$E$52,_xlpm.m,IFERROR(_xlfn.XMATCH(C27,_xlpm.r),IFERROR(_xlfn.XMATCH(VALUE(C27),_xlpm.r),0)),IF(_xlpm.m=0,"",_xlpm.m+1))</f>
        <v/>
      </c>
      <c r="J27" s="137" t="inlineStr">
        <is>
          <t>Odoo</t>
        </is>
      </c>
    </row>
    <row r="28">
      <c r="A28" s="5" t="inlineStr">
        <is>
          <t>Odoo Universal Unique Brands › Bodega 25 › Bodega 25/General</t>
        </is>
      </c>
      <c r="B28" s="5">
        <f>IF($I2="","",INDEX(Productos!$A:$A,$I2))</f>
        <v/>
      </c>
      <c r="C28" s="134" t="inlineStr">
        <is>
          <t>91574</t>
        </is>
      </c>
      <c r="D28" s="5">
        <f>IF($I2="","",INDEX(Productos!$B:$B,$I2))</f>
        <v/>
      </c>
      <c r="E28" s="5">
        <f>IF($I2="","",INDEX(Productos!$H:$H,$I2))</f>
        <v/>
      </c>
      <c r="F28" s="5">
        <f>IF($I2="","",INDEX(Productos!$I:$I,$I2))</f>
        <v/>
      </c>
      <c r="G28" s="135" t="n">
        <v>1</v>
      </c>
      <c r="H28" s="5">
        <f>IF($I2="","",INDEX(Productos!$AG:$AG,$I2))</f>
        <v/>
      </c>
      <c r="I28" s="136">
        <f>LET(_xlpm.r,Productos!$E$2:$E$52,_xlpm.m,IFERROR(_xlfn.XMATCH(C28,_xlpm.r),IFERROR(_xlfn.XMATCH(VALUE(C28),_xlpm.r),0)),IF(_xlpm.m=0,"",_xlpm.m+1))</f>
        <v/>
      </c>
      <c r="J28" s="137" t="inlineStr">
        <is>
          <t>Odoo</t>
        </is>
      </c>
    </row>
    <row r="29">
      <c r="A29" s="5" t="inlineStr">
        <is>
          <t>Odoo Universal Unique Brands › Bodega 25 › Bodega 25/General</t>
        </is>
      </c>
      <c r="B29" s="5">
        <f>IF($I2="","",INDEX(Productos!$A:$A,$I2))</f>
        <v/>
      </c>
      <c r="C29" s="134" t="inlineStr">
        <is>
          <t>92080</t>
        </is>
      </c>
      <c r="D29" s="5">
        <f>IF($I2="","",INDEX(Productos!$B:$B,$I2))</f>
        <v/>
      </c>
      <c r="E29" s="5">
        <f>IF($I2="","",INDEX(Productos!$H:$H,$I2))</f>
        <v/>
      </c>
      <c r="F29" s="5">
        <f>IF($I2="","",INDEX(Productos!$I:$I,$I2))</f>
        <v/>
      </c>
      <c r="G29" s="135" t="n">
        <v>6</v>
      </c>
      <c r="H29" s="5">
        <f>IF($I2="","",INDEX(Productos!$AG:$AG,$I2))</f>
        <v/>
      </c>
      <c r="I29" s="136">
        <f>LET(_xlpm.r,Productos!$E$2:$E$52,_xlpm.m,IFERROR(_xlfn.XMATCH(C29,_xlpm.r),IFERROR(_xlfn.XMATCH(VALUE(C29),_xlpm.r),0)),IF(_xlpm.m=0,"",_xlpm.m+1))</f>
        <v/>
      </c>
      <c r="J29" s="137" t="inlineStr">
        <is>
          <t>Odoo</t>
        </is>
      </c>
    </row>
    <row r="30">
      <c r="A30" s="5" t="inlineStr">
        <is>
          <t>Odoo Universal Unique Brands › Bodega 25 › Bodega 25/General</t>
        </is>
      </c>
      <c r="B30" s="5">
        <f>IF($I2="","",INDEX(Productos!$A:$A,$I2))</f>
        <v/>
      </c>
      <c r="C30" s="134" t="inlineStr">
        <is>
          <t>92176</t>
        </is>
      </c>
      <c r="D30" s="5">
        <f>IF($I2="","",INDEX(Productos!$B:$B,$I2))</f>
        <v/>
      </c>
      <c r="E30" s="5">
        <f>IF($I2="","",INDEX(Productos!$H:$H,$I2))</f>
        <v/>
      </c>
      <c r="F30" s="5">
        <f>IF($I2="","",INDEX(Productos!$I:$I,$I2))</f>
        <v/>
      </c>
      <c r="G30" s="135" t="n">
        <v>1</v>
      </c>
      <c r="H30" s="5">
        <f>IF($I2="","",INDEX(Productos!$AG:$AG,$I2))</f>
        <v/>
      </c>
      <c r="I30" s="136">
        <f>LET(_xlpm.r,Productos!$E$2:$E$52,_xlpm.m,IFERROR(_xlfn.XMATCH(C30,_xlpm.r),IFERROR(_xlfn.XMATCH(VALUE(C30),_xlpm.r),0)),IF(_xlpm.m=0,"",_xlpm.m+1))</f>
        <v/>
      </c>
      <c r="J30" s="137" t="inlineStr">
        <is>
          <t>Odoo</t>
        </is>
      </c>
    </row>
    <row r="31">
      <c r="A31" s="5" t="inlineStr">
        <is>
          <t>Odoo Universal Unique Brands › Bodega 25 › Bodega 25/General</t>
        </is>
      </c>
      <c r="B31" s="5">
        <f>IF($I2="","",INDEX(Productos!$A:$A,$I2))</f>
        <v/>
      </c>
      <c r="C31" s="134" t="inlineStr">
        <is>
          <t>92701</t>
        </is>
      </c>
      <c r="D31" s="5">
        <f>IF($I2="","",INDEX(Productos!$B:$B,$I2))</f>
        <v/>
      </c>
      <c r="E31" s="5">
        <f>IF($I2="","",INDEX(Productos!$H:$H,$I2))</f>
        <v/>
      </c>
      <c r="F31" s="5">
        <f>IF($I2="","",INDEX(Productos!$I:$I,$I2))</f>
        <v/>
      </c>
      <c r="G31" s="135" t="n">
        <v>1</v>
      </c>
      <c r="H31" s="5">
        <f>IF($I2="","",INDEX(Productos!$AG:$AG,$I2))</f>
        <v/>
      </c>
      <c r="I31" s="136">
        <f>LET(_xlpm.r,Productos!$E$2:$E$52,_xlpm.m,IFERROR(_xlfn.XMATCH(C31,_xlpm.r),IFERROR(_xlfn.XMATCH(VALUE(C31),_xlpm.r),0)),IF(_xlpm.m=0,"",_xlpm.m+1))</f>
        <v/>
      </c>
      <c r="J31" s="137" t="inlineStr">
        <is>
          <t>Odoo</t>
        </is>
      </c>
    </row>
    <row r="32">
      <c r="A32" s="5" t="inlineStr">
        <is>
          <t>Odoo Universal Unique Brands › Bodega 25 › Bodega 25/General</t>
        </is>
      </c>
      <c r="B32" s="5">
        <f>IF($I2="","",INDEX(Productos!$A:$A,$I2))</f>
        <v/>
      </c>
      <c r="C32" s="134" t="inlineStr">
        <is>
          <t>92702</t>
        </is>
      </c>
      <c r="D32" s="5">
        <f>IF($I2="","",INDEX(Productos!$B:$B,$I2))</f>
        <v/>
      </c>
      <c r="E32" s="5">
        <f>IF($I2="","",INDEX(Productos!$H:$H,$I2))</f>
        <v/>
      </c>
      <c r="F32" s="5">
        <f>IF($I2="","",INDEX(Productos!$I:$I,$I2))</f>
        <v/>
      </c>
      <c r="G32" s="135" t="n">
        <v>1</v>
      </c>
      <c r="H32" s="5">
        <f>IF($I2="","",INDEX(Productos!$AG:$AG,$I2))</f>
        <v/>
      </c>
      <c r="I32" s="136">
        <f>LET(_xlpm.r,Productos!$E$2:$E$52,_xlpm.m,IFERROR(_xlfn.XMATCH(C32,_xlpm.r),IFERROR(_xlfn.XMATCH(VALUE(C32),_xlpm.r),0)),IF(_xlpm.m=0,"",_xlpm.m+1))</f>
        <v/>
      </c>
      <c r="J32" s="137" t="inlineStr">
        <is>
          <t>Odoo</t>
        </is>
      </c>
    </row>
    <row r="33">
      <c r="A33" s="5" t="inlineStr">
        <is>
          <t>Odoo Universal Unique Brands › Bodega 25 › Bodega 25/General</t>
        </is>
      </c>
      <c r="B33" s="5">
        <f>IF($I2="","",INDEX(Productos!$A:$A,$I2))</f>
        <v/>
      </c>
      <c r="C33" s="134" t="inlineStr">
        <is>
          <t>94434</t>
        </is>
      </c>
      <c r="D33" s="5">
        <f>IF($I2="","",INDEX(Productos!$B:$B,$I2))</f>
        <v/>
      </c>
      <c r="E33" s="5">
        <f>IF($I2="","",INDEX(Productos!$H:$H,$I2))</f>
        <v/>
      </c>
      <c r="F33" s="5">
        <f>IF($I2="","",INDEX(Productos!$I:$I,$I2))</f>
        <v/>
      </c>
      <c r="G33" s="135" t="n">
        <v>2</v>
      </c>
      <c r="H33" s="5">
        <f>IF($I2="","",INDEX(Productos!$AG:$AG,$I2))</f>
        <v/>
      </c>
      <c r="I33" s="136">
        <f>LET(_xlpm.r,Productos!$E$2:$E$52,_xlpm.m,IFERROR(_xlfn.XMATCH(C33,_xlpm.r),IFERROR(_xlfn.XMATCH(VALUE(C33),_xlpm.r),0)),IF(_xlpm.m=0,"",_xlpm.m+1))</f>
        <v/>
      </c>
      <c r="J33" s="137" t="inlineStr">
        <is>
          <t>Odoo</t>
        </is>
      </c>
    </row>
    <row r="34">
      <c r="A34" s="5" t="inlineStr">
        <is>
          <t>Odoo Universal Unique Brands › Bodega 25 › Bodega 25/General</t>
        </is>
      </c>
      <c r="B34" s="5">
        <f>IF($I2="","",INDEX(Productos!$A:$A,$I2))</f>
        <v/>
      </c>
      <c r="C34" s="134" t="inlineStr">
        <is>
          <t>94752</t>
        </is>
      </c>
      <c r="D34" s="5">
        <f>IF($I2="","",INDEX(Productos!$B:$B,$I2))</f>
        <v/>
      </c>
      <c r="E34" s="5">
        <f>IF($I2="","",INDEX(Productos!$H:$H,$I2))</f>
        <v/>
      </c>
      <c r="F34" s="5">
        <f>IF($I2="","",INDEX(Productos!$I:$I,$I2))</f>
        <v/>
      </c>
      <c r="G34" s="135" t="n">
        <v>1</v>
      </c>
      <c r="H34" s="5">
        <f>IF($I2="","",INDEX(Productos!$AG:$AG,$I2))</f>
        <v/>
      </c>
      <c r="I34" s="136">
        <f>LET(_xlpm.r,Productos!$E$2:$E$52,_xlpm.m,IFERROR(_xlfn.XMATCH(C34,_xlpm.r),IFERROR(_xlfn.XMATCH(VALUE(C34),_xlpm.r),0)),IF(_xlpm.m=0,"",_xlpm.m+1))</f>
        <v/>
      </c>
      <c r="J34" s="137" t="inlineStr">
        <is>
          <t>Odoo</t>
        </is>
      </c>
    </row>
    <row r="35">
      <c r="A35" s="5" t="inlineStr">
        <is>
          <t>Odoo Universal Unique Brands › Bodega 25 › Bodega 25/General</t>
        </is>
      </c>
      <c r="B35" s="5">
        <f>IF($I2="","",INDEX(Productos!$A:$A,$I2))</f>
        <v/>
      </c>
      <c r="C35" s="134" t="inlineStr">
        <is>
          <t>95176</t>
        </is>
      </c>
      <c r="D35" s="5">
        <f>IF($I2="","",INDEX(Productos!$B:$B,$I2))</f>
        <v/>
      </c>
      <c r="E35" s="5">
        <f>IF($I2="","",INDEX(Productos!$H:$H,$I2))</f>
        <v/>
      </c>
      <c r="F35" s="5">
        <f>IF($I2="","",INDEX(Productos!$I:$I,$I2))</f>
        <v/>
      </c>
      <c r="G35" s="135" t="n">
        <v>2</v>
      </c>
      <c r="H35" s="5">
        <f>IF($I2="","",INDEX(Productos!$AG:$AG,$I2))</f>
        <v/>
      </c>
      <c r="I35" s="136">
        <f>LET(_xlpm.r,Productos!$E$2:$E$52,_xlpm.m,IFERROR(_xlfn.XMATCH(C35,_xlpm.r),IFERROR(_xlfn.XMATCH(VALUE(C35),_xlpm.r),0)),IF(_xlpm.m=0,"",_xlpm.m+1))</f>
        <v/>
      </c>
      <c r="J35" s="137" t="inlineStr">
        <is>
          <t>Odoo</t>
        </is>
      </c>
    </row>
    <row r="36">
      <c r="A36" s="5" t="inlineStr">
        <is>
          <t>Odoo Universal Unique Brands › Bodega 25 › Bodega 25/General</t>
        </is>
      </c>
      <c r="B36" s="5">
        <f>IF($I2="","",INDEX(Productos!$A:$A,$I2))</f>
        <v/>
      </c>
      <c r="C36" s="134" t="inlineStr">
        <is>
          <t>95177</t>
        </is>
      </c>
      <c r="D36" s="5">
        <f>IF($I2="","",INDEX(Productos!$B:$B,$I2))</f>
        <v/>
      </c>
      <c r="E36" s="5">
        <f>IF($I2="","",INDEX(Productos!$H:$H,$I2))</f>
        <v/>
      </c>
      <c r="F36" s="5">
        <f>IF($I2="","",INDEX(Productos!$I:$I,$I2))</f>
        <v/>
      </c>
      <c r="G36" s="135" t="n">
        <v>1</v>
      </c>
      <c r="H36" s="5">
        <f>IF($I2="","",INDEX(Productos!$AG:$AG,$I2))</f>
        <v/>
      </c>
      <c r="I36" s="136">
        <f>LET(_xlpm.r,Productos!$E$2:$E$52,_xlpm.m,IFERROR(_xlfn.XMATCH(C36,_xlpm.r),IFERROR(_xlfn.XMATCH(VALUE(C36),_xlpm.r),0)),IF(_xlpm.m=0,"",_xlpm.m+1))</f>
        <v/>
      </c>
      <c r="J36" s="137" t="inlineStr">
        <is>
          <t>Odoo</t>
        </is>
      </c>
    </row>
    <row r="37">
      <c r="A37" s="5" t="inlineStr">
        <is>
          <t>Odoo Universal Unique Brands › Bodega 25 › Bodega 25/General</t>
        </is>
      </c>
      <c r="B37" s="5">
        <f>IF($I2="","",INDEX(Productos!$A:$A,$I2))</f>
        <v/>
      </c>
      <c r="C37" s="134" t="inlineStr">
        <is>
          <t>95513</t>
        </is>
      </c>
      <c r="D37" s="5">
        <f>IF($I2="","",INDEX(Productos!$B:$B,$I2))</f>
        <v/>
      </c>
      <c r="E37" s="5">
        <f>IF($I2="","",INDEX(Productos!$H:$H,$I2))</f>
        <v/>
      </c>
      <c r="F37" s="5">
        <f>IF($I2="","",INDEX(Productos!$I:$I,$I2))</f>
        <v/>
      </c>
      <c r="G37" s="135" t="n">
        <v>11</v>
      </c>
      <c r="H37" s="5">
        <f>IF($I2="","",INDEX(Productos!$AG:$AG,$I2))</f>
        <v/>
      </c>
      <c r="I37" s="136">
        <f>LET(_xlpm.r,Productos!$E$2:$E$52,_xlpm.m,IFERROR(_xlfn.XMATCH(C37,_xlpm.r),IFERROR(_xlfn.XMATCH(VALUE(C37),_xlpm.r),0)),IF(_xlpm.m=0,"",_xlpm.m+1))</f>
        <v/>
      </c>
      <c r="J37" s="137" t="inlineStr">
        <is>
          <t>Odoo</t>
        </is>
      </c>
    </row>
    <row r="38">
      <c r="A38" s="5" t="inlineStr">
        <is>
          <t>Odoo Universal Unique Brands › Bodega 25 › Bodega 25/General</t>
        </is>
      </c>
      <c r="B38" s="5">
        <f>IF($I2="","",INDEX(Productos!$A:$A,$I2))</f>
        <v/>
      </c>
      <c r="C38" s="134" t="inlineStr">
        <is>
          <t>95598</t>
        </is>
      </c>
      <c r="D38" s="5">
        <f>IF($I2="","",INDEX(Productos!$B:$B,$I2))</f>
        <v/>
      </c>
      <c r="E38" s="5">
        <f>IF($I2="","",INDEX(Productos!$H:$H,$I2))</f>
        <v/>
      </c>
      <c r="F38" s="5">
        <f>IF($I2="","",INDEX(Productos!$I:$I,$I2))</f>
        <v/>
      </c>
      <c r="G38" s="135" t="n">
        <v>1</v>
      </c>
      <c r="H38" s="5">
        <f>IF($I2="","",INDEX(Productos!$AG:$AG,$I2))</f>
        <v/>
      </c>
      <c r="I38" s="136">
        <f>LET(_xlpm.r,Productos!$E$2:$E$52,_xlpm.m,IFERROR(_xlfn.XMATCH(C38,_xlpm.r),IFERROR(_xlfn.XMATCH(VALUE(C38),_xlpm.r),0)),IF(_xlpm.m=0,"",_xlpm.m+1))</f>
        <v/>
      </c>
      <c r="J38" s="137" t="inlineStr">
        <is>
          <t>Odoo</t>
        </is>
      </c>
    </row>
    <row r="39">
      <c r="A39" s="5" t="inlineStr">
        <is>
          <t>Odoo Universal Unique Brands › Bodega 25 › Bodega 25/General</t>
        </is>
      </c>
      <c r="B39" s="5">
        <f>IF($I2="","",INDEX(Productos!$A:$A,$I2))</f>
        <v/>
      </c>
      <c r="C39" s="134" t="inlineStr">
        <is>
          <t>96203</t>
        </is>
      </c>
      <c r="D39" s="5">
        <f>IF($I2="","",INDEX(Productos!$B:$B,$I2))</f>
        <v/>
      </c>
      <c r="E39" s="5">
        <f>IF($I2="","",INDEX(Productos!$H:$H,$I2))</f>
        <v/>
      </c>
      <c r="F39" s="5">
        <f>IF($I2="","",INDEX(Productos!$I:$I,$I2))</f>
        <v/>
      </c>
      <c r="G39" s="135" t="n">
        <v>2</v>
      </c>
      <c r="H39" s="5">
        <f>IF($I2="","",INDEX(Productos!$AG:$AG,$I2))</f>
        <v/>
      </c>
      <c r="I39" s="136">
        <f>LET(_xlpm.r,Productos!$E$2:$E$52,_xlpm.m,IFERROR(_xlfn.XMATCH(C39,_xlpm.r),IFERROR(_xlfn.XMATCH(VALUE(C39),_xlpm.r),0)),IF(_xlpm.m=0,"",_xlpm.m+1))</f>
        <v/>
      </c>
      <c r="J39" s="137" t="inlineStr">
        <is>
          <t>Odoo</t>
        </is>
      </c>
    </row>
    <row r="40">
      <c r="A40" s="5" t="inlineStr">
        <is>
          <t>Odoo Universal Unique Brands › Bodega 25 › Bodega 25/General</t>
        </is>
      </c>
      <c r="B40" s="5">
        <f>IF($I2="","",INDEX(Productos!$A:$A,$I2))</f>
        <v/>
      </c>
      <c r="C40" s="134" t="inlineStr">
        <is>
          <t>96391</t>
        </is>
      </c>
      <c r="D40" s="5">
        <f>IF($I2="","",INDEX(Productos!$B:$B,$I2))</f>
        <v/>
      </c>
      <c r="E40" s="5">
        <f>IF($I2="","",INDEX(Productos!$H:$H,$I2))</f>
        <v/>
      </c>
      <c r="F40" s="5">
        <f>IF($I2="","",INDEX(Productos!$I:$I,$I2))</f>
        <v/>
      </c>
      <c r="G40" s="135" t="n">
        <v>21</v>
      </c>
      <c r="H40" s="5">
        <f>IF($I2="","",INDEX(Productos!$AG:$AG,$I2))</f>
        <v/>
      </c>
      <c r="I40" s="136">
        <f>LET(_xlpm.r,Productos!$E$2:$E$52,_xlpm.m,IFERROR(_xlfn.XMATCH(C40,_xlpm.r),IFERROR(_xlfn.XMATCH(VALUE(C40),_xlpm.r),0)),IF(_xlpm.m=0,"",_xlpm.m+1))</f>
        <v/>
      </c>
      <c r="J40" s="137" t="inlineStr">
        <is>
          <t>Odoo</t>
        </is>
      </c>
    </row>
    <row r="41">
      <c r="A41" s="5" t="inlineStr">
        <is>
          <t>Odoo Universal Unique Brands › Bodega 25 › Bodega 25/General</t>
        </is>
      </c>
      <c r="B41" s="5">
        <f>IF($I2="","",INDEX(Productos!$A:$A,$I2))</f>
        <v/>
      </c>
      <c r="C41" s="134" t="inlineStr">
        <is>
          <t>96559</t>
        </is>
      </c>
      <c r="D41" s="5">
        <f>IF($I2="","",INDEX(Productos!$B:$B,$I2))</f>
        <v/>
      </c>
      <c r="E41" s="5">
        <f>IF($I2="","",INDEX(Productos!$H:$H,$I2))</f>
        <v/>
      </c>
      <c r="F41" s="5">
        <f>IF($I2="","",INDEX(Productos!$I:$I,$I2))</f>
        <v/>
      </c>
      <c r="G41" s="135" t="n">
        <v>2</v>
      </c>
      <c r="H41" s="5">
        <f>IF($I2="","",INDEX(Productos!$AG:$AG,$I2))</f>
        <v/>
      </c>
      <c r="I41" s="136">
        <f>LET(_xlpm.r,Productos!$E$2:$E$52,_xlpm.m,IFERROR(_xlfn.XMATCH(C41,_xlpm.r),IFERROR(_xlfn.XMATCH(VALUE(C41),_xlpm.r),0)),IF(_xlpm.m=0,"",_xlpm.m+1))</f>
        <v/>
      </c>
      <c r="J41" s="137" t="inlineStr">
        <is>
          <t>Odoo</t>
        </is>
      </c>
    </row>
    <row r="42">
      <c r="A42" s="5" t="inlineStr">
        <is>
          <t>Odoo Universal Unique Brands › Bodega 25 › Bodega 25/General</t>
        </is>
      </c>
      <c r="B42" s="5">
        <f>IF($I2="","",INDEX(Productos!$A:$A,$I2))</f>
        <v/>
      </c>
      <c r="C42" s="134" t="inlineStr">
        <is>
          <t>96637</t>
        </is>
      </c>
      <c r="D42" s="5">
        <f>IF($I2="","",INDEX(Productos!$B:$B,$I2))</f>
        <v/>
      </c>
      <c r="E42" s="5">
        <f>IF($I2="","",INDEX(Productos!$H:$H,$I2))</f>
        <v/>
      </c>
      <c r="F42" s="5">
        <f>IF($I2="","",INDEX(Productos!$I:$I,$I2))</f>
        <v/>
      </c>
      <c r="G42" s="135" t="n">
        <v>44</v>
      </c>
      <c r="H42" s="5">
        <f>IF($I2="","",INDEX(Productos!$AG:$AG,$I2))</f>
        <v/>
      </c>
      <c r="I42" s="136">
        <f>LET(_xlpm.r,Productos!$E$2:$E$52,_xlpm.m,IFERROR(_xlfn.XMATCH(C42,_xlpm.r),IFERROR(_xlfn.XMATCH(VALUE(C42),_xlpm.r),0)),IF(_xlpm.m=0,"",_xlpm.m+1))</f>
        <v/>
      </c>
      <c r="J42" s="137" t="inlineStr">
        <is>
          <t>Odoo</t>
        </is>
      </c>
    </row>
    <row r="43">
      <c r="A43" s="5" t="inlineStr">
        <is>
          <t>Odoo Universal Unique Brands › Bodega 25 › Bodega 25/General</t>
        </is>
      </c>
      <c r="B43" s="5">
        <f>IF($I2="","",INDEX(Productos!$A:$A,$I2))</f>
        <v/>
      </c>
      <c r="C43" s="134" t="inlineStr">
        <is>
          <t>96638</t>
        </is>
      </c>
      <c r="D43" s="5">
        <f>IF($I2="","",INDEX(Productos!$B:$B,$I2))</f>
        <v/>
      </c>
      <c r="E43" s="5">
        <f>IF($I2="","",INDEX(Productos!$H:$H,$I2))</f>
        <v/>
      </c>
      <c r="F43" s="5">
        <f>IF($I2="","",INDEX(Productos!$I:$I,$I2))</f>
        <v/>
      </c>
      <c r="G43" s="135" t="n">
        <v>2</v>
      </c>
      <c r="H43" s="5">
        <f>IF($I2="","",INDEX(Productos!$AG:$AG,$I2))</f>
        <v/>
      </c>
      <c r="I43" s="136">
        <f>LET(_xlpm.r,Productos!$E$2:$E$52,_xlpm.m,IFERROR(_xlfn.XMATCH(C43,_xlpm.r),IFERROR(_xlfn.XMATCH(VALUE(C43),_xlpm.r),0)),IF(_xlpm.m=0,"",_xlpm.m+1))</f>
        <v/>
      </c>
      <c r="J43" s="137" t="inlineStr">
        <is>
          <t>Odoo</t>
        </is>
      </c>
    </row>
    <row r="44">
      <c r="A44" s="5" t="inlineStr">
        <is>
          <t>Odoo Universal Unique Brands › Bodega 25 › Bodega 25/General</t>
        </is>
      </c>
      <c r="B44" s="5">
        <f>IF($I2="","",INDEX(Productos!$A:$A,$I2))</f>
        <v/>
      </c>
      <c r="C44" s="134" t="inlineStr">
        <is>
          <t>97265</t>
        </is>
      </c>
      <c r="D44" s="5">
        <f>IF($I2="","",INDEX(Productos!$B:$B,$I2))</f>
        <v/>
      </c>
      <c r="E44" s="5">
        <f>IF($I2="","",INDEX(Productos!$H:$H,$I2))</f>
        <v/>
      </c>
      <c r="F44" s="5">
        <f>IF($I2="","",INDEX(Productos!$I:$I,$I2))</f>
        <v/>
      </c>
      <c r="G44" s="135" t="n">
        <v>47</v>
      </c>
      <c r="H44" s="5">
        <f>IF($I2="","",INDEX(Productos!$AG:$AG,$I2))</f>
        <v/>
      </c>
      <c r="I44" s="136">
        <f>LET(_xlpm.r,Productos!$E$2:$E$52,_xlpm.m,IFERROR(_xlfn.XMATCH(C44,_xlpm.r),IFERROR(_xlfn.XMATCH(VALUE(C44),_xlpm.r),0)),IF(_xlpm.m=0,"",_xlpm.m+1))</f>
        <v/>
      </c>
      <c r="J44" s="137" t="inlineStr">
        <is>
          <t>Odoo</t>
        </is>
      </c>
    </row>
    <row r="45">
      <c r="A45" s="5" t="inlineStr">
        <is>
          <t>Odoo Universal Unique Brands › Bodega 25 › Bodega 25/General</t>
        </is>
      </c>
      <c r="B45" s="5">
        <f>IF($I2="","",INDEX(Productos!$A:$A,$I2))</f>
        <v/>
      </c>
      <c r="C45" s="134" t="inlineStr">
        <is>
          <t>97266</t>
        </is>
      </c>
      <c r="D45" s="5">
        <f>IF($I2="","",INDEX(Productos!$B:$B,$I2))</f>
        <v/>
      </c>
      <c r="E45" s="5">
        <f>IF($I2="","",INDEX(Productos!$H:$H,$I2))</f>
        <v/>
      </c>
      <c r="F45" s="5">
        <f>IF($I2="","",INDEX(Productos!$I:$I,$I2))</f>
        <v/>
      </c>
      <c r="G45" s="135" t="n">
        <v>4</v>
      </c>
      <c r="H45" s="5">
        <f>IF($I2="","",INDEX(Productos!$AG:$AG,$I2))</f>
        <v/>
      </c>
      <c r="I45" s="136">
        <f>LET(_xlpm.r,Productos!$E$2:$E$52,_xlpm.m,IFERROR(_xlfn.XMATCH(C45,_xlpm.r),IFERROR(_xlfn.XMATCH(VALUE(C45),_xlpm.r),0)),IF(_xlpm.m=0,"",_xlpm.m+1))</f>
        <v/>
      </c>
      <c r="J45" s="137" t="inlineStr">
        <is>
          <t>Odoo</t>
        </is>
      </c>
    </row>
    <row r="46">
      <c r="A46" s="5" t="inlineStr">
        <is>
          <t>Odoo Universal Unique Brands › Bodega 25 › Bodega 25/General</t>
        </is>
      </c>
      <c r="B46" s="5">
        <f>IF($I2="","",INDEX(Productos!$A:$A,$I2))</f>
        <v/>
      </c>
      <c r="C46" s="134" t="inlineStr">
        <is>
          <t>97358</t>
        </is>
      </c>
      <c r="D46" s="5">
        <f>IF($I2="","",INDEX(Productos!$B:$B,$I2))</f>
        <v/>
      </c>
      <c r="E46" s="5">
        <f>IF($I2="","",INDEX(Productos!$H:$H,$I2))</f>
        <v/>
      </c>
      <c r="F46" s="5">
        <f>IF($I2="","",INDEX(Productos!$I:$I,$I2))</f>
        <v/>
      </c>
      <c r="G46" s="135" t="n">
        <v>14</v>
      </c>
      <c r="H46" s="5">
        <f>IF($I2="","",INDEX(Productos!$AG:$AG,$I2))</f>
        <v/>
      </c>
      <c r="I46" s="136">
        <f>LET(_xlpm.r,Productos!$E$2:$E$52,_xlpm.m,IFERROR(_xlfn.XMATCH(C46,_xlpm.r),IFERROR(_xlfn.XMATCH(VALUE(C46),_xlpm.r),0)),IF(_xlpm.m=0,"",_xlpm.m+1))</f>
        <v/>
      </c>
      <c r="J46" s="137" t="inlineStr">
        <is>
          <t>Odoo</t>
        </is>
      </c>
    </row>
    <row r="47">
      <c r="A47" s="5" t="inlineStr">
        <is>
          <t>Odoo Universal Unique Brands › Bodega 25 › Bodega 25/General</t>
        </is>
      </c>
      <c r="B47" s="5">
        <f>IF($I2="","",INDEX(Productos!$A:$A,$I2))</f>
        <v/>
      </c>
      <c r="C47" s="134" t="inlineStr">
        <is>
          <t>97702</t>
        </is>
      </c>
      <c r="D47" s="5">
        <f>IF($I2="","",INDEX(Productos!$B:$B,$I2))</f>
        <v/>
      </c>
      <c r="E47" s="5">
        <f>IF($I2="","",INDEX(Productos!$H:$H,$I2))</f>
        <v/>
      </c>
      <c r="F47" s="5">
        <f>IF($I2="","",INDEX(Productos!$I:$I,$I2))</f>
        <v/>
      </c>
      <c r="G47" s="135" t="n">
        <v>6</v>
      </c>
      <c r="H47" s="5">
        <f>IF($I2="","",INDEX(Productos!$AG:$AG,$I2))</f>
        <v/>
      </c>
      <c r="I47" s="136">
        <f>LET(_xlpm.r,Productos!$E$2:$E$52,_xlpm.m,IFERROR(_xlfn.XMATCH(C47,_xlpm.r),IFERROR(_xlfn.XMATCH(VALUE(C47),_xlpm.r),0)),IF(_xlpm.m=0,"",_xlpm.m+1))</f>
        <v/>
      </c>
      <c r="J47" s="137" t="inlineStr">
        <is>
          <t>Odoo</t>
        </is>
      </c>
    </row>
    <row r="48">
      <c r="A48" s="5" t="inlineStr">
        <is>
          <t>Odoo Universal Unique Brands › Bodega 25 › Bodega 25/General</t>
        </is>
      </c>
      <c r="B48" s="5">
        <f>IF($I2="","",INDEX(Productos!$A:$A,$I2))</f>
        <v/>
      </c>
      <c r="C48" s="134" t="inlineStr">
        <is>
          <t>98052</t>
        </is>
      </c>
      <c r="D48" s="5">
        <f>IF($I2="","",INDEX(Productos!$B:$B,$I2))</f>
        <v/>
      </c>
      <c r="E48" s="5">
        <f>IF($I2="","",INDEX(Productos!$H:$H,$I2))</f>
        <v/>
      </c>
      <c r="F48" s="5">
        <f>IF($I2="","",INDEX(Productos!$I:$I,$I2))</f>
        <v/>
      </c>
      <c r="G48" s="135" t="n">
        <v>19</v>
      </c>
      <c r="H48" s="5">
        <f>IF($I2="","",INDEX(Productos!$AG:$AG,$I2))</f>
        <v/>
      </c>
      <c r="I48" s="136">
        <f>LET(_xlpm.r,Productos!$E$2:$E$52,_xlpm.m,IFERROR(_xlfn.XMATCH(C48,_xlpm.r),IFERROR(_xlfn.XMATCH(VALUE(C48),_xlpm.r),0)),IF(_xlpm.m=0,"",_xlpm.m+1))</f>
        <v/>
      </c>
      <c r="J48" s="137" t="inlineStr">
        <is>
          <t>Odoo</t>
        </is>
      </c>
    </row>
    <row r="49">
      <c r="A49" s="5" t="inlineStr">
        <is>
          <t>Odoo Universal Unique Brands › Bodega 25 › Bodega 25/General</t>
        </is>
      </c>
      <c r="B49" s="5">
        <f>IF($I2="","",INDEX(Productos!$A:$A,$I2))</f>
        <v/>
      </c>
      <c r="C49" s="134" t="inlineStr">
        <is>
          <t>98085</t>
        </is>
      </c>
      <c r="D49" s="5">
        <f>IF($I2="","",INDEX(Productos!$B:$B,$I2))</f>
        <v/>
      </c>
      <c r="E49" s="5">
        <f>IF($I2="","",INDEX(Productos!$H:$H,$I2))</f>
        <v/>
      </c>
      <c r="F49" s="5">
        <f>IF($I2="","",INDEX(Productos!$I:$I,$I2))</f>
        <v/>
      </c>
      <c r="G49" s="135" t="n">
        <v>14</v>
      </c>
      <c r="H49" s="5">
        <f>IF($I2="","",INDEX(Productos!$AG:$AG,$I2))</f>
        <v/>
      </c>
      <c r="I49" s="136">
        <f>LET(_xlpm.r,Productos!$E$2:$E$52,_xlpm.m,IFERROR(_xlfn.XMATCH(C49,_xlpm.r),IFERROR(_xlfn.XMATCH(VALUE(C49),_xlpm.r),0)),IF(_xlpm.m=0,"",_xlpm.m+1))</f>
        <v/>
      </c>
      <c r="J49" s="137" t="inlineStr">
        <is>
          <t>Odoo</t>
        </is>
      </c>
    </row>
    <row r="50">
      <c r="A50" s="5" t="inlineStr">
        <is>
          <t>Odoo Universal Unique Brands › Bodega 25 › Bodega 25/General</t>
        </is>
      </c>
      <c r="B50" s="5">
        <f>IF($I2="","",INDEX(Productos!$A:$A,$I2))</f>
        <v/>
      </c>
      <c r="C50" s="134" t="inlineStr">
        <is>
          <t>98089</t>
        </is>
      </c>
      <c r="D50" s="5">
        <f>IF($I2="","",INDEX(Productos!$B:$B,$I2))</f>
        <v/>
      </c>
      <c r="E50" s="5">
        <f>IF($I2="","",INDEX(Productos!$H:$H,$I2))</f>
        <v/>
      </c>
      <c r="F50" s="5">
        <f>IF($I2="","",INDEX(Productos!$I:$I,$I2))</f>
        <v/>
      </c>
      <c r="G50" s="135" t="n">
        <v>8</v>
      </c>
      <c r="H50" s="5">
        <f>IF($I2="","",INDEX(Productos!$AG:$AG,$I2))</f>
        <v/>
      </c>
      <c r="I50" s="136">
        <f>LET(_xlpm.r,Productos!$E$2:$E$52,_xlpm.m,IFERROR(_xlfn.XMATCH(C50,_xlpm.r),IFERROR(_xlfn.XMATCH(VALUE(C50),_xlpm.r),0)),IF(_xlpm.m=0,"",_xlpm.m+1))</f>
        <v/>
      </c>
      <c r="J50" s="137" t="inlineStr">
        <is>
          <t>Odoo</t>
        </is>
      </c>
    </row>
    <row r="51">
      <c r="A51" s="5" t="inlineStr">
        <is>
          <t>Odoo Universal Unique Brands › Bodega 25 › Bodega 25/General</t>
        </is>
      </c>
      <c r="B51" s="5">
        <f>IF($I2="","",INDEX(Productos!$A:$A,$I2))</f>
        <v/>
      </c>
      <c r="C51" s="134" t="inlineStr">
        <is>
          <t>98090</t>
        </is>
      </c>
      <c r="D51" s="5">
        <f>IF($I2="","",INDEX(Productos!$B:$B,$I2))</f>
        <v/>
      </c>
      <c r="E51" s="5">
        <f>IF($I2="","",INDEX(Productos!$H:$H,$I2))</f>
        <v/>
      </c>
      <c r="F51" s="5">
        <f>IF($I2="","",INDEX(Productos!$I:$I,$I2))</f>
        <v/>
      </c>
      <c r="G51" s="135" t="n">
        <v>2</v>
      </c>
      <c r="H51" s="5">
        <f>IF($I2="","",INDEX(Productos!$AG:$AG,$I2))</f>
        <v/>
      </c>
      <c r="I51" s="136">
        <f>LET(_xlpm.r,Productos!$E$2:$E$52,_xlpm.m,IFERROR(_xlfn.XMATCH(C51,_xlpm.r),IFERROR(_xlfn.XMATCH(VALUE(C51),_xlpm.r),0)),IF(_xlpm.m=0,"",_xlpm.m+1))</f>
        <v/>
      </c>
      <c r="J51" s="137" t="inlineStr">
        <is>
          <t>Odoo</t>
        </is>
      </c>
    </row>
    <row r="52">
      <c r="A52" s="5" t="inlineStr">
        <is>
          <t>Odoo Universal Unique Brands › Bodega 25 › Bodega 25/Output</t>
        </is>
      </c>
      <c r="B52" s="5">
        <f>IF($I2="","",INDEX(Productos!$A:$A,$I2))</f>
        <v/>
      </c>
      <c r="C52" s="134" t="inlineStr">
        <is>
          <t>90092</t>
        </is>
      </c>
      <c r="D52" s="5">
        <f>IF($I2="","",INDEX(Productos!$B:$B,$I2))</f>
        <v/>
      </c>
      <c r="E52" s="5">
        <f>IF($I2="","",INDEX(Productos!$H:$H,$I2))</f>
        <v/>
      </c>
      <c r="F52" s="5">
        <f>IF($I2="","",INDEX(Productos!$I:$I,$I2))</f>
        <v/>
      </c>
      <c r="G52" s="135" t="n">
        <v>12</v>
      </c>
      <c r="H52" s="5">
        <f>IF($I2="","",INDEX(Productos!$AG:$AG,$I2))</f>
        <v/>
      </c>
      <c r="I52" s="136">
        <f>LET(_xlpm.r,Productos!$E$2:$E$52,_xlpm.m,IFERROR(_xlfn.XMATCH(C52,_xlpm.r),IFERROR(_xlfn.XMATCH(VALUE(C52),_xlpm.r),0)),IF(_xlpm.m=0,"",_xlpm.m+1))</f>
        <v/>
      </c>
      <c r="J52" s="137" t="inlineStr">
        <is>
          <t>Odoo</t>
        </is>
      </c>
    </row>
    <row r="53">
      <c r="A53" s="5" t="inlineStr">
        <is>
          <t>Odoo Universal Unique Brands › Bodega 25 › Bodega 25/Output</t>
        </is>
      </c>
      <c r="B53" s="5">
        <f>IF($I2="","",INDEX(Productos!$A:$A,$I2))</f>
        <v/>
      </c>
      <c r="C53" s="134" t="inlineStr">
        <is>
          <t>90093</t>
        </is>
      </c>
      <c r="D53" s="5">
        <f>IF($I2="","",INDEX(Productos!$B:$B,$I2))</f>
        <v/>
      </c>
      <c r="E53" s="5">
        <f>IF($I2="","",INDEX(Productos!$H:$H,$I2))</f>
        <v/>
      </c>
      <c r="F53" s="5">
        <f>IF($I2="","",INDEX(Productos!$I:$I,$I2))</f>
        <v/>
      </c>
      <c r="G53" s="135" t="n">
        <v>1</v>
      </c>
      <c r="H53" s="5">
        <f>IF($I2="","",INDEX(Productos!$AG:$AG,$I2))</f>
        <v/>
      </c>
      <c r="I53" s="136">
        <f>LET(_xlpm.r,Productos!$E$2:$E$52,_xlpm.m,IFERROR(_xlfn.XMATCH(C53,_xlpm.r),IFERROR(_xlfn.XMATCH(VALUE(C53),_xlpm.r),0)),IF(_xlpm.m=0,"",_xlpm.m+1))</f>
        <v/>
      </c>
      <c r="J53" s="137" t="inlineStr">
        <is>
          <t>Odoo</t>
        </is>
      </c>
    </row>
    <row r="54">
      <c r="A54" s="5" t="inlineStr">
        <is>
          <t>Odoo Universal Unique Brands › Bodega 25 › Bodega 25/Output</t>
        </is>
      </c>
      <c r="B54" s="5">
        <f>IF($I2="","",INDEX(Productos!$A:$A,$I2))</f>
        <v/>
      </c>
      <c r="C54" s="134" t="inlineStr">
        <is>
          <t>91571</t>
        </is>
      </c>
      <c r="D54" s="5">
        <f>IF($I2="","",INDEX(Productos!$B:$B,$I2))</f>
        <v/>
      </c>
      <c r="E54" s="5">
        <f>IF($I2="","",INDEX(Productos!$H:$H,$I2))</f>
        <v/>
      </c>
      <c r="F54" s="5">
        <f>IF($I2="","",INDEX(Productos!$I:$I,$I2))</f>
        <v/>
      </c>
      <c r="G54" s="135" t="n">
        <v>12</v>
      </c>
      <c r="H54" s="5">
        <f>IF($I2="","",INDEX(Productos!$AG:$AG,$I2))</f>
        <v/>
      </c>
      <c r="I54" s="136">
        <f>LET(_xlpm.r,Productos!$E$2:$E$52,_xlpm.m,IFERROR(_xlfn.XMATCH(C54,_xlpm.r),IFERROR(_xlfn.XMATCH(VALUE(C54),_xlpm.r),0)),IF(_xlpm.m=0,"",_xlpm.m+1))</f>
        <v/>
      </c>
      <c r="J54" s="137" t="inlineStr">
        <is>
          <t>Odoo</t>
        </is>
      </c>
    </row>
    <row r="55">
      <c r="A55" s="5" t="inlineStr">
        <is>
          <t>Odoo Universal Unique Brands › Bodega 25 › Bodega 25/Output</t>
        </is>
      </c>
      <c r="B55" s="5">
        <f>IF($I2="","",INDEX(Productos!$A:$A,$I2))</f>
        <v/>
      </c>
      <c r="C55" s="134" t="inlineStr">
        <is>
          <t>91574</t>
        </is>
      </c>
      <c r="D55" s="5">
        <f>IF($I2="","",INDEX(Productos!$B:$B,$I2))</f>
        <v/>
      </c>
      <c r="E55" s="5">
        <f>IF($I2="","",INDEX(Productos!$H:$H,$I2))</f>
        <v/>
      </c>
      <c r="F55" s="5">
        <f>IF($I2="","",INDEX(Productos!$I:$I,$I2))</f>
        <v/>
      </c>
      <c r="G55" s="135" t="n">
        <v>1</v>
      </c>
      <c r="H55" s="5">
        <f>IF($I2="","",INDEX(Productos!$AG:$AG,$I2))</f>
        <v/>
      </c>
      <c r="I55" s="136">
        <f>LET(_xlpm.r,Productos!$E$2:$E$52,_xlpm.m,IFERROR(_xlfn.XMATCH(C55,_xlpm.r),IFERROR(_xlfn.XMATCH(VALUE(C55),_xlpm.r),0)),IF(_xlpm.m=0,"",_xlpm.m+1))</f>
        <v/>
      </c>
      <c r="J55" s="137" t="inlineStr">
        <is>
          <t>Odoo</t>
        </is>
      </c>
    </row>
    <row r="56">
      <c r="A56" s="5" t="inlineStr">
        <is>
          <t>Odoo Universal Unique Brands › Bodega 25 › Bodega 25/Output</t>
        </is>
      </c>
      <c r="B56" s="5">
        <f>IF($I2="","",INDEX(Productos!$A:$A,$I2))</f>
        <v/>
      </c>
      <c r="C56" s="134" t="inlineStr">
        <is>
          <t>91717</t>
        </is>
      </c>
      <c r="D56" s="5">
        <f>IF($I2="","",INDEX(Productos!$B:$B,$I2))</f>
        <v/>
      </c>
      <c r="E56" s="5">
        <f>IF($I2="","",INDEX(Productos!$H:$H,$I2))</f>
        <v/>
      </c>
      <c r="F56" s="5">
        <f>IF($I2="","",INDEX(Productos!$I:$I,$I2))</f>
        <v/>
      </c>
      <c r="G56" s="135" t="n">
        <v>12</v>
      </c>
      <c r="H56" s="5">
        <f>IF($I2="","",INDEX(Productos!$AG:$AG,$I2))</f>
        <v/>
      </c>
      <c r="I56" s="136">
        <f>LET(_xlpm.r,Productos!$E$2:$E$52,_xlpm.m,IFERROR(_xlfn.XMATCH(C56,_xlpm.r),IFERROR(_xlfn.XMATCH(VALUE(C56),_xlpm.r),0)),IF(_xlpm.m=0,"",_xlpm.m+1))</f>
        <v/>
      </c>
      <c r="J56" s="137" t="inlineStr">
        <is>
          <t>Odoo</t>
        </is>
      </c>
    </row>
    <row r="57">
      <c r="A57" s="5" t="inlineStr">
        <is>
          <t>Odoo Universal Unique Brands › Bodega 25 › Bodega 25/Output</t>
        </is>
      </c>
      <c r="B57" s="5">
        <f>IF($I2="","",INDEX(Productos!$A:$A,$I2))</f>
        <v/>
      </c>
      <c r="C57" s="134" t="inlineStr">
        <is>
          <t>91718</t>
        </is>
      </c>
      <c r="D57" s="5">
        <f>IF($I2="","",INDEX(Productos!$B:$B,$I2))</f>
        <v/>
      </c>
      <c r="E57" s="5">
        <f>IF($I2="","",INDEX(Productos!$H:$H,$I2))</f>
        <v/>
      </c>
      <c r="F57" s="5">
        <f>IF($I2="","",INDEX(Productos!$I:$I,$I2))</f>
        <v/>
      </c>
      <c r="G57" s="135" t="n">
        <v>1</v>
      </c>
      <c r="H57" s="5">
        <f>IF($I2="","",INDEX(Productos!$AG:$AG,$I2))</f>
        <v/>
      </c>
      <c r="I57" s="136">
        <f>LET(_xlpm.r,Productos!$E$2:$E$52,_xlpm.m,IFERROR(_xlfn.XMATCH(C57,_xlpm.r),IFERROR(_xlfn.XMATCH(VALUE(C57),_xlpm.r),0)),IF(_xlpm.m=0,"",_xlpm.m+1))</f>
        <v/>
      </c>
      <c r="J57" s="137" t="inlineStr">
        <is>
          <t>Odoo</t>
        </is>
      </c>
    </row>
    <row r="58">
      <c r="A58" s="5" t="inlineStr">
        <is>
          <t>Odoo Universal Unique Brands › Bodega 25 › Bodega 25/Output</t>
        </is>
      </c>
      <c r="B58" s="5">
        <f>IF($I2="","",INDEX(Productos!$A:$A,$I2))</f>
        <v/>
      </c>
      <c r="C58" s="134" t="inlineStr">
        <is>
          <t>92080</t>
        </is>
      </c>
      <c r="D58" s="5">
        <f>IF($I2="","",INDEX(Productos!$B:$B,$I2))</f>
        <v/>
      </c>
      <c r="E58" s="5">
        <f>IF($I2="","",INDEX(Productos!$H:$H,$I2))</f>
        <v/>
      </c>
      <c r="F58" s="5">
        <f>IF($I2="","",INDEX(Productos!$I:$I,$I2))</f>
        <v/>
      </c>
      <c r="G58" s="135" t="n">
        <v>12</v>
      </c>
      <c r="H58" s="5">
        <f>IF($I2="","",INDEX(Productos!$AG:$AG,$I2))</f>
        <v/>
      </c>
      <c r="I58" s="136">
        <f>LET(_xlpm.r,Productos!$E$2:$E$52,_xlpm.m,IFERROR(_xlfn.XMATCH(C58,_xlpm.r),IFERROR(_xlfn.XMATCH(VALUE(C58),_xlpm.r),0)),IF(_xlpm.m=0,"",_xlpm.m+1))</f>
        <v/>
      </c>
      <c r="J58" s="137" t="inlineStr">
        <is>
          <t>Odoo</t>
        </is>
      </c>
    </row>
    <row r="59">
      <c r="A59" s="5" t="inlineStr">
        <is>
          <t>Odoo Universal Unique Brands › Bodega 25 › Bodega 25/Output</t>
        </is>
      </c>
      <c r="B59" s="5">
        <f>IF($I2="","",INDEX(Productos!$A:$A,$I2))</f>
        <v/>
      </c>
      <c r="C59" s="134" t="inlineStr">
        <is>
          <t>92176</t>
        </is>
      </c>
      <c r="D59" s="5">
        <f>IF($I2="","",INDEX(Productos!$B:$B,$I2))</f>
        <v/>
      </c>
      <c r="E59" s="5">
        <f>IF($I2="","",INDEX(Productos!$H:$H,$I2))</f>
        <v/>
      </c>
      <c r="F59" s="5">
        <f>IF($I2="","",INDEX(Productos!$I:$I,$I2))</f>
        <v/>
      </c>
      <c r="G59" s="135" t="n">
        <v>1</v>
      </c>
      <c r="H59" s="5">
        <f>IF($I2="","",INDEX(Productos!$AG:$AG,$I2))</f>
        <v/>
      </c>
      <c r="I59" s="136">
        <f>LET(_xlpm.r,Productos!$E$2:$E$52,_xlpm.m,IFERROR(_xlfn.XMATCH(C59,_xlpm.r),IFERROR(_xlfn.XMATCH(VALUE(C59),_xlpm.r),0)),IF(_xlpm.m=0,"",_xlpm.m+1))</f>
        <v/>
      </c>
      <c r="J59" s="137" t="inlineStr">
        <is>
          <t>Odoo</t>
        </is>
      </c>
    </row>
    <row r="60">
      <c r="A60" s="5" t="inlineStr">
        <is>
          <t>Odoo Universal Unique Brands › Bodega 25 › Bodega 25/Output</t>
        </is>
      </c>
      <c r="B60" s="5">
        <f>IF($I2="","",INDEX(Productos!$A:$A,$I2))</f>
        <v/>
      </c>
      <c r="C60" s="134" t="inlineStr">
        <is>
          <t>92235</t>
        </is>
      </c>
      <c r="D60" s="5">
        <f>IF($I2="","",INDEX(Productos!$B:$B,$I2))</f>
        <v/>
      </c>
      <c r="E60" s="5">
        <f>IF($I2="","",INDEX(Productos!$H:$H,$I2))</f>
        <v/>
      </c>
      <c r="F60" s="5">
        <f>IF($I2="","",INDEX(Productos!$I:$I,$I2))</f>
        <v/>
      </c>
      <c r="G60" s="135" t="n">
        <v>12</v>
      </c>
      <c r="H60" s="5">
        <f>IF($I2="","",INDEX(Productos!$AG:$AG,$I2))</f>
        <v/>
      </c>
      <c r="I60" s="136">
        <f>LET(_xlpm.r,Productos!$E$2:$E$52,_xlpm.m,IFERROR(_xlfn.XMATCH(C60,_xlpm.r),IFERROR(_xlfn.XMATCH(VALUE(C60),_xlpm.r),0)),IF(_xlpm.m=0,"",_xlpm.m+1))</f>
        <v/>
      </c>
      <c r="J60" s="137" t="inlineStr">
        <is>
          <t>Odoo</t>
        </is>
      </c>
    </row>
    <row r="61">
      <c r="A61" s="5" t="inlineStr">
        <is>
          <t>Odoo Universal Unique Brands › Bodega 25 › Bodega 25/Output</t>
        </is>
      </c>
      <c r="B61" s="5">
        <f>IF($I2="","",INDEX(Productos!$A:$A,$I2))</f>
        <v/>
      </c>
      <c r="C61" s="134" t="inlineStr">
        <is>
          <t>92701</t>
        </is>
      </c>
      <c r="D61" s="5">
        <f>IF($I2="","",INDEX(Productos!$B:$B,$I2))</f>
        <v/>
      </c>
      <c r="E61" s="5">
        <f>IF($I2="","",INDEX(Productos!$H:$H,$I2))</f>
        <v/>
      </c>
      <c r="F61" s="5">
        <f>IF($I2="","",INDEX(Productos!$I:$I,$I2))</f>
        <v/>
      </c>
      <c r="G61" s="135" t="n">
        <v>13</v>
      </c>
      <c r="H61" s="5">
        <f>IF($I2="","",INDEX(Productos!$AG:$AG,$I2))</f>
        <v/>
      </c>
      <c r="I61" s="136">
        <f>LET(_xlpm.r,Productos!$E$2:$E$52,_xlpm.m,IFERROR(_xlfn.XMATCH(C61,_xlpm.r),IFERROR(_xlfn.XMATCH(VALUE(C61),_xlpm.r),0)),IF(_xlpm.m=0,"",_xlpm.m+1))</f>
        <v/>
      </c>
      <c r="J61" s="137" t="inlineStr">
        <is>
          <t>Odoo</t>
        </is>
      </c>
    </row>
    <row r="62">
      <c r="A62" s="5" t="inlineStr">
        <is>
          <t>Odoo Universal Unique Brands › Bodega 25 › Bodega 25/Output</t>
        </is>
      </c>
      <c r="B62" s="5">
        <f>IF($I2="","",INDEX(Productos!$A:$A,$I2))</f>
        <v/>
      </c>
      <c r="C62" s="134" t="inlineStr">
        <is>
          <t>92702</t>
        </is>
      </c>
      <c r="D62" s="5">
        <f>IF($I2="","",INDEX(Productos!$B:$B,$I2))</f>
        <v/>
      </c>
      <c r="E62" s="5">
        <f>IF($I2="","",INDEX(Productos!$H:$H,$I2))</f>
        <v/>
      </c>
      <c r="F62" s="5">
        <f>IF($I2="","",INDEX(Productos!$I:$I,$I2))</f>
        <v/>
      </c>
      <c r="G62" s="135" t="n">
        <v>1</v>
      </c>
      <c r="H62" s="5">
        <f>IF($I2="","",INDEX(Productos!$AG:$AG,$I2))</f>
        <v/>
      </c>
      <c r="I62" s="136">
        <f>LET(_xlpm.r,Productos!$E$2:$E$52,_xlpm.m,IFERROR(_xlfn.XMATCH(C62,_xlpm.r),IFERROR(_xlfn.XMATCH(VALUE(C62),_xlpm.r),0)),IF(_xlpm.m=0,"",_xlpm.m+1))</f>
        <v/>
      </c>
      <c r="J62" s="137" t="inlineStr">
        <is>
          <t>Odoo</t>
        </is>
      </c>
    </row>
    <row r="63">
      <c r="A63" s="5" t="inlineStr">
        <is>
          <t>Odoo Universal Unique Brands › Bodega 25 › Bodega 25/Output</t>
        </is>
      </c>
      <c r="B63" s="5">
        <f>IF($I2="","",INDEX(Productos!$A:$A,$I2))</f>
        <v/>
      </c>
      <c r="C63" s="134" t="inlineStr">
        <is>
          <t>92997</t>
        </is>
      </c>
      <c r="D63" s="5">
        <f>IF($I2="","",INDEX(Productos!$B:$B,$I2))</f>
        <v/>
      </c>
      <c r="E63" s="5">
        <f>IF($I2="","",INDEX(Productos!$H:$H,$I2))</f>
        <v/>
      </c>
      <c r="F63" s="5">
        <f>IF($I2="","",INDEX(Productos!$I:$I,$I2))</f>
        <v/>
      </c>
      <c r="G63" s="135" t="n">
        <v>12</v>
      </c>
      <c r="H63" s="5">
        <f>IF($I2="","",INDEX(Productos!$AG:$AG,$I2))</f>
        <v/>
      </c>
      <c r="I63" s="136">
        <f>LET(_xlpm.r,Productos!$E$2:$E$52,_xlpm.m,IFERROR(_xlfn.XMATCH(C63,_xlpm.r),IFERROR(_xlfn.XMATCH(VALUE(C63),_xlpm.r),0)),IF(_xlpm.m=0,"",_xlpm.m+1))</f>
        <v/>
      </c>
      <c r="J63" s="137" t="inlineStr">
        <is>
          <t>Odoo</t>
        </is>
      </c>
    </row>
    <row r="64">
      <c r="A64" s="5" t="inlineStr">
        <is>
          <t>Odoo Universal Unique Brands › Bodega 25 › Bodega 25/Output</t>
        </is>
      </c>
      <c r="B64" s="5">
        <f>IF($I2="","",INDEX(Productos!$A:$A,$I2))</f>
        <v/>
      </c>
      <c r="C64" s="134" t="inlineStr">
        <is>
          <t>93058</t>
        </is>
      </c>
      <c r="D64" s="5">
        <f>IF($I2="","",INDEX(Productos!$B:$B,$I2))</f>
        <v/>
      </c>
      <c r="E64" s="5">
        <f>IF($I2="","",INDEX(Productos!$H:$H,$I2))</f>
        <v/>
      </c>
      <c r="F64" s="5">
        <f>IF($I2="","",INDEX(Productos!$I:$I,$I2))</f>
        <v/>
      </c>
      <c r="G64" s="135" t="n">
        <v>1</v>
      </c>
      <c r="H64" s="5">
        <f>IF($I2="","",INDEX(Productos!$AG:$AG,$I2))</f>
        <v/>
      </c>
      <c r="I64" s="136">
        <f>LET(_xlpm.r,Productos!$E$2:$E$52,_xlpm.m,IFERROR(_xlfn.XMATCH(C64,_xlpm.r),IFERROR(_xlfn.XMATCH(VALUE(C64),_xlpm.r),0)),IF(_xlpm.m=0,"",_xlpm.m+1))</f>
        <v/>
      </c>
      <c r="J64" s="137" t="inlineStr">
        <is>
          <t>Odoo</t>
        </is>
      </c>
    </row>
    <row r="65">
      <c r="A65" s="5" t="inlineStr">
        <is>
          <t>Odoo Universal Unique Brands › Bodega 25 › Bodega 25/Output</t>
        </is>
      </c>
      <c r="B65" s="5">
        <f>IF($I2="","",INDEX(Productos!$A:$A,$I2))</f>
        <v/>
      </c>
      <c r="C65" s="134" t="inlineStr">
        <is>
          <t>93957</t>
        </is>
      </c>
      <c r="D65" s="5">
        <f>IF($I2="","",INDEX(Productos!$B:$B,$I2))</f>
        <v/>
      </c>
      <c r="E65" s="5">
        <f>IF($I2="","",INDEX(Productos!$H:$H,$I2))</f>
        <v/>
      </c>
      <c r="F65" s="5">
        <f>IF($I2="","",INDEX(Productos!$I:$I,$I2))</f>
        <v/>
      </c>
      <c r="G65" s="135" t="n">
        <v>1</v>
      </c>
      <c r="H65" s="5">
        <f>IF($I2="","",INDEX(Productos!$AG:$AG,$I2))</f>
        <v/>
      </c>
      <c r="I65" s="136">
        <f>LET(_xlpm.r,Productos!$E$2:$E$52,_xlpm.m,IFERROR(_xlfn.XMATCH(C65,_xlpm.r),IFERROR(_xlfn.XMATCH(VALUE(C65),_xlpm.r),0)),IF(_xlpm.m=0,"",_xlpm.m+1))</f>
        <v/>
      </c>
      <c r="J65" s="137" t="inlineStr">
        <is>
          <t>Odoo</t>
        </is>
      </c>
    </row>
    <row r="66">
      <c r="A66" s="5" t="inlineStr">
        <is>
          <t>Odoo Universal Unique Brands › Bodega 25 › Bodega 25/Output</t>
        </is>
      </c>
      <c r="B66" s="5">
        <f>IF($I2="","",INDEX(Productos!$A:$A,$I2))</f>
        <v/>
      </c>
      <c r="C66" s="134" t="inlineStr">
        <is>
          <t>94434</t>
        </is>
      </c>
      <c r="D66" s="5">
        <f>IF($I2="","",INDEX(Productos!$B:$B,$I2))</f>
        <v/>
      </c>
      <c r="E66" s="5">
        <f>IF($I2="","",INDEX(Productos!$H:$H,$I2))</f>
        <v/>
      </c>
      <c r="F66" s="5">
        <f>IF($I2="","",INDEX(Productos!$I:$I,$I2))</f>
        <v/>
      </c>
      <c r="G66" s="135" t="n">
        <v>12</v>
      </c>
      <c r="H66" s="5">
        <f>IF($I2="","",INDEX(Productos!$AG:$AG,$I2))</f>
        <v/>
      </c>
      <c r="I66" s="136">
        <f>LET(_xlpm.r,Productos!$E$2:$E$52,_xlpm.m,IFERROR(_xlfn.XMATCH(C66,_xlpm.r),IFERROR(_xlfn.XMATCH(VALUE(C66),_xlpm.r),0)),IF(_xlpm.m=0,"",_xlpm.m+1))</f>
        <v/>
      </c>
      <c r="J66" s="137" t="inlineStr">
        <is>
          <t>Odoo</t>
        </is>
      </c>
    </row>
    <row r="67">
      <c r="A67" s="5" t="inlineStr">
        <is>
          <t>Odoo Universal Unique Brands › Bodega 25 › Bodega 25/Output</t>
        </is>
      </c>
      <c r="B67" s="5">
        <f>IF($I2="","",INDEX(Productos!$A:$A,$I2))</f>
        <v/>
      </c>
      <c r="C67" s="134" t="inlineStr">
        <is>
          <t>94752</t>
        </is>
      </c>
      <c r="D67" s="5">
        <f>IF($I2="","",INDEX(Productos!$B:$B,$I2))</f>
        <v/>
      </c>
      <c r="E67" s="5">
        <f>IF($I2="","",INDEX(Productos!$H:$H,$I2))</f>
        <v/>
      </c>
      <c r="F67" s="5">
        <f>IF($I2="","",INDEX(Productos!$I:$I,$I2))</f>
        <v/>
      </c>
      <c r="G67" s="135" t="n">
        <v>1</v>
      </c>
      <c r="H67" s="5">
        <f>IF($I2="","",INDEX(Productos!$AG:$AG,$I2))</f>
        <v/>
      </c>
      <c r="I67" s="136">
        <f>LET(_xlpm.r,Productos!$E$2:$E$52,_xlpm.m,IFERROR(_xlfn.XMATCH(C67,_xlpm.r),IFERROR(_xlfn.XMATCH(VALUE(C67),_xlpm.r),0)),IF(_xlpm.m=0,"",_xlpm.m+1))</f>
        <v/>
      </c>
      <c r="J67" s="137" t="inlineStr">
        <is>
          <t>Odoo</t>
        </is>
      </c>
    </row>
    <row r="68">
      <c r="A68" s="5" t="inlineStr">
        <is>
          <t>Odoo Universal Unique Brands › Bodega 25 › Bodega 25/Output</t>
        </is>
      </c>
      <c r="B68" s="5">
        <f>IF($I2="","",INDEX(Productos!$A:$A,$I2))</f>
        <v/>
      </c>
      <c r="C68" s="134" t="inlineStr">
        <is>
          <t>94972</t>
        </is>
      </c>
      <c r="D68" s="5">
        <f>IF($I2="","",INDEX(Productos!$B:$B,$I2))</f>
        <v/>
      </c>
      <c r="E68" s="5">
        <f>IF($I2="","",INDEX(Productos!$H:$H,$I2))</f>
        <v/>
      </c>
      <c r="F68" s="5">
        <f>IF($I2="","",INDEX(Productos!$I:$I,$I2))</f>
        <v/>
      </c>
      <c r="G68" s="135" t="n">
        <v>1</v>
      </c>
      <c r="H68" s="5">
        <f>IF($I2="","",INDEX(Productos!$AG:$AG,$I2))</f>
        <v/>
      </c>
      <c r="I68" s="136">
        <f>LET(_xlpm.r,Productos!$E$2:$E$52,_xlpm.m,IFERROR(_xlfn.XMATCH(C68,_xlpm.r),IFERROR(_xlfn.XMATCH(VALUE(C68),_xlpm.r),0)),IF(_xlpm.m=0,"",_xlpm.m+1))</f>
        <v/>
      </c>
      <c r="J68" s="137" t="inlineStr">
        <is>
          <t>Odoo</t>
        </is>
      </c>
    </row>
    <row r="69">
      <c r="A69" s="5" t="inlineStr">
        <is>
          <t>Odoo Universal Unique Brands › Bodega 25 › Bodega 25/Output</t>
        </is>
      </c>
      <c r="B69" s="5">
        <f>IF($I2="","",INDEX(Productos!$A:$A,$I2))</f>
        <v/>
      </c>
      <c r="C69" s="134" t="inlineStr">
        <is>
          <t>95176</t>
        </is>
      </c>
      <c r="D69" s="5">
        <f>IF($I2="","",INDEX(Productos!$B:$B,$I2))</f>
        <v/>
      </c>
      <c r="E69" s="5">
        <f>IF($I2="","",INDEX(Productos!$H:$H,$I2))</f>
        <v/>
      </c>
      <c r="F69" s="5">
        <f>IF($I2="","",INDEX(Productos!$I:$I,$I2))</f>
        <v/>
      </c>
      <c r="G69" s="135" t="n">
        <v>13</v>
      </c>
      <c r="H69" s="5">
        <f>IF($I2="","",INDEX(Productos!$AG:$AG,$I2))</f>
        <v/>
      </c>
      <c r="I69" s="136">
        <f>LET(_xlpm.r,Productos!$E$2:$E$52,_xlpm.m,IFERROR(_xlfn.XMATCH(C69,_xlpm.r),IFERROR(_xlfn.XMATCH(VALUE(C69),_xlpm.r),0)),IF(_xlpm.m=0,"",_xlpm.m+1))</f>
        <v/>
      </c>
      <c r="J69" s="137" t="inlineStr">
        <is>
          <t>Odoo</t>
        </is>
      </c>
    </row>
    <row r="70">
      <c r="A70" s="5" t="inlineStr">
        <is>
          <t>Odoo Universal Unique Brands › Bodega 25 › Bodega 25/Output</t>
        </is>
      </c>
      <c r="B70" s="5">
        <f>IF($I2="","",INDEX(Productos!$A:$A,$I2))</f>
        <v/>
      </c>
      <c r="C70" s="134" t="inlineStr">
        <is>
          <t>95177</t>
        </is>
      </c>
      <c r="D70" s="5">
        <f>IF($I2="","",INDEX(Productos!$B:$B,$I2))</f>
        <v/>
      </c>
      <c r="E70" s="5">
        <f>IF($I2="","",INDEX(Productos!$H:$H,$I2))</f>
        <v/>
      </c>
      <c r="F70" s="5">
        <f>IF($I2="","",INDEX(Productos!$I:$I,$I2))</f>
        <v/>
      </c>
      <c r="G70" s="135" t="n">
        <v>1</v>
      </c>
      <c r="H70" s="5">
        <f>IF($I2="","",INDEX(Productos!$AG:$AG,$I2))</f>
        <v/>
      </c>
      <c r="I70" s="136">
        <f>LET(_xlpm.r,Productos!$E$2:$E$52,_xlpm.m,IFERROR(_xlfn.XMATCH(C70,_xlpm.r),IFERROR(_xlfn.XMATCH(VALUE(C70),_xlpm.r),0)),IF(_xlpm.m=0,"",_xlpm.m+1))</f>
        <v/>
      </c>
      <c r="J70" s="137" t="inlineStr">
        <is>
          <t>Odoo</t>
        </is>
      </c>
    </row>
    <row r="71">
      <c r="A71" s="5" t="inlineStr">
        <is>
          <t>Odoo Universal Unique Brands › Bodega 25 › Bodega 25/Output</t>
        </is>
      </c>
      <c r="B71" s="5">
        <f>IF($I2="","",INDEX(Productos!$A:$A,$I2))</f>
        <v/>
      </c>
      <c r="C71" s="134" t="inlineStr">
        <is>
          <t>95194</t>
        </is>
      </c>
      <c r="D71" s="5">
        <f>IF($I2="","",INDEX(Productos!$B:$B,$I2))</f>
        <v/>
      </c>
      <c r="E71" s="5">
        <f>IF($I2="","",INDEX(Productos!$H:$H,$I2))</f>
        <v/>
      </c>
      <c r="F71" s="5">
        <f>IF($I2="","",INDEX(Productos!$I:$I,$I2))</f>
        <v/>
      </c>
      <c r="G71" s="135" t="n">
        <v>12</v>
      </c>
      <c r="H71" s="5">
        <f>IF($I2="","",INDEX(Productos!$AG:$AG,$I2))</f>
        <v/>
      </c>
      <c r="I71" s="136">
        <f>LET(_xlpm.r,Productos!$E$2:$E$52,_xlpm.m,IFERROR(_xlfn.XMATCH(C71,_xlpm.r),IFERROR(_xlfn.XMATCH(VALUE(C71),_xlpm.r),0)),IF(_xlpm.m=0,"",_xlpm.m+1))</f>
        <v/>
      </c>
      <c r="J71" s="137" t="inlineStr">
        <is>
          <t>Odoo</t>
        </is>
      </c>
    </row>
    <row r="72">
      <c r="A72" s="5" t="inlineStr">
        <is>
          <t>Odoo Universal Unique Brands › Bodega 25 › Bodega 25/Output</t>
        </is>
      </c>
      <c r="B72" s="5">
        <f>IF($I2="","",INDEX(Productos!$A:$A,$I2))</f>
        <v/>
      </c>
      <c r="C72" s="134" t="inlineStr">
        <is>
          <t>95195</t>
        </is>
      </c>
      <c r="D72" s="5">
        <f>IF($I2="","",INDEX(Productos!$B:$B,$I2))</f>
        <v/>
      </c>
      <c r="E72" s="5">
        <f>IF($I2="","",INDEX(Productos!$H:$H,$I2))</f>
        <v/>
      </c>
      <c r="F72" s="5">
        <f>IF($I2="","",INDEX(Productos!$I:$I,$I2))</f>
        <v/>
      </c>
      <c r="G72" s="135" t="n">
        <v>1</v>
      </c>
      <c r="H72" s="5">
        <f>IF($I2="","",INDEX(Productos!$AG:$AG,$I2))</f>
        <v/>
      </c>
      <c r="I72" s="136">
        <f>LET(_xlpm.r,Productos!$E$2:$E$52,_xlpm.m,IFERROR(_xlfn.XMATCH(C72,_xlpm.r),IFERROR(_xlfn.XMATCH(VALUE(C72),_xlpm.r),0)),IF(_xlpm.m=0,"",_xlpm.m+1))</f>
        <v/>
      </c>
      <c r="J72" s="137" t="inlineStr">
        <is>
          <t>Odoo</t>
        </is>
      </c>
    </row>
    <row r="73">
      <c r="A73" s="5" t="inlineStr">
        <is>
          <t>Odoo Universal Unique Brands › Bodega 25 › Bodega 25/Output</t>
        </is>
      </c>
      <c r="B73" s="5">
        <f>IF($I2="","",INDEX(Productos!$A:$A,$I2))</f>
        <v/>
      </c>
      <c r="C73" s="134" t="inlineStr">
        <is>
          <t>95302</t>
        </is>
      </c>
      <c r="D73" s="5">
        <f>IF($I2="","",INDEX(Productos!$B:$B,$I2))</f>
        <v/>
      </c>
      <c r="E73" s="5">
        <f>IF($I2="","",INDEX(Productos!$H:$H,$I2))</f>
        <v/>
      </c>
      <c r="F73" s="5">
        <f>IF($I2="","",INDEX(Productos!$I:$I,$I2))</f>
        <v/>
      </c>
      <c r="G73" s="135" t="n">
        <v>12</v>
      </c>
      <c r="H73" s="5">
        <f>IF($I2="","",INDEX(Productos!$AG:$AG,$I2))</f>
        <v/>
      </c>
      <c r="I73" s="136">
        <f>LET(_xlpm.r,Productos!$E$2:$E$52,_xlpm.m,IFERROR(_xlfn.XMATCH(C73,_xlpm.r),IFERROR(_xlfn.XMATCH(VALUE(C73),_xlpm.r),0)),IF(_xlpm.m=0,"",_xlpm.m+1))</f>
        <v/>
      </c>
      <c r="J73" s="137" t="inlineStr">
        <is>
          <t>Odoo</t>
        </is>
      </c>
    </row>
    <row r="74">
      <c r="A74" s="5" t="inlineStr">
        <is>
          <t>Odoo Universal Unique Brands › Bodega 25 › Bodega 25/Output</t>
        </is>
      </c>
      <c r="B74" s="5">
        <f>IF($I2="","",INDEX(Productos!$A:$A,$I2))</f>
        <v/>
      </c>
      <c r="C74" s="134" t="inlineStr">
        <is>
          <t>95513</t>
        </is>
      </c>
      <c r="D74" s="5">
        <f>IF($I2="","",INDEX(Productos!$B:$B,$I2))</f>
        <v/>
      </c>
      <c r="E74" s="5">
        <f>IF($I2="","",INDEX(Productos!$H:$H,$I2))</f>
        <v/>
      </c>
      <c r="F74" s="5">
        <f>IF($I2="","",INDEX(Productos!$I:$I,$I2))</f>
        <v/>
      </c>
      <c r="G74" s="135" t="n">
        <v>15</v>
      </c>
      <c r="H74" s="5">
        <f>IF($I2="","",INDEX(Productos!$AG:$AG,$I2))</f>
        <v/>
      </c>
      <c r="I74" s="136">
        <f>LET(_xlpm.r,Productos!$E$2:$E$52,_xlpm.m,IFERROR(_xlfn.XMATCH(C74,_xlpm.r),IFERROR(_xlfn.XMATCH(VALUE(C74),_xlpm.r),0)),IF(_xlpm.m=0,"",_xlpm.m+1))</f>
        <v/>
      </c>
      <c r="J74" s="137" t="inlineStr">
        <is>
          <t>Odoo</t>
        </is>
      </c>
    </row>
    <row r="75">
      <c r="A75" s="5" t="inlineStr">
        <is>
          <t>Odoo Universal Unique Brands › Bodega 25 › Bodega 25/Output</t>
        </is>
      </c>
      <c r="B75" s="5">
        <f>IF($I2="","",INDEX(Productos!$A:$A,$I2))</f>
        <v/>
      </c>
      <c r="C75" s="134" t="inlineStr">
        <is>
          <t>95598</t>
        </is>
      </c>
      <c r="D75" s="5">
        <f>IF($I2="","",INDEX(Productos!$B:$B,$I2))</f>
        <v/>
      </c>
      <c r="E75" s="5">
        <f>IF($I2="","",INDEX(Productos!$H:$H,$I2))</f>
        <v/>
      </c>
      <c r="F75" s="5">
        <f>IF($I2="","",INDEX(Productos!$I:$I,$I2))</f>
        <v/>
      </c>
      <c r="G75" s="135" t="n">
        <v>1</v>
      </c>
      <c r="H75" s="5">
        <f>IF($I2="","",INDEX(Productos!$AG:$AG,$I2))</f>
        <v/>
      </c>
      <c r="I75" s="136">
        <f>LET(_xlpm.r,Productos!$E$2:$E$52,_xlpm.m,IFERROR(_xlfn.XMATCH(C75,_xlpm.r),IFERROR(_xlfn.XMATCH(VALUE(C75),_xlpm.r),0)),IF(_xlpm.m=0,"",_xlpm.m+1))</f>
        <v/>
      </c>
      <c r="J75" s="137" t="inlineStr">
        <is>
          <t>Odoo</t>
        </is>
      </c>
    </row>
    <row r="76">
      <c r="A76" s="5" t="inlineStr">
        <is>
          <t>Odoo Universal Unique Brands › Bodega 25 › Bodega 25/Output</t>
        </is>
      </c>
      <c r="B76" s="5">
        <f>IF($I2="","",INDEX(Productos!$A:$A,$I2))</f>
        <v/>
      </c>
      <c r="C76" s="134" t="inlineStr">
        <is>
          <t>96202</t>
        </is>
      </c>
      <c r="D76" s="5">
        <f>IF($I2="","",INDEX(Productos!$B:$B,$I2))</f>
        <v/>
      </c>
      <c r="E76" s="5">
        <f>IF($I2="","",INDEX(Productos!$H:$H,$I2))</f>
        <v/>
      </c>
      <c r="F76" s="5">
        <f>IF($I2="","",INDEX(Productos!$I:$I,$I2))</f>
        <v/>
      </c>
      <c r="G76" s="135" t="n">
        <v>12</v>
      </c>
      <c r="H76" s="5">
        <f>IF($I2="","",INDEX(Productos!$AG:$AG,$I2))</f>
        <v/>
      </c>
      <c r="I76" s="136">
        <f>LET(_xlpm.r,Productos!$E$2:$E$52,_xlpm.m,IFERROR(_xlfn.XMATCH(C76,_xlpm.r),IFERROR(_xlfn.XMATCH(VALUE(C76),_xlpm.r),0)),IF(_xlpm.m=0,"",_xlpm.m+1))</f>
        <v/>
      </c>
      <c r="J76" s="137" t="inlineStr">
        <is>
          <t>Odoo</t>
        </is>
      </c>
    </row>
    <row r="77">
      <c r="A77" s="5" t="inlineStr">
        <is>
          <t>Odoo Universal Unique Brands › Bodega 25 › Bodega 25/Output</t>
        </is>
      </c>
      <c r="B77" s="5">
        <f>IF($I2="","",INDEX(Productos!$A:$A,$I2))</f>
        <v/>
      </c>
      <c r="C77" s="134" t="inlineStr">
        <is>
          <t>96203</t>
        </is>
      </c>
      <c r="D77" s="5">
        <f>IF($I2="","",INDEX(Productos!$B:$B,$I2))</f>
        <v/>
      </c>
      <c r="E77" s="5">
        <f>IF($I2="","",INDEX(Productos!$H:$H,$I2))</f>
        <v/>
      </c>
      <c r="F77" s="5">
        <f>IF($I2="","",INDEX(Productos!$I:$I,$I2))</f>
        <v/>
      </c>
      <c r="G77" s="135" t="n">
        <v>18</v>
      </c>
      <c r="H77" s="5">
        <f>IF($I2="","",INDEX(Productos!$AG:$AG,$I2))</f>
        <v/>
      </c>
      <c r="I77" s="136">
        <f>LET(_xlpm.r,Productos!$E$2:$E$52,_xlpm.m,IFERROR(_xlfn.XMATCH(C77,_xlpm.r),IFERROR(_xlfn.XMATCH(VALUE(C77),_xlpm.r),0)),IF(_xlpm.m=0,"",_xlpm.m+1))</f>
        <v/>
      </c>
      <c r="J77" s="137" t="inlineStr">
        <is>
          <t>Odoo</t>
        </is>
      </c>
    </row>
    <row r="78">
      <c r="A78" s="5" t="inlineStr">
        <is>
          <t>Odoo Universal Unique Brands › Bodega 25 › Bodega 25/Output</t>
        </is>
      </c>
      <c r="B78" s="5">
        <f>IF($I2="","",INDEX(Productos!$A:$A,$I2))</f>
        <v/>
      </c>
      <c r="C78" s="134" t="inlineStr">
        <is>
          <t>96391</t>
        </is>
      </c>
      <c r="D78" s="5">
        <f>IF($I2="","",INDEX(Productos!$B:$B,$I2))</f>
        <v/>
      </c>
      <c r="E78" s="5">
        <f>IF($I2="","",INDEX(Productos!$H:$H,$I2))</f>
        <v/>
      </c>
      <c r="F78" s="5">
        <f>IF($I2="","",INDEX(Productos!$I:$I,$I2))</f>
        <v/>
      </c>
      <c r="G78" s="135" t="n">
        <v>12</v>
      </c>
      <c r="H78" s="5">
        <f>IF($I2="","",INDEX(Productos!$AG:$AG,$I2))</f>
        <v/>
      </c>
      <c r="I78" s="136">
        <f>LET(_xlpm.r,Productos!$E$2:$E$52,_xlpm.m,IFERROR(_xlfn.XMATCH(C78,_xlpm.r),IFERROR(_xlfn.XMATCH(VALUE(C78),_xlpm.r),0)),IF(_xlpm.m=0,"",_xlpm.m+1))</f>
        <v/>
      </c>
      <c r="J78" s="137" t="inlineStr">
        <is>
          <t>Odoo</t>
        </is>
      </c>
    </row>
    <row r="79">
      <c r="A79" s="5" t="inlineStr">
        <is>
          <t>Odoo Universal Unique Brands › Bodega 25 › Bodega 25/Output</t>
        </is>
      </c>
      <c r="B79" s="5">
        <f>IF($I2="","",INDEX(Productos!$A:$A,$I2))</f>
        <v/>
      </c>
      <c r="C79" s="134" t="inlineStr">
        <is>
          <t>96559</t>
        </is>
      </c>
      <c r="D79" s="5">
        <f>IF($I2="","",INDEX(Productos!$B:$B,$I2))</f>
        <v/>
      </c>
      <c r="E79" s="5">
        <f>IF($I2="","",INDEX(Productos!$H:$H,$I2))</f>
        <v/>
      </c>
      <c r="F79" s="5">
        <f>IF($I2="","",INDEX(Productos!$I:$I,$I2))</f>
        <v/>
      </c>
      <c r="G79" s="135" t="n">
        <v>1</v>
      </c>
      <c r="H79" s="5">
        <f>IF($I2="","",INDEX(Productos!$AG:$AG,$I2))</f>
        <v/>
      </c>
      <c r="I79" s="136">
        <f>LET(_xlpm.r,Productos!$E$2:$E$52,_xlpm.m,IFERROR(_xlfn.XMATCH(C79,_xlpm.r),IFERROR(_xlfn.XMATCH(VALUE(C79),_xlpm.r),0)),IF(_xlpm.m=0,"",_xlpm.m+1))</f>
        <v/>
      </c>
      <c r="J79" s="137" t="inlineStr">
        <is>
          <t>Odoo</t>
        </is>
      </c>
    </row>
    <row r="80">
      <c r="A80" s="5" t="inlineStr">
        <is>
          <t>Odoo Universal Unique Brands › Bodega 25 › Bodega 25/Output</t>
        </is>
      </c>
      <c r="B80" s="5">
        <f>IF($I2="","",INDEX(Productos!$A:$A,$I2))</f>
        <v/>
      </c>
      <c r="C80" s="134" t="inlineStr">
        <is>
          <t>96637</t>
        </is>
      </c>
      <c r="D80" s="5">
        <f>IF($I2="","",INDEX(Productos!$B:$B,$I2))</f>
        <v/>
      </c>
      <c r="E80" s="5">
        <f>IF($I2="","",INDEX(Productos!$H:$H,$I2))</f>
        <v/>
      </c>
      <c r="F80" s="5">
        <f>IF($I2="","",INDEX(Productos!$I:$I,$I2))</f>
        <v/>
      </c>
      <c r="G80" s="135" t="n">
        <v>24</v>
      </c>
      <c r="H80" s="5">
        <f>IF($I2="","",INDEX(Productos!$AG:$AG,$I2))</f>
        <v/>
      </c>
      <c r="I80" s="136">
        <f>LET(_xlpm.r,Productos!$E$2:$E$52,_xlpm.m,IFERROR(_xlfn.XMATCH(C80,_xlpm.r),IFERROR(_xlfn.XMATCH(VALUE(C80),_xlpm.r),0)),IF(_xlpm.m=0,"",_xlpm.m+1))</f>
        <v/>
      </c>
      <c r="J80" s="137" t="inlineStr">
        <is>
          <t>Odoo</t>
        </is>
      </c>
    </row>
    <row r="81">
      <c r="A81" s="5" t="inlineStr">
        <is>
          <t>Odoo Universal Unique Brands › Bodega 25 › Bodega 25/Output</t>
        </is>
      </c>
      <c r="B81" s="5">
        <f>IF($I2="","",INDEX(Productos!$A:$A,$I2))</f>
        <v/>
      </c>
      <c r="C81" s="134" t="inlineStr">
        <is>
          <t>96638</t>
        </is>
      </c>
      <c r="D81" s="5">
        <f>IF($I2="","",INDEX(Productos!$B:$B,$I2))</f>
        <v/>
      </c>
      <c r="E81" s="5">
        <f>IF($I2="","",INDEX(Productos!$H:$H,$I2))</f>
        <v/>
      </c>
      <c r="F81" s="5">
        <f>IF($I2="","",INDEX(Productos!$I:$I,$I2))</f>
        <v/>
      </c>
      <c r="G81" s="135" t="n">
        <v>2</v>
      </c>
      <c r="H81" s="5">
        <f>IF($I2="","",INDEX(Productos!$AG:$AG,$I2))</f>
        <v/>
      </c>
      <c r="I81" s="136">
        <f>LET(_xlpm.r,Productos!$E$2:$E$52,_xlpm.m,IFERROR(_xlfn.XMATCH(C81,_xlpm.r),IFERROR(_xlfn.XMATCH(VALUE(C81),_xlpm.r),0)),IF(_xlpm.m=0,"",_xlpm.m+1))</f>
        <v/>
      </c>
      <c r="J81" s="137" t="inlineStr">
        <is>
          <t>Odoo</t>
        </is>
      </c>
    </row>
    <row r="82">
      <c r="A82" s="5" t="inlineStr">
        <is>
          <t>Odoo Universal Unique Brands › Bodega 25 › Bodega 25/Output</t>
        </is>
      </c>
      <c r="B82" s="5">
        <f>IF($I2="","",INDEX(Productos!$A:$A,$I2))</f>
        <v/>
      </c>
      <c r="C82" s="134" t="inlineStr">
        <is>
          <t>97085</t>
        </is>
      </c>
      <c r="D82" s="5">
        <f>IF($I2="","",INDEX(Productos!$B:$B,$I2))</f>
        <v/>
      </c>
      <c r="E82" s="5">
        <f>IF($I2="","",INDEX(Productos!$H:$H,$I2))</f>
        <v/>
      </c>
      <c r="F82" s="5">
        <f>IF($I2="","",INDEX(Productos!$I:$I,$I2))</f>
        <v/>
      </c>
      <c r="G82" s="135" t="n">
        <v>18</v>
      </c>
      <c r="H82" s="5">
        <f>IF($I2="","",INDEX(Productos!$AG:$AG,$I2))</f>
        <v/>
      </c>
      <c r="I82" s="136">
        <f>LET(_xlpm.r,Productos!$E$2:$E$52,_xlpm.m,IFERROR(_xlfn.XMATCH(C82,_xlpm.r),IFERROR(_xlfn.XMATCH(VALUE(C82),_xlpm.r),0)),IF(_xlpm.m=0,"",_xlpm.m+1))</f>
        <v/>
      </c>
      <c r="J82" s="137" t="inlineStr">
        <is>
          <t>Odoo</t>
        </is>
      </c>
    </row>
    <row r="83">
      <c r="A83" s="5" t="inlineStr">
        <is>
          <t>Odoo Universal Unique Brands › Bodega 25 › Bodega 25/Output</t>
        </is>
      </c>
      <c r="B83" s="5">
        <f>IF($I2="","",INDEX(Productos!$A:$A,$I2))</f>
        <v/>
      </c>
      <c r="C83" s="134" t="inlineStr">
        <is>
          <t>97086</t>
        </is>
      </c>
      <c r="D83" s="5">
        <f>IF($I2="","",INDEX(Productos!$B:$B,$I2))</f>
        <v/>
      </c>
      <c r="E83" s="5">
        <f>IF($I2="","",INDEX(Productos!$H:$H,$I2))</f>
        <v/>
      </c>
      <c r="F83" s="5">
        <f>IF($I2="","",INDEX(Productos!$I:$I,$I2))</f>
        <v/>
      </c>
      <c r="G83" s="135" t="n">
        <v>1</v>
      </c>
      <c r="H83" s="5">
        <f>IF($I2="","",INDEX(Productos!$AG:$AG,$I2))</f>
        <v/>
      </c>
      <c r="I83" s="136">
        <f>LET(_xlpm.r,Productos!$E$2:$E$52,_xlpm.m,IFERROR(_xlfn.XMATCH(C83,_xlpm.r),IFERROR(_xlfn.XMATCH(VALUE(C83),_xlpm.r),0)),IF(_xlpm.m=0,"",_xlpm.m+1))</f>
        <v/>
      </c>
      <c r="J83" s="137" t="inlineStr">
        <is>
          <t>Odoo</t>
        </is>
      </c>
    </row>
    <row r="84">
      <c r="A84" s="5" t="inlineStr">
        <is>
          <t>Odoo Universal Unique Brands › Bodega 25 › Bodega 25/Output</t>
        </is>
      </c>
      <c r="B84" s="5">
        <f>IF($I2="","",INDEX(Productos!$A:$A,$I2))</f>
        <v/>
      </c>
      <c r="C84" s="134" t="inlineStr">
        <is>
          <t>97265</t>
        </is>
      </c>
      <c r="D84" s="5">
        <f>IF($I2="","",INDEX(Productos!$B:$B,$I2))</f>
        <v/>
      </c>
      <c r="E84" s="5">
        <f>IF($I2="","",INDEX(Productos!$H:$H,$I2))</f>
        <v/>
      </c>
      <c r="F84" s="5">
        <f>IF($I2="","",INDEX(Productos!$I:$I,$I2))</f>
        <v/>
      </c>
      <c r="G84" s="135" t="n">
        <v>12</v>
      </c>
      <c r="H84" s="5">
        <f>IF($I2="","",INDEX(Productos!$AG:$AG,$I2))</f>
        <v/>
      </c>
      <c r="I84" s="136">
        <f>LET(_xlpm.r,Productos!$E$2:$E$52,_xlpm.m,IFERROR(_xlfn.XMATCH(C84,_xlpm.r),IFERROR(_xlfn.XMATCH(VALUE(C84),_xlpm.r),0)),IF(_xlpm.m=0,"",_xlpm.m+1))</f>
        <v/>
      </c>
      <c r="J84" s="137" t="inlineStr">
        <is>
          <t>Odoo</t>
        </is>
      </c>
    </row>
    <row r="85">
      <c r="A85" s="5" t="inlineStr">
        <is>
          <t>Odoo Universal Unique Brands › Bodega 25 › Bodega 25/Output</t>
        </is>
      </c>
      <c r="B85" s="5">
        <f>IF($I2="","",INDEX(Productos!$A:$A,$I2))</f>
        <v/>
      </c>
      <c r="C85" s="134" t="inlineStr">
        <is>
          <t>97266</t>
        </is>
      </c>
      <c r="D85" s="5">
        <f>IF($I2="","",INDEX(Productos!$B:$B,$I2))</f>
        <v/>
      </c>
      <c r="E85" s="5">
        <f>IF($I2="","",INDEX(Productos!$H:$H,$I2))</f>
        <v/>
      </c>
      <c r="F85" s="5">
        <f>IF($I2="","",INDEX(Productos!$I:$I,$I2))</f>
        <v/>
      </c>
      <c r="G85" s="135" t="n">
        <v>1</v>
      </c>
      <c r="H85" s="5">
        <f>IF($I2="","",INDEX(Productos!$AG:$AG,$I2))</f>
        <v/>
      </c>
      <c r="I85" s="136">
        <f>LET(_xlpm.r,Productos!$E$2:$E$52,_xlpm.m,IFERROR(_xlfn.XMATCH(C85,_xlpm.r),IFERROR(_xlfn.XMATCH(VALUE(C85),_xlpm.r),0)),IF(_xlpm.m=0,"",_xlpm.m+1))</f>
        <v/>
      </c>
      <c r="J85" s="137" t="inlineStr">
        <is>
          <t>Odoo</t>
        </is>
      </c>
    </row>
    <row r="86">
      <c r="A86" s="5" t="inlineStr">
        <is>
          <t>Odoo Universal Unique Brands › Bodega 25 › Bodega 25/Output</t>
        </is>
      </c>
      <c r="B86" s="5">
        <f>IF($I2="","",INDEX(Productos!$A:$A,$I2))</f>
        <v/>
      </c>
      <c r="C86" s="134" t="inlineStr">
        <is>
          <t>97358</t>
        </is>
      </c>
      <c r="D86" s="5">
        <f>IF($I2="","",INDEX(Productos!$B:$B,$I2))</f>
        <v/>
      </c>
      <c r="E86" s="5">
        <f>IF($I2="","",INDEX(Productos!$H:$H,$I2))</f>
        <v/>
      </c>
      <c r="F86" s="5">
        <f>IF($I2="","",INDEX(Productos!$I:$I,$I2))</f>
        <v/>
      </c>
      <c r="G86" s="135" t="n">
        <v>24</v>
      </c>
      <c r="H86" s="5">
        <f>IF($I2="","",INDEX(Productos!$AG:$AG,$I2))</f>
        <v/>
      </c>
      <c r="I86" s="136">
        <f>LET(_xlpm.r,Productos!$E$2:$E$52,_xlpm.m,IFERROR(_xlfn.XMATCH(C86,_xlpm.r),IFERROR(_xlfn.XMATCH(VALUE(C86),_xlpm.r),0)),IF(_xlpm.m=0,"",_xlpm.m+1))</f>
        <v/>
      </c>
      <c r="J86" s="137" t="inlineStr">
        <is>
          <t>Odoo</t>
        </is>
      </c>
    </row>
    <row r="87">
      <c r="A87" s="5" t="inlineStr">
        <is>
          <t>Odoo Universal Unique Brands › Bodega 25 › Bodega 25/Output</t>
        </is>
      </c>
      <c r="B87" s="5">
        <f>IF($I2="","",INDEX(Productos!$A:$A,$I2))</f>
        <v/>
      </c>
      <c r="C87" s="134" t="inlineStr">
        <is>
          <t>97359</t>
        </is>
      </c>
      <c r="D87" s="5">
        <f>IF($I2="","",INDEX(Productos!$B:$B,$I2))</f>
        <v/>
      </c>
      <c r="E87" s="5">
        <f>IF($I2="","",INDEX(Productos!$H:$H,$I2))</f>
        <v/>
      </c>
      <c r="F87" s="5">
        <f>IF($I2="","",INDEX(Productos!$I:$I,$I2))</f>
        <v/>
      </c>
      <c r="G87" s="135" t="n">
        <v>1</v>
      </c>
      <c r="H87" s="5">
        <f>IF($I2="","",INDEX(Productos!$AG:$AG,$I2))</f>
        <v/>
      </c>
      <c r="I87" s="136">
        <f>LET(_xlpm.r,Productos!$E$2:$E$52,_xlpm.m,IFERROR(_xlfn.XMATCH(C87,_xlpm.r),IFERROR(_xlfn.XMATCH(VALUE(C87),_xlpm.r),0)),IF(_xlpm.m=0,"",_xlpm.m+1))</f>
        <v/>
      </c>
      <c r="J87" s="137" t="inlineStr">
        <is>
          <t>Odoo</t>
        </is>
      </c>
    </row>
    <row r="88">
      <c r="A88" s="5" t="inlineStr">
        <is>
          <t>Odoo Universal Unique Brands › Bodega 25 › Bodega 25/Output</t>
        </is>
      </c>
      <c r="B88" s="5">
        <f>IF($I2="","",INDEX(Productos!$A:$A,$I2))</f>
        <v/>
      </c>
      <c r="C88" s="134" t="inlineStr">
        <is>
          <t>98052</t>
        </is>
      </c>
      <c r="D88" s="5">
        <f>IF($I2="","",INDEX(Productos!$B:$B,$I2))</f>
        <v/>
      </c>
      <c r="E88" s="5">
        <f>IF($I2="","",INDEX(Productos!$H:$H,$I2))</f>
        <v/>
      </c>
      <c r="F88" s="5">
        <f>IF($I2="","",INDEX(Productos!$I:$I,$I2))</f>
        <v/>
      </c>
      <c r="G88" s="135" t="n">
        <v>12</v>
      </c>
      <c r="H88" s="5">
        <f>IF($I2="","",INDEX(Productos!$AG:$AG,$I2))</f>
        <v/>
      </c>
      <c r="I88" s="136">
        <f>LET(_xlpm.r,Productos!$E$2:$E$52,_xlpm.m,IFERROR(_xlfn.XMATCH(C88,_xlpm.r),IFERROR(_xlfn.XMATCH(VALUE(C88),_xlpm.r),0)),IF(_xlpm.m=0,"",_xlpm.m+1))</f>
        <v/>
      </c>
      <c r="J88" s="137" t="inlineStr">
        <is>
          <t>Odoo</t>
        </is>
      </c>
    </row>
    <row r="89">
      <c r="A89" s="5" t="inlineStr">
        <is>
          <t>Odoo Universal Unique Brands › Bodega 25 › Bodega 25/Output</t>
        </is>
      </c>
      <c r="B89" s="5">
        <f>IF($I2="","",INDEX(Productos!$A:$A,$I2))</f>
        <v/>
      </c>
      <c r="C89" s="134" t="inlineStr">
        <is>
          <t>98082</t>
        </is>
      </c>
      <c r="D89" s="5">
        <f>IF($I2="","",INDEX(Productos!$B:$B,$I2))</f>
        <v/>
      </c>
      <c r="E89" s="5">
        <f>IF($I2="","",INDEX(Productos!$H:$H,$I2))</f>
        <v/>
      </c>
      <c r="F89" s="5">
        <f>IF($I2="","",INDEX(Productos!$I:$I,$I2))</f>
        <v/>
      </c>
      <c r="G89" s="135" t="n">
        <v>2</v>
      </c>
      <c r="H89" s="5">
        <f>IF($I2="","",INDEX(Productos!$AG:$AG,$I2))</f>
        <v/>
      </c>
      <c r="I89" s="136">
        <f>LET(_xlpm.r,Productos!$E$2:$E$52,_xlpm.m,IFERROR(_xlfn.XMATCH(C89,_xlpm.r),IFERROR(_xlfn.XMATCH(VALUE(C89),_xlpm.r),0)),IF(_xlpm.m=0,"",_xlpm.m+1))</f>
        <v/>
      </c>
      <c r="J89" s="137" t="inlineStr">
        <is>
          <t>Odoo</t>
        </is>
      </c>
    </row>
    <row r="90">
      <c r="A90" s="5" t="inlineStr">
        <is>
          <t>Odoo Universal Unique Brands › Bodega 25 › Bodega 25/Output</t>
        </is>
      </c>
      <c r="B90" s="5">
        <f>IF($I2="","",INDEX(Productos!$A:$A,$I2))</f>
        <v/>
      </c>
      <c r="C90" s="134" t="inlineStr">
        <is>
          <t>98083</t>
        </is>
      </c>
      <c r="D90" s="5">
        <f>IF($I2="","",INDEX(Productos!$B:$B,$I2))</f>
        <v/>
      </c>
      <c r="E90" s="5">
        <f>IF($I2="","",INDEX(Productos!$H:$H,$I2))</f>
        <v/>
      </c>
      <c r="F90" s="5">
        <f>IF($I2="","",INDEX(Productos!$I:$I,$I2))</f>
        <v/>
      </c>
      <c r="G90" s="135" t="n">
        <v>12</v>
      </c>
      <c r="H90" s="5">
        <f>IF($I2="","",INDEX(Productos!$AG:$AG,$I2))</f>
        <v/>
      </c>
      <c r="I90" s="136">
        <f>LET(_xlpm.r,Productos!$E$2:$E$52,_xlpm.m,IFERROR(_xlfn.XMATCH(C90,_xlpm.r),IFERROR(_xlfn.XMATCH(VALUE(C90),_xlpm.r),0)),IF(_xlpm.m=0,"",_xlpm.m+1))</f>
        <v/>
      </c>
      <c r="J90" s="137" t="inlineStr">
        <is>
          <t>Odoo</t>
        </is>
      </c>
    </row>
    <row r="91">
      <c r="A91" s="5" t="inlineStr">
        <is>
          <t>Odoo Universal Unique Brands › Bodega 25 › Bodega 25/Output</t>
        </is>
      </c>
      <c r="B91" s="5">
        <f>IF($I2="","",INDEX(Productos!$A:$A,$I2))</f>
        <v/>
      </c>
      <c r="C91" s="134" t="inlineStr">
        <is>
          <t>98084</t>
        </is>
      </c>
      <c r="D91" s="5">
        <f>IF($I2="","",INDEX(Productos!$B:$B,$I2))</f>
        <v/>
      </c>
      <c r="E91" s="5">
        <f>IF($I2="","",INDEX(Productos!$H:$H,$I2))</f>
        <v/>
      </c>
      <c r="F91" s="5">
        <f>IF($I2="","",INDEX(Productos!$I:$I,$I2))</f>
        <v/>
      </c>
      <c r="G91" s="135" t="n">
        <v>1</v>
      </c>
      <c r="H91" s="5">
        <f>IF($I2="","",INDEX(Productos!$AG:$AG,$I2))</f>
        <v/>
      </c>
      <c r="I91" s="136">
        <f>LET(_xlpm.r,Productos!$E$2:$E$52,_xlpm.m,IFERROR(_xlfn.XMATCH(C91,_xlpm.r),IFERROR(_xlfn.XMATCH(VALUE(C91),_xlpm.r),0)),IF(_xlpm.m=0,"",_xlpm.m+1))</f>
        <v/>
      </c>
      <c r="J91" s="137" t="inlineStr">
        <is>
          <t>Odoo</t>
        </is>
      </c>
    </row>
    <row r="92">
      <c r="A92" s="5" t="inlineStr">
        <is>
          <t>Odoo Universal Unique Brands › Bodega 25 › Bodega 25/Output</t>
        </is>
      </c>
      <c r="B92" s="5">
        <f>IF($I2="","",INDEX(Productos!$A:$A,$I2))</f>
        <v/>
      </c>
      <c r="C92" s="134" t="inlineStr">
        <is>
          <t>98085</t>
        </is>
      </c>
      <c r="D92" s="5">
        <f>IF($I2="","",INDEX(Productos!$B:$B,$I2))</f>
        <v/>
      </c>
      <c r="E92" s="5">
        <f>IF($I2="","",INDEX(Productos!$H:$H,$I2))</f>
        <v/>
      </c>
      <c r="F92" s="5">
        <f>IF($I2="","",INDEX(Productos!$I:$I,$I2))</f>
        <v/>
      </c>
      <c r="G92" s="135" t="n">
        <v>12</v>
      </c>
      <c r="H92" s="5">
        <f>IF($I2="","",INDEX(Productos!$AG:$AG,$I2))</f>
        <v/>
      </c>
      <c r="I92" s="136">
        <f>LET(_xlpm.r,Productos!$E$2:$E$52,_xlpm.m,IFERROR(_xlfn.XMATCH(C92,_xlpm.r),IFERROR(_xlfn.XMATCH(VALUE(C92),_xlpm.r),0)),IF(_xlpm.m=0,"",_xlpm.m+1))</f>
        <v/>
      </c>
      <c r="J92" s="137" t="inlineStr">
        <is>
          <t>Odoo</t>
        </is>
      </c>
    </row>
    <row r="93">
      <c r="A93" s="5" t="inlineStr">
        <is>
          <t>Odoo Universal Unique Brands › Bodega 25 › Bodega 25/Output</t>
        </is>
      </c>
      <c r="B93" s="5">
        <f>IF($I2="","",INDEX(Productos!$A:$A,$I2))</f>
        <v/>
      </c>
      <c r="C93" s="134" t="inlineStr">
        <is>
          <t>98086</t>
        </is>
      </c>
      <c r="D93" s="5">
        <f>IF($I2="","",INDEX(Productos!$B:$B,$I2))</f>
        <v/>
      </c>
      <c r="E93" s="5">
        <f>IF($I2="","",INDEX(Productos!$H:$H,$I2))</f>
        <v/>
      </c>
      <c r="F93" s="5">
        <f>IF($I2="","",INDEX(Productos!$I:$I,$I2))</f>
        <v/>
      </c>
      <c r="G93" s="135" t="n">
        <v>2</v>
      </c>
      <c r="H93" s="5">
        <f>IF($I2="","",INDEX(Productos!$AG:$AG,$I2))</f>
        <v/>
      </c>
      <c r="I93" s="136">
        <f>LET(_xlpm.r,Productos!$E$2:$E$52,_xlpm.m,IFERROR(_xlfn.XMATCH(C93,_xlpm.r),IFERROR(_xlfn.XMATCH(VALUE(C93),_xlpm.r),0)),IF(_xlpm.m=0,"",_xlpm.m+1))</f>
        <v/>
      </c>
      <c r="J93" s="137" t="inlineStr">
        <is>
          <t>Odoo</t>
        </is>
      </c>
    </row>
    <row r="94">
      <c r="A94" s="5" t="inlineStr">
        <is>
          <t>Odoo Universal Unique Brands › Bodega 25 › Bodega 25/Output</t>
        </is>
      </c>
      <c r="B94" s="5">
        <f>IF($I2="","",INDEX(Productos!$A:$A,$I2))</f>
        <v/>
      </c>
      <c r="C94" s="134" t="inlineStr">
        <is>
          <t>98087</t>
        </is>
      </c>
      <c r="D94" s="5">
        <f>IF($I2="","",INDEX(Productos!$B:$B,$I2))</f>
        <v/>
      </c>
      <c r="E94" s="5">
        <f>IF($I2="","",INDEX(Productos!$H:$H,$I2))</f>
        <v/>
      </c>
      <c r="F94" s="5">
        <f>IF($I2="","",INDEX(Productos!$I:$I,$I2))</f>
        <v/>
      </c>
      <c r="G94" s="135" t="n">
        <v>12</v>
      </c>
      <c r="H94" s="5">
        <f>IF($I2="","",INDEX(Productos!$AG:$AG,$I2))</f>
        <v/>
      </c>
      <c r="I94" s="136">
        <f>LET(_xlpm.r,Productos!$E$2:$E$52,_xlpm.m,IFERROR(_xlfn.XMATCH(C94,_xlpm.r),IFERROR(_xlfn.XMATCH(VALUE(C94),_xlpm.r),0)),IF(_xlpm.m=0,"",_xlpm.m+1))</f>
        <v/>
      </c>
      <c r="J94" s="137" t="inlineStr">
        <is>
          <t>Odoo</t>
        </is>
      </c>
    </row>
    <row r="95">
      <c r="A95" s="5" t="inlineStr">
        <is>
          <t>Odoo Universal Unique Brands › Bodega 25 › Bodega 25/Output</t>
        </is>
      </c>
      <c r="B95" s="5">
        <f>IF($I2="","",INDEX(Productos!$A:$A,$I2))</f>
        <v/>
      </c>
      <c r="C95" s="134" t="inlineStr">
        <is>
          <t>98088</t>
        </is>
      </c>
      <c r="D95" s="5">
        <f>IF($I2="","",INDEX(Productos!$B:$B,$I2))</f>
        <v/>
      </c>
      <c r="E95" s="5">
        <f>IF($I2="","",INDEX(Productos!$H:$H,$I2))</f>
        <v/>
      </c>
      <c r="F95" s="5">
        <f>IF($I2="","",INDEX(Productos!$I:$I,$I2))</f>
        <v/>
      </c>
      <c r="G95" s="135" t="n">
        <v>1</v>
      </c>
      <c r="H95" s="5">
        <f>IF($I2="","",INDEX(Productos!$AG:$AG,$I2))</f>
        <v/>
      </c>
      <c r="I95" s="136">
        <f>LET(_xlpm.r,Productos!$E$2:$E$52,_xlpm.m,IFERROR(_xlfn.XMATCH(C95,_xlpm.r),IFERROR(_xlfn.XMATCH(VALUE(C95),_xlpm.r),0)),IF(_xlpm.m=0,"",_xlpm.m+1))</f>
        <v/>
      </c>
      <c r="J95" s="137" t="inlineStr">
        <is>
          <t>Odoo</t>
        </is>
      </c>
    </row>
    <row r="96">
      <c r="A96" s="5" t="inlineStr">
        <is>
          <t>Odoo Universal Unique Brands › Bodega 25 › Bodega 25/Output</t>
        </is>
      </c>
      <c r="B96" s="5">
        <f>IF($I2="","",INDEX(Productos!$A:$A,$I2))</f>
        <v/>
      </c>
      <c r="C96" s="134" t="inlineStr">
        <is>
          <t>98089</t>
        </is>
      </c>
      <c r="D96" s="5">
        <f>IF($I2="","",INDEX(Productos!$B:$B,$I2))</f>
        <v/>
      </c>
      <c r="E96" s="5">
        <f>IF($I2="","",INDEX(Productos!$H:$H,$I2))</f>
        <v/>
      </c>
      <c r="F96" s="5">
        <f>IF($I2="","",INDEX(Productos!$I:$I,$I2))</f>
        <v/>
      </c>
      <c r="G96" s="135" t="n">
        <v>12</v>
      </c>
      <c r="H96" s="5">
        <f>IF($I2="","",INDEX(Productos!$AG:$AG,$I2))</f>
        <v/>
      </c>
      <c r="I96" s="136">
        <f>LET(_xlpm.r,Productos!$E$2:$E$52,_xlpm.m,IFERROR(_xlfn.XMATCH(C96,_xlpm.r),IFERROR(_xlfn.XMATCH(VALUE(C96),_xlpm.r),0)),IF(_xlpm.m=0,"",_xlpm.m+1))</f>
        <v/>
      </c>
      <c r="J96" s="137" t="inlineStr">
        <is>
          <t>Odoo</t>
        </is>
      </c>
    </row>
    <row r="97">
      <c r="A97" s="5" t="inlineStr">
        <is>
          <t>Odoo Universal Unique Brands › Bodega 25 › Bodega 25/Output</t>
        </is>
      </c>
      <c r="B97" s="5">
        <f>IF($I2="","",INDEX(Productos!$A:$A,$I2))</f>
        <v/>
      </c>
      <c r="C97" s="134" t="inlineStr">
        <is>
          <t>98090</t>
        </is>
      </c>
      <c r="D97" s="5">
        <f>IF($I2="","",INDEX(Productos!$B:$B,$I2))</f>
        <v/>
      </c>
      <c r="E97" s="5">
        <f>IF($I2="","",INDEX(Productos!$H:$H,$I2))</f>
        <v/>
      </c>
      <c r="F97" s="5">
        <f>IF($I2="","",INDEX(Productos!$I:$I,$I2))</f>
        <v/>
      </c>
      <c r="G97" s="135" t="n">
        <v>1</v>
      </c>
      <c r="H97" s="5">
        <f>IF($I2="","",INDEX(Productos!$AG:$AG,$I2))</f>
        <v/>
      </c>
      <c r="I97" s="136">
        <f>LET(_xlpm.r,Productos!$E$2:$E$52,_xlpm.m,IFERROR(_xlfn.XMATCH(C97,_xlpm.r),IFERROR(_xlfn.XMATCH(VALUE(C97),_xlpm.r),0)),IF(_xlpm.m=0,"",_xlpm.m+1))</f>
        <v/>
      </c>
      <c r="J97" s="137" t="inlineStr">
        <is>
          <t>Odoo</t>
        </is>
      </c>
    </row>
  </sheetData>
  <autoFilter ref="A1:J97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IF(ISNUMBER(I6),SUM(I6:I603),0)</f>
        <v/>
      </c>
      <c r="F3" s="145" t="inlineStr">
        <is>
          <t>Renglones:</t>
        </is>
      </c>
      <c r="G3" s="144">
        <f>IF(ISNUMBER(I6),COUNT(I6:I603),0)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43"",""""))))),pE,Productos!$E$2:$E$52,pA,Productos!$A$2:$A$52&amp;"""",s,'Stock por Ubicación'!$A$2:$J$97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$52,""""),sk,XLOOKUP(sk,pE,Produc"&amp;"tos!$B$2:$B$2502,""""),XLOOKUP(sk,pE,Productos!$H$2:$H$52,""""),XLOOKUP(sk,pE,Productos!$I$2:$I$52,""""),pz),IFERROR(FILTER(rw,pz&gt;0),""""))),todo,IF(INDEX(a,1,1)="""",b,IF(INDEX(b,1,1)="""",a,VSTACK(a,b))),IF(INDEX(todo,1,1)="""",""Sin existencias en "&amp;"esta bodega"",LET(tl,XLOOKUP(INDEX(todo,0,4),pE,Productos!$F$2:$F$52,"""")&amp;"""",o,HSTACK(CHOOSECOLS(todo,1,2,3,4,5,6,7),tl,CHOOSECOLS(todo,8)),x,SORT(o,1,TRUE,4,TRUE),IF(x="""","""",x)))))"),"B25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IF(ISNUMBER(I6),SUM(I6:I603),0)</f>
        <v/>
      </c>
      <c r="F3" s="145" t="inlineStr">
        <is>
          <t>Renglones:</t>
        </is>
      </c>
      <c r="G3" s="144">
        <f>IF(ISNUMBER(I6),COUNT(I6:I603),0)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43"",""""))))),pE,Productos!$E$2:$E$52,s,'Stock por Ubicación'!$A$2:$J$97,su,INDEX(s,0,1),sq,INDEX(s,0,7),selSis,(su&lt;&gt;"""")*ISNUMBER(sq)*(sq&gt;0)*(asig(su)=bod)&gt;0,a,IFERROR(FILTER(CHOOSECOLS(s,1,10,2,3,4,5,6,7),sel"&amp;"Sis),""""),tu,Table_2[Ubicación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$52,""""),sk,XLOOKUP(sk,pE,Productos!$B$2:$B$52"&amp;"02,""""),XLOOKUP(sk,pE,Productos!$H$2:$H$52,""""),XLOOKUP(sk,pE,Productos!$I$2:$I$52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$52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76" min="1" max="1"/>
    <col width="22" customWidth="1" style="176" min="2" max="2"/>
    <col width="22" customWidth="1" style="176" min="3" max="3"/>
    <col width="22" customWidth="1" style="176" min="4" max="4"/>
    <col width="22" customWidth="1" style="176" min="5" max="5"/>
    <col width="40" customWidth="1" style="176" min="6" max="6"/>
    <col width="22" customWidth="1" style="176" min="7" max="7"/>
    <col width="22" customWidth="1" style="176" min="8" max="8"/>
    <col width="22" customWidth="1" style="176" min="9" max="9"/>
    <col width="22" customWidth="1" style="176" min="10" max="10"/>
    <col width="22" customWidth="1" style="176" min="11" max="11"/>
    <col width="22" customWidth="1" style="176" min="12" max="12"/>
    <col width="14" customWidth="1" style="176" min="13" max="13"/>
    <col width="14" customWidth="1" style="176" min="14" max="14"/>
    <col width="14" customWidth="1" style="176" min="15" max="15"/>
    <col width="14" customWidth="1" style="176" min="16" max="16"/>
    <col width="14" customWidth="1" style="176" min="17" max="17"/>
    <col width="14" customWidth="1" style="176" min="18" max="18"/>
    <col width="14" customWidth="1" style="176" min="19" max="19"/>
    <col width="14" customWidth="1" style="176" min="20" max="20"/>
    <col width="14" customWidth="1" style="176" min="21" max="21"/>
    <col width="22" customWidth="1" style="176" min="22" max="22"/>
    <col width="14" customWidth="1" style="176" min="23" max="23"/>
    <col width="14" customWidth="1" style="176" min="24" max="24"/>
    <col width="14" customWidth="1" style="176" min="25" max="25"/>
    <col width="14" customWidth="1" style="176" min="26" max="26"/>
    <col width="14" customWidth="1" style="176" min="27" max="27"/>
    <col width="22" customWidth="1" style="176" min="28" max="28"/>
    <col width="14" customWidth="1" style="176" min="29" max="29"/>
    <col width="14" customWidth="1" style="176" min="30" max="30"/>
    <col width="22" customWidth="1" style="176" min="31" max="31"/>
    <col width="14" customWidth="1" style="176" min="32" max="32"/>
  </cols>
  <sheetData>
    <row r="1" ht="45" customHeight="1" s="176">
      <c r="A1" s="185" t="inlineStr">
        <is>
          <t>Código de barras</t>
        </is>
      </c>
      <c r="B1" s="185" t="inlineStr">
        <is>
          <t>Identificador interno</t>
        </is>
      </c>
      <c r="C1" s="185" t="inlineStr">
        <is>
          <t>WB SKU</t>
        </is>
      </c>
      <c r="D1" s="185" t="inlineStr">
        <is>
          <t>WB N.º de estilo</t>
        </is>
      </c>
      <c r="E1" s="185" t="inlineStr">
        <is>
          <t>WB Marca</t>
        </is>
      </c>
      <c r="F1" s="185" t="inlineStr">
        <is>
          <t>WB Descripcion</t>
        </is>
      </c>
      <c r="G1" s="185" t="inlineStr">
        <is>
          <t>WB Talla</t>
        </is>
      </c>
      <c r="H1" s="185" t="inlineStr">
        <is>
          <t>WB Color</t>
        </is>
      </c>
      <c r="I1" s="185" t="inlineStr">
        <is>
          <t>WB División</t>
        </is>
      </c>
      <c r="J1" s="185" t="inlineStr">
        <is>
          <t>WB Categoría</t>
        </is>
      </c>
      <c r="K1" s="185" t="inlineStr">
        <is>
          <t>WB Género</t>
        </is>
      </c>
      <c r="L1" s="185" t="inlineStr">
        <is>
          <t>Unidad</t>
        </is>
      </c>
      <c r="M1" s="185" t="inlineStr">
        <is>
          <t>Precio de compra</t>
        </is>
      </c>
      <c r="N1" s="185" t="inlineStr">
        <is>
          <t>Precio de venta</t>
        </is>
      </c>
      <c r="O1" s="185" t="inlineStr">
        <is>
          <t>En mano NetSuite</t>
        </is>
      </c>
      <c r="P1" s="185" t="inlineStr">
        <is>
          <t>Disponible NetSuite</t>
        </is>
      </c>
      <c r="Q1" s="185" t="inlineStr">
        <is>
          <t>Comprometido NetSuite</t>
        </is>
      </c>
      <c r="R1" s="185" t="inlineStr">
        <is>
          <t>En pedido NetSuite</t>
        </is>
      </c>
      <c r="S1" s="185" t="inlineStr">
        <is>
          <t>En tránsito NetSuite</t>
        </is>
      </c>
      <c r="T1" s="185" t="inlineStr">
        <is>
          <t>Pendiente por surtir NetSuite</t>
        </is>
      </c>
      <c r="U1" s="185" t="inlineStr">
        <is>
          <t>En mano en ubicaciones inactivas</t>
        </is>
      </c>
      <c r="V1" s="185" t="inlineStr">
        <is>
          <t>Ubicaciones en negativo</t>
        </is>
      </c>
      <c r="W1" s="185" t="inlineStr">
        <is>
          <t>En mano NetSuite 28/09/2026</t>
        </is>
      </c>
      <c r="X1" s="185" t="inlineStr">
        <is>
          <t>Variación neta</t>
        </is>
      </c>
      <c r="Y1" s="185" t="inlineStr">
        <is>
          <t>Shopify Western Brothers</t>
        </is>
      </c>
      <c r="Z1" s="185" t="inlineStr">
        <is>
          <t>Odoo Universal Unique Brands</t>
        </is>
      </c>
      <c r="AA1" s="185" t="inlineStr">
        <is>
          <t>Piezas contadas (Escaneos)</t>
        </is>
      </c>
      <c r="AB1" s="185" t="inlineStr">
        <is>
          <t>Fecha del último conteo</t>
        </is>
      </c>
      <c r="AC1" s="185" t="inlineStr">
        <is>
          <t>Valor en mano a costo</t>
        </is>
      </c>
      <c r="AD1" s="185" t="inlineStr">
        <is>
          <t>Valor en mano a precio de venta</t>
        </is>
      </c>
      <c r="AE1" s="185" t="inlineStr">
        <is>
          <t>Estado del inventario</t>
        </is>
      </c>
      <c r="AF1" s="185" t="inlineStr">
        <is>
          <t>NS · WB OUTLET LERMA</t>
        </is>
      </c>
    </row>
    <row r="2">
      <c r="A2" t="inlineStr">
        <is>
          <t>087327025725</t>
        </is>
      </c>
      <c r="B2" t="inlineStr">
        <is>
          <t>27674</t>
        </is>
      </c>
      <c r="C2" t="inlineStr">
        <is>
          <t>90093</t>
        </is>
      </c>
      <c r="E2" t="inlineStr">
        <is>
          <t>Tru Western</t>
        </is>
      </c>
      <c r="F2" t="inlineStr">
        <is>
          <t>TESTER Tru Western: Men's - Cologne Spray 3.4oz - Cowboy</t>
        </is>
      </c>
      <c r="G2" t="inlineStr">
        <is>
          <t>100 ml</t>
        </is>
      </c>
      <c r="I2" t="inlineStr">
        <is>
          <t>Accesorios</t>
        </is>
      </c>
      <c r="J2" t="inlineStr">
        <is>
          <t>Fragancias</t>
        </is>
      </c>
      <c r="K2" t="inlineStr">
        <is>
          <t>Hombre</t>
        </is>
      </c>
      <c r="L2" t="inlineStr">
        <is>
          <t>PZS</t>
        </is>
      </c>
      <c r="M2" s="186" t="n">
        <v>45</v>
      </c>
      <c r="N2" s="186" t="n">
        <v>499</v>
      </c>
      <c r="O2" t="n">
        <v>0</v>
      </c>
      <c r="X2">
        <f>O2-W2</f>
        <v/>
      </c>
      <c r="Z2" t="n">
        <v>2</v>
      </c>
      <c r="AC2" s="186">
        <f>IFERROR(O2*M2,0)</f>
        <v/>
      </c>
      <c r="AD2" s="186">
        <f>IFERROR(O2*N2,0)</f>
        <v/>
      </c>
      <c r="AE2" t="inlineStr">
        <is>
          <t>Solo en plataformas</t>
        </is>
      </c>
    </row>
    <row r="3">
      <c r="A3" t="inlineStr">
        <is>
          <t>087327026326</t>
        </is>
      </c>
      <c r="B3" t="inlineStr">
        <is>
          <t>27690</t>
        </is>
      </c>
      <c r="C3" t="inlineStr">
        <is>
          <t>91718</t>
        </is>
      </c>
      <c r="E3" t="inlineStr">
        <is>
          <t>Tru Western</t>
        </is>
      </c>
      <c r="F3" t="inlineStr">
        <is>
          <t>Tester Tru Western - 100mL EDC - Outlaw</t>
        </is>
      </c>
      <c r="G3" t="inlineStr">
        <is>
          <t>100 ml</t>
        </is>
      </c>
      <c r="I3" t="inlineStr">
        <is>
          <t>Accesorios</t>
        </is>
      </c>
      <c r="J3" t="inlineStr">
        <is>
          <t>Fragancias</t>
        </is>
      </c>
      <c r="K3" t="inlineStr">
        <is>
          <t>Unisex</t>
        </is>
      </c>
      <c r="L3" t="inlineStr">
        <is>
          <t>PZS</t>
        </is>
      </c>
      <c r="M3" s="186" t="n">
        <v>45</v>
      </c>
      <c r="N3" s="186" t="n">
        <v>499</v>
      </c>
      <c r="O3" t="n">
        <v>0</v>
      </c>
      <c r="X3">
        <f>O3-W3</f>
        <v/>
      </c>
      <c r="Z3" t="n">
        <v>1</v>
      </c>
      <c r="AC3" s="186">
        <f>IFERROR(O3*M3,0)</f>
        <v/>
      </c>
      <c r="AD3" s="186">
        <f>IFERROR(O3*N3,0)</f>
        <v/>
      </c>
      <c r="AE3" t="inlineStr">
        <is>
          <t>Solo en plataformas</t>
        </is>
      </c>
    </row>
    <row r="4">
      <c r="A4" t="inlineStr">
        <is>
          <t>087327027972</t>
        </is>
      </c>
      <c r="B4" t="inlineStr">
        <is>
          <t>27716</t>
        </is>
      </c>
      <c r="C4" t="inlineStr">
        <is>
          <t>92702</t>
        </is>
      </c>
      <c r="E4" t="inlineStr">
        <is>
          <t>Tru Western</t>
        </is>
      </c>
      <c r="F4" t="inlineStr">
        <is>
          <t>TESTER Tru Western: Women's - EDP 3.4oz - Amber Sundance</t>
        </is>
      </c>
      <c r="G4" t="inlineStr">
        <is>
          <t>100 ml</t>
        </is>
      </c>
      <c r="I4" t="inlineStr">
        <is>
          <t>Accesorios</t>
        </is>
      </c>
      <c r="J4" t="inlineStr">
        <is>
          <t>Fragancias</t>
        </is>
      </c>
      <c r="K4" t="inlineStr">
        <is>
          <t>Mujer</t>
        </is>
      </c>
      <c r="L4" t="inlineStr">
        <is>
          <t>PZS</t>
        </is>
      </c>
      <c r="M4" s="186" t="n"/>
      <c r="N4" s="186" t="n">
        <v>399</v>
      </c>
      <c r="O4" t="n">
        <v>0</v>
      </c>
      <c r="X4">
        <f>O4-W4</f>
        <v/>
      </c>
      <c r="Z4" t="n">
        <v>2</v>
      </c>
      <c r="AC4" s="186">
        <f>IFERROR(O4*M4,0)</f>
        <v/>
      </c>
      <c r="AD4" s="186">
        <f>IFERROR(O4*N4,0)</f>
        <v/>
      </c>
      <c r="AE4" t="inlineStr">
        <is>
          <t>Solo en plataformas</t>
        </is>
      </c>
    </row>
    <row r="5">
      <c r="A5" t="inlineStr">
        <is>
          <t>087327028337</t>
        </is>
      </c>
      <c r="B5" t="inlineStr">
        <is>
          <t>27680</t>
        </is>
      </c>
      <c r="C5" t="inlineStr">
        <is>
          <t>93058</t>
        </is>
      </c>
      <c r="E5" t="inlineStr">
        <is>
          <t>Tru Western</t>
        </is>
      </c>
      <c r="F5" t="inlineStr">
        <is>
          <t>Tester Tru Western - 100mL EDC - PBR - Black &amp; Blue Flame</t>
        </is>
      </c>
      <c r="G5" t="inlineStr">
        <is>
          <t>100 ml</t>
        </is>
      </c>
      <c r="H5" t="inlineStr">
        <is>
          <t>Negro</t>
        </is>
      </c>
      <c r="I5" t="inlineStr">
        <is>
          <t>Accesorios</t>
        </is>
      </c>
      <c r="J5" t="inlineStr">
        <is>
          <t>Fragancias</t>
        </is>
      </c>
      <c r="K5" t="inlineStr">
        <is>
          <t>Unisex</t>
        </is>
      </c>
      <c r="L5" t="inlineStr">
        <is>
          <t>PZS</t>
        </is>
      </c>
      <c r="M5" s="186" t="n">
        <v>50</v>
      </c>
      <c r="N5" s="186" t="n">
        <v>569</v>
      </c>
      <c r="O5" t="n">
        <v>0</v>
      </c>
      <c r="X5">
        <f>O5-W5</f>
        <v/>
      </c>
      <c r="Z5" t="n">
        <v>1</v>
      </c>
      <c r="AC5" s="186">
        <f>IFERROR(O5*M5,0)</f>
        <v/>
      </c>
      <c r="AD5" s="186">
        <f>IFERROR(O5*N5,0)</f>
        <v/>
      </c>
      <c r="AE5" t="inlineStr">
        <is>
          <t>Solo en plataformas</t>
        </is>
      </c>
    </row>
    <row r="6">
      <c r="A6" t="inlineStr">
        <is>
          <t>087327030385</t>
        </is>
      </c>
      <c r="B6" t="inlineStr">
        <is>
          <t>27686</t>
        </is>
      </c>
      <c r="C6" t="inlineStr">
        <is>
          <t>93957</t>
        </is>
      </c>
      <c r="E6" t="inlineStr">
        <is>
          <t>Tru Western</t>
        </is>
      </c>
      <c r="F6" t="inlineStr">
        <is>
          <t>Tester Tru Western - 100mL EDC - PBR - 8 Seconds Fury</t>
        </is>
      </c>
      <c r="G6" t="inlineStr">
        <is>
          <t>100 ml</t>
        </is>
      </c>
      <c r="I6" t="inlineStr">
        <is>
          <t>Accesorios</t>
        </is>
      </c>
      <c r="J6" t="inlineStr">
        <is>
          <t>Fragancias</t>
        </is>
      </c>
      <c r="K6" t="inlineStr">
        <is>
          <t>Unisex</t>
        </is>
      </c>
      <c r="L6" t="inlineStr">
        <is>
          <t>PZS</t>
        </is>
      </c>
      <c r="M6" s="186" t="n">
        <v>50</v>
      </c>
      <c r="N6" s="186" t="n">
        <v>569</v>
      </c>
      <c r="O6" t="n">
        <v>0</v>
      </c>
      <c r="X6">
        <f>O6-W6</f>
        <v/>
      </c>
      <c r="Z6" t="n">
        <v>1</v>
      </c>
      <c r="AC6" s="186">
        <f>IFERROR(O6*M6,0)</f>
        <v/>
      </c>
      <c r="AD6" s="186">
        <f>IFERROR(O6*N6,0)</f>
        <v/>
      </c>
      <c r="AE6" t="inlineStr">
        <is>
          <t>Solo en plataformas</t>
        </is>
      </c>
    </row>
    <row r="7">
      <c r="A7" t="inlineStr">
        <is>
          <t>087327030378</t>
        </is>
      </c>
      <c r="B7" t="inlineStr">
        <is>
          <t>27684</t>
        </is>
      </c>
      <c r="C7" t="inlineStr">
        <is>
          <t>94972</t>
        </is>
      </c>
      <c r="E7" t="inlineStr">
        <is>
          <t>Tru Western</t>
        </is>
      </c>
      <c r="F7" t="inlineStr">
        <is>
          <t>TESTER Tru Western: Men's - Cologne Spray 3.4oz - 8 Seconds</t>
        </is>
      </c>
      <c r="G7" t="inlineStr">
        <is>
          <t>100 ml</t>
        </is>
      </c>
      <c r="I7" t="inlineStr">
        <is>
          <t>Accesorios</t>
        </is>
      </c>
      <c r="J7" t="inlineStr">
        <is>
          <t>Fragancias</t>
        </is>
      </c>
      <c r="K7" t="inlineStr">
        <is>
          <t>Hombre</t>
        </is>
      </c>
      <c r="L7" t="inlineStr">
        <is>
          <t>PZS</t>
        </is>
      </c>
      <c r="M7" s="186" t="n">
        <v>50</v>
      </c>
      <c r="N7" s="186" t="n">
        <v>569</v>
      </c>
      <c r="O7" t="n">
        <v>0</v>
      </c>
      <c r="X7">
        <f>O7-W7</f>
        <v/>
      </c>
      <c r="Z7" t="n">
        <v>1</v>
      </c>
      <c r="AC7" s="186">
        <f>IFERROR(O7*M7,0)</f>
        <v/>
      </c>
      <c r="AD7" s="186">
        <f>IFERROR(O7*N7,0)</f>
        <v/>
      </c>
      <c r="AE7" t="inlineStr">
        <is>
          <t>Solo en plataformas</t>
        </is>
      </c>
    </row>
    <row r="8">
      <c r="A8" t="inlineStr">
        <is>
          <t>087327030354</t>
        </is>
      </c>
      <c r="B8" t="inlineStr">
        <is>
          <t>27676</t>
        </is>
      </c>
      <c r="C8" t="inlineStr">
        <is>
          <t>95195</t>
        </is>
      </c>
      <c r="E8" t="inlineStr">
        <is>
          <t>Tru Western</t>
        </is>
      </c>
      <c r="F8" t="inlineStr">
        <is>
          <t>Tester Tru Western - 100mL EDC - Cowboy Gunslinger</t>
        </is>
      </c>
      <c r="G8" t="inlineStr">
        <is>
          <t>100 ml</t>
        </is>
      </c>
      <c r="I8" t="inlineStr">
        <is>
          <t>Accesorios</t>
        </is>
      </c>
      <c r="J8" t="inlineStr">
        <is>
          <t>Fragancias</t>
        </is>
      </c>
      <c r="K8" t="inlineStr">
        <is>
          <t>Unisex</t>
        </is>
      </c>
      <c r="L8" t="inlineStr">
        <is>
          <t>PZS</t>
        </is>
      </c>
      <c r="M8" s="186" t="n">
        <v>45</v>
      </c>
      <c r="N8" s="186" t="n">
        <v>499</v>
      </c>
      <c r="O8" t="n">
        <v>0</v>
      </c>
      <c r="X8">
        <f>O8-W8</f>
        <v/>
      </c>
      <c r="Z8" t="n">
        <v>1</v>
      </c>
      <c r="AC8" s="186">
        <f>IFERROR(O8*M8,0)</f>
        <v/>
      </c>
      <c r="AD8" s="186">
        <f>IFERROR(O8*N8,0)</f>
        <v/>
      </c>
      <c r="AE8" t="inlineStr">
        <is>
          <t>Solo en plataformas</t>
        </is>
      </c>
    </row>
    <row r="9">
      <c r="A9" t="inlineStr">
        <is>
          <t>087327029587</t>
        </is>
      </c>
      <c r="B9" t="inlineStr">
        <is>
          <t>27678</t>
        </is>
      </c>
      <c r="C9" t="inlineStr">
        <is>
          <t>96559</t>
        </is>
      </c>
      <c r="E9" t="inlineStr">
        <is>
          <t>Tru Western</t>
        </is>
      </c>
      <c r="F9" t="inlineStr">
        <is>
          <t>Tru Western - 100mL EDC - PBR - Anejo - Tester</t>
        </is>
      </c>
      <c r="G9" t="inlineStr">
        <is>
          <t>100 ml</t>
        </is>
      </c>
      <c r="I9" t="inlineStr">
        <is>
          <t>Accesorios</t>
        </is>
      </c>
      <c r="J9" t="inlineStr">
        <is>
          <t>Fragancias</t>
        </is>
      </c>
      <c r="K9" t="inlineStr">
        <is>
          <t>Unisex</t>
        </is>
      </c>
      <c r="L9" t="inlineStr">
        <is>
          <t>PZS</t>
        </is>
      </c>
      <c r="M9" s="186" t="n">
        <v>50</v>
      </c>
      <c r="N9" s="186" t="n">
        <v>569</v>
      </c>
      <c r="O9" t="n">
        <v>0</v>
      </c>
      <c r="X9">
        <f>O9-W9</f>
        <v/>
      </c>
      <c r="Z9" t="n">
        <v>3</v>
      </c>
      <c r="AC9" s="186">
        <f>IFERROR(O9*M9,0)</f>
        <v/>
      </c>
      <c r="AD9" s="186">
        <f>IFERROR(O9*N9,0)</f>
        <v/>
      </c>
      <c r="AE9" t="inlineStr">
        <is>
          <t>Solo en plataformas</t>
        </is>
      </c>
    </row>
    <row r="10">
      <c r="A10" t="inlineStr">
        <is>
          <t>087327029594</t>
        </is>
      </c>
      <c r="B10" t="inlineStr">
        <is>
          <t>27697</t>
        </is>
      </c>
      <c r="C10" t="inlineStr">
        <is>
          <t>96638</t>
        </is>
      </c>
      <c r="E10" t="inlineStr">
        <is>
          <t>Tru Western</t>
        </is>
      </c>
      <c r="F10" t="inlineStr">
        <is>
          <t>Tester Tru Western - 100mL EDP - Rodeo Soul</t>
        </is>
      </c>
      <c r="G10" t="inlineStr">
        <is>
          <t>100 ml</t>
        </is>
      </c>
      <c r="I10" t="inlineStr">
        <is>
          <t>Accesorios</t>
        </is>
      </c>
      <c r="J10" t="inlineStr">
        <is>
          <t>Fragancias</t>
        </is>
      </c>
      <c r="K10" t="inlineStr">
        <is>
          <t>Unisex</t>
        </is>
      </c>
      <c r="L10" t="inlineStr">
        <is>
          <t>PZS</t>
        </is>
      </c>
      <c r="M10" s="186" t="n">
        <v>45</v>
      </c>
      <c r="N10" s="186" t="n">
        <v>509</v>
      </c>
      <c r="O10" t="n">
        <v>0</v>
      </c>
      <c r="X10">
        <f>O10-W10</f>
        <v/>
      </c>
      <c r="Z10" t="n">
        <v>4</v>
      </c>
      <c r="AC10" s="186">
        <f>IFERROR(O10*M10,0)</f>
        <v/>
      </c>
      <c r="AD10" s="186">
        <f>IFERROR(O10*N10,0)</f>
        <v/>
      </c>
      <c r="AE10" t="inlineStr">
        <is>
          <t>Solo en plataformas</t>
        </is>
      </c>
    </row>
    <row r="11">
      <c r="A11" t="inlineStr">
        <is>
          <t>087327001156</t>
        </is>
      </c>
      <c r="B11" t="inlineStr">
        <is>
          <t>27688</t>
        </is>
      </c>
      <c r="C11" t="inlineStr">
        <is>
          <t>97359</t>
        </is>
      </c>
      <c r="E11" t="inlineStr">
        <is>
          <t>Tru Western</t>
        </is>
      </c>
      <c r="F11" t="inlineStr">
        <is>
          <t>Tester Tru Western - EDC - 100mL - Vaquero</t>
        </is>
      </c>
      <c r="G11" t="inlineStr">
        <is>
          <t>100 ml</t>
        </is>
      </c>
      <c r="I11" t="inlineStr">
        <is>
          <t>Accesorios</t>
        </is>
      </c>
      <c r="J11" t="inlineStr">
        <is>
          <t>Fragancias</t>
        </is>
      </c>
      <c r="K11" t="inlineStr">
        <is>
          <t>Unisex</t>
        </is>
      </c>
      <c r="L11" t="inlineStr">
        <is>
          <t>PZS</t>
        </is>
      </c>
      <c r="M11" s="186" t="n"/>
      <c r="N11" s="186" t="n">
        <v>499</v>
      </c>
      <c r="O11" t="n">
        <v>0</v>
      </c>
      <c r="X11">
        <f>O11-W11</f>
        <v/>
      </c>
      <c r="Z11" t="n">
        <v>1</v>
      </c>
      <c r="AC11" s="186">
        <f>IFERROR(O11*M11,0)</f>
        <v/>
      </c>
      <c r="AD11" s="186">
        <f>IFERROR(O11*N11,0)</f>
        <v/>
      </c>
      <c r="AE11" t="inlineStr">
        <is>
          <t>Solo en plataformas</t>
        </is>
      </c>
    </row>
    <row r="12">
      <c r="A12" t="inlineStr">
        <is>
          <t>087327032617</t>
        </is>
      </c>
      <c r="B12" t="inlineStr">
        <is>
          <t>27695</t>
        </is>
      </c>
      <c r="C12" t="inlineStr">
        <is>
          <t>98082</t>
        </is>
      </c>
      <c r="E12" t="inlineStr">
        <is>
          <t>Tru Western</t>
        </is>
      </c>
      <c r="F12" t="inlineStr">
        <is>
          <t>Tester Tru Western - EDP - 100mL - Rodeo Soul Fearless</t>
        </is>
      </c>
      <c r="G12" t="inlineStr">
        <is>
          <t>100 ml</t>
        </is>
      </c>
      <c r="I12" t="inlineStr">
        <is>
          <t>Accesorios</t>
        </is>
      </c>
      <c r="J12" t="inlineStr">
        <is>
          <t>Fragancias</t>
        </is>
      </c>
      <c r="K12" t="inlineStr">
        <is>
          <t>Unisex</t>
        </is>
      </c>
      <c r="L12" t="inlineStr">
        <is>
          <t>PZS</t>
        </is>
      </c>
      <c r="M12" s="186" t="n">
        <v>45</v>
      </c>
      <c r="N12" s="186" t="n">
        <v>509</v>
      </c>
      <c r="O12" t="n">
        <v>0</v>
      </c>
      <c r="X12">
        <f>O12-W12</f>
        <v/>
      </c>
      <c r="Z12" t="n">
        <v>2</v>
      </c>
      <c r="AC12" s="186">
        <f>IFERROR(O12*M12,0)</f>
        <v/>
      </c>
      <c r="AD12" s="186">
        <f>IFERROR(O12*N12,0)</f>
        <v/>
      </c>
      <c r="AE12" t="inlineStr">
        <is>
          <t>Solo en plataformas</t>
        </is>
      </c>
    </row>
    <row r="13">
      <c r="A13" t="inlineStr">
        <is>
          <t>087327032631</t>
        </is>
      </c>
      <c r="B13" t="inlineStr">
        <is>
          <t>27666</t>
        </is>
      </c>
      <c r="C13" t="inlineStr">
        <is>
          <t>98084</t>
        </is>
      </c>
      <c r="E13" t="inlineStr">
        <is>
          <t>Tru Western</t>
        </is>
      </c>
      <c r="F13" t="inlineStr">
        <is>
          <t>TESTER Tru Western - Leather - EDC - 100mL - No. 1 Private Reserve - Tester</t>
        </is>
      </c>
      <c r="G13" t="inlineStr">
        <is>
          <t>100 ml</t>
        </is>
      </c>
      <c r="I13" t="inlineStr">
        <is>
          <t>Accesorios</t>
        </is>
      </c>
      <c r="J13" t="inlineStr">
        <is>
          <t>Fragancias</t>
        </is>
      </c>
      <c r="K13" t="inlineStr">
        <is>
          <t>Unisex</t>
        </is>
      </c>
      <c r="L13" t="inlineStr">
        <is>
          <t>PZS</t>
        </is>
      </c>
      <c r="M13" s="186" t="n">
        <v>50</v>
      </c>
      <c r="N13" s="186" t="n">
        <v>569</v>
      </c>
      <c r="O13" t="n">
        <v>0</v>
      </c>
      <c r="X13">
        <f>O13-W13</f>
        <v/>
      </c>
      <c r="Z13" t="n">
        <v>1</v>
      </c>
      <c r="AC13" s="186">
        <f>IFERROR(O13*M13,0)</f>
        <v/>
      </c>
      <c r="AD13" s="186">
        <f>IFERROR(O13*N13,0)</f>
        <v/>
      </c>
      <c r="AE13" t="inlineStr">
        <is>
          <t>Solo en plataformas</t>
        </is>
      </c>
    </row>
    <row r="14">
      <c r="A14" t="inlineStr">
        <is>
          <t>087327032655</t>
        </is>
      </c>
      <c r="B14" t="inlineStr">
        <is>
          <t>27668</t>
        </is>
      </c>
      <c r="C14" t="inlineStr">
        <is>
          <t>98086</t>
        </is>
      </c>
      <c r="E14" t="inlineStr">
        <is>
          <t>Tru Western</t>
        </is>
      </c>
      <c r="F14" t="inlineStr">
        <is>
          <t>Tester Tru Western - Leather - EDC - 100mL - No. 2 Small Batch</t>
        </is>
      </c>
      <c r="G14" t="inlineStr">
        <is>
          <t>100 ml</t>
        </is>
      </c>
      <c r="I14" t="inlineStr">
        <is>
          <t>Accesorios</t>
        </is>
      </c>
      <c r="J14" t="inlineStr">
        <is>
          <t>Fragancias</t>
        </is>
      </c>
      <c r="K14" t="inlineStr">
        <is>
          <t>Unisex</t>
        </is>
      </c>
      <c r="L14" t="inlineStr">
        <is>
          <t>PZS</t>
        </is>
      </c>
      <c r="M14" s="186" t="n">
        <v>50</v>
      </c>
      <c r="N14" s="186" t="n">
        <v>569</v>
      </c>
      <c r="O14" t="n">
        <v>0</v>
      </c>
      <c r="X14">
        <f>O14-W14</f>
        <v/>
      </c>
      <c r="Z14" t="n">
        <v>2</v>
      </c>
      <c r="AC14" s="186">
        <f>IFERROR(O14*M14,0)</f>
        <v/>
      </c>
      <c r="AD14" s="186">
        <f>IFERROR(O14*N14,0)</f>
        <v/>
      </c>
      <c r="AE14" t="inlineStr">
        <is>
          <t>Solo en plataformas</t>
        </is>
      </c>
    </row>
    <row r="15">
      <c r="A15" t="inlineStr">
        <is>
          <t>087327032679</t>
        </is>
      </c>
      <c r="B15" t="inlineStr">
        <is>
          <t>27670</t>
        </is>
      </c>
      <c r="C15" t="inlineStr">
        <is>
          <t>98088</t>
        </is>
      </c>
      <c r="E15" t="inlineStr">
        <is>
          <t>Tru Western</t>
        </is>
      </c>
      <c r="F15" t="inlineStr">
        <is>
          <t>Tru Western - Leather - EDC - 100mL - No. 3 Indigo Blend - Tester</t>
        </is>
      </c>
      <c r="G15" t="inlineStr">
        <is>
          <t>100 ml</t>
        </is>
      </c>
      <c r="H15" t="inlineStr">
        <is>
          <t>Azul</t>
        </is>
      </c>
      <c r="I15" t="inlineStr">
        <is>
          <t>Accesorios</t>
        </is>
      </c>
      <c r="J15" t="inlineStr">
        <is>
          <t>Fragancias</t>
        </is>
      </c>
      <c r="K15" t="inlineStr">
        <is>
          <t>Unisex</t>
        </is>
      </c>
      <c r="L15" t="inlineStr">
        <is>
          <t>PZS</t>
        </is>
      </c>
      <c r="M15" s="186" t="n">
        <v>50</v>
      </c>
      <c r="N15" s="186" t="n">
        <v>569</v>
      </c>
      <c r="O15" t="n">
        <v>0</v>
      </c>
      <c r="X15">
        <f>O15-W15</f>
        <v/>
      </c>
      <c r="Z15" t="n">
        <v>1</v>
      </c>
      <c r="AC15" s="186">
        <f>IFERROR(O15*M15,0)</f>
        <v/>
      </c>
      <c r="AD15" s="186">
        <f>IFERROR(O15*N15,0)</f>
        <v/>
      </c>
      <c r="AE15" t="inlineStr">
        <is>
          <t>Solo en plataformas</t>
        </is>
      </c>
    </row>
    <row r="16">
      <c r="A16" t="inlineStr">
        <is>
          <t>087327032693</t>
        </is>
      </c>
      <c r="B16" t="inlineStr">
        <is>
          <t>27672</t>
        </is>
      </c>
      <c r="C16" t="inlineStr">
        <is>
          <t>98090</t>
        </is>
      </c>
      <c r="E16" t="inlineStr">
        <is>
          <t>Tru Western</t>
        </is>
      </c>
      <c r="F16" t="inlineStr">
        <is>
          <t>Tester Leather - EDC - 100mL - No. 4 Deep Leather</t>
        </is>
      </c>
      <c r="G16" t="inlineStr">
        <is>
          <t>100 ml</t>
        </is>
      </c>
      <c r="I16" t="inlineStr">
        <is>
          <t>Accesorios</t>
        </is>
      </c>
      <c r="J16" t="inlineStr">
        <is>
          <t>Fragancias</t>
        </is>
      </c>
      <c r="K16" t="inlineStr">
        <is>
          <t>Unisex</t>
        </is>
      </c>
      <c r="L16" t="inlineStr">
        <is>
          <t>PZS</t>
        </is>
      </c>
      <c r="M16" s="186" t="n">
        <v>50</v>
      </c>
      <c r="N16" s="186" t="n">
        <v>569</v>
      </c>
      <c r="O16" t="n">
        <v>0</v>
      </c>
      <c r="X16">
        <f>O16-W16</f>
        <v/>
      </c>
      <c r="Z16" t="n">
        <v>3</v>
      </c>
      <c r="AC16" s="186">
        <f>IFERROR(O16*M16,0)</f>
        <v/>
      </c>
      <c r="AD16" s="186">
        <f>IFERROR(O16*N16,0)</f>
        <v/>
      </c>
      <c r="AE16" t="inlineStr">
        <is>
          <t>Solo en plataformas</t>
        </is>
      </c>
    </row>
    <row r="17">
      <c r="A17" t="inlineStr">
        <is>
          <t>087327026159</t>
        </is>
      </c>
      <c r="B17" t="inlineStr">
        <is>
          <t>27714</t>
        </is>
      </c>
      <c r="C17" t="inlineStr">
        <is>
          <t>91574</t>
        </is>
      </c>
      <c r="E17" t="inlineStr">
        <is>
          <t>Tru Western</t>
        </is>
      </c>
      <c r="F17" t="inlineStr">
        <is>
          <t>TESTER Tru Western: Women's - EDP 1.7oz - Lace</t>
        </is>
      </c>
      <c r="G17" t="inlineStr">
        <is>
          <t>50 ml</t>
        </is>
      </c>
      <c r="I17" t="inlineStr">
        <is>
          <t>Accesorios</t>
        </is>
      </c>
      <c r="J17" t="inlineStr">
        <is>
          <t>Fragancias</t>
        </is>
      </c>
      <c r="K17" t="inlineStr">
        <is>
          <t>Mujer</t>
        </is>
      </c>
      <c r="L17" t="inlineStr">
        <is>
          <t>PZS</t>
        </is>
      </c>
      <c r="M17" s="186" t="n"/>
      <c r="N17" s="186" t="n">
        <v>519</v>
      </c>
      <c r="O17" t="n">
        <v>0</v>
      </c>
      <c r="X17">
        <f>O17-W17</f>
        <v/>
      </c>
      <c r="Z17" t="n">
        <v>2</v>
      </c>
      <c r="AC17" s="186">
        <f>IFERROR(O17*M17,0)</f>
        <v/>
      </c>
      <c r="AD17" s="186">
        <f>IFERROR(O17*N17,0)</f>
        <v/>
      </c>
      <c r="AE17" t="inlineStr">
        <is>
          <t>Solo en plataformas</t>
        </is>
      </c>
    </row>
    <row r="18">
      <c r="A18" t="inlineStr">
        <is>
          <t>087327027156</t>
        </is>
      </c>
      <c r="B18" t="inlineStr">
        <is>
          <t>27715</t>
        </is>
      </c>
      <c r="C18" t="inlineStr">
        <is>
          <t>92176</t>
        </is>
      </c>
      <c r="E18" t="inlineStr">
        <is>
          <t>Tru Western</t>
        </is>
      </c>
      <c r="F18" t="inlineStr">
        <is>
          <t>TESTER Tru Western: Women's - EDP 1.7oz - Lace Noir</t>
        </is>
      </c>
      <c r="G18" t="inlineStr">
        <is>
          <t>50 ml</t>
        </is>
      </c>
      <c r="I18" t="inlineStr">
        <is>
          <t>Accesorios</t>
        </is>
      </c>
      <c r="J18" t="inlineStr">
        <is>
          <t>Fragancias</t>
        </is>
      </c>
      <c r="K18" t="inlineStr">
        <is>
          <t>Mujer</t>
        </is>
      </c>
      <c r="L18" t="inlineStr">
        <is>
          <t>PZS</t>
        </is>
      </c>
      <c r="M18" s="186" t="n"/>
      <c r="N18" s="186" t="n">
        <v>519</v>
      </c>
      <c r="O18" t="n">
        <v>0</v>
      </c>
      <c r="X18">
        <f>O18-W18</f>
        <v/>
      </c>
      <c r="Z18" t="n">
        <v>2</v>
      </c>
      <c r="AC18" s="186">
        <f>IFERROR(O18*M18,0)</f>
        <v/>
      </c>
      <c r="AD18" s="186">
        <f>IFERROR(O18*N18,0)</f>
        <v/>
      </c>
      <c r="AE18" t="inlineStr">
        <is>
          <t>Solo en plataformas</t>
        </is>
      </c>
    </row>
    <row r="19">
      <c r="A19" t="inlineStr">
        <is>
          <t>087327029532</t>
        </is>
      </c>
      <c r="B19" t="inlineStr">
        <is>
          <t>27703</t>
        </is>
      </c>
      <c r="C19" t="inlineStr">
        <is>
          <t>94752</t>
        </is>
      </c>
      <c r="E19" t="inlineStr">
        <is>
          <t>Tru Western</t>
        </is>
      </c>
      <c r="F19" t="inlineStr">
        <is>
          <t>Tester Tru Western - 50mL EDP - Love &amp; Lyrics</t>
        </is>
      </c>
      <c r="G19" t="inlineStr">
        <is>
          <t>50 ml</t>
        </is>
      </c>
      <c r="I19" t="inlineStr">
        <is>
          <t>Accesorios</t>
        </is>
      </c>
      <c r="J19" t="inlineStr">
        <is>
          <t>Fragancias</t>
        </is>
      </c>
      <c r="K19" t="inlineStr">
        <is>
          <t>Unisex</t>
        </is>
      </c>
      <c r="L19" t="inlineStr">
        <is>
          <t>PZS</t>
        </is>
      </c>
      <c r="M19" s="186" t="n">
        <v>35</v>
      </c>
      <c r="N19" s="186" t="n">
        <v>399</v>
      </c>
      <c r="O19" t="n">
        <v>0</v>
      </c>
      <c r="X19">
        <f>O19-W19</f>
        <v/>
      </c>
      <c r="Z19" t="n">
        <v>2</v>
      </c>
      <c r="AC19" s="186">
        <f>IFERROR(O19*M19,0)</f>
        <v/>
      </c>
      <c r="AD19" s="186">
        <f>IFERROR(O19*N19,0)</f>
        <v/>
      </c>
      <c r="AE19" t="inlineStr">
        <is>
          <t>Solo en plataformas</t>
        </is>
      </c>
    </row>
    <row r="20">
      <c r="A20" t="inlineStr">
        <is>
          <t>087327012473</t>
        </is>
      </c>
      <c r="B20" t="inlineStr">
        <is>
          <t>27705</t>
        </is>
      </c>
      <c r="C20" t="inlineStr">
        <is>
          <t>95177</t>
        </is>
      </c>
      <c r="E20" t="inlineStr">
        <is>
          <t>Tru Western</t>
        </is>
      </c>
      <c r="F20" t="inlineStr">
        <is>
          <t>Tru Western: Women's - EDP 1.7oz - Love &amp; Lyrics Crush - TESTER</t>
        </is>
      </c>
      <c r="G20" t="inlineStr">
        <is>
          <t>50 ml</t>
        </is>
      </c>
      <c r="I20" t="inlineStr">
        <is>
          <t>Accesorios</t>
        </is>
      </c>
      <c r="J20" t="inlineStr">
        <is>
          <t>Fragancias</t>
        </is>
      </c>
      <c r="K20" t="inlineStr">
        <is>
          <t>Mujer</t>
        </is>
      </c>
      <c r="L20" t="inlineStr">
        <is>
          <t>PZS</t>
        </is>
      </c>
      <c r="M20" s="186" t="n">
        <v>35</v>
      </c>
      <c r="N20" s="186" t="n">
        <v>399</v>
      </c>
      <c r="O20" t="n">
        <v>0</v>
      </c>
      <c r="X20">
        <f>O20-W20</f>
        <v/>
      </c>
      <c r="Z20" t="n">
        <v>2</v>
      </c>
      <c r="AC20" s="186">
        <f>IFERROR(O20*M20,0)</f>
        <v/>
      </c>
      <c r="AD20" s="186">
        <f>IFERROR(O20*N20,0)</f>
        <v/>
      </c>
      <c r="AE20" t="inlineStr">
        <is>
          <t>Solo en plataformas</t>
        </is>
      </c>
    </row>
    <row r="21">
      <c r="A21" t="inlineStr">
        <is>
          <t>087327013593</t>
        </is>
      </c>
      <c r="B21" t="inlineStr">
        <is>
          <t>27713</t>
        </is>
      </c>
      <c r="C21" t="inlineStr">
        <is>
          <t>95598</t>
        </is>
      </c>
      <c r="E21" t="inlineStr">
        <is>
          <t>Tru Western</t>
        </is>
      </c>
      <c r="F21" t="inlineStr">
        <is>
          <t>TESTER Tru Western: Yellowstone Women's - EDP 1.7oz</t>
        </is>
      </c>
      <c r="G21" t="inlineStr">
        <is>
          <t>50 ml</t>
        </is>
      </c>
      <c r="I21" t="inlineStr">
        <is>
          <t>Accesorios</t>
        </is>
      </c>
      <c r="J21" t="inlineStr">
        <is>
          <t>Fragancias</t>
        </is>
      </c>
      <c r="K21" t="inlineStr">
        <is>
          <t>Mujer</t>
        </is>
      </c>
      <c r="L21" t="inlineStr">
        <is>
          <t>PZS</t>
        </is>
      </c>
      <c r="M21" s="186" t="n"/>
      <c r="N21" s="186" t="n">
        <v>639</v>
      </c>
      <c r="O21" t="n">
        <v>0</v>
      </c>
      <c r="X21">
        <f>O21-W21</f>
        <v/>
      </c>
      <c r="Z21" t="n">
        <v>2</v>
      </c>
      <c r="AC21" s="186">
        <f>IFERROR(O21*M21,0)</f>
        <v/>
      </c>
      <c r="AD21" s="186">
        <f>IFERROR(O21*N21,0)</f>
        <v/>
      </c>
      <c r="AE21" t="inlineStr">
        <is>
          <t>Solo en plataformas</t>
        </is>
      </c>
    </row>
    <row r="22">
      <c r="A22" t="inlineStr">
        <is>
          <t>087327030859</t>
        </is>
      </c>
      <c r="B22" t="inlineStr">
        <is>
          <t>27712</t>
        </is>
      </c>
      <c r="C22" t="inlineStr">
        <is>
          <t>97086</t>
        </is>
      </c>
      <c r="E22" t="inlineStr">
        <is>
          <t>Tru Western</t>
        </is>
      </c>
      <c r="F22" t="inlineStr">
        <is>
          <t>Tester Tru Western - Yellowstone - EDP - 50mL - Dusk</t>
        </is>
      </c>
      <c r="G22" t="inlineStr">
        <is>
          <t>50 ml</t>
        </is>
      </c>
      <c r="I22" t="inlineStr">
        <is>
          <t>Accesorios</t>
        </is>
      </c>
      <c r="J22" t="inlineStr">
        <is>
          <t>Fragancias</t>
        </is>
      </c>
      <c r="K22" t="inlineStr">
        <is>
          <t>Unisex</t>
        </is>
      </c>
      <c r="L22" t="inlineStr">
        <is>
          <t>PZS</t>
        </is>
      </c>
      <c r="M22" s="186" t="n"/>
      <c r="N22" s="186" t="n">
        <v>639</v>
      </c>
      <c r="O22" t="n">
        <v>0</v>
      </c>
      <c r="X22">
        <f>O22-W22</f>
        <v/>
      </c>
      <c r="Z22" t="n">
        <v>1</v>
      </c>
      <c r="AC22" s="186">
        <f>IFERROR(O22*M22,0)</f>
        <v/>
      </c>
      <c r="AD22" s="186">
        <f>IFERROR(O22*N22,0)</f>
        <v/>
      </c>
      <c r="AE22" t="inlineStr">
        <is>
          <t>Solo en plataformas</t>
        </is>
      </c>
    </row>
    <row r="23">
      <c r="A23" t="inlineStr">
        <is>
          <t>087327031221</t>
        </is>
      </c>
      <c r="B23" t="inlineStr">
        <is>
          <t>27699</t>
        </is>
      </c>
      <c r="C23" t="inlineStr">
        <is>
          <t>97266</t>
        </is>
      </c>
      <c r="E23" t="inlineStr">
        <is>
          <t>Tru Western</t>
        </is>
      </c>
      <c r="F23" t="inlineStr">
        <is>
          <t>Tester Tru Western - EDP - 80mL - Amber Waves</t>
        </is>
      </c>
      <c r="G23" t="inlineStr">
        <is>
          <t>80 ml</t>
        </is>
      </c>
      <c r="I23" t="inlineStr">
        <is>
          <t>Accesorios</t>
        </is>
      </c>
      <c r="J23" t="inlineStr">
        <is>
          <t>Fragancias</t>
        </is>
      </c>
      <c r="K23" t="inlineStr">
        <is>
          <t>Unisex</t>
        </is>
      </c>
      <c r="L23" t="inlineStr">
        <is>
          <t>PZS</t>
        </is>
      </c>
      <c r="M23" s="186" t="n">
        <v>55</v>
      </c>
      <c r="N23" s="186" t="n">
        <v>619</v>
      </c>
      <c r="O23" t="n">
        <v>0</v>
      </c>
      <c r="X23">
        <f>O23-W23</f>
        <v/>
      </c>
      <c r="Z23" t="n">
        <v>5</v>
      </c>
      <c r="AC23" s="186">
        <f>IFERROR(O23*M23,0)</f>
        <v/>
      </c>
      <c r="AD23" s="186">
        <f>IFERROR(O23*N23,0)</f>
        <v/>
      </c>
      <c r="AE23" t="inlineStr">
        <is>
          <t>Solo en plataformas</t>
        </is>
      </c>
    </row>
    <row r="24">
      <c r="B24" t="inlineStr">
        <is>
          <t>29970</t>
        </is>
      </c>
      <c r="C24" t="inlineStr">
        <is>
          <t>97702</t>
        </is>
      </c>
      <c r="E24" t="inlineStr">
        <is>
          <t>Tru Western</t>
        </is>
      </c>
      <c r="F24" t="inlineStr">
        <is>
          <t>TESTER Tru Western: Women's - EDP 2.7 oz/79.84 - Amber Waves</t>
        </is>
      </c>
      <c r="G24" t="inlineStr">
        <is>
          <t>80 ml</t>
        </is>
      </c>
      <c r="I24" t="inlineStr">
        <is>
          <t>Accesorios</t>
        </is>
      </c>
      <c r="J24" t="inlineStr">
        <is>
          <t>Fragancias</t>
        </is>
      </c>
      <c r="K24" t="inlineStr">
        <is>
          <t>Mujer</t>
        </is>
      </c>
      <c r="L24" t="inlineStr">
        <is>
          <t>PZS</t>
        </is>
      </c>
      <c r="M24" s="186" t="n"/>
      <c r="N24" s="186" t="n">
        <v>1</v>
      </c>
      <c r="O24" t="n">
        <v>0</v>
      </c>
      <c r="X24">
        <f>O24-W24</f>
        <v/>
      </c>
      <c r="Z24" t="n">
        <v>6</v>
      </c>
      <c r="AC24" s="186">
        <f>IFERROR(O24*M24,0)</f>
        <v/>
      </c>
      <c r="AD24" s="186">
        <f>IFERROR(O24*N24,0)</f>
        <v/>
      </c>
      <c r="AE24" t="inlineStr">
        <is>
          <t>Solo en plataformas</t>
        </is>
      </c>
    </row>
    <row r="25">
      <c r="A25" t="inlineStr">
        <is>
          <t>087327002917</t>
        </is>
      </c>
      <c r="B25" t="inlineStr">
        <is>
          <t>111718</t>
        </is>
      </c>
      <c r="C25" t="inlineStr">
        <is>
          <t>90092-3.4oz/100mL</t>
        </is>
      </c>
      <c r="D25" t="inlineStr">
        <is>
          <t>90092</t>
        </is>
      </c>
      <c r="E25" t="inlineStr">
        <is>
          <t>Tru Western</t>
        </is>
      </c>
      <c r="F25" t="inlineStr">
        <is>
          <t>Perfume Cowboy</t>
        </is>
      </c>
      <c r="G25" t="inlineStr">
        <is>
          <t>100 ml</t>
        </is>
      </c>
      <c r="I25" t="inlineStr">
        <is>
          <t>Accesorios</t>
        </is>
      </c>
      <c r="J25" t="inlineStr">
        <is>
          <t>Fragancias</t>
        </is>
      </c>
      <c r="K25" t="inlineStr">
        <is>
          <t>Unisex</t>
        </is>
      </c>
      <c r="L25" t="inlineStr">
        <is>
          <t>PZS</t>
        </is>
      </c>
      <c r="M25" s="186" t="n">
        <v>266.875</v>
      </c>
      <c r="N25" s="186" t="n">
        <v>904.3103448000001</v>
      </c>
      <c r="O25" t="n">
        <v>4</v>
      </c>
      <c r="P25" t="n">
        <v>4</v>
      </c>
      <c r="W25" t="n">
        <v>4</v>
      </c>
      <c r="X25">
        <f>O25-W25</f>
        <v/>
      </c>
      <c r="Y25" t="n">
        <v>4</v>
      </c>
      <c r="Z25" t="n">
        <v>12</v>
      </c>
      <c r="AC25" s="186">
        <f>IFERROR(O25*M25,0)</f>
        <v/>
      </c>
      <c r="AD25" s="186">
        <f>IFERROR(O25*N25,0)</f>
        <v/>
      </c>
      <c r="AE25" t="inlineStr">
        <is>
          <t>Con existencia</t>
        </is>
      </c>
      <c r="AF25" t="n">
        <v>4</v>
      </c>
    </row>
    <row r="26">
      <c r="A26" t="inlineStr">
        <is>
          <t>087327031269</t>
        </is>
      </c>
      <c r="B26" t="inlineStr">
        <is>
          <t>111726</t>
        </is>
      </c>
      <c r="C26" t="inlineStr">
        <is>
          <t>90543-3.4oz/100mL</t>
        </is>
      </c>
      <c r="D26" t="inlineStr">
        <is>
          <t>90543</t>
        </is>
      </c>
      <c r="E26" t="inlineStr">
        <is>
          <t>Tru Western</t>
        </is>
      </c>
      <c r="F26" t="inlineStr">
        <is>
          <t>Perfume Vaquero</t>
        </is>
      </c>
      <c r="G26" t="inlineStr">
        <is>
          <t>100 ml</t>
        </is>
      </c>
      <c r="I26" t="inlineStr">
        <is>
          <t>Accesorios</t>
        </is>
      </c>
      <c r="J26" t="inlineStr">
        <is>
          <t>Fragancias</t>
        </is>
      </c>
      <c r="K26" t="inlineStr">
        <is>
          <t>Unisex</t>
        </is>
      </c>
      <c r="L26" t="inlineStr">
        <is>
          <t>PZS</t>
        </is>
      </c>
      <c r="M26" s="186" t="n">
        <v>266.875</v>
      </c>
      <c r="N26" s="186" t="n">
        <v>904.3103448000001</v>
      </c>
      <c r="O26" t="n">
        <v>4</v>
      </c>
      <c r="P26" t="n">
        <v>4</v>
      </c>
      <c r="W26" t="n">
        <v>4</v>
      </c>
      <c r="X26">
        <f>O26-W26</f>
        <v/>
      </c>
      <c r="Y26" t="n">
        <v>4</v>
      </c>
      <c r="Z26" t="n">
        <v>38</v>
      </c>
      <c r="AC26" s="186">
        <f>IFERROR(O26*M26,0)</f>
        <v/>
      </c>
      <c r="AD26" s="186">
        <f>IFERROR(O26*N26,0)</f>
        <v/>
      </c>
      <c r="AE26" t="inlineStr">
        <is>
          <t>Con existencia</t>
        </is>
      </c>
      <c r="AF26" t="n">
        <v>4</v>
      </c>
    </row>
    <row r="27">
      <c r="A27" t="inlineStr">
        <is>
          <t>087327002627</t>
        </is>
      </c>
      <c r="B27" t="inlineStr">
        <is>
          <t>111728</t>
        </is>
      </c>
      <c r="C27" t="inlineStr">
        <is>
          <t>91571-1.7oz/50mL</t>
        </is>
      </c>
      <c r="D27" t="inlineStr">
        <is>
          <t>91571</t>
        </is>
      </c>
      <c r="E27" t="inlineStr">
        <is>
          <t>Tru Western</t>
        </is>
      </c>
      <c r="F27" t="inlineStr">
        <is>
          <t>Perfume Lace</t>
        </is>
      </c>
      <c r="G27" t="inlineStr">
        <is>
          <t>50 ml</t>
        </is>
      </c>
      <c r="I27" t="inlineStr">
        <is>
          <t>Accesorios</t>
        </is>
      </c>
      <c r="J27" t="inlineStr">
        <is>
          <t>Fragancias</t>
        </is>
      </c>
      <c r="K27" t="inlineStr">
        <is>
          <t>Unisex</t>
        </is>
      </c>
      <c r="L27" t="inlineStr">
        <is>
          <t>PZS</t>
        </is>
      </c>
      <c r="M27" s="186" t="n">
        <v>271.6</v>
      </c>
      <c r="N27" s="186" t="n">
        <v>947.4137931</v>
      </c>
      <c r="O27" t="n">
        <v>0</v>
      </c>
      <c r="X27">
        <f>O27-W27</f>
        <v/>
      </c>
      <c r="Z27" t="n">
        <v>17</v>
      </c>
      <c r="AC27" s="186">
        <f>IFERROR(O27*M27,0)</f>
        <v/>
      </c>
      <c r="AD27" s="186">
        <f>IFERROR(O27*N27,0)</f>
        <v/>
      </c>
      <c r="AE27" t="inlineStr">
        <is>
          <t>Solo en plataformas</t>
        </is>
      </c>
    </row>
    <row r="28">
      <c r="A28" t="inlineStr">
        <is>
          <t>087327003044</t>
        </is>
      </c>
      <c r="B28" t="inlineStr">
        <is>
          <t>111727</t>
        </is>
      </c>
      <c r="C28" t="inlineStr">
        <is>
          <t>91717-3.4oz/100mL</t>
        </is>
      </c>
      <c r="D28" t="inlineStr">
        <is>
          <t>91717</t>
        </is>
      </c>
      <c r="E28" t="inlineStr">
        <is>
          <t>Tru Western</t>
        </is>
      </c>
      <c r="F28" t="inlineStr">
        <is>
          <t>Perfume Outlaw</t>
        </is>
      </c>
      <c r="G28" t="inlineStr">
        <is>
          <t>100 ml</t>
        </is>
      </c>
      <c r="I28" t="inlineStr">
        <is>
          <t>Accesorios</t>
        </is>
      </c>
      <c r="J28" t="inlineStr">
        <is>
          <t>Fragancias</t>
        </is>
      </c>
      <c r="K28" t="inlineStr">
        <is>
          <t>Unisex</t>
        </is>
      </c>
      <c r="L28" t="inlineStr">
        <is>
          <t>PZS</t>
        </is>
      </c>
      <c r="M28" s="186" t="n">
        <v>266.875</v>
      </c>
      <c r="N28" s="186" t="n">
        <v>904.3103448000001</v>
      </c>
      <c r="O28" t="n">
        <v>0</v>
      </c>
      <c r="X28">
        <f>O28-W28</f>
        <v/>
      </c>
      <c r="Z28" t="n">
        <v>12</v>
      </c>
      <c r="AC28" s="186">
        <f>IFERROR(O28*M28,0)</f>
        <v/>
      </c>
      <c r="AD28" s="186">
        <f>IFERROR(O28*N28,0)</f>
        <v/>
      </c>
      <c r="AE28" t="inlineStr">
        <is>
          <t>Solo en plataformas</t>
        </is>
      </c>
    </row>
    <row r="29">
      <c r="A29" t="inlineStr">
        <is>
          <t>087327003525</t>
        </is>
      </c>
      <c r="B29" t="inlineStr">
        <is>
          <t>111729</t>
        </is>
      </c>
      <c r="C29" t="inlineStr">
        <is>
          <t>92080-1.7oz/50mL</t>
        </is>
      </c>
      <c r="D29" t="inlineStr">
        <is>
          <t>92080</t>
        </is>
      </c>
      <c r="E29" t="inlineStr">
        <is>
          <t>Tru Western</t>
        </is>
      </c>
      <c r="F29" t="inlineStr">
        <is>
          <t>Perfume Lace Noir</t>
        </is>
      </c>
      <c r="G29" t="inlineStr">
        <is>
          <t>50 ml</t>
        </is>
      </c>
      <c r="I29" t="inlineStr">
        <is>
          <t>Accesorios</t>
        </is>
      </c>
      <c r="J29" t="inlineStr">
        <is>
          <t>Fragancias</t>
        </is>
      </c>
      <c r="K29" t="inlineStr">
        <is>
          <t>Unisex</t>
        </is>
      </c>
      <c r="L29" t="inlineStr">
        <is>
          <t>PZS</t>
        </is>
      </c>
      <c r="M29" s="186" t="n">
        <v>271.6</v>
      </c>
      <c r="N29" s="186" t="n">
        <v>947.4137931</v>
      </c>
      <c r="O29" t="n">
        <v>0</v>
      </c>
      <c r="X29">
        <f>O29-W29</f>
        <v/>
      </c>
      <c r="Z29" t="n">
        <v>18</v>
      </c>
      <c r="AC29" s="186">
        <f>IFERROR(O29*M29,0)</f>
        <v/>
      </c>
      <c r="AD29" s="186">
        <f>IFERROR(O29*N29,0)</f>
        <v/>
      </c>
      <c r="AE29" t="inlineStr">
        <is>
          <t>Solo en plataformas</t>
        </is>
      </c>
    </row>
    <row r="30">
      <c r="A30" t="inlineStr">
        <is>
          <t>087327003624</t>
        </is>
      </c>
      <c r="B30" t="inlineStr">
        <is>
          <t>111723</t>
        </is>
      </c>
      <c r="C30" t="inlineStr">
        <is>
          <t>92235-3.4oz/100mL</t>
        </is>
      </c>
      <c r="D30" t="inlineStr">
        <is>
          <t>92235</t>
        </is>
      </c>
      <c r="E30" t="inlineStr">
        <is>
          <t>Tru Western</t>
        </is>
      </c>
      <c r="F30" t="inlineStr">
        <is>
          <t>Perfume PBR Black &amp; Blue</t>
        </is>
      </c>
      <c r="G30" t="inlineStr">
        <is>
          <t>100 ml</t>
        </is>
      </c>
      <c r="H30" t="inlineStr">
        <is>
          <t>Negro</t>
        </is>
      </c>
      <c r="I30" t="inlineStr">
        <is>
          <t>Accesorios</t>
        </is>
      </c>
      <c r="J30" t="inlineStr">
        <is>
          <t>Fragancias</t>
        </is>
      </c>
      <c r="K30" t="inlineStr">
        <is>
          <t>Unisex</t>
        </is>
      </c>
      <c r="L30" t="inlineStr">
        <is>
          <t>PZS</t>
        </is>
      </c>
      <c r="M30" s="186" t="n">
        <v>301.7</v>
      </c>
      <c r="N30" s="186" t="n">
        <v>1033.62069</v>
      </c>
      <c r="O30" t="n">
        <v>0</v>
      </c>
      <c r="X30">
        <f>O30-W30</f>
        <v/>
      </c>
      <c r="Z30" t="n">
        <v>12</v>
      </c>
      <c r="AC30" s="186">
        <f>IFERROR(O30*M30,0)</f>
        <v/>
      </c>
      <c r="AD30" s="186">
        <f>IFERROR(O30*N30,0)</f>
        <v/>
      </c>
      <c r="AE30" t="inlineStr">
        <is>
          <t>Solo en plataformas</t>
        </is>
      </c>
    </row>
    <row r="31">
      <c r="A31" t="inlineStr">
        <is>
          <t>087327003716</t>
        </is>
      </c>
      <c r="B31" t="inlineStr">
        <is>
          <t>111732</t>
        </is>
      </c>
      <c r="C31" t="inlineStr">
        <is>
          <t>92701-3.4oz/100mL</t>
        </is>
      </c>
      <c r="D31" t="inlineStr">
        <is>
          <t>92701</t>
        </is>
      </c>
      <c r="E31" t="inlineStr">
        <is>
          <t>Tru Western</t>
        </is>
      </c>
      <c r="F31" t="inlineStr">
        <is>
          <t>Perfume Wild &amp; Free Amber Sundance</t>
        </is>
      </c>
      <c r="G31" t="inlineStr">
        <is>
          <t>100 ml</t>
        </is>
      </c>
      <c r="I31" t="inlineStr">
        <is>
          <t>Accesorios</t>
        </is>
      </c>
      <c r="J31" t="inlineStr">
        <is>
          <t>Fragancias</t>
        </is>
      </c>
      <c r="K31" t="inlineStr">
        <is>
          <t>Unisex</t>
        </is>
      </c>
      <c r="L31" t="inlineStr">
        <is>
          <t>PZS</t>
        </is>
      </c>
      <c r="M31" s="186" t="n">
        <v>211.225</v>
      </c>
      <c r="N31" s="186" t="n">
        <v>731.8965517</v>
      </c>
      <c r="O31" t="n">
        <v>0</v>
      </c>
      <c r="X31">
        <f>O31-W31</f>
        <v/>
      </c>
      <c r="Z31" t="n">
        <v>14</v>
      </c>
      <c r="AC31" s="186">
        <f>IFERROR(O31*M31,0)</f>
        <v/>
      </c>
      <c r="AD31" s="186">
        <f>IFERROR(O31*N31,0)</f>
        <v/>
      </c>
      <c r="AE31" t="inlineStr">
        <is>
          <t>Solo en plataformas</t>
        </is>
      </c>
    </row>
    <row r="32">
      <c r="A32" t="inlineStr">
        <is>
          <t>087327004386</t>
        </is>
      </c>
      <c r="B32" t="inlineStr">
        <is>
          <t>111722</t>
        </is>
      </c>
      <c r="C32" t="inlineStr">
        <is>
          <t>92997-3.4oz/100mL</t>
        </is>
      </c>
      <c r="D32" t="inlineStr">
        <is>
          <t>92997</t>
        </is>
      </c>
      <c r="E32" t="inlineStr">
        <is>
          <t>Tru Western</t>
        </is>
      </c>
      <c r="F32" t="inlineStr">
        <is>
          <t>Perfume PBR Black &amp; Blue Flame</t>
        </is>
      </c>
      <c r="G32" t="inlineStr">
        <is>
          <t>100 ml</t>
        </is>
      </c>
      <c r="H32" t="inlineStr">
        <is>
          <t>Negro</t>
        </is>
      </c>
      <c r="I32" t="inlineStr">
        <is>
          <t>Accesorios</t>
        </is>
      </c>
      <c r="J32" t="inlineStr">
        <is>
          <t>Fragancias</t>
        </is>
      </c>
      <c r="K32" t="inlineStr">
        <is>
          <t>Unisex</t>
        </is>
      </c>
      <c r="L32" t="inlineStr">
        <is>
          <t>PZS</t>
        </is>
      </c>
      <c r="M32" s="186" t="n">
        <v>301.7</v>
      </c>
      <c r="N32" s="186" t="n">
        <v>1033.62069</v>
      </c>
      <c r="O32" t="n">
        <v>0</v>
      </c>
      <c r="X32">
        <f>O32-W32</f>
        <v/>
      </c>
      <c r="Z32" t="n">
        <v>12</v>
      </c>
      <c r="AC32" s="186">
        <f>IFERROR(O32*M32,0)</f>
        <v/>
      </c>
      <c r="AD32" s="186">
        <f>IFERROR(O32*N32,0)</f>
        <v/>
      </c>
      <c r="AE32" t="inlineStr">
        <is>
          <t>Solo en plataformas</t>
        </is>
      </c>
    </row>
    <row r="33">
      <c r="A33" t="inlineStr">
        <is>
          <t>087327010219</t>
        </is>
      </c>
      <c r="B33" t="inlineStr">
        <is>
          <t>111730</t>
        </is>
      </c>
      <c r="C33" t="inlineStr">
        <is>
          <t>94434-1.7oz/50mL</t>
        </is>
      </c>
      <c r="D33" t="inlineStr">
        <is>
          <t>94434</t>
        </is>
      </c>
      <c r="E33" t="inlineStr">
        <is>
          <t>Tru Western</t>
        </is>
      </c>
      <c r="F33" t="inlineStr">
        <is>
          <t>Perfume Love &amp; Lyrics</t>
        </is>
      </c>
      <c r="G33" t="inlineStr">
        <is>
          <t>50 ml</t>
        </is>
      </c>
      <c r="I33" t="inlineStr">
        <is>
          <t>Accesorios</t>
        </is>
      </c>
      <c r="J33" t="inlineStr">
        <is>
          <t>Fragancias</t>
        </is>
      </c>
      <c r="K33" t="inlineStr">
        <is>
          <t>Unisex</t>
        </is>
      </c>
      <c r="L33" t="inlineStr">
        <is>
          <t>PZS</t>
        </is>
      </c>
      <c r="M33" s="186" t="n">
        <v>211.225</v>
      </c>
      <c r="N33" s="186" t="n">
        <v>731.8965517</v>
      </c>
      <c r="O33" t="n">
        <v>0</v>
      </c>
      <c r="X33">
        <f>O33-W33</f>
        <v/>
      </c>
      <c r="Z33" t="n">
        <v>14</v>
      </c>
      <c r="AC33" s="186">
        <f>IFERROR(O33*M33,0)</f>
        <v/>
      </c>
      <c r="AD33" s="186">
        <f>IFERROR(O33*N33,0)</f>
        <v/>
      </c>
      <c r="AE33" t="inlineStr">
        <is>
          <t>Solo en plataformas</t>
        </is>
      </c>
    </row>
    <row r="34">
      <c r="A34" t="inlineStr">
        <is>
          <t>087327012466</t>
        </is>
      </c>
      <c r="B34" t="inlineStr">
        <is>
          <t>111731</t>
        </is>
      </c>
      <c r="C34" t="inlineStr">
        <is>
          <t>95176-1.7oz/50mL</t>
        </is>
      </c>
      <c r="D34" t="inlineStr">
        <is>
          <t>95176</t>
        </is>
      </c>
      <c r="E34" t="inlineStr">
        <is>
          <t>Tru Western</t>
        </is>
      </c>
      <c r="F34" t="inlineStr">
        <is>
          <t>Perfume Love &amp; Lyrics Crush</t>
        </is>
      </c>
      <c r="G34" t="inlineStr">
        <is>
          <t>50 ml</t>
        </is>
      </c>
      <c r="I34" t="inlineStr">
        <is>
          <t>Accesorios</t>
        </is>
      </c>
      <c r="J34" t="inlineStr">
        <is>
          <t>Fragancias</t>
        </is>
      </c>
      <c r="K34" t="inlineStr">
        <is>
          <t>Unisex</t>
        </is>
      </c>
      <c r="L34" t="inlineStr">
        <is>
          <t>PZS</t>
        </is>
      </c>
      <c r="M34" s="186" t="n">
        <v>211.225</v>
      </c>
      <c r="N34" s="186" t="n">
        <v>731.8965517</v>
      </c>
      <c r="O34" t="n">
        <v>0</v>
      </c>
      <c r="X34">
        <f>O34-W34</f>
        <v/>
      </c>
      <c r="Z34" t="n">
        <v>15</v>
      </c>
      <c r="AC34" s="186">
        <f>IFERROR(O34*M34,0)</f>
        <v/>
      </c>
      <c r="AD34" s="186">
        <f>IFERROR(O34*N34,0)</f>
        <v/>
      </c>
      <c r="AE34" t="inlineStr">
        <is>
          <t>Solo en plataformas</t>
        </is>
      </c>
    </row>
    <row r="35">
      <c r="A35" t="inlineStr">
        <is>
          <t>087327012480</t>
        </is>
      </c>
      <c r="B35" t="inlineStr">
        <is>
          <t>111721</t>
        </is>
      </c>
      <c r="C35" t="inlineStr">
        <is>
          <t>95194-3.4oz/100mL</t>
        </is>
      </c>
      <c r="D35" t="inlineStr">
        <is>
          <t>95194</t>
        </is>
      </c>
      <c r="E35" t="inlineStr">
        <is>
          <t>Tru Western</t>
        </is>
      </c>
      <c r="F35" t="inlineStr">
        <is>
          <t>Perfume Cowboy Gunslinger</t>
        </is>
      </c>
      <c r="G35" t="inlineStr">
        <is>
          <t>100 ml</t>
        </is>
      </c>
      <c r="I35" t="inlineStr">
        <is>
          <t>Accesorios</t>
        </is>
      </c>
      <c r="J35" t="inlineStr">
        <is>
          <t>Fragancias</t>
        </is>
      </c>
      <c r="K35" t="inlineStr">
        <is>
          <t>Unisex</t>
        </is>
      </c>
      <c r="L35" t="inlineStr">
        <is>
          <t>PZS</t>
        </is>
      </c>
      <c r="M35" s="186" t="n">
        <v>266.875</v>
      </c>
      <c r="N35" s="186" t="n">
        <v>904.3103448000001</v>
      </c>
      <c r="O35" t="n">
        <v>4</v>
      </c>
      <c r="P35" t="n">
        <v>4</v>
      </c>
      <c r="W35" t="n">
        <v>4</v>
      </c>
      <c r="X35">
        <f>O35-W35</f>
        <v/>
      </c>
      <c r="Y35" t="n">
        <v>4</v>
      </c>
      <c r="Z35" t="n">
        <v>12</v>
      </c>
      <c r="AC35" s="186">
        <f>IFERROR(O35*M35,0)</f>
        <v/>
      </c>
      <c r="AD35" s="186">
        <f>IFERROR(O35*N35,0)</f>
        <v/>
      </c>
      <c r="AE35" t="inlineStr">
        <is>
          <t>Con existencia</t>
        </is>
      </c>
      <c r="AF35" t="n">
        <v>4</v>
      </c>
    </row>
    <row r="36">
      <c r="A36" t="inlineStr">
        <is>
          <t>087327012954</t>
        </is>
      </c>
      <c r="B36" t="inlineStr">
        <is>
          <t>111707</t>
        </is>
      </c>
      <c r="C36" t="inlineStr">
        <is>
          <t>95302-3.4oz/100mL</t>
        </is>
      </c>
      <c r="D36" t="inlineStr">
        <is>
          <t>95302</t>
        </is>
      </c>
      <c r="E36" t="inlineStr">
        <is>
          <t>Tru Western</t>
        </is>
      </c>
      <c r="F36" t="inlineStr">
        <is>
          <t>Perfume Yellowstone Eau de Cologne</t>
        </is>
      </c>
      <c r="G36" t="inlineStr">
        <is>
          <t>100 ml</t>
        </is>
      </c>
      <c r="I36" t="inlineStr">
        <is>
          <t>Accesorios</t>
        </is>
      </c>
      <c r="J36" t="inlineStr">
        <is>
          <t>Fragancias</t>
        </is>
      </c>
      <c r="K36" t="inlineStr">
        <is>
          <t>Unisex</t>
        </is>
      </c>
      <c r="L36" t="inlineStr">
        <is>
          <t>PZS</t>
        </is>
      </c>
      <c r="M36" s="186" t="n">
        <v>362.075</v>
      </c>
      <c r="N36" s="186" t="n">
        <v>1249.137931</v>
      </c>
      <c r="O36" t="n">
        <v>0</v>
      </c>
      <c r="X36">
        <f>O36-W36</f>
        <v/>
      </c>
      <c r="Z36" t="n">
        <v>12</v>
      </c>
      <c r="AC36" s="186">
        <f>IFERROR(O36*M36,0)</f>
        <v/>
      </c>
      <c r="AD36" s="186">
        <f>IFERROR(O36*N36,0)</f>
        <v/>
      </c>
      <c r="AE36" t="inlineStr">
        <is>
          <t>Solo en plataformas</t>
        </is>
      </c>
    </row>
    <row r="37">
      <c r="A37" t="inlineStr">
        <is>
          <t>087327012961</t>
        </is>
      </c>
      <c r="B37" t="inlineStr">
        <is>
          <t>111713</t>
        </is>
      </c>
      <c r="C37" t="inlineStr">
        <is>
          <t>95513-1.7oz/50mL</t>
        </is>
      </c>
      <c r="D37" t="inlineStr">
        <is>
          <t>95513</t>
        </is>
      </c>
      <c r="E37" t="inlineStr">
        <is>
          <t>Tru Western</t>
        </is>
      </c>
      <c r="F37" t="inlineStr">
        <is>
          <t>Perfume Yellowstone Original Eau de Parfum</t>
        </is>
      </c>
      <c r="G37" t="inlineStr">
        <is>
          <t>50 ml</t>
        </is>
      </c>
      <c r="I37" t="inlineStr">
        <is>
          <t>Accesorios</t>
        </is>
      </c>
      <c r="J37" t="inlineStr">
        <is>
          <t>Fragancias</t>
        </is>
      </c>
      <c r="K37" t="inlineStr">
        <is>
          <t>Unisex</t>
        </is>
      </c>
      <c r="L37" t="inlineStr">
        <is>
          <t>PZS</t>
        </is>
      </c>
      <c r="M37" s="186" t="n">
        <v>331.8</v>
      </c>
      <c r="N37" s="186" t="n">
        <v>1119.827586</v>
      </c>
      <c r="O37" t="n">
        <v>5</v>
      </c>
      <c r="P37" t="n">
        <v>5</v>
      </c>
      <c r="W37" t="n">
        <v>5</v>
      </c>
      <c r="X37">
        <f>O37-W37</f>
        <v/>
      </c>
      <c r="Y37" t="n">
        <v>5</v>
      </c>
      <c r="Z37" t="n">
        <v>26</v>
      </c>
      <c r="AC37" s="186">
        <f>IFERROR(O37*M37,0)</f>
        <v/>
      </c>
      <c r="AD37" s="186">
        <f>IFERROR(O37*N37,0)</f>
        <v/>
      </c>
      <c r="AE37" t="inlineStr">
        <is>
          <t>Con existencia</t>
        </is>
      </c>
      <c r="AF37" t="n">
        <v>5</v>
      </c>
    </row>
    <row r="38">
      <c r="A38" t="inlineStr">
        <is>
          <t>087327014439</t>
        </is>
      </c>
      <c r="B38" t="inlineStr">
        <is>
          <t>111706</t>
        </is>
      </c>
      <c r="C38" t="inlineStr">
        <is>
          <t>96202-3.4oz/100mL</t>
        </is>
      </c>
      <c r="D38" t="inlineStr">
        <is>
          <t>96202</t>
        </is>
      </c>
      <c r="E38" t="inlineStr">
        <is>
          <t>Tru Western</t>
        </is>
      </c>
      <c r="F38" t="inlineStr">
        <is>
          <t>Perfume Yellowstone Ride Eau de Cologne</t>
        </is>
      </c>
      <c r="G38" t="inlineStr">
        <is>
          <t>100 ml</t>
        </is>
      </c>
      <c r="I38" t="inlineStr">
        <is>
          <t>Accesorios</t>
        </is>
      </c>
      <c r="J38" t="inlineStr">
        <is>
          <t>Fragancias</t>
        </is>
      </c>
      <c r="K38" t="inlineStr">
        <is>
          <t>Unisex</t>
        </is>
      </c>
      <c r="L38" t="inlineStr">
        <is>
          <t>PZS</t>
        </is>
      </c>
      <c r="M38" s="186" t="n">
        <v>362.075</v>
      </c>
      <c r="N38" s="186" t="n">
        <v>1249.137931</v>
      </c>
      <c r="O38" t="n">
        <v>0</v>
      </c>
      <c r="X38">
        <f>O38-W38</f>
        <v/>
      </c>
      <c r="Z38" t="n">
        <v>12</v>
      </c>
      <c r="AC38" s="186">
        <f>IFERROR(O38*M38,0)</f>
        <v/>
      </c>
      <c r="AD38" s="186">
        <f>IFERROR(O38*N38,0)</f>
        <v/>
      </c>
      <c r="AE38" t="inlineStr">
        <is>
          <t>Solo en plataformas</t>
        </is>
      </c>
    </row>
    <row r="39">
      <c r="A39" t="inlineStr">
        <is>
          <t>087327014446</t>
        </is>
      </c>
      <c r="B39" t="inlineStr">
        <is>
          <t>111711</t>
        </is>
      </c>
      <c r="C39" t="inlineStr">
        <is>
          <t>96203-1.7oz/50mL</t>
        </is>
      </c>
      <c r="D39" t="inlineStr">
        <is>
          <t>96203</t>
        </is>
      </c>
      <c r="E39" t="inlineStr">
        <is>
          <t>Tru Western</t>
        </is>
      </c>
      <c r="F39" t="inlineStr">
        <is>
          <t>Perfume Yellowstone Tornado Eau de Parfum</t>
        </is>
      </c>
      <c r="G39" t="inlineStr">
        <is>
          <t>50 ml</t>
        </is>
      </c>
      <c r="I39" t="inlineStr">
        <is>
          <t>Accesorios</t>
        </is>
      </c>
      <c r="J39" t="inlineStr">
        <is>
          <t>Fragancias</t>
        </is>
      </c>
      <c r="K39" t="inlineStr">
        <is>
          <t>Unisex</t>
        </is>
      </c>
      <c r="L39" t="inlineStr">
        <is>
          <t>PZS</t>
        </is>
      </c>
      <c r="M39" s="186" t="n">
        <v>331.8</v>
      </c>
      <c r="N39" s="186" t="n">
        <v>1119.827586</v>
      </c>
      <c r="O39" t="n">
        <v>3</v>
      </c>
      <c r="P39" t="n">
        <v>3</v>
      </c>
      <c r="W39" t="n">
        <v>3</v>
      </c>
      <c r="X39">
        <f>O39-W39</f>
        <v/>
      </c>
      <c r="Y39" t="n">
        <v>3</v>
      </c>
      <c r="Z39" t="n">
        <v>20</v>
      </c>
      <c r="AC39" s="186">
        <f>IFERROR(O39*M39,0)</f>
        <v/>
      </c>
      <c r="AD39" s="186">
        <f>IFERROR(O39*N39,0)</f>
        <v/>
      </c>
      <c r="AE39" t="inlineStr">
        <is>
          <t>Con existencia</t>
        </is>
      </c>
      <c r="AF39" t="n">
        <v>3</v>
      </c>
    </row>
    <row r="40">
      <c r="A40" t="inlineStr">
        <is>
          <t>087327014866</t>
        </is>
      </c>
      <c r="B40" t="inlineStr">
        <is>
          <t>111710</t>
        </is>
      </c>
      <c r="C40" t="inlineStr">
        <is>
          <t>96391-3.4oz/100mL</t>
        </is>
      </c>
      <c r="D40" t="inlineStr">
        <is>
          <t>96391</t>
        </is>
      </c>
      <c r="E40" t="inlineStr">
        <is>
          <t>Tru Western</t>
        </is>
      </c>
      <c r="F40" t="inlineStr">
        <is>
          <t>Perfume PBR Anejo</t>
        </is>
      </c>
      <c r="G40" t="inlineStr">
        <is>
          <t>100 ml</t>
        </is>
      </c>
      <c r="I40" t="inlineStr">
        <is>
          <t>Accesorios</t>
        </is>
      </c>
      <c r="J40" t="inlineStr">
        <is>
          <t>Fragancias</t>
        </is>
      </c>
      <c r="K40" t="inlineStr">
        <is>
          <t>Unisex</t>
        </is>
      </c>
      <c r="L40" t="inlineStr">
        <is>
          <t>PZS</t>
        </is>
      </c>
      <c r="M40" s="186" t="n">
        <v>301.7</v>
      </c>
      <c r="N40" s="186" t="n">
        <v>1033.62069</v>
      </c>
      <c r="O40" t="n">
        <v>3</v>
      </c>
      <c r="P40" t="n">
        <v>3</v>
      </c>
      <c r="W40" t="n">
        <v>3</v>
      </c>
      <c r="X40">
        <f>O40-W40</f>
        <v/>
      </c>
      <c r="Y40" t="n">
        <v>3</v>
      </c>
      <c r="Z40" t="n">
        <v>33</v>
      </c>
      <c r="AC40" s="186">
        <f>IFERROR(O40*M40,0)</f>
        <v/>
      </c>
      <c r="AD40" s="186">
        <f>IFERROR(O40*N40,0)</f>
        <v/>
      </c>
      <c r="AE40" t="inlineStr">
        <is>
          <t>Con existencia</t>
        </is>
      </c>
      <c r="AF40" t="n">
        <v>3</v>
      </c>
    </row>
    <row r="41">
      <c r="A41" t="inlineStr">
        <is>
          <t>087327023363</t>
        </is>
      </c>
      <c r="B41" t="inlineStr">
        <is>
          <t>111715</t>
        </is>
      </c>
      <c r="C41" t="inlineStr">
        <is>
          <t>96637-3.4oz/100mL</t>
        </is>
      </c>
      <c r="D41" t="inlineStr">
        <is>
          <t>96637</t>
        </is>
      </c>
      <c r="E41" t="inlineStr">
        <is>
          <t>Tru Western</t>
        </is>
      </c>
      <c r="F41" t="inlineStr">
        <is>
          <t>Perfume Rodeo Soul</t>
        </is>
      </c>
      <c r="G41" t="inlineStr">
        <is>
          <t>100 ml</t>
        </is>
      </c>
      <c r="I41" t="inlineStr">
        <is>
          <t>Accesorios</t>
        </is>
      </c>
      <c r="J41" t="inlineStr">
        <is>
          <t>Fragancias</t>
        </is>
      </c>
      <c r="K41" t="inlineStr">
        <is>
          <t>Unisex</t>
        </is>
      </c>
      <c r="L41" t="inlineStr">
        <is>
          <t>PZS</t>
        </is>
      </c>
      <c r="M41" s="186" t="n">
        <v>271.6</v>
      </c>
      <c r="N41" s="186" t="n">
        <v>947.4137931</v>
      </c>
      <c r="O41" t="n">
        <v>7</v>
      </c>
      <c r="P41" t="n">
        <v>7</v>
      </c>
      <c r="W41" t="n">
        <v>7</v>
      </c>
      <c r="X41">
        <f>O41-W41</f>
        <v/>
      </c>
      <c r="Y41" t="n">
        <v>7</v>
      </c>
      <c r="Z41" t="n">
        <v>68</v>
      </c>
      <c r="AC41" s="186">
        <f>IFERROR(O41*M41,0)</f>
        <v/>
      </c>
      <c r="AD41" s="186">
        <f>IFERROR(O41*N41,0)</f>
        <v/>
      </c>
      <c r="AE41" t="inlineStr">
        <is>
          <t>Con existencia</t>
        </is>
      </c>
      <c r="AF41" t="n">
        <v>7</v>
      </c>
    </row>
    <row r="42">
      <c r="A42" t="inlineStr">
        <is>
          <t>087327030842</t>
        </is>
      </c>
      <c r="B42" t="inlineStr">
        <is>
          <t>111712</t>
        </is>
      </c>
      <c r="C42" t="inlineStr">
        <is>
          <t>97085-1.7oz/50mL</t>
        </is>
      </c>
      <c r="D42" t="inlineStr">
        <is>
          <t>97085</t>
        </is>
      </c>
      <c r="E42" t="inlineStr">
        <is>
          <t>Tru Western</t>
        </is>
      </c>
      <c r="F42" t="inlineStr">
        <is>
          <t>Perfume Yellowstone Dusk Eau de Parfum</t>
        </is>
      </c>
      <c r="G42" t="inlineStr">
        <is>
          <t>50 ml</t>
        </is>
      </c>
      <c r="I42" t="inlineStr">
        <is>
          <t>Accesorios</t>
        </is>
      </c>
      <c r="J42" t="inlineStr">
        <is>
          <t>Fragancias</t>
        </is>
      </c>
      <c r="K42" t="inlineStr">
        <is>
          <t>Unisex</t>
        </is>
      </c>
      <c r="L42" t="inlineStr">
        <is>
          <t>PZS</t>
        </is>
      </c>
      <c r="M42" s="186" t="n">
        <v>331.8</v>
      </c>
      <c r="N42" s="186" t="n">
        <v>1119.827586</v>
      </c>
      <c r="O42" t="n">
        <v>5</v>
      </c>
      <c r="P42" t="n">
        <v>5</v>
      </c>
      <c r="W42" t="n">
        <v>5</v>
      </c>
      <c r="X42">
        <f>O42-W42</f>
        <v/>
      </c>
      <c r="Y42" t="n">
        <v>5</v>
      </c>
      <c r="Z42" t="n">
        <v>18</v>
      </c>
      <c r="AC42" s="186">
        <f>IFERROR(O42*M42,0)</f>
        <v/>
      </c>
      <c r="AD42" s="186">
        <f>IFERROR(O42*N42,0)</f>
        <v/>
      </c>
      <c r="AE42" t="inlineStr">
        <is>
          <t>Con existencia</t>
        </is>
      </c>
      <c r="AF42" t="n">
        <v>5</v>
      </c>
    </row>
    <row r="43">
      <c r="A43" t="inlineStr">
        <is>
          <t>087327031214</t>
        </is>
      </c>
      <c r="B43" t="inlineStr">
        <is>
          <t>111716</t>
        </is>
      </c>
      <c r="C43" t="inlineStr">
        <is>
          <t>97265-2.7fl.oz./80mL</t>
        </is>
      </c>
      <c r="D43" t="inlineStr">
        <is>
          <t>97265</t>
        </is>
      </c>
      <c r="E43" t="inlineStr">
        <is>
          <t>Tru Western</t>
        </is>
      </c>
      <c r="F43" t="inlineStr">
        <is>
          <t>Perfume Amber Waves</t>
        </is>
      </c>
      <c r="G43" t="inlineStr">
        <is>
          <t>80 ml</t>
        </is>
      </c>
      <c r="I43" t="inlineStr">
        <is>
          <t>Accesorios</t>
        </is>
      </c>
      <c r="J43" t="inlineStr">
        <is>
          <t>Fragancias</t>
        </is>
      </c>
      <c r="K43" t="inlineStr">
        <is>
          <t>Unisex</t>
        </is>
      </c>
      <c r="L43" t="inlineStr">
        <is>
          <t>PZS</t>
        </is>
      </c>
      <c r="M43" s="186" t="n">
        <v>331.8</v>
      </c>
      <c r="N43" s="186" t="n">
        <v>1119.827586</v>
      </c>
      <c r="O43" t="n">
        <v>6</v>
      </c>
      <c r="P43" t="n">
        <v>6</v>
      </c>
      <c r="W43" t="n">
        <v>6</v>
      </c>
      <c r="X43">
        <f>O43-W43</f>
        <v/>
      </c>
      <c r="Y43" t="n">
        <v>6</v>
      </c>
      <c r="Z43" t="n">
        <v>59</v>
      </c>
      <c r="AC43" s="186">
        <f>IFERROR(O43*M43,0)</f>
        <v/>
      </c>
      <c r="AD43" s="186">
        <f>IFERROR(O43*N43,0)</f>
        <v/>
      </c>
      <c r="AE43" t="inlineStr">
        <is>
          <t>Con existencia</t>
        </is>
      </c>
      <c r="AF43" t="n">
        <v>6</v>
      </c>
    </row>
    <row r="44">
      <c r="A44" t="inlineStr">
        <is>
          <t>087327032600</t>
        </is>
      </c>
      <c r="B44" t="inlineStr">
        <is>
          <t>111714</t>
        </is>
      </c>
      <c r="C44" t="inlineStr">
        <is>
          <t>98052-3.4oz/100mL</t>
        </is>
      </c>
      <c r="D44" t="inlineStr">
        <is>
          <t>98052</t>
        </is>
      </c>
      <c r="E44" t="inlineStr">
        <is>
          <t>Tru Western</t>
        </is>
      </c>
      <c r="F44" t="inlineStr">
        <is>
          <t>Perfume Rodeo Soul Fearless</t>
        </is>
      </c>
      <c r="G44" t="inlineStr">
        <is>
          <t>100 ml</t>
        </is>
      </c>
      <c r="I44" t="inlineStr">
        <is>
          <t>Accesorios</t>
        </is>
      </c>
      <c r="J44" t="inlineStr">
        <is>
          <t>Fragancias</t>
        </is>
      </c>
      <c r="K44" t="inlineStr">
        <is>
          <t>Unisex</t>
        </is>
      </c>
      <c r="L44" t="inlineStr">
        <is>
          <t>PZS</t>
        </is>
      </c>
      <c r="M44" s="186" t="n">
        <v>271.6</v>
      </c>
      <c r="N44" s="186" t="n">
        <v>947.4137931</v>
      </c>
      <c r="O44" t="n">
        <v>6</v>
      </c>
      <c r="P44" t="n">
        <v>6</v>
      </c>
      <c r="W44" t="n">
        <v>6</v>
      </c>
      <c r="X44">
        <f>O44-W44</f>
        <v/>
      </c>
      <c r="Y44" t="n">
        <v>6</v>
      </c>
      <c r="Z44" t="n">
        <v>31</v>
      </c>
      <c r="AC44" s="186">
        <f>IFERROR(O44*M44,0)</f>
        <v/>
      </c>
      <c r="AD44" s="186">
        <f>IFERROR(O44*N44,0)</f>
        <v/>
      </c>
      <c r="AE44" t="inlineStr">
        <is>
          <t>Con existencia</t>
        </is>
      </c>
      <c r="AF44" t="n">
        <v>6</v>
      </c>
    </row>
    <row r="45">
      <c r="A45" t="inlineStr">
        <is>
          <t>087327032624</t>
        </is>
      </c>
      <c r="B45" t="inlineStr">
        <is>
          <t>111719</t>
        </is>
      </c>
      <c r="C45" t="inlineStr">
        <is>
          <t>98083-3.4oz/100mL</t>
        </is>
      </c>
      <c r="D45" t="inlineStr">
        <is>
          <t>98083</t>
        </is>
      </c>
      <c r="E45" t="inlineStr">
        <is>
          <t>Tru Western</t>
        </is>
      </c>
      <c r="F45" t="inlineStr">
        <is>
          <t>Perfume Leather Vintage Label No. 1 -Private Reserve</t>
        </is>
      </c>
      <c r="G45" t="inlineStr">
        <is>
          <t>100 ml</t>
        </is>
      </c>
      <c r="I45" t="inlineStr">
        <is>
          <t>Accesorios</t>
        </is>
      </c>
      <c r="J45" t="inlineStr">
        <is>
          <t>Fragancias</t>
        </is>
      </c>
      <c r="K45" t="inlineStr">
        <is>
          <t>Unisex</t>
        </is>
      </c>
      <c r="L45" t="inlineStr">
        <is>
          <t>PZS</t>
        </is>
      </c>
      <c r="M45" s="186" t="n">
        <v>301.7</v>
      </c>
      <c r="N45" s="186" t="n">
        <v>1033.62069</v>
      </c>
      <c r="O45" t="n">
        <v>0</v>
      </c>
      <c r="X45">
        <f>O45-W45</f>
        <v/>
      </c>
      <c r="Z45" t="n">
        <v>12</v>
      </c>
      <c r="AC45" s="186">
        <f>IFERROR(O45*M45,0)</f>
        <v/>
      </c>
      <c r="AD45" s="186">
        <f>IFERROR(O45*N45,0)</f>
        <v/>
      </c>
      <c r="AE45" t="inlineStr">
        <is>
          <t>Solo en plataformas</t>
        </is>
      </c>
    </row>
    <row r="46">
      <c r="A46" t="inlineStr">
        <is>
          <t>087327032648</t>
        </is>
      </c>
      <c r="B46" t="inlineStr">
        <is>
          <t>111708</t>
        </is>
      </c>
      <c r="C46" t="inlineStr">
        <is>
          <t>98085-3.4oz/100mL</t>
        </is>
      </c>
      <c r="D46" t="inlineStr">
        <is>
          <t>98085</t>
        </is>
      </c>
      <c r="E46" t="inlineStr">
        <is>
          <t>Tru Western</t>
        </is>
      </c>
      <c r="F46" t="inlineStr">
        <is>
          <t>Perfume Leather Vintage Label No. 2 - Small Batch</t>
        </is>
      </c>
      <c r="G46" t="inlineStr">
        <is>
          <t>100 ml</t>
        </is>
      </c>
      <c r="I46" t="inlineStr">
        <is>
          <t>Accesorios</t>
        </is>
      </c>
      <c r="J46" t="inlineStr">
        <is>
          <t>Fragancias</t>
        </is>
      </c>
      <c r="K46" t="inlineStr">
        <is>
          <t>Unisex</t>
        </is>
      </c>
      <c r="L46" t="inlineStr">
        <is>
          <t>PZS</t>
        </is>
      </c>
      <c r="M46" s="186" t="n">
        <v>301.7</v>
      </c>
      <c r="N46" s="186" t="n">
        <v>1033.62069</v>
      </c>
      <c r="O46" t="n">
        <v>5</v>
      </c>
      <c r="P46" t="n">
        <v>5</v>
      </c>
      <c r="W46" t="n">
        <v>5</v>
      </c>
      <c r="X46">
        <f>O46-W46</f>
        <v/>
      </c>
      <c r="Y46" t="n">
        <v>5</v>
      </c>
      <c r="Z46" t="n">
        <v>26</v>
      </c>
      <c r="AC46" s="186">
        <f>IFERROR(O46*M46,0)</f>
        <v/>
      </c>
      <c r="AD46" s="186">
        <f>IFERROR(O46*N46,0)</f>
        <v/>
      </c>
      <c r="AE46" t="inlineStr">
        <is>
          <t>Con existencia</t>
        </is>
      </c>
      <c r="AF46" t="n">
        <v>5</v>
      </c>
    </row>
    <row r="47">
      <c r="A47" t="inlineStr">
        <is>
          <t>087327032662</t>
        </is>
      </c>
      <c r="B47" t="inlineStr">
        <is>
          <t>111720</t>
        </is>
      </c>
      <c r="C47" t="inlineStr">
        <is>
          <t>98087-3.4oz/100mL</t>
        </is>
      </c>
      <c r="D47" t="inlineStr">
        <is>
          <t>98087</t>
        </is>
      </c>
      <c r="E47" t="inlineStr">
        <is>
          <t>Tru Western</t>
        </is>
      </c>
      <c r="F47" t="inlineStr">
        <is>
          <t>Perfume Leather Vintage Label No. 3 -Indigo Blend</t>
        </is>
      </c>
      <c r="G47" t="inlineStr">
        <is>
          <t>100 ml</t>
        </is>
      </c>
      <c r="H47" t="inlineStr">
        <is>
          <t>Azul</t>
        </is>
      </c>
      <c r="I47" t="inlineStr">
        <is>
          <t>Accesorios</t>
        </is>
      </c>
      <c r="J47" t="inlineStr">
        <is>
          <t>Fragancias</t>
        </is>
      </c>
      <c r="K47" t="inlineStr">
        <is>
          <t>Unisex</t>
        </is>
      </c>
      <c r="L47" t="inlineStr">
        <is>
          <t>PZS</t>
        </is>
      </c>
      <c r="M47" s="186" t="n">
        <v>301.7</v>
      </c>
      <c r="N47" s="186" t="n">
        <v>1033.62069</v>
      </c>
      <c r="O47" t="n">
        <v>0</v>
      </c>
      <c r="X47">
        <f>O47-W47</f>
        <v/>
      </c>
      <c r="Z47" t="n">
        <v>12</v>
      </c>
      <c r="AC47" s="186">
        <f>IFERROR(O47*M47,0)</f>
        <v/>
      </c>
      <c r="AD47" s="186">
        <f>IFERROR(O47*N47,0)</f>
        <v/>
      </c>
      <c r="AE47" t="inlineStr">
        <is>
          <t>Solo en plataformas</t>
        </is>
      </c>
    </row>
    <row r="48">
      <c r="A48" t="inlineStr">
        <is>
          <t>087327032686</t>
        </is>
      </c>
      <c r="B48" t="inlineStr">
        <is>
          <t>111709</t>
        </is>
      </c>
      <c r="C48" t="inlineStr">
        <is>
          <t>98089-3.4oz/100mL</t>
        </is>
      </c>
      <c r="D48" t="inlineStr">
        <is>
          <t>98089</t>
        </is>
      </c>
      <c r="E48" t="inlineStr">
        <is>
          <t>Tru Western</t>
        </is>
      </c>
      <c r="F48" t="inlineStr">
        <is>
          <t>Perfume Leather Vintage Label No. 4 -Deep Leather</t>
        </is>
      </c>
      <c r="G48" t="inlineStr">
        <is>
          <t>100 ml</t>
        </is>
      </c>
      <c r="I48" t="inlineStr">
        <is>
          <t>Accesorios</t>
        </is>
      </c>
      <c r="J48" t="inlineStr">
        <is>
          <t>Fragancias</t>
        </is>
      </c>
      <c r="K48" t="inlineStr">
        <is>
          <t>Unisex</t>
        </is>
      </c>
      <c r="L48" t="inlineStr">
        <is>
          <t>PZS</t>
        </is>
      </c>
      <c r="M48" s="186" t="n">
        <v>301.7</v>
      </c>
      <c r="N48" s="186" t="n">
        <v>1033.62069</v>
      </c>
      <c r="O48" t="n">
        <v>7</v>
      </c>
      <c r="P48" t="n">
        <v>7</v>
      </c>
      <c r="W48" t="n">
        <v>7</v>
      </c>
      <c r="X48">
        <f>O48-W48</f>
        <v/>
      </c>
      <c r="Y48" t="n">
        <v>7</v>
      </c>
      <c r="Z48" t="n">
        <v>20</v>
      </c>
      <c r="AC48" s="186">
        <f>IFERROR(O48*M48,0)</f>
        <v/>
      </c>
      <c r="AD48" s="186">
        <f>IFERROR(O48*N48,0)</f>
        <v/>
      </c>
      <c r="AE48" t="inlineStr">
        <is>
          <t>Con existencia</t>
        </is>
      </c>
      <c r="AF48" t="n">
        <v>7</v>
      </c>
    </row>
  </sheetData>
  <autoFilter ref="A1:AF4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42" customWidth="1" style="176" min="1" max="1"/>
    <col width="18" customWidth="1" style="176" min="2" max="2"/>
    <col width="30" customWidth="1" style="176" min="3" max="3"/>
    <col width="18" customWidth="1" style="176" min="4" max="4"/>
    <col width="18" customWidth="1" style="176" min="5" max="5"/>
    <col width="18" customWidth="1" style="176" min="6" max="6"/>
    <col width="18" customWidth="1" style="176" min="7" max="7"/>
    <col width="18" customWidth="1" style="176" min="8" max="8"/>
    <col width="18" customWidth="1" style="176" min="9" max="9"/>
    <col width="18" customWidth="1" style="176" min="10" max="10"/>
    <col width="18" customWidth="1" style="176" min="11" max="11"/>
  </cols>
  <sheetData>
    <row r="1">
      <c r="A1" s="187" t="inlineStr">
        <is>
          <t>Indicadores de inventario · Tru Western</t>
        </is>
      </c>
    </row>
    <row r="2">
      <c r="A2" t="inlineStr">
        <is>
          <t>NetSuite al 06/10/2026 · corte anterior NetSuite 28/09/2026 · Shopify Ariat 05/10/2026 · Shopify Stetson, Western Brothers y Odoo 01/10/2026</t>
        </is>
      </c>
    </row>
    <row r="4">
      <c r="A4" s="188" t="inlineStr">
        <is>
          <t>Existencia actual (NetSuite)</t>
        </is>
      </c>
      <c r="B4" s="189" t="n"/>
      <c r="C4" s="189" t="n"/>
      <c r="D4" s="189" t="n"/>
    </row>
    <row r="5">
      <c r="A5" s="190" t="inlineStr">
        <is>
          <t>Indicador</t>
        </is>
      </c>
      <c r="B5" s="190" t="inlineStr">
        <is>
          <t>Valor</t>
        </is>
      </c>
      <c r="C5" s="190" t="inlineStr">
        <is>
          <t>Nota</t>
        </is>
      </c>
    </row>
    <row r="6">
      <c r="A6" t="inlineStr">
        <is>
          <t>Artículos con existencia</t>
        </is>
      </c>
      <c r="B6" s="191">
        <f>COUNTIF(Inventario!$O$2:$O$48,"&gt;0")</f>
        <v/>
      </c>
      <c r="C6" t="inlineStr"/>
    </row>
    <row r="7">
      <c r="A7" t="inlineStr">
        <is>
          <t>Unidades en mano</t>
        </is>
      </c>
      <c r="B7" s="191">
        <f>SUM(Inventario!$O$2:$O$48)</f>
        <v/>
      </c>
      <c r="C7" t="inlineStr">
        <is>
          <t>Existencia del sistema</t>
        </is>
      </c>
    </row>
    <row r="8">
      <c r="A8" t="inlineStr">
        <is>
          <t>Unidades disponibles</t>
        </is>
      </c>
      <c r="B8" s="191">
        <f>SUM(Inventario!$P$2:$P$48)</f>
        <v/>
      </c>
      <c r="C8" t="inlineStr"/>
    </row>
    <row r="9">
      <c r="A9" t="inlineStr">
        <is>
          <t>Unidades comprometidas</t>
        </is>
      </c>
      <c r="B9" s="191">
        <f>SUM(Inventario!$Q$2:$Q$48)</f>
        <v/>
      </c>
      <c r="C9" t="inlineStr">
        <is>
          <t>Pedidos por surtir</t>
        </is>
      </c>
    </row>
    <row r="10">
      <c r="A10" t="inlineStr">
        <is>
          <t>Unidades en tránsito</t>
        </is>
      </c>
      <c r="B10" s="191">
        <f>SUM(Inventario!$S$2:$S$48)</f>
        <v/>
      </c>
      <c r="C10" t="inlineStr"/>
    </row>
    <row r="11">
      <c r="A11" t="inlineStr">
        <is>
          <t>Unidades en pedido</t>
        </is>
      </c>
      <c r="B11" s="191" t="n">
        <v>0</v>
      </c>
      <c r="C11" t="inlineStr">
        <is>
          <t>Órdenes de compra abiertas de 0 artículos; 0 de ellos aún no tienen existencia y no aparecen en la hoja Inventario</t>
        </is>
      </c>
    </row>
    <row r="12">
      <c r="A12" t="inlineStr">
        <is>
          <t>Unidades pendientes por surtir</t>
        </is>
      </c>
      <c r="B12" s="191">
        <f>SUM(Inventario!$T$2:$T$48)</f>
        <v/>
      </c>
      <c r="C12" t="inlineStr"/>
    </row>
    <row r="13">
      <c r="A13" t="inlineStr">
        <is>
          <t>Unidades en ubicaciones inactivas</t>
        </is>
      </c>
      <c r="B13" s="191">
        <f>SUM(Inventario!$U$2:$U$48)</f>
        <v/>
      </c>
      <c r="C13" t="inlineStr">
        <is>
          <t>Ubicaciones dadas de baja en NetSuite que aún tienen existencia</t>
        </is>
      </c>
    </row>
    <row r="14">
      <c r="A14" t="inlineStr">
        <is>
          <t>Artículos con existencia negativa</t>
        </is>
      </c>
      <c r="B14" s="191">
        <f>COUNTIF(Inventario!$O$2:$O$48,"&lt;0")</f>
        <v/>
      </c>
      <c r="C14" t="inlineStr">
        <is>
          <t>Revisar en conteo</t>
        </is>
      </c>
    </row>
    <row r="15">
      <c r="A15" t="inlineStr">
        <is>
          <t>Unidades en negativo</t>
        </is>
      </c>
      <c r="B15" s="191">
        <f>SUMIF(Inventario!$O$2:$O$48,"&lt;0")</f>
        <v/>
      </c>
      <c r="C15" t="inlineStr"/>
    </row>
    <row r="16">
      <c r="A16" t="inlineStr">
        <is>
          <t>Valor en mano a costo</t>
        </is>
      </c>
      <c r="B16" s="186">
        <f>SUM(Inventario!$AC$2:$AC$48)</f>
        <v/>
      </c>
      <c r="C16" t="inlineStr">
        <is>
          <t>Precio de compra de NetSuite; hay costos que parecen estar en dólares (ver Notas)</t>
        </is>
      </c>
    </row>
    <row r="17">
      <c r="A17" t="inlineStr">
        <is>
          <t>Valor en mano a precio de venta</t>
        </is>
      </c>
      <c r="B17" s="186">
        <f>SUM(Inventario!$AD$2:$AD$48)</f>
        <v/>
      </c>
      <c r="C17" t="inlineStr">
        <is>
          <t>Precio de venta sin IVA</t>
        </is>
      </c>
    </row>
    <row r="19">
      <c r="A19" s="188" t="inlineStr">
        <is>
          <t>Movimiento neto 28/09/2026 → 06/10/2026</t>
        </is>
      </c>
      <c r="B19" s="189" t="n"/>
      <c r="C19" s="189" t="n"/>
      <c r="D19" s="189" t="n"/>
    </row>
    <row r="20">
      <c r="A20" s="190" t="inlineStr">
        <is>
          <t>Indicador</t>
        </is>
      </c>
      <c r="B20" s="190" t="inlineStr">
        <is>
          <t>Valor</t>
        </is>
      </c>
      <c r="C20" s="190" t="inlineStr">
        <is>
          <t>Nota</t>
        </is>
      </c>
    </row>
    <row r="21">
      <c r="A21" t="inlineStr">
        <is>
          <t>Unidades en mano al 28/09/2026</t>
        </is>
      </c>
      <c r="B21" s="191">
        <f>SUM(Inventario!$W$2:$W$48)</f>
        <v/>
      </c>
      <c r="C21" t="inlineStr"/>
    </row>
    <row r="22">
      <c r="A22" t="inlineStr">
        <is>
          <t>Variación neta de unidades</t>
        </is>
      </c>
      <c r="B22" s="191">
        <f>SUM(Inventario!$X$2:$X$48)</f>
        <v/>
      </c>
      <c r="C22" t="inlineStr">
        <is>
          <t>En mano actual − en mano anterior</t>
        </is>
      </c>
    </row>
    <row r="23">
      <c r="A23" t="inlineStr">
        <is>
          <t>Unidades que salieron (neto)</t>
        </is>
      </c>
      <c r="B23" s="191">
        <f>SUMIF(Inventario!$X$2:$X$48,"&lt;0")</f>
        <v/>
      </c>
      <c r="C23" t="inlineStr">
        <is>
          <t>Ventas, traspasos o ajustes</t>
        </is>
      </c>
    </row>
    <row r="24">
      <c r="A24" t="inlineStr">
        <is>
          <t>Unidades que entraron (neto)</t>
        </is>
      </c>
      <c r="B24" s="191">
        <f>SUMIF(Inventario!$X$2:$X$48,"&gt;0")</f>
        <v/>
      </c>
      <c r="C24" t="inlineStr">
        <is>
          <t>Recepciones, traspasos o ajustes</t>
        </is>
      </c>
    </row>
    <row r="25">
      <c r="A25" t="inlineStr">
        <is>
          <t>Artículos que bajaron</t>
        </is>
      </c>
      <c r="B25" s="191">
        <f>COUNTIF(Inventario!$X$2:$X$48,"&lt;0")</f>
        <v/>
      </c>
      <c r="C25" t="inlineStr"/>
    </row>
    <row r="26">
      <c r="A26" t="inlineStr">
        <is>
          <t>Artículos que subieron</t>
        </is>
      </c>
      <c r="B26" s="191">
        <f>COUNTIF(Inventario!$X$2:$X$48,"&gt;0")</f>
        <v/>
      </c>
      <c r="C26" t="inlineStr"/>
    </row>
    <row r="27">
      <c r="A27" t="inlineStr">
        <is>
          <t>Artículos que se agotaron</t>
        </is>
      </c>
      <c r="B27" s="191">
        <f>COUNTIFS(Inventario!$O$2:$O$48,0,Inventario!$W$2:$W$48,"&gt;0")</f>
        <v/>
      </c>
      <c r="C27" t="inlineStr"/>
    </row>
    <row r="29">
      <c r="A29" s="188" t="inlineStr">
        <is>
          <t>Existencia en plataformas</t>
        </is>
      </c>
      <c r="B29" s="189" t="n"/>
      <c r="C29" s="189" t="n"/>
      <c r="D29" s="189" t="n"/>
    </row>
    <row r="30">
      <c r="A30" s="190" t="inlineStr">
        <is>
          <t>Plataforma</t>
        </is>
      </c>
      <c r="B30" s="190" t="inlineStr">
        <is>
          <t>Unidades</t>
        </is>
      </c>
      <c r="C30" s="190" t="inlineStr">
        <is>
          <t>Artículos con existencia</t>
        </is>
      </c>
      <c r="D30" s="190" t="inlineStr">
        <is>
          <t>Corte</t>
        </is>
      </c>
    </row>
    <row r="31">
      <c r="A31" t="inlineStr">
        <is>
          <t>Shopify Western Brothers</t>
        </is>
      </c>
      <c r="B31" s="191">
        <f>SUM(Inventario!$Y$2:$Y$48)</f>
        <v/>
      </c>
      <c r="C31" s="191">
        <f>COUNTIF(Inventario!$Y$2:$Y$48,"&gt;0")</f>
        <v/>
      </c>
      <c r="D31" t="inlineStr">
        <is>
          <t>01/10/2026</t>
        </is>
      </c>
    </row>
    <row r="32">
      <c r="A32" t="inlineStr">
        <is>
          <t>Odoo Universal Unique Brands</t>
        </is>
      </c>
      <c r="B32" s="191">
        <f>SUM(Inventario!$Z$2:$Z$48)</f>
        <v/>
      </c>
      <c r="C32" s="191">
        <f>COUNTIF(Inventario!$Z$2:$Z$48,"&gt;0")</f>
        <v/>
      </c>
      <c r="D32" t="inlineStr">
        <is>
          <t>01/10/2026</t>
        </is>
      </c>
    </row>
    <row r="34">
      <c r="A34" s="188" t="inlineStr">
        <is>
          <t>Conteo cíclico</t>
        </is>
      </c>
      <c r="B34" s="189" t="n"/>
      <c r="C34" s="189" t="n"/>
      <c r="D34" s="189" t="n"/>
    </row>
    <row r="35">
      <c r="A35" s="190" t="inlineStr">
        <is>
          <t>Indicador</t>
        </is>
      </c>
      <c r="B35" s="190" t="inlineStr">
        <is>
          <t>Valor</t>
        </is>
      </c>
    </row>
    <row r="36">
      <c r="A36" t="inlineStr">
        <is>
          <t>Piezas contadas en rack (Escaneos)</t>
        </is>
      </c>
      <c r="B36" s="191">
        <f>SUM(Inventario!$AA$2:$AA$48)</f>
        <v/>
      </c>
    </row>
    <row r="37">
      <c r="A37" t="inlineStr">
        <is>
          <t>Artículos contados</t>
        </is>
      </c>
      <c r="B37" s="191">
        <f>COUNTIF(Inventario!$AA$2:$AA$48,"&gt;0")</f>
        <v/>
      </c>
    </row>
    <row r="39">
      <c r="A39" s="188" t="inlineStr">
        <is>
          <t>Por ubicación NetSuite</t>
        </is>
      </c>
      <c r="B39" s="189" t="n"/>
      <c r="C39" s="189" t="n"/>
      <c r="D39" s="189" t="n"/>
      <c r="E39" s="189" t="n"/>
      <c r="F39" s="189" t="n"/>
      <c r="G39" s="189" t="n"/>
      <c r="H39" s="189" t="n"/>
      <c r="I39" s="189" t="n"/>
      <c r="J39" s="189" t="n"/>
      <c r="K39" s="189" t="n"/>
    </row>
    <row r="40">
      <c r="A40" s="190" t="inlineStr">
        <is>
          <t>Ubicación</t>
        </is>
      </c>
      <c r="B40" s="190" t="inlineStr">
        <is>
          <t>Bodega / tipo</t>
        </is>
      </c>
      <c r="C40" s="190" t="inlineStr">
        <is>
          <t>Activa</t>
        </is>
      </c>
      <c r="D40" s="190" t="inlineStr">
        <is>
          <t>En mano</t>
        </is>
      </c>
      <c r="E40" s="190" t="inlineStr">
        <is>
          <t>% del total</t>
        </is>
      </c>
      <c r="F40" s="190" t="inlineStr">
        <is>
          <t>Artículos con existencia</t>
        </is>
      </c>
      <c r="G40" s="190" t="inlineStr">
        <is>
          <t>Artículos en negativo</t>
        </is>
      </c>
      <c r="H40" s="190" t="inlineStr">
        <is>
          <t>En mano 28/09/2026</t>
        </is>
      </c>
      <c r="I40" s="190" t="inlineStr">
        <is>
          <t>Entradas netas</t>
        </is>
      </c>
      <c r="J40" s="190" t="inlineStr">
        <is>
          <t>Salidas netas</t>
        </is>
      </c>
      <c r="K40" s="190" t="inlineStr">
        <is>
          <t>Variación</t>
        </is>
      </c>
    </row>
    <row r="41">
      <c r="A41" t="inlineStr">
        <is>
          <t>WB OUTLET LERMA</t>
        </is>
      </c>
      <c r="B41" t="inlineStr">
        <is>
          <t>Tienda</t>
        </is>
      </c>
      <c r="C41" t="inlineStr">
        <is>
          <t>Sí</t>
        </is>
      </c>
      <c r="D41" s="191">
        <f>SUM(Inventario!$AF$2:$AF$48)</f>
        <v/>
      </c>
      <c r="E41" s="193">
        <f>IFERROR(D41/SUM($D$41:$D$41),0)</f>
        <v/>
      </c>
      <c r="F41" s="191">
        <f>COUNTIF(Inventario!$AF$2:$AF$48,"&gt;0")</f>
        <v/>
      </c>
      <c r="G41" s="191">
        <f>COUNTIF(Inventario!$AF$2:$AF$48,"&lt;0")</f>
        <v/>
      </c>
      <c r="H41" s="191" t="n">
        <v>59</v>
      </c>
      <c r="I41" s="191" t="n">
        <v>0</v>
      </c>
      <c r="J41" s="191" t="n">
        <v>0</v>
      </c>
      <c r="K41" s="191">
        <f>D41-H41</f>
        <v/>
      </c>
    </row>
    <row r="43">
      <c r="A43" s="188" t="inlineStr">
        <is>
          <t>Por división</t>
        </is>
      </c>
      <c r="B43" s="189" t="n"/>
      <c r="C43" s="189" t="n"/>
      <c r="D43" s="189" t="n"/>
      <c r="E43" s="189" t="n"/>
      <c r="F43" s="189" t="n"/>
    </row>
    <row r="44">
      <c r="A44" s="190" t="inlineStr">
        <is>
          <t>División</t>
        </is>
      </c>
      <c r="B44" s="190" t="inlineStr">
        <is>
          <t>En mano</t>
        </is>
      </c>
      <c r="C44" s="190" t="inlineStr">
        <is>
          <t>Artículos con existencia</t>
        </is>
      </c>
      <c r="D44" s="190" t="inlineStr">
        <is>
          <t>Valor a costo</t>
        </is>
      </c>
      <c r="E44" s="190" t="inlineStr">
        <is>
          <t>Valor a precio de venta</t>
        </is>
      </c>
      <c r="F44" s="190" t="inlineStr">
        <is>
          <t>Variación neta</t>
        </is>
      </c>
    </row>
    <row r="45">
      <c r="A45" t="inlineStr">
        <is>
          <t>Accesorios</t>
        </is>
      </c>
      <c r="B45" s="191">
        <f>SUMIFS(Inventario!$O$2:$O$48,Inventario!$I$2:$I$48,"Accesorios")</f>
        <v/>
      </c>
      <c r="C45" s="191">
        <f>COUNTIFS(Inventario!$I$2:$I$48,"Accesorios",Inventario!$O$2:$O$48,"&gt;0")</f>
        <v/>
      </c>
      <c r="D45" s="186">
        <f>SUMIFS(Inventario!$AC$2:$AC$48,Inventario!$I$2:$I$48,"Accesorios")</f>
        <v/>
      </c>
      <c r="E45" s="186">
        <f>SUMIFS(Inventario!$AD$2:$AD$48,Inventario!$I$2:$I$48,"Accesorios")</f>
        <v/>
      </c>
      <c r="F45" s="191">
        <f>SUMIFS(Inventario!$X$2:$X$48,Inventario!$I$2:$I$48,"Accesorios")</f>
        <v/>
      </c>
    </row>
    <row r="47">
      <c r="A47" s="188" t="inlineStr">
        <is>
          <t>Por categoría</t>
        </is>
      </c>
      <c r="B47" s="189" t="n"/>
      <c r="C47" s="189" t="n"/>
      <c r="D47" s="189" t="n"/>
      <c r="E47" s="189" t="n"/>
      <c r="F47" s="189" t="n"/>
    </row>
    <row r="48">
      <c r="A48" s="190" t="inlineStr">
        <is>
          <t>Categoría</t>
        </is>
      </c>
      <c r="B48" s="190" t="inlineStr">
        <is>
          <t>En mano</t>
        </is>
      </c>
      <c r="C48" s="190" t="inlineStr">
        <is>
          <t>Artículos con existencia</t>
        </is>
      </c>
      <c r="D48" s="190" t="inlineStr">
        <is>
          <t>Valor a costo</t>
        </is>
      </c>
      <c r="E48" s="190" t="inlineStr">
        <is>
          <t>Valor a precio de venta</t>
        </is>
      </c>
      <c r="F48" s="190" t="inlineStr">
        <is>
          <t>Variación neta</t>
        </is>
      </c>
    </row>
    <row r="49">
      <c r="A49" t="inlineStr">
        <is>
          <t>Fragancias</t>
        </is>
      </c>
      <c r="B49" s="191">
        <f>SUMIFS(Inventario!$O$2:$O$48,Inventario!$J$2:$J$48,"Fragancias")</f>
        <v/>
      </c>
      <c r="C49" s="191">
        <f>COUNTIFS(Inventario!$J$2:$J$48,"Fragancias",Inventario!$O$2:$O$48,"&gt;0")</f>
        <v/>
      </c>
      <c r="D49" s="186">
        <f>SUMIFS(Inventario!$AC$2:$AC$48,Inventario!$J$2:$J$48,"Fragancias")</f>
        <v/>
      </c>
      <c r="E49" s="186">
        <f>SUMIFS(Inventario!$AD$2:$AD$48,Inventario!$J$2:$J$48,"Fragancias")</f>
        <v/>
      </c>
      <c r="F49" s="191">
        <f>SUMIFS(Inventario!$X$2:$X$48,Inventario!$J$2:$J$48,"Fragancias")</f>
        <v/>
      </c>
    </row>
    <row r="51">
      <c r="A51" s="188" t="inlineStr">
        <is>
          <t>15 artículos con más unidades en mano</t>
        </is>
      </c>
      <c r="B51" s="189" t="n"/>
      <c r="C51" s="189" t="n"/>
      <c r="D51" s="189" t="n"/>
      <c r="E51" s="189" t="n"/>
      <c r="F51" s="189" t="n"/>
    </row>
    <row r="52">
      <c r="A52" s="190" t="inlineStr">
        <is>
          <t>Código de barras</t>
        </is>
      </c>
      <c r="B52" s="190" t="inlineStr">
        <is>
          <t>WB SKU</t>
        </is>
      </c>
      <c r="C52" s="190" t="inlineStr">
        <is>
          <t>WB Descripcion</t>
        </is>
      </c>
      <c r="D52" s="190" t="inlineStr">
        <is>
          <t>WB Talla</t>
        </is>
      </c>
      <c r="E52" s="190" t="inlineStr">
        <is>
          <t>En mano</t>
        </is>
      </c>
      <c r="F52" s="190" t="inlineStr">
        <is>
          <t>Variación</t>
        </is>
      </c>
    </row>
    <row r="53">
      <c r="A53" t="inlineStr">
        <is>
          <t>087327023363</t>
        </is>
      </c>
      <c r="B53" t="inlineStr">
        <is>
          <t>96637-3.4oz/100mL</t>
        </is>
      </c>
      <c r="C53" t="inlineStr">
        <is>
          <t>Perfume Rodeo Soul</t>
        </is>
      </c>
      <c r="D53" t="inlineStr">
        <is>
          <t>100 ml</t>
        </is>
      </c>
      <c r="E53" t="n">
        <v>7</v>
      </c>
      <c r="F53" t="n">
        <v>0</v>
      </c>
    </row>
    <row r="54">
      <c r="A54" t="inlineStr">
        <is>
          <t>087327032686</t>
        </is>
      </c>
      <c r="B54" t="inlineStr">
        <is>
          <t>98089-3.4oz/100mL</t>
        </is>
      </c>
      <c r="C54" t="inlineStr">
        <is>
          <t>Perfume Leather Vintage Label No. 4 -Deep Leather</t>
        </is>
      </c>
      <c r="D54" t="inlineStr">
        <is>
          <t>100 ml</t>
        </is>
      </c>
      <c r="E54" t="n">
        <v>7</v>
      </c>
      <c r="F54" t="n">
        <v>0</v>
      </c>
    </row>
    <row r="55">
      <c r="A55" t="inlineStr">
        <is>
          <t>087327031214</t>
        </is>
      </c>
      <c r="B55" t="inlineStr">
        <is>
          <t>97265-2.7fl.oz./80mL</t>
        </is>
      </c>
      <c r="C55" t="inlineStr">
        <is>
          <t>Perfume Amber Waves</t>
        </is>
      </c>
      <c r="D55" t="inlineStr">
        <is>
          <t>80 ml</t>
        </is>
      </c>
      <c r="E55" t="n">
        <v>6</v>
      </c>
      <c r="F55" t="n">
        <v>0</v>
      </c>
    </row>
    <row r="56">
      <c r="A56" t="inlineStr">
        <is>
          <t>087327032600</t>
        </is>
      </c>
      <c r="B56" t="inlineStr">
        <is>
          <t>98052-3.4oz/100mL</t>
        </is>
      </c>
      <c r="C56" t="inlineStr">
        <is>
          <t>Perfume Rodeo Soul Fearless</t>
        </is>
      </c>
      <c r="D56" t="inlineStr">
        <is>
          <t>100 ml</t>
        </is>
      </c>
      <c r="E56" t="n">
        <v>6</v>
      </c>
      <c r="F56" t="n">
        <v>0</v>
      </c>
    </row>
    <row r="57">
      <c r="A57" t="inlineStr">
        <is>
          <t>087327012961</t>
        </is>
      </c>
      <c r="B57" t="inlineStr">
        <is>
          <t>95513-1.7oz/50mL</t>
        </is>
      </c>
      <c r="C57" t="inlineStr">
        <is>
          <t>Perfume Yellowstone Original Eau de Parfum</t>
        </is>
      </c>
      <c r="D57" t="inlineStr">
        <is>
          <t>50 ml</t>
        </is>
      </c>
      <c r="E57" t="n">
        <v>5</v>
      </c>
      <c r="F57" t="n">
        <v>0</v>
      </c>
    </row>
    <row r="58">
      <c r="A58" t="inlineStr">
        <is>
          <t>087327030842</t>
        </is>
      </c>
      <c r="B58" t="inlineStr">
        <is>
          <t>97085-1.7oz/50mL</t>
        </is>
      </c>
      <c r="C58" t="inlineStr">
        <is>
          <t>Perfume Yellowstone Dusk Eau de Parfum</t>
        </is>
      </c>
      <c r="D58" t="inlineStr">
        <is>
          <t>50 ml</t>
        </is>
      </c>
      <c r="E58" t="n">
        <v>5</v>
      </c>
      <c r="F58" t="n">
        <v>0</v>
      </c>
    </row>
    <row r="59">
      <c r="A59" t="inlineStr">
        <is>
          <t>087327032648</t>
        </is>
      </c>
      <c r="B59" t="inlineStr">
        <is>
          <t>98085-3.4oz/100mL</t>
        </is>
      </c>
      <c r="C59" t="inlineStr">
        <is>
          <t>Perfume Leather Vintage Label No. 2 - Small Batch</t>
        </is>
      </c>
      <c r="D59" t="inlineStr">
        <is>
          <t>100 ml</t>
        </is>
      </c>
      <c r="E59" t="n">
        <v>5</v>
      </c>
      <c r="F59" t="n">
        <v>0</v>
      </c>
    </row>
    <row r="60">
      <c r="A60" t="inlineStr">
        <is>
          <t>087327002917</t>
        </is>
      </c>
      <c r="B60" t="inlineStr">
        <is>
          <t>90092-3.4oz/100mL</t>
        </is>
      </c>
      <c r="C60" t="inlineStr">
        <is>
          <t>Perfume Cowboy</t>
        </is>
      </c>
      <c r="D60" t="inlineStr">
        <is>
          <t>100 ml</t>
        </is>
      </c>
      <c r="E60" t="n">
        <v>4</v>
      </c>
      <c r="F60" t="n">
        <v>0</v>
      </c>
    </row>
    <row r="61">
      <c r="A61" t="inlineStr">
        <is>
          <t>087327031269</t>
        </is>
      </c>
      <c r="B61" t="inlineStr">
        <is>
          <t>90543-3.4oz/100mL</t>
        </is>
      </c>
      <c r="C61" t="inlineStr">
        <is>
          <t>Perfume Vaquero</t>
        </is>
      </c>
      <c r="D61" t="inlineStr">
        <is>
          <t>100 ml</t>
        </is>
      </c>
      <c r="E61" t="n">
        <v>4</v>
      </c>
      <c r="F61" t="n">
        <v>0</v>
      </c>
    </row>
    <row r="62">
      <c r="A62" t="inlineStr">
        <is>
          <t>087327012480</t>
        </is>
      </c>
      <c r="B62" t="inlineStr">
        <is>
          <t>95194-3.4oz/100mL</t>
        </is>
      </c>
      <c r="C62" t="inlineStr">
        <is>
          <t>Perfume Cowboy Gunslinger</t>
        </is>
      </c>
      <c r="D62" t="inlineStr">
        <is>
          <t>100 ml</t>
        </is>
      </c>
      <c r="E62" t="n">
        <v>4</v>
      </c>
      <c r="F62" t="n">
        <v>0</v>
      </c>
    </row>
    <row r="63">
      <c r="A63" t="inlineStr">
        <is>
          <t>087327014446</t>
        </is>
      </c>
      <c r="B63" t="inlineStr">
        <is>
          <t>96203-1.7oz/50mL</t>
        </is>
      </c>
      <c r="C63" t="inlineStr">
        <is>
          <t>Perfume Yellowstone Tornado Eau de Parfum</t>
        </is>
      </c>
      <c r="D63" t="inlineStr">
        <is>
          <t>50 ml</t>
        </is>
      </c>
      <c r="E63" t="n">
        <v>3</v>
      </c>
      <c r="F63" t="n">
        <v>0</v>
      </c>
    </row>
    <row r="64">
      <c r="A64" t="inlineStr">
        <is>
          <t>087327014866</t>
        </is>
      </c>
      <c r="B64" t="inlineStr">
        <is>
          <t>96391-3.4oz/100mL</t>
        </is>
      </c>
      <c r="C64" t="inlineStr">
        <is>
          <t>Perfume PBR Anejo</t>
        </is>
      </c>
      <c r="D64" t="inlineStr">
        <is>
          <t>100 ml</t>
        </is>
      </c>
      <c r="E64" t="n">
        <v>3</v>
      </c>
      <c r="F64" t="n">
        <v>0</v>
      </c>
    </row>
    <row r="65">
      <c r="A65" t="inlineStr">
        <is>
          <t>087327025725</t>
        </is>
      </c>
      <c r="B65" t="inlineStr">
        <is>
          <t>90093</t>
        </is>
      </c>
      <c r="C65" t="inlineStr">
        <is>
          <t>TESTER Tru Western: Men's - Cologne Spray 3.4oz - Cowboy</t>
        </is>
      </c>
      <c r="D65" t="inlineStr">
        <is>
          <t>100 ml</t>
        </is>
      </c>
      <c r="E65" t="n">
        <v>0</v>
      </c>
      <c r="F65" t="n">
        <v>0</v>
      </c>
    </row>
    <row r="66">
      <c r="A66" t="inlineStr">
        <is>
          <t>087327026326</t>
        </is>
      </c>
      <c r="B66" t="inlineStr">
        <is>
          <t>91718</t>
        </is>
      </c>
      <c r="C66" t="inlineStr">
        <is>
          <t>Tester Tru Western - 100mL EDC - Outlaw</t>
        </is>
      </c>
      <c r="D66" t="inlineStr">
        <is>
          <t>100 ml</t>
        </is>
      </c>
      <c r="E66" t="n">
        <v>0</v>
      </c>
      <c r="F66" t="n">
        <v>0</v>
      </c>
    </row>
    <row r="67">
      <c r="A67" t="inlineStr">
        <is>
          <t>087327027972</t>
        </is>
      </c>
      <c r="B67" t="inlineStr">
        <is>
          <t>92702</t>
        </is>
      </c>
      <c r="C67" t="inlineStr">
        <is>
          <t>TESTER Tru Western: Women's - EDP 3.4oz - Amber Sundance</t>
        </is>
      </c>
      <c r="D67" t="inlineStr">
        <is>
          <t>100 ml</t>
        </is>
      </c>
      <c r="E67" t="n">
        <v>0</v>
      </c>
      <c r="F67" t="n">
        <v>0</v>
      </c>
    </row>
    <row r="69">
      <c r="A69" s="188" t="inlineStr">
        <is>
          <t>15 artículos con más salida neta desde 28/09/2026</t>
        </is>
      </c>
      <c r="B69" s="189" t="n"/>
      <c r="C69" s="189" t="n"/>
      <c r="D69" s="189" t="n"/>
      <c r="E69" s="189" t="n"/>
      <c r="F69" s="189" t="n"/>
    </row>
    <row r="70">
      <c r="A70" s="190" t="inlineStr">
        <is>
          <t>Código de barras</t>
        </is>
      </c>
      <c r="B70" s="190" t="inlineStr">
        <is>
          <t>WB SKU</t>
        </is>
      </c>
      <c r="C70" s="190" t="inlineStr">
        <is>
          <t>WB Descripcion</t>
        </is>
      </c>
      <c r="D70" s="190" t="inlineStr">
        <is>
          <t>WB Talla</t>
        </is>
      </c>
      <c r="E70" s="190" t="inlineStr">
        <is>
          <t>En mano</t>
        </is>
      </c>
      <c r="F70" s="190" t="inlineStr">
        <is>
          <t>Variación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2026-10-06T22:53:49Z</dcterms:modified>
</cp:coreProperties>
</file>